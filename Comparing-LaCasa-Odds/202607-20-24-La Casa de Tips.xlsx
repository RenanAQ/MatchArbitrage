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/Users/renanqueiroz/Downloads/"/>
    </mc:Choice>
  </mc:AlternateContent>
  <xr:revisionPtr revIDLastSave="0" documentId="13_ncr:1_{6277F895-7895-6845-9810-E51638C388A9}" xr6:coauthVersionLast="47" xr6:coauthVersionMax="47" xr10:uidLastSave="{00000000-0000-0000-0000-000000000000}"/>
  <bookViews>
    <workbookView xWindow="0" yWindow="680" windowWidth="29400" windowHeight="18460" tabRatio="500" activeTab="5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'General-lacasa'!$A$3:$AQ$559</definedName>
    <definedName name="_xlnm._FilterDatabase" localSheetId="1" hidden="1">'matches-results-oddspedia (old)'!$A$1:$L$92</definedName>
    <definedName name="_xlnm._FilterDatabase" localSheetId="2" hidden="1">'oddspedia-matches'!$A$2:$AD$2</definedName>
    <definedName name="_xlnm._FilterDatabase" localSheetId="4" hidden="1">'Solid-Results'!$A$2:$AQ$121</definedName>
    <definedName name="_xlnm._FilterDatabase" localSheetId="3" hidden="1">'Transform table'!$A$1:$B$494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2" i="5" l="1"/>
  <c r="L872" i="5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M864" i="5"/>
  <c r="L864" i="5"/>
  <c r="M863" i="5"/>
  <c r="L863" i="5"/>
  <c r="M862" i="5"/>
  <c r="L862" i="5"/>
  <c r="M861" i="5"/>
  <c r="L861" i="5"/>
  <c r="A861" i="5" s="1"/>
  <c r="M860" i="5"/>
  <c r="L860" i="5"/>
  <c r="A860" i="5" s="1"/>
  <c r="M859" i="5"/>
  <c r="L859" i="5"/>
  <c r="A859" i="5" s="1"/>
  <c r="M858" i="5"/>
  <c r="L858" i="5"/>
  <c r="M857" i="5"/>
  <c r="L857" i="5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M850" i="5"/>
  <c r="L850" i="5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Z557" i="1" s="1"/>
  <c r="Y556" i="1"/>
  <c r="X556" i="1"/>
  <c r="Y555" i="1"/>
  <c r="X555" i="1"/>
  <c r="Y554" i="1"/>
  <c r="X554" i="1"/>
  <c r="Z554" i="1" s="1"/>
  <c r="Y553" i="1"/>
  <c r="X553" i="1"/>
  <c r="Z553" i="1" s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Z546" i="1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803" i="5"/>
  <c r="A780" i="5"/>
  <c r="A747" i="5"/>
  <c r="A746" i="5"/>
  <c r="A745" i="5"/>
  <c r="A744" i="5"/>
  <c r="A743" i="5"/>
  <c r="A720" i="5"/>
  <c r="A719" i="5"/>
  <c r="A718" i="5"/>
  <c r="A717" i="5"/>
  <c r="A716" i="5"/>
  <c r="A705" i="5"/>
  <c r="A704" i="5"/>
  <c r="A591" i="5"/>
  <c r="A593" i="5"/>
  <c r="A626" i="5"/>
  <c r="A629" i="5"/>
  <c r="A625" i="5"/>
  <c r="A612" i="5"/>
  <c r="A595" i="5"/>
  <c r="A605" i="5"/>
  <c r="A592" i="5"/>
  <c r="A624" i="5"/>
  <c r="A604" i="5"/>
  <c r="A611" i="5"/>
  <c r="A610" i="5"/>
  <c r="A609" i="5"/>
  <c r="A619" i="5"/>
  <c r="A608" i="5"/>
  <c r="A607" i="5"/>
  <c r="A623" i="5"/>
  <c r="A606" i="5"/>
  <c r="A603" i="5"/>
  <c r="A602" i="5"/>
  <c r="A622" i="5"/>
  <c r="A621" i="5"/>
  <c r="A620" i="5"/>
  <c r="A618" i="5"/>
  <c r="A601" i="5"/>
  <c r="A600" i="5"/>
  <c r="A599" i="5"/>
  <c r="A598" i="5"/>
  <c r="A644" i="5"/>
  <c r="A632" i="5"/>
  <c r="A753" i="5"/>
  <c r="A818" i="5"/>
  <c r="A715" i="5"/>
  <c r="B50" i="12"/>
  <c r="B51" i="12" s="1"/>
  <c r="A50" i="12"/>
  <c r="B49" i="12"/>
  <c r="A49" i="12"/>
  <c r="B37" i="12"/>
  <c r="B38" i="12" s="1"/>
  <c r="A37" i="12"/>
  <c r="B36" i="12"/>
  <c r="A36" i="12"/>
  <c r="B24" i="12"/>
  <c r="B25" i="12" s="1"/>
  <c r="B26" i="12" s="1"/>
  <c r="B27" i="12" s="1"/>
  <c r="B28" i="12" s="1"/>
  <c r="B29" i="12" s="1"/>
  <c r="B30" i="12" s="1"/>
  <c r="B31" i="12" s="1"/>
  <c r="B23" i="12"/>
  <c r="A24" i="12" s="1"/>
  <c r="A23" i="12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L456" i="5"/>
  <c r="A456" i="5" s="1"/>
  <c r="L455" i="5"/>
  <c r="A455" i="5" s="1"/>
  <c r="L454" i="5"/>
  <c r="A454" i="5" s="1"/>
  <c r="L453" i="5"/>
  <c r="L452" i="5"/>
  <c r="L451" i="5"/>
  <c r="L450" i="5"/>
  <c r="A450" i="5" s="1"/>
  <c r="L449" i="5"/>
  <c r="A449" i="5" s="1"/>
  <c r="L448" i="5"/>
  <c r="L447" i="5"/>
  <c r="A447" i="5" s="1"/>
  <c r="L446" i="5"/>
  <c r="A446" i="5" s="1"/>
  <c r="L445" i="5"/>
  <c r="L444" i="5"/>
  <c r="L443" i="5"/>
  <c r="L442" i="5"/>
  <c r="L441" i="5"/>
  <c r="A441" i="5" s="1"/>
  <c r="L440" i="5"/>
  <c r="A440" i="5" s="1"/>
  <c r="L439" i="5"/>
  <c r="L438" i="5"/>
  <c r="A438" i="5" s="1"/>
  <c r="L243" i="5"/>
  <c r="L242" i="5"/>
  <c r="L241" i="5"/>
  <c r="L240" i="5"/>
  <c r="A240" i="5" s="1"/>
  <c r="L239" i="5"/>
  <c r="L62" i="5"/>
  <c r="L513" i="5"/>
  <c r="A513" i="5" s="1"/>
  <c r="L486" i="5"/>
  <c r="A486" i="5" s="1"/>
  <c r="L458" i="5"/>
  <c r="A458" i="5" s="1"/>
  <c r="A443" i="5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42" i="5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2" i="5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57" i="5"/>
  <c r="A453" i="5"/>
  <c r="A452" i="5"/>
  <c r="A451" i="5"/>
  <c r="A448" i="5"/>
  <c r="A445" i="5"/>
  <c r="A444" i="5"/>
  <c r="A442" i="5"/>
  <c r="A439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43" i="5"/>
  <c r="A241" i="5"/>
  <c r="A239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R42" i="12" l="1"/>
  <c r="R31" i="12"/>
  <c r="R26" i="12"/>
  <c r="R35" i="12"/>
  <c r="R25" i="12"/>
  <c r="R27" i="12"/>
  <c r="R30" i="12"/>
  <c r="R36" i="12"/>
  <c r="R29" i="12"/>
  <c r="R22" i="12"/>
  <c r="R37" i="12"/>
  <c r="R38" i="12"/>
  <c r="R28" i="12"/>
  <c r="R39" i="12"/>
  <c r="R52" i="12" s="1"/>
  <c r="R23" i="12"/>
  <c r="R24" i="12"/>
  <c r="R44" i="12"/>
  <c r="R57" i="12" s="1"/>
  <c r="R41" i="12"/>
  <c r="R54" i="12" s="1"/>
  <c r="R43" i="12"/>
  <c r="R56" i="12" s="1"/>
  <c r="R40" i="12"/>
  <c r="Q29" i="12"/>
  <c r="Q36" i="12"/>
  <c r="Q22" i="12"/>
  <c r="Q39" i="12"/>
  <c r="Q31" i="12"/>
  <c r="Q41" i="12"/>
  <c r="Q44" i="12"/>
  <c r="Q27" i="12"/>
  <c r="Q30" i="12"/>
  <c r="Q42" i="12"/>
  <c r="Q55" i="12" s="1"/>
  <c r="Q38" i="12"/>
  <c r="Q40" i="12"/>
  <c r="Q25" i="12"/>
  <c r="Q43" i="12"/>
  <c r="Q56" i="12" s="1"/>
  <c r="Q35" i="12"/>
  <c r="Q48" i="12" s="1"/>
  <c r="Q26" i="12"/>
  <c r="Q24" i="12"/>
  <c r="Q28" i="12"/>
  <c r="Q37" i="12"/>
  <c r="Q50" i="12" s="1"/>
  <c r="Q23" i="12"/>
  <c r="P42" i="12"/>
  <c r="P37" i="12"/>
  <c r="P22" i="12"/>
  <c r="P36" i="12"/>
  <c r="P29" i="12"/>
  <c r="P55" i="12" s="1"/>
  <c r="P30" i="12"/>
  <c r="P31" i="12"/>
  <c r="P23" i="12"/>
  <c r="P35" i="12"/>
  <c r="P48" i="12" s="1"/>
  <c r="P26" i="12"/>
  <c r="P24" i="12"/>
  <c r="P44" i="12"/>
  <c r="P57" i="12" s="1"/>
  <c r="P39" i="12"/>
  <c r="P25" i="12"/>
  <c r="P38" i="12"/>
  <c r="P40" i="12"/>
  <c r="P28" i="12"/>
  <c r="P41" i="12"/>
  <c r="P43" i="12"/>
  <c r="P56" i="12" s="1"/>
  <c r="P27" i="12"/>
  <c r="O28" i="12"/>
  <c r="O39" i="12"/>
  <c r="O31" i="12"/>
  <c r="O25" i="12"/>
  <c r="O26" i="12"/>
  <c r="O29" i="12"/>
  <c r="O23" i="12"/>
  <c r="O36" i="12"/>
  <c r="O49" i="12" s="1"/>
  <c r="O37" i="12"/>
  <c r="O27" i="12"/>
  <c r="O30" i="12"/>
  <c r="O40" i="12"/>
  <c r="O53" i="12" s="1"/>
  <c r="O43" i="12"/>
  <c r="O56" i="12" s="1"/>
  <c r="O44" i="12"/>
  <c r="O57" i="12" s="1"/>
  <c r="O22" i="12"/>
  <c r="O41" i="12"/>
  <c r="O54" i="12" s="1"/>
  <c r="O35" i="12"/>
  <c r="O42" i="12"/>
  <c r="O55" i="12" s="1"/>
  <c r="O38" i="12"/>
  <c r="O51" i="12" s="1"/>
  <c r="O24" i="12"/>
  <c r="N25" i="12"/>
  <c r="N44" i="12"/>
  <c r="N29" i="12"/>
  <c r="N35" i="12"/>
  <c r="N38" i="12"/>
  <c r="N51" i="12" s="1"/>
  <c r="N41" i="12"/>
  <c r="N54" i="12" s="1"/>
  <c r="N31" i="12"/>
  <c r="N28" i="12"/>
  <c r="N22" i="12"/>
  <c r="N27" i="12"/>
  <c r="N30" i="12"/>
  <c r="N37" i="12"/>
  <c r="N26" i="12"/>
  <c r="N24" i="12"/>
  <c r="N42" i="12"/>
  <c r="N55" i="12" s="1"/>
  <c r="N40" i="12"/>
  <c r="N53" i="12" s="1"/>
  <c r="N43" i="12"/>
  <c r="N56" i="12" s="1"/>
  <c r="N39" i="12"/>
  <c r="N52" i="12" s="1"/>
  <c r="N36" i="12"/>
  <c r="N23" i="12"/>
  <c r="M43" i="12"/>
  <c r="M24" i="12"/>
  <c r="M39" i="12"/>
  <c r="M38" i="12"/>
  <c r="M22" i="12"/>
  <c r="M44" i="12"/>
  <c r="M35" i="12"/>
  <c r="M48" i="12" s="1"/>
  <c r="M27" i="12"/>
  <c r="M28" i="12"/>
  <c r="M29" i="12"/>
  <c r="M37" i="12"/>
  <c r="M50" i="12" s="1"/>
  <c r="M36" i="12"/>
  <c r="M42" i="12"/>
  <c r="M55" i="12" s="1"/>
  <c r="M30" i="12"/>
  <c r="M23" i="12"/>
  <c r="M31" i="12"/>
  <c r="M40" i="12"/>
  <c r="M53" i="12" s="1"/>
  <c r="M26" i="12"/>
  <c r="M25" i="12"/>
  <c r="M41" i="12"/>
  <c r="M54" i="12" s="1"/>
  <c r="L31" i="12"/>
  <c r="L22" i="12"/>
  <c r="L27" i="12"/>
  <c r="L37" i="12"/>
  <c r="L40" i="12"/>
  <c r="L29" i="12"/>
  <c r="L30" i="12"/>
  <c r="L28" i="12"/>
  <c r="L42" i="12"/>
  <c r="L24" i="12"/>
  <c r="L25" i="12"/>
  <c r="L41" i="12"/>
  <c r="L26" i="12"/>
  <c r="L35" i="12"/>
  <c r="L48" i="12" s="1"/>
  <c r="L36" i="12"/>
  <c r="L39" i="12"/>
  <c r="L52" i="12" s="1"/>
  <c r="L38" i="12"/>
  <c r="L51" i="12" s="1"/>
  <c r="L43" i="12"/>
  <c r="L56" i="12" s="1"/>
  <c r="L23" i="12"/>
  <c r="L44" i="12"/>
  <c r="K31" i="12"/>
  <c r="K39" i="12"/>
  <c r="K27" i="12"/>
  <c r="K42" i="12"/>
  <c r="K41" i="12"/>
  <c r="K44" i="12"/>
  <c r="K28" i="12"/>
  <c r="K24" i="12"/>
  <c r="K22" i="12"/>
  <c r="K35" i="12"/>
  <c r="K48" i="12" s="1"/>
  <c r="K36" i="12"/>
  <c r="K40" i="12"/>
  <c r="K38" i="12"/>
  <c r="K30" i="12"/>
  <c r="K23" i="12"/>
  <c r="K26" i="12"/>
  <c r="K29" i="12"/>
  <c r="K25" i="12"/>
  <c r="K37" i="12"/>
  <c r="K43" i="12"/>
  <c r="J31" i="12"/>
  <c r="J25" i="12"/>
  <c r="J39" i="12"/>
  <c r="J42" i="12"/>
  <c r="J28" i="12"/>
  <c r="J29" i="12"/>
  <c r="J35" i="12"/>
  <c r="J26" i="12"/>
  <c r="J36" i="12"/>
  <c r="J27" i="12"/>
  <c r="J22" i="12"/>
  <c r="J23" i="12"/>
  <c r="J24" i="12"/>
  <c r="J44" i="12"/>
  <c r="J57" i="12" s="1"/>
  <c r="J40" i="12"/>
  <c r="J53" i="12" s="1"/>
  <c r="J43" i="12"/>
  <c r="J30" i="12"/>
  <c r="J38" i="12"/>
  <c r="J51" i="12" s="1"/>
  <c r="J37" i="12"/>
  <c r="J50" i="12" s="1"/>
  <c r="J41" i="12"/>
  <c r="J54" i="12" s="1"/>
  <c r="I28" i="12"/>
  <c r="I41" i="12"/>
  <c r="I54" i="12" s="1"/>
  <c r="I22" i="12"/>
  <c r="I37" i="12"/>
  <c r="I40" i="12"/>
  <c r="I27" i="12"/>
  <c r="I43" i="12"/>
  <c r="I29" i="12"/>
  <c r="I38" i="12"/>
  <c r="I24" i="12"/>
  <c r="I26" i="12"/>
  <c r="I31" i="12"/>
  <c r="I44" i="12"/>
  <c r="I57" i="12" s="1"/>
  <c r="I42" i="12"/>
  <c r="I55" i="12" s="1"/>
  <c r="I23" i="12"/>
  <c r="I30" i="12"/>
  <c r="I36" i="12"/>
  <c r="I39" i="12"/>
  <c r="I52" i="12" s="1"/>
  <c r="I25" i="12"/>
  <c r="I35" i="12"/>
  <c r="I48" i="12" s="1"/>
  <c r="H36" i="12"/>
  <c r="H26" i="12"/>
  <c r="H41" i="12"/>
  <c r="H38" i="12"/>
  <c r="H39" i="12"/>
  <c r="H52" i="12" s="1"/>
  <c r="H25" i="12"/>
  <c r="H24" i="12"/>
  <c r="H42" i="12"/>
  <c r="H37" i="12"/>
  <c r="H50" i="12" s="1"/>
  <c r="H40" i="12"/>
  <c r="H35" i="12"/>
  <c r="H23" i="12"/>
  <c r="H30" i="12"/>
  <c r="H22" i="12"/>
  <c r="H27" i="12"/>
  <c r="H43" i="12"/>
  <c r="H56" i="12" s="1"/>
  <c r="H44" i="12"/>
  <c r="H31" i="12"/>
  <c r="H29" i="12"/>
  <c r="H28" i="12"/>
  <c r="G44" i="12"/>
  <c r="G29" i="12"/>
  <c r="G41" i="12"/>
  <c r="G23" i="12"/>
  <c r="G28" i="12"/>
  <c r="G24" i="12"/>
  <c r="G35" i="12"/>
  <c r="G37" i="12"/>
  <c r="G50" i="12" s="1"/>
  <c r="G26" i="12"/>
  <c r="G43" i="12"/>
  <c r="G22" i="12"/>
  <c r="G40" i="12"/>
  <c r="G42" i="12"/>
  <c r="G55" i="12" s="1"/>
  <c r="G38" i="12"/>
  <c r="G31" i="12"/>
  <c r="G36" i="12"/>
  <c r="G49" i="12" s="1"/>
  <c r="G27" i="12"/>
  <c r="G39" i="12"/>
  <c r="G52" i="12" s="1"/>
  <c r="G25" i="12"/>
  <c r="G30" i="12"/>
  <c r="F41" i="12"/>
  <c r="F40" i="12"/>
  <c r="F23" i="12"/>
  <c r="F26" i="12"/>
  <c r="F43" i="12"/>
  <c r="F30" i="12"/>
  <c r="F44" i="12"/>
  <c r="F39" i="12"/>
  <c r="F52" i="12" s="1"/>
  <c r="F29" i="12"/>
  <c r="F28" i="12"/>
  <c r="F25" i="12"/>
  <c r="F36" i="12"/>
  <c r="F49" i="12" s="1"/>
  <c r="F37" i="12"/>
  <c r="F22" i="12"/>
  <c r="F31" i="12"/>
  <c r="F35" i="12"/>
  <c r="F38" i="12"/>
  <c r="F51" i="12" s="1"/>
  <c r="F24" i="12"/>
  <c r="F42" i="12"/>
  <c r="F55" i="12" s="1"/>
  <c r="F27" i="12"/>
  <c r="E27" i="12"/>
  <c r="E43" i="12"/>
  <c r="E37" i="12"/>
  <c r="E42" i="12"/>
  <c r="E22" i="12"/>
  <c r="E28" i="12"/>
  <c r="E30" i="12"/>
  <c r="E39" i="12"/>
  <c r="E41" i="12"/>
  <c r="E23" i="12"/>
  <c r="E38" i="12"/>
  <c r="E36" i="12"/>
  <c r="E49" i="12" s="1"/>
  <c r="E44" i="12"/>
  <c r="E40" i="12"/>
  <c r="E53" i="12" s="1"/>
  <c r="E31" i="12"/>
  <c r="E25" i="12"/>
  <c r="E35" i="12"/>
  <c r="E48" i="12" s="1"/>
  <c r="E29" i="12"/>
  <c r="E26" i="12"/>
  <c r="E24" i="12"/>
  <c r="E50" i="12" s="1"/>
  <c r="D24" i="12"/>
  <c r="D44" i="12"/>
  <c r="D29" i="12"/>
  <c r="D42" i="12"/>
  <c r="D55" i="12" s="1"/>
  <c r="D43" i="12"/>
  <c r="D25" i="12"/>
  <c r="D28" i="12"/>
  <c r="D26" i="12"/>
  <c r="D41" i="12"/>
  <c r="D54" i="12" s="1"/>
  <c r="D27" i="12"/>
  <c r="D36" i="12"/>
  <c r="D39" i="12"/>
  <c r="D52" i="12" s="1"/>
  <c r="D23" i="12"/>
  <c r="D22" i="12"/>
  <c r="D38" i="12"/>
  <c r="D51" i="12" s="1"/>
  <c r="D40" i="12"/>
  <c r="D53" i="12" s="1"/>
  <c r="D37" i="12"/>
  <c r="D31" i="12"/>
  <c r="D35" i="12"/>
  <c r="D48" i="12" s="1"/>
  <c r="D30" i="12"/>
  <c r="C23" i="12"/>
  <c r="C29" i="12"/>
  <c r="C24" i="12"/>
  <c r="C28" i="12"/>
  <c r="C40" i="12"/>
  <c r="C36" i="12"/>
  <c r="C49" i="12" s="1"/>
  <c r="C42" i="12"/>
  <c r="C55" i="12" s="1"/>
  <c r="C38" i="12"/>
  <c r="C44" i="12"/>
  <c r="C25" i="12"/>
  <c r="C30" i="12"/>
  <c r="C41" i="12"/>
  <c r="C54" i="12" s="1"/>
  <c r="C26" i="12"/>
  <c r="C31" i="12"/>
  <c r="C22" i="12"/>
  <c r="C43" i="12"/>
  <c r="C39" i="12"/>
  <c r="C37" i="12"/>
  <c r="C35" i="12"/>
  <c r="C48" i="12" s="1"/>
  <c r="C27" i="12"/>
  <c r="R51" i="12"/>
  <c r="Q53" i="12"/>
  <c r="R53" i="12"/>
  <c r="Q57" i="12"/>
  <c r="Q54" i="12"/>
  <c r="Z558" i="1"/>
  <c r="Z559" i="1"/>
  <c r="Z548" i="1"/>
  <c r="Z556" i="1"/>
  <c r="Z555" i="1"/>
  <c r="Z547" i="1"/>
  <c r="Z549" i="1"/>
  <c r="Z551" i="1"/>
  <c r="AB551" i="1" s="1"/>
  <c r="Z552" i="1"/>
  <c r="Z550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P559" i="1"/>
  <c r="AQ559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Q558" i="1"/>
  <c r="AP558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P557" i="1"/>
  <c r="AQ557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P556" i="1"/>
  <c r="AQ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P554" i="1"/>
  <c r="AQ554" i="1"/>
  <c r="AA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P553" i="1"/>
  <c r="AQ553" i="1"/>
  <c r="AB553" i="1"/>
  <c r="AO553" i="1"/>
  <c r="AI552" i="1"/>
  <c r="AC546" i="1"/>
  <c r="AE546" i="1"/>
  <c r="AF546" i="1"/>
  <c r="AH546" i="1"/>
  <c r="AK546" i="1"/>
  <c r="AA546" i="1"/>
  <c r="AB546" i="1"/>
  <c r="AD546" i="1"/>
  <c r="AG546" i="1"/>
  <c r="AI546" i="1"/>
  <c r="AJ546" i="1"/>
  <c r="AL546" i="1"/>
  <c r="AM546" i="1"/>
  <c r="AN546" i="1"/>
  <c r="AO546" i="1"/>
  <c r="AP546" i="1"/>
  <c r="AQ546" i="1"/>
  <c r="Z4" i="1"/>
  <c r="B52" i="12"/>
  <c r="A52" i="12"/>
  <c r="A51" i="12"/>
  <c r="B39" i="12"/>
  <c r="A39" i="12"/>
  <c r="A38" i="12"/>
  <c r="A25" i="12"/>
  <c r="Z32" i="1"/>
  <c r="AL4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AJ318" i="1" s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N50" i="12" l="1"/>
  <c r="L57" i="12"/>
  <c r="K52" i="12"/>
  <c r="K55" i="12"/>
  <c r="G51" i="12"/>
  <c r="F48" i="12"/>
  <c r="D56" i="12"/>
  <c r="D49" i="12"/>
  <c r="M51" i="12"/>
  <c r="M49" i="12"/>
  <c r="I53" i="12"/>
  <c r="G53" i="12"/>
  <c r="O50" i="12"/>
  <c r="L49" i="12"/>
  <c r="E54" i="12"/>
  <c r="M52" i="12"/>
  <c r="H51" i="12"/>
  <c r="L54" i="12"/>
  <c r="K50" i="12"/>
  <c r="K56" i="12"/>
  <c r="C56" i="12"/>
  <c r="C52" i="12"/>
  <c r="C50" i="12"/>
  <c r="C53" i="12"/>
  <c r="N49" i="12"/>
  <c r="Q51" i="12"/>
  <c r="O48" i="12"/>
  <c r="F56" i="12"/>
  <c r="E57" i="12"/>
  <c r="L53" i="12"/>
  <c r="D57" i="12"/>
  <c r="R55" i="12"/>
  <c r="P53" i="12"/>
  <c r="I49" i="12"/>
  <c r="G57" i="12"/>
  <c r="K54" i="12"/>
  <c r="K57" i="12"/>
  <c r="K49" i="12"/>
  <c r="K53" i="12"/>
  <c r="K51" i="12"/>
  <c r="J52" i="12"/>
  <c r="J55" i="12"/>
  <c r="J48" i="12"/>
  <c r="J49" i="12"/>
  <c r="G54" i="12"/>
  <c r="E56" i="12"/>
  <c r="D50" i="12"/>
  <c r="C51" i="12"/>
  <c r="C57" i="12"/>
  <c r="P51" i="12"/>
  <c r="L50" i="12"/>
  <c r="J56" i="12"/>
  <c r="I56" i="12"/>
  <c r="H54" i="12"/>
  <c r="F53" i="12"/>
  <c r="F57" i="12"/>
  <c r="E55" i="12"/>
  <c r="E52" i="12"/>
  <c r="Q49" i="12"/>
  <c r="N57" i="12"/>
  <c r="M56" i="12"/>
  <c r="L55" i="12"/>
  <c r="H49" i="12"/>
  <c r="H55" i="12"/>
  <c r="H48" i="12"/>
  <c r="G48" i="12"/>
  <c r="F54" i="12"/>
  <c r="R48" i="12"/>
  <c r="R49" i="12"/>
  <c r="Q52" i="12"/>
  <c r="P50" i="12"/>
  <c r="O52" i="12"/>
  <c r="N48" i="12"/>
  <c r="I51" i="12"/>
  <c r="F50" i="12"/>
  <c r="E51" i="12"/>
  <c r="P49" i="12"/>
  <c r="P52" i="12"/>
  <c r="P54" i="12"/>
  <c r="I50" i="12"/>
  <c r="G56" i="12"/>
  <c r="R50" i="12"/>
  <c r="M57" i="12"/>
  <c r="H53" i="12"/>
  <c r="H57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B53" i="12"/>
  <c r="A53" i="12"/>
  <c r="B40" i="12"/>
  <c r="A40" i="12"/>
  <c r="A26" i="12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A318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A54" i="12" l="1"/>
  <c r="B54" i="12"/>
  <c r="B41" i="12"/>
  <c r="A41" i="12"/>
  <c r="A27" i="12"/>
  <c r="B55" i="12" l="1"/>
  <c r="A55" i="12"/>
  <c r="B42" i="12"/>
  <c r="A42" i="12"/>
  <c r="A28" i="12"/>
  <c r="B56" i="12" l="1"/>
  <c r="A56" i="12"/>
  <c r="B43" i="12"/>
  <c r="A43" i="12"/>
  <c r="A29" i="12"/>
  <c r="B57" i="12" l="1"/>
  <c r="A57" i="12"/>
  <c r="B44" i="12"/>
  <c r="A44" i="12"/>
  <c r="A30" i="12"/>
  <c r="A3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  <connection id="3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<sst xmlns="http://schemas.openxmlformats.org/spreadsheetml/2006/main" count="9203" uniqueCount="2763">
  <si>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</si>
  <si>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</si>
  <si>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</si>
  <si>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</si>
  <si>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</si>
  <si>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</si>
  <si>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</si>
  <si>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</si>
  <si>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</si>
  <si>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</si>
  <si>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</si>
  <si>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</si>
  <si>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</si>
  <si>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</si>
  <si>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</si>
  <si>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</si>
  <si>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</si>
  <si>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</si>
  <si>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</si>
  <si>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</si>
  <si>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</si>
  <si>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</si>
  <si>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</si>
  <si>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</si>
  <si>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</si>
  <si>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</si>
  <si>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</si>
  <si>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</si>
  <si>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</si>
  <si>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</si>
  <si>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</si>
  <si>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</si>
  <si>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</si>
  <si>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</si>
  <si>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</si>
  <si>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</si>
  <si>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</si>
  <si>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</si>
  <si>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</si>
  <si>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</si>
  <si>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</si>
  <si>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</si>
  <si>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</si>
  <si>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</si>
  <si>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</si>
  <si>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</si>
  <si>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</si>
  <si>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</si>
  <si>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</si>
  <si>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</si>
  <si>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</si>
  <si>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</si>
  <si>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</si>
  <si>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</si>
  <si>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</si>
  <si>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</si>
  <si>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</si>
  <si>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</si>
  <si>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</si>
  <si>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</si>
  <si>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</si>
  <si>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</si>
  <si>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</si>
  <si>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</si>
  <si>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</si>
  <si>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</si>
  <si>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</si>
  <si>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</si>
  <si>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</si>
  <si>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</si>
  <si>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</si>
  <si>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</si>
  <si>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</si>
  <si>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</si>
  <si>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</si>
  <si>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</si>
  <si>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</si>
  <si>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</si>
  <si>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</si>
  <si>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</si>
  <si>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</si>
  <si>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</si>
  <si>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</si>
  <si>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</si>
  <si>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</si>
  <si>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</si>
  <si>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</si>
  <si>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</si>
  <si>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</si>
  <si>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</si>
  <si>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</si>
  <si>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</si>
  <si>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</si>
  <si>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</si>
  <si>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</si>
  <si>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</si>
  <si>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</si>
  <si>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</si>
  <si>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</si>
  <si>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</si>
  <si>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</si>
  <si>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</si>
  <si>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</si>
  <si>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</si>
  <si>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</si>
  <si>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</si>
  <si>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</si>
  <si>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</si>
  <si>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</si>
  <si>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</si>
  <si>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</si>
  <si>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</si>
  <si>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</si>
  <si>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</si>
  <si>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</si>
  <si>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</si>
  <si>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</si>
  <si>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</si>
  <si>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</si>
  <si>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</si>
  <si>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</si>
  <si>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</si>
  <si>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</si>
  <si>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</si>
  <si>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</si>
  <si>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</si>
  <si>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</si>
  <si>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</si>
  <si>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</si>
  <si>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</si>
  <si>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</si>
  <si>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</si>
  <si>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</si>
  <si>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</si>
  <si>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</si>
  <si>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</si>
  <si>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</si>
  <si>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</si>
  <si>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</si>
  <si>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</si>
  <si>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</si>
  <si>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</si>
  <si>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</si>
  <si>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</si>
  <si>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</si>
  <si>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</si>
  <si>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</si>
  <si>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</si>
  <si>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</si>
  <si>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</si>
  <si>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</si>
  <si>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</si>
  <si>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</si>
  <si>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</si>
  <si>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</si>
  <si>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</si>
  <si>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</si>
  <si>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</si>
  <si>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</si>
  <si>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</si>
  <si>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</si>
  <si>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</si>
  <si>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</si>
  <si>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</si>
  <si>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</si>
  <si>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</si>
  <si>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</si>
  <si>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</si>
  <si>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</si>
  <si>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</si>
  <si>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</si>
  <si>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</si>
  <si>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</si>
  <si>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</si>
  <si>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</si>
  <si>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</si>
  <si>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</si>
  <si>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</si>
  <si>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</si>
  <si>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</si>
  <si>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</si>
  <si>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</si>
  <si>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</si>
  <si>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</si>
  <si>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</si>
  <si>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</si>
  <si>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</si>
  <si>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</si>
  <si>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</si>
  <si>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</si>
  <si>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</si>
  <si>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</si>
  <si>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</si>
  <si>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</si>
  <si>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</si>
  <si>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</si>
  <si>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</si>
  <si>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</si>
  <si>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</si>
  <si>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</si>
  <si>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</si>
  <si>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</si>
  <si>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</si>
  <si>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</si>
  <si>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</si>
  <si>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</si>
  <si>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</si>
  <si>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</si>
  <si>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</si>
  <si>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</si>
  <si>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</si>
  <si>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</si>
  <si>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</si>
  <si>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</si>
  <si>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</si>
  <si>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</si>
  <si>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</si>
  <si>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</si>
  <si>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</si>
  <si>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</si>
  <si>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</si>
  <si>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</si>
  <si>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</si>
  <si>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</si>
  <si>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</si>
  <si>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</si>
  <si>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</si>
  <si>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</si>
  <si>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</si>
  <si>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</si>
  <si>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</si>
  <si>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</si>
  <si>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</si>
  <si>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</si>
  <si>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</si>
  <si>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</si>
  <si>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</si>
  <si>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</si>
  <si>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</si>
  <si>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</si>
  <si>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</si>
  <si>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</si>
  <si>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</si>
  <si>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</si>
  <si>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</si>
  <si>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</si>
  <si>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</si>
  <si>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</si>
  <si>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</si>
  <si>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</si>
  <si>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</si>
  <si>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</si>
  <si>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</si>
  <si>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</si>
  <si>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</si>
  <si>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</si>
  <si>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</si>
  <si>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</si>
  <si>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</si>
  <si>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</si>
  <si>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</si>
  <si>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</si>
  <si>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</si>
  <si>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</si>
  <si>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</si>
  <si>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</si>
  <si>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</si>
  <si>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</si>
  <si>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</si>
  <si>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</si>
  <si>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</si>
  <si>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</si>
  <si>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</si>
  <si>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</si>
  <si>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</si>
  <si>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</si>
  <si>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</si>
  <si>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</si>
  <si>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</si>
  <si>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</si>
  <si>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</si>
  <si>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</si>
  <si>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</si>
  <si>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</si>
  <si>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</si>
  <si>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</si>
  <si>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</si>
  <si>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</si>
  <si>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</si>
  <si>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</si>
  <si>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</si>
  <si>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</si>
  <si>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</si>
  <si>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</si>
  <si>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</si>
  <si>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</si>
  <si>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</si>
  <si>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</si>
  <si>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</si>
  <si>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</si>
  <si>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</si>
  <si>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</si>
  <si>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</si>
  <si>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</si>
  <si>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</si>
  <si>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</si>
  <si>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</si>
  <si>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</si>
  <si>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</si>
  <si>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</si>
  <si>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</si>
  <si>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</si>
  <si>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</si>
  <si>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</si>
  <si>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</si>
  <si>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</si>
  <si>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</si>
  <si>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</si>
  <si>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</si>
  <si>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</si>
  <si>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</si>
  <si>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</si>
  <si>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</si>
  <si>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</si>
  <si>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</si>
  <si>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</si>
  <si>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</si>
  <si>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</si>
  <si>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</si>
  <si>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</si>
  <si>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</si>
  <si>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</si>
  <si>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</si>
  <si>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</si>
  <si>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</si>
  <si>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</si>
  <si>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</si>
  <si>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</si>
  <si>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</si>
  <si>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</si>
  <si>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</si>
  <si>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</si>
  <si>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</si>
  <si>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</si>
  <si>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</si>
  <si>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</si>
  <si>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</si>
  <si>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</si>
  <si>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</si>
  <si>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</si>
  <si>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</si>
  <si>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</si>
  <si>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</si>
  <si>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</si>
  <si>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</si>
  <si>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</si>
  <si>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</si>
  <si>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</si>
  <si>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</si>
  <si>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</si>
  <si>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</si>
  <si>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</si>
  <si>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</si>
  <si>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</si>
  <si>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</si>
  <si>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</si>
  <si>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</si>
  <si>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</si>
  <si>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</si>
  <si>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</si>
  <si>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</si>
  <si>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</si>
  <si>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</si>
  <si>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</si>
  <si>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</si>
  <si>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</si>
  <si>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</si>
  <si>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</si>
  <si>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</si>
  <si>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</si>
  <si>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</si>
  <si>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</si>
  <si>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</si>
  <si>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</si>
  <si>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</si>
  <si>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</si>
  <si>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</si>
  <si>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</si>
  <si>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</si>
  <si>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</si>
  <si>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</si>
  <si>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</si>
  <si>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</si>
  <si>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</si>
  <si>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</si>
  <si>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</si>
  <si>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</si>
  <si>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</si>
  <si>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</si>
  <si>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</si>
  <si>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</si>
  <si>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</si>
  <si>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</si>
  <si>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</si>
  <si>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</si>
  <si>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</si>
  <si>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</si>
  <si>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</si>
  <si>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</si>
  <si>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</si>
  <si>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</si>
  <si>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</si>
  <si>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</si>
  <si>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</si>
  <si>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</si>
  <si>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</si>
  <si>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</si>
  <si>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</si>
  <si>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</si>
  <si>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</si>
  <si>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</si>
  <si>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</si>
  <si>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</si>
  <si>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</si>
  <si>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</si>
  <si>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</si>
  <si>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</si>
  <si>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</si>
  <si>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</si>
  <si>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</si>
  <si>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</si>
  <si>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</si>
  <si>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</si>
  <si>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</si>
  <si>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</si>
  <si>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</si>
  <si>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</si>
  <si>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</si>
  <si>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</si>
  <si>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</si>
  <si>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</si>
  <si>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</si>
  <si>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</si>
  <si>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</si>
  <si>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</si>
  <si>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</si>
  <si>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</si>
  <si>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</si>
  <si>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</si>
  <si>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</si>
  <si>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</si>
  <si>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</si>
  <si>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</si>
  <si>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</si>
  <si>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</si>
  <si>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</si>
  <si>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</si>
  <si>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</si>
  <si>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</si>
  <si>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</si>
  <si>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</si>
  <si>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</si>
  <si>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</si>
  <si>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</si>
  <si>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</si>
  <si>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</si>
  <si>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</si>
  <si>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</si>
  <si>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</si>
  <si>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</si>
  <si>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</si>
  <si>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</si>
  <si>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</si>
  <si>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</si>
  <si>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</si>
  <si>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</si>
  <si>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</si>
  <si>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</si>
  <si>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</si>
  <si>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</si>
  <si>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</si>
  <si>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</si>
  <si>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</si>
  <si>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</si>
  <si>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</si>
  <si>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</si>
  <si>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</si>
  <si>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</si>
  <si>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</si>
  <si>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</si>
  <si>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</si>
  <si>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</si>
  <si>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</si>
  <si>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</si>
  <si>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</si>
  <si>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</si>
  <si>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</si>
  <si>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</si>
  <si>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</si>
  <si>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</si>
  <si>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</si>
  <si>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</si>
  <si>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</si>
  <si>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</si>
  <si>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</si>
  <si>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</si>
  <si>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</si>
  <si>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</si>
  <si>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</si>
  <si>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</si>
  <si>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</si>
  <si>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</si>
  <si>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</si>
  <si>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</si>
  <si>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</si>
  <si>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</si>
  <si>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</si>
  <si>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</si>
  <si>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</si>
  <si>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</si>
  <si>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</si>
  <si>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</si>
  <si>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</si>
  <si>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</si>
  <si>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</si>
  <si>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</si>
  <si>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</si>
  <si>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</si>
  <si>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</si>
  <si>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</si>
  <si>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</si>
  <si>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</si>
  <si>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</si>
  <si>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</si>
  <si>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</si>
  <si>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</si>
  <si>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</si>
  <si>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</si>
  <si>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</si>
  <si>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</si>
  <si>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</si>
  <si>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</si>
  <si>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</si>
  <si>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</si>
  <si>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</si>
  <si>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</si>
  <si>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</si>
  <si>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</si>
  <si>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</si>
  <si>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</si>
  <si>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</si>
  <si>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</si>
  <si>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</si>
  <si>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</si>
  <si>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</si>
  <si>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</si>
  <si>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</si>
  <si>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</si>
  <si>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</si>
  <si>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</si>
  <si>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</si>
  <si>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</si>
  <si>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</si>
  <si>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</si>
  <si>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</si>
  <si>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</si>
  <si>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</si>
  <si>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</si>
  <si>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</si>
  <si>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</si>
  <si>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</si>
  <si>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</si>
  <si>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</si>
  <si>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</si>
  <si>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</si>
  <si>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</si>
  <si>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</si>
  <si>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</si>
  <si>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</si>
  <si>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</si>
  <si>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</si>
  <si>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</si>
  <si>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</si>
  <si>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</si>
  <si>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</si>
  <si>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</si>
  <si>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</si>
  <si>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</si>
  <si>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</si>
  <si>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</si>
  <si>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</si>
  <si>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</si>
  <si>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</si>
  <si>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</si>
  <si>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</si>
  <si>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</si>
  <si>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</si>
  <si>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</si>
  <si>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</si>
  <si>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</si>
  <si>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</si>
  <si>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</si>
  <si>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</si>
  <si>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</si>
  <si>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</si>
  <si>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</si>
  <si>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</si>
  <si>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</si>
  <si>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</si>
  <si>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</si>
  <si>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</si>
  <si>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</si>
  <si>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</si>
  <si>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</si>
  <si>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</si>
  <si>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</si>
  <si>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</si>
  <si>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</si>
  <si>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</si>
  <si>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</si>
  <si>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</si>
  <si>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</si>
  <si>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</si>
  <si>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</si>
  <si>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</si>
  <si>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</si>
  <si>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</si>
  <si>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</si>
  <si>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</si>
  <si>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</si>
  <si>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</si>
  <si>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</si>
  <si>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</si>
  <si>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</si>
  <si>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</si>
  <si>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</si>
  <si>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</si>
  <si>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</si>
  <si>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</si>
  <si>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</si>
  <si>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</si>
  <si>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</si>
  <si>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</si>
  <si>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</si>
  <si>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</si>
  <si>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</si>
  <si>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</si>
  <si>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</si>
  <si>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</si>
  <si>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</si>
  <si>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</si>
  <si>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</si>
  <si>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</si>
  <si>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</si>
  <si>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</si>
  <si>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</si>
  <si>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</si>
  <si>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</si>
  <si>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</si>
  <si>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</si>
  <si>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</si>
  <si>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</si>
  <si>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</si>
  <si>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</si>
  <si>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</si>
  <si>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</si>
  <si>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</si>
  <si>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</si>
  <si>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</si>
  <si>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</si>
  <si>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</si>
  <si>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</si>
  <si>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</si>
  <si>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</si>
  <si>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</si>
  <si>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</si>
  <si>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</si>
  <si>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</si>
  <si>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</si>
  <si>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</si>
  <si>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</si>
  <si>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</si>
  <si>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</si>
  <si>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</si>
  <si>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</si>
  <si>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</si>
  <si>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</si>
  <si>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</si>
  <si>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</si>
  <si>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</si>
  <si>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</si>
  <si>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</si>
  <si>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</si>
  <si>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</si>
  <si>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</si>
  <si>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</si>
  <si>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</si>
  <si>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</si>
  <si>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</si>
  <si>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</si>
  <si>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</si>
  <si>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</si>
  <si>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</si>
  <si>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</si>
  <si>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</si>
  <si>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</si>
  <si>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</si>
  <si>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</si>
  <si>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</si>
  <si>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</si>
  <si>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</si>
  <si>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</si>
  <si>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</si>
  <si>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</si>
  <si>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</si>
  <si>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</si>
  <si>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</si>
  <si>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</si>
  <si>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</si>
  <si>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</si>
  <si>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</si>
  <si>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</si>
  <si>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</si>
  <si>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</si>
  <si>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</si>
  <si>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</si>
  <si>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</si>
  <si>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</si>
  <si>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</si>
  <si>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</si>
  <si>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</si>
  <si>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</si>
  <si>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</si>
  <si>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</si>
  <si>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</si>
  <si>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</si>
  <si>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</si>
  <si>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</si>
  <si>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</si>
  <si>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</si>
  <si>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</si>
  <si>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</si>
  <si>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</si>
  <si>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</si>
  <si>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</si>
  <si>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</si>
  <si>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</si>
  <si>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</si>
  <si>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</si>
  <si>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</si>
  <si>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</si>
  <si>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</si>
  <si>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</si>
  <si>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</si>
  <si>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</si>
  <si>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</si>
  <si>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</si>
  <si>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</si>
  <si>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</si>
  <si>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</si>
  <si>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</si>
  <si>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</si>
  <si>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</si>
  <si>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</si>
  <si>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</si>
  <si>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</si>
  <si>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</si>
  <si>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</si>
  <si>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</si>
  <si>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</si>
  <si>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</si>
  <si>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</si>
  <si>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</si>
  <si>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</si>
  <si>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</si>
  <si>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</si>
  <si>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</si>
  <si>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</si>
  <si>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</si>
  <si>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</si>
  <si>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</si>
  <si>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</si>
  <si>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</si>
  <si>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</si>
  <si>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</si>
  <si>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</si>
  <si>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</si>
  <si>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</si>
  <si>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</si>
  <si>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</si>
  <si>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</si>
  <si>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</si>
  <si>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</si>
  <si>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</si>
  <si>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</si>
  <si>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</si>
  <si>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</si>
  <si>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</si>
  <si>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</si>
  <si>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</si>
  <si>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</si>
  <si>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</si>
  <si>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</si>
  <si>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</si>
  <si>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</si>
  <si>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</si>
  <si>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</si>
  <si>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</si>
  <si>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</si>
  <si>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</si>
  <si>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</si>
  <si>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</si>
  <si>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</si>
  <si>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</si>
  <si>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</si>
  <si>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</si>
  <si>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</si>
  <si>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</si>
  <si>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</si>
  <si>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</si>
  <si>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</si>
  <si>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</si>
  <si>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</si>
  <si>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</si>
  <si>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</si>
  <si>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</si>
  <si>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</si>
  <si>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</si>
  <si>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</si>
  <si>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</si>
  <si>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</si>
  <si>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</si>
  <si>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</si>
  <si>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</si>
  <si>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</si>
  <si>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</si>
  <si>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</si>
  <si>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</si>
  <si>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</si>
  <si>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</si>
  <si>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</si>
  <si>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</si>
  <si>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</si>
  <si>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</si>
  <si>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</si>
  <si>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</si>
  <si>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</si>
  <si>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</si>
  <si>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</si>
  <si>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</si>
  <si>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</si>
  <si>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</si>
  <si>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</si>
  <si>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</si>
  <si>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</si>
  <si>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</si>
  <si>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</si>
  <si>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</si>
  <si>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</si>
  <si>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</si>
  <si>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</si>
  <si>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</si>
  <si>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</si>
  <si>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</si>
  <si>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</si>
  <si>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</si>
  <si>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</si>
  <si>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</si>
  <si>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</si>
  <si>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</si>
  <si>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</si>
  <si>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</si>
  <si>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</si>
  <si>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</si>
  <si>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</si>
  <si>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</si>
  <si>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</si>
  <si>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</si>
  <si>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</si>
  <si>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</si>
  <si>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</si>
  <si>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</si>
  <si>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</si>
  <si>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</si>
  <si>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</si>
  <si>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</si>
  <si>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</si>
  <si>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</si>
  <si>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</si>
  <si>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</si>
  <si>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</si>
  <si>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</si>
  <si>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</si>
  <si>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</si>
  <si>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</si>
  <si>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</si>
  <si>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</si>
  <si>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</si>
  <si>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</si>
  <si>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</si>
  <si>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</si>
  <si>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</si>
  <si>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</si>
  <si>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</si>
  <si>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</si>
  <si>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</si>
  <si>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</si>
  <si>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</si>
  <si>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</si>
  <si>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</si>
  <si>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</si>
  <si>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</si>
  <si>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</si>
  <si>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</si>
  <si>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</si>
  <si>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</si>
  <si>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</si>
  <si>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</si>
  <si>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</si>
  <si>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</si>
  <si>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</si>
  <si>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</si>
  <si>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</si>
  <si>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</si>
  <si>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</si>
  <si>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</si>
  <si>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</si>
  <si>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</si>
  <si>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</si>
  <si>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</si>
  <si>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</si>
  <si>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</si>
  <si>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</si>
  <si>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</si>
  <si>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</si>
  <si>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</si>
  <si>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</si>
  <si>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</si>
  <si>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</si>
  <si>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</si>
  <si>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</si>
  <si>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</si>
  <si>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</si>
  <si>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</si>
  <si>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</si>
  <si>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</si>
  <si>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</si>
  <si>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</si>
  <si>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</si>
  <si>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</si>
  <si>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</si>
  <si>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</si>
  <si>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</si>
  <si>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</si>
  <si>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</si>
  <si>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</si>
  <si>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</si>
  <si>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</si>
  <si>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</si>
  <si>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</si>
  <si>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</si>
  <si>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</si>
  <si>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</si>
  <si>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</si>
  <si>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</si>
  <si>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</si>
  <si>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</si>
  <si>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</si>
  <si>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</si>
  <si>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</si>
  <si>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</si>
  <si>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</si>
  <si>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</si>
  <si>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</si>
  <si>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</si>
  <si>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</si>
  <si>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</si>
  <si>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</si>
  <si>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</si>
  <si>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</si>
  <si>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</si>
  <si>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</si>
  <si>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</si>
  <si>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</si>
  <si>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</si>
  <si>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</si>
  <si>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</si>
  <si>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</si>
  <si>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</si>
  <si>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</si>
  <si>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</si>
  <si>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</si>
  <si>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</si>
  <si>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</si>
  <si>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</si>
  <si>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</si>
  <si>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</si>
  <si>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</si>
  <si>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</si>
  <si>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</si>
  <si>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</si>
  <si>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</si>
  <si>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</si>
  <si>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</si>
  <si>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</si>
  <si>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</si>
  <si>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</si>
  <si>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</si>
  <si>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</si>
  <si>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</si>
  <si>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</si>
  <si>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</si>
  <si>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</si>
  <si>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</si>
  <si>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</si>
  <si>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</si>
  <si>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</si>
  <si>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</si>
  <si>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</si>
  <si>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</si>
  <si>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</si>
  <si>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</si>
  <si>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</si>
  <si>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</si>
  <si>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</si>
  <si>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</si>
  <si>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</si>
  <si>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</si>
  <si>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</si>
  <si>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</si>
  <si>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</si>
  <si>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</si>
  <si>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</si>
  <si>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</si>
  <si>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</si>
  <si>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</si>
  <si>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</si>
  <si>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</si>
  <si>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</si>
  <si>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</si>
  <si>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</si>
  <si>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</si>
  <si>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</si>
  <si>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</si>
  <si>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</si>
  <si>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</si>
  <si>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</si>
  <si>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</si>
  <si>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</si>
  <si>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</si>
  <si>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</si>
  <si>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</si>
  <si>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</si>
  <si>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</si>
  <si>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</si>
  <si>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</si>
  <si>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</si>
  <si>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</si>
  <si>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</si>
  <si>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</si>
  <si>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</si>
  <si>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</si>
  <si>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</si>
  <si>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</si>
  <si>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</si>
  <si>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</si>
  <si>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</si>
  <si>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</si>
  <si>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</si>
  <si>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</si>
  <si>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</si>
  <si>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</si>
  <si>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</si>
  <si>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</si>
  <si>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</si>
  <si>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</si>
  <si>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</si>
  <si>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</si>
  <si>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</si>
  <si>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</si>
  <si>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</si>
  <si>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</si>
  <si>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</si>
  <si>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</si>
  <si>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</si>
  <si>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</si>
  <si>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</si>
  <si>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</si>
  <si>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</si>
  <si>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</si>
  <si>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</si>
  <si>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</si>
  <si>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</si>
  <si>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</si>
  <si>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</si>
  <si>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</si>
  <si>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</si>
  <si>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</si>
  <si>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</si>
  <si>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</si>
  <si>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</si>
  <si>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</si>
  <si>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</si>
  <si>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</si>
  <si>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</si>
  <si>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</si>
  <si>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</si>
  <si>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</si>
  <si>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</si>
  <si>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</si>
  <si>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</si>
  <si>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</si>
  <si>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</si>
  <si>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</si>
  <si>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</si>
  <si>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</si>
  <si>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</si>
  <si>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</si>
  <si>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</si>
  <si>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</si>
  <si>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</si>
  <si>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</si>
  <si>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</si>
  <si>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</si>
  <si>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</si>
  <si>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</si>
  <si>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</si>
  <si>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</si>
  <si>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</si>
  <si>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</si>
  <si>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</si>
  <si>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</si>
  <si>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</si>
  <si>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</si>
  <si>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</si>
  <si>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</si>
  <si>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</si>
  <si>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</si>
  <si>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</si>
  <si>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</si>
  <si>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</si>
  <si>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</si>
  <si>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</si>
  <si>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</si>
  <si>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</si>
  <si>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</si>
  <si>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</si>
  <si>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</si>
  <si>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</si>
  <si>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</si>
  <si>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</si>
  <si>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</si>
  <si>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</si>
  <si>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</si>
  <si>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</si>
  <si>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</si>
  <si>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</si>
  <si>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</si>
  <si>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</si>
  <si>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</si>
  <si>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</si>
  <si>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</si>
  <si>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</si>
  <si>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</si>
  <si>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</si>
  <si>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</si>
  <si>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</si>
  <si>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</si>
  <si>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</si>
  <si>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</si>
  <si>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</si>
  <si>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</si>
  <si>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</si>
  <si>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</si>
  <si>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</si>
  <si>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</si>
  <si>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</si>
  <si>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</si>
  <si>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</si>
  <si>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</si>
  <si>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</si>
  <si>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</si>
  <si>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</si>
  <si>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</si>
  <si>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</si>
  <si>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</si>
  <si>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</si>
  <si>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</si>
  <si>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</si>
  <si>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</si>
  <si>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</si>
  <si>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</si>
  <si>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</si>
  <si>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</si>
  <si>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</si>
  <si>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</si>
  <si>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</si>
  <si>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</si>
  <si>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</si>
  <si>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</si>
  <si>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</si>
  <si>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</si>
  <si>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</si>
  <si>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</si>
  <si>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</si>
  <si>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</si>
  <si>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</si>
  <si>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</si>
  <si>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</si>
  <si>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</si>
  <si>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</si>
  <si>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</si>
  <si>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</si>
  <si>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</si>
  <si>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</si>
  <si>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</si>
  <si>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</si>
  <si>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</si>
  <si>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</si>
  <si>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</si>
  <si>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</si>
  <si>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</si>
  <si>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</si>
  <si>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</si>
  <si>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</si>
  <si>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</si>
  <si>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</si>
  <si>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</si>
  <si>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</si>
  <si>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</si>
  <si>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</si>
  <si>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</si>
  <si>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</si>
  <si>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</si>
  <si>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</si>
  <si>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</si>
  <si>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</si>
  <si>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</si>
  <si>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</si>
  <si>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</si>
  <si>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</si>
  <si>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</si>
  <si>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</si>
  <si>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</si>
  <si>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</si>
  <si>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</si>
  <si>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</si>
  <si>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</si>
  <si>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</si>
  <si>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</si>
  <si>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</si>
  <si>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</si>
  <si>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</si>
  <si>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</si>
  <si>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</si>
  <si>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</si>
  <si>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</si>
  <si>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</si>
  <si>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</si>
  <si>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</si>
  <si>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</si>
  <si>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</si>
  <si>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</si>
  <si>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</si>
  <si>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</si>
  <si>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</si>
  <si>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</si>
  <si>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</si>
  <si>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</si>
  <si>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</si>
  <si>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</si>
  <si>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</si>
  <si>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</si>
  <si>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</si>
  <si>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</si>
  <si>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</si>
  <si>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</si>
  <si>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</si>
  <si>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</si>
  <si>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</si>
  <si>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</si>
  <si>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</si>
  <si>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</si>
  <si>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</si>
  <si>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</si>
  <si>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</si>
  <si>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</si>
  <si>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</si>
  <si>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</si>
  <si>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</si>
  <si>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</si>
  <si>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</si>
  <si>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</si>
  <si>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</si>
  <si>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</si>
  <si>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</si>
  <si>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</si>
  <si>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</si>
  <si>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</si>
  <si>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</si>
  <si>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</si>
  <si>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</si>
  <si>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</si>
  <si>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</si>
  <si>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</si>
  <si>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</si>
  <si>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</si>
  <si>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</si>
  <si>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</si>
  <si>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</si>
  <si>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</si>
  <si>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</si>
  <si>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</si>
  <si>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</si>
  <si>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</si>
  <si>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</si>
  <si>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</si>
  <si>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</si>
  <si>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</si>
  <si>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</si>
  <si>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</si>
  <si>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</si>
  <si>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</si>
  <si>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</si>
  <si>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</si>
  <si>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</si>
  <si>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</si>
  <si>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</si>
  <si>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</si>
  <si>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</si>
  <si>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</si>
  <si>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</si>
  <si>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</si>
  <si>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</si>
  <si>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</si>
  <si>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</si>
  <si>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</si>
  <si>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</si>
  <si>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</si>
  <si>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</si>
  <si>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</si>
  <si>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</si>
  <si>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</si>
  <si>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</si>
  <si>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</si>
  <si>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</si>
  <si>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</si>
  <si>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</si>
  <si>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</si>
  <si>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</si>
  <si>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</si>
  <si>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</si>
  <si>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</si>
  <si>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</si>
  <si>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</si>
  <si>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</si>
  <si>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</si>
  <si>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</si>
  <si>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</si>
  <si>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</si>
  <si>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</si>
  <si>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</si>
  <si>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</si>
  <si>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</si>
  <si>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</si>
  <si>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</si>
  <si>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</si>
  <si>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</si>
  <si>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</si>
  <si>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</si>
  <si>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</si>
  <si>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</si>
  <si>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</si>
  <si>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</si>
  <si>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</si>
  <si>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</si>
  <si>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</si>
  <si>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</si>
  <si>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</si>
  <si>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</si>
  <si>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</si>
  <si>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</si>
  <si>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</si>
  <si>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</si>
  <si>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</si>
  <si>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</si>
  <si>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</si>
  <si>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</si>
  <si>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</si>
  <si>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</si>
  <si>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</si>
  <si>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</si>
  <si>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</si>
  <si>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</si>
  <si>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</si>
  <si>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</si>
  <si>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</si>
  <si>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</si>
  <si>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</si>
  <si>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</si>
  <si>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</si>
  <si>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</si>
  <si>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</si>
  <si>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</si>
  <si>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</si>
  <si>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</si>
  <si>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</si>
  <si>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</si>
  <si>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</si>
  <si>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</si>
  <si>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</si>
  <si>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</si>
  <si>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</si>
  <si>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</si>
  <si>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</si>
  <si>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</si>
  <si>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</si>
  <si>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</si>
  <si>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</si>
  <si>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</si>
  <si>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</si>
  <si>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</si>
  <si>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</si>
  <si>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</si>
  <si>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</si>
  <si>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</si>
  <si>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</si>
  <si>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</si>
  <si>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</si>
  <si>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</si>
  <si>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</si>
  <si>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</si>
  <si>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</si>
  <si>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</si>
  <si>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</si>
  <si>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</si>
  <si>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</si>
  <si>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</si>
  <si>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</si>
  <si>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</si>
  <si>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</si>
  <si>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</si>
  <si>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</si>
  <si>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</si>
  <si>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</si>
  <si>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</si>
  <si>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</si>
  <si>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</si>
  <si>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</si>
  <si>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</si>
  <si>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</si>
  <si>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</si>
  <si>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</si>
  <si>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</si>
  <si>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</si>
  <si>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</si>
  <si>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</si>
  <si>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</si>
  <si>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</si>
  <si>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</si>
  <si>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</si>
  <si>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</si>
  <si>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</si>
  <si>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</si>
  <si>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</si>
  <si>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</si>
  <si>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</si>
  <si>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</si>
  <si>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</si>
  <si>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</si>
  <si>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</si>
  <si>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</si>
  <si>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</si>
  <si>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</si>
  <si>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</si>
  <si>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</si>
  <si>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</si>
  <si>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</si>
  <si>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</si>
  <si>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</si>
  <si>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</si>
  <si>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</si>
  <si>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</si>
  <si>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</si>
  <si>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</si>
  <si>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</si>
  <si>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</si>
  <si>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</si>
  <si>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</si>
  <si>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</si>
  <si>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</si>
  <si>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</si>
  <si>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</si>
  <si>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</si>
  <si>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</si>
  <si>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</si>
  <si>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</si>
  <si>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</si>
  <si>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</si>
  <si>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</si>
  <si>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</si>
  <si>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</si>
  <si>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</si>
  <si>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</si>
  <si>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</si>
  <si>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</si>
  <si>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</si>
  <si>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</si>
  <si>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</si>
  <si>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</si>
  <si>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</si>
  <si>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</si>
  <si>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</si>
  <si>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</si>
  <si>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</si>
  <si>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</si>
  <si>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</si>
  <si>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</si>
  <si>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</si>
  <si>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</si>
  <si>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</si>
  <si>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</si>
  <si>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</si>
  <si>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</si>
  <si>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</si>
  <si>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</si>
  <si>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</si>
  <si>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</si>
  <si>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</si>
  <si>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</si>
  <si>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</si>
  <si>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</si>
  <si>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</si>
  <si>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</si>
  <si>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</si>
  <si>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</si>
  <si>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</si>
  <si>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</si>
  <si>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</si>
  <si>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</si>
  <si>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</si>
  <si>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</si>
  <si>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</si>
  <si>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</si>
  <si>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</si>
  <si>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</si>
  <si>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</si>
  <si>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</si>
  <si>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</si>
  <si>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</si>
  <si>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</si>
  <si>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</si>
  <si>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</si>
  <si>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</si>
  <si>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</si>
  <si>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</si>
  <si>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</si>
  <si>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</si>
  <si>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</si>
  <si>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</si>
  <si>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</si>
  <si>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</si>
  <si>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</si>
  <si>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</si>
  <si>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</si>
  <si>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</si>
  <si>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</si>
  <si>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</si>
  <si>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</si>
  <si>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</si>
  <si>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</si>
  <si>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</si>
  <si>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</si>
  <si>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</si>
  <si>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</si>
  <si>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</si>
  <si>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</si>
  <si>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</si>
  <si>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</si>
  <si>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</si>
  <si>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</si>
  <si>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</si>
  <si>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</si>
  <si>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</si>
  <si>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</si>
  <si>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</si>
  <si>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</si>
  <si>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</si>
  <si>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</si>
  <si>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</si>
  <si>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</si>
  <si>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</si>
  <si>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</si>
  <si>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</si>
  <si>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</si>
  <si>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</si>
  <si>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</si>
  <si>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</si>
  <si>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</si>
  <si>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</si>
  <si>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</si>
  <si>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</si>
  <si>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</si>
  <si>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</si>
  <si>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</si>
  <si>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</si>
  <si>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</si>
  <si>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</si>
  <si>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</si>
  <si>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</si>
  <si>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</si>
  <si>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</si>
  <si>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</si>
  <si>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</si>
  <si>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</si>
  <si>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</si>
  <si>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</si>
  <si>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</si>
  <si>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</si>
  <si>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</si>
  <si>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</si>
  <si>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</si>
  <si>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</si>
  <si>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</si>
  <si>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</si>
  <si>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</si>
  <si>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</si>
  <si>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</si>
  <si>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</si>
  <si>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</si>
  <si>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</si>
  <si>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</si>
  <si>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</si>
  <si>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</si>
  <si>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</si>
  <si>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</si>
  <si>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</si>
  <si>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</si>
  <si>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</si>
  <si>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</si>
  <si>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</si>
  <si>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</si>
  <si>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</si>
  <si>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</si>
  <si>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</si>
  <si>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</si>
  <si>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</si>
  <si>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</si>
  <si>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</si>
  <si>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</si>
  <si>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</si>
  <si>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</si>
  <si>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</si>
  <si>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</si>
  <si>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</si>
  <si>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</si>
  <si>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</si>
  <si>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</si>
  <si>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</si>
  <si>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</si>
  <si>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</si>
  <si>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</si>
  <si>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</si>
  <si>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</si>
  <si>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</si>
  <si>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</si>
  <si>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</si>
  <si>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</si>
  <si>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</si>
  <si>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</si>
  <si>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</si>
  <si>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</si>
  <si>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</si>
  <si>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</si>
  <si>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</si>
  <si>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</si>
  <si>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</si>
  <si>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</si>
  <si>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</si>
  <si>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</si>
  <si>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</si>
  <si>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</si>
  <si>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</si>
  <si>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</si>
  <si>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</si>
  <si>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</si>
  <si>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</si>
  <si>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</si>
  <si>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</si>
  <si>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</si>
  <si>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</si>
  <si>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</si>
  <si>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</si>
  <si>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</si>
  <si>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</si>
  <si>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</si>
  <si>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</si>
  <si>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</si>
  <si>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</si>
  <si>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</si>
  <si>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</si>
  <si>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</si>
  <si>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</si>
  <si>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</si>
  <si>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</si>
  <si>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</si>
  <si>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</si>
  <si>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</si>
  <si>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</si>
  <si>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</si>
  <si>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</si>
  <si>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</si>
  <si>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</si>
  <si>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</si>
  <si>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</si>
  <si>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</si>
  <si>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</si>
  <si>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</si>
  <si>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</si>
  <si>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</si>
  <si>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</si>
  <si>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</si>
  <si>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</si>
  <si>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</si>
  <si>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</si>
  <si>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</si>
  <si>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</si>
  <si>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</si>
  <si>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</si>
  <si>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</si>
  <si>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</si>
  <si>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</si>
  <si>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</si>
  <si>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</si>
  <si>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</si>
  <si>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</si>
  <si>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</si>
  <si>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</si>
  <si>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</si>
  <si>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</si>
  <si>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</si>
  <si>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</si>
  <si>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</si>
  <si>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</si>
  <si>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</si>
  <si>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</si>
  <si>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</si>
  <si>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</si>
  <si>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</si>
  <si>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</si>
  <si>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</si>
  <si>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</si>
  <si>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</si>
  <si>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</si>
  <si>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</si>
  <si>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</si>
  <si>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</si>
  <si>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</si>
  <si>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</si>
  <si>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</si>
  <si>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</si>
  <si>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</si>
  <si>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</si>
  <si>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</si>
  <si>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</si>
  <si>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</si>
  <si>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</si>
  <si>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</si>
  <si>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</si>
  <si>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</si>
  <si>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</si>
  <si>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</si>
  <si>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</si>
  <si>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</si>
  <si>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</si>
  <si>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</si>
  <si>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</si>
  <si>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</si>
  <si>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</si>
  <si>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</si>
  <si>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</si>
  <si>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</si>
  <si>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</si>
  <si>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</si>
  <si>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</si>
  <si>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</si>
  <si>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</si>
  <si>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</si>
  <si>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</si>
  <si>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</si>
  <si>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</si>
  <si>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</si>
  <si>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</si>
  <si>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</si>
  <si>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</si>
  <si>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</si>
  <si>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</si>
  <si>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</si>
  <si>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</si>
  <si>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</si>
  <si>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</si>
  <si>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</si>
  <si>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</si>
  <si>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</si>
  <si>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</si>
  <si>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</si>
  <si>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</si>
  <si>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</si>
  <si>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</si>
  <si>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</si>
  <si>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</si>
  <si>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</si>
  <si>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</si>
  <si>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</si>
  <si>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</si>
  <si>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</si>
  <si>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</si>
  <si>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</si>
  <si>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</si>
  <si>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</si>
  <si>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</si>
  <si>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</si>
  <si>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</si>
  <si>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</si>
  <si>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</si>
  <si>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</si>
  <si>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</si>
  <si>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</si>
  <si>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</si>
  <si>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</si>
  <si>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</si>
  <si>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</si>
  <si>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</si>
  <si>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</si>
  <si>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</si>
  <si>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</si>
  <si>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</si>
  <si>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</si>
  <si>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</si>
  <si>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</si>
  <si>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</si>
  <si>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</si>
  <si>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</si>
  <si>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</si>
  <si>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</si>
  <si>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</si>
  <si>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</si>
  <si>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</si>
  <si>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</si>
  <si>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</si>
  <si>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</si>
  <si>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</si>
  <si>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</si>
  <si>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</si>
  <si>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</si>
  <si>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</si>
  <si>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</si>
  <si>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</si>
  <si>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</si>
  <si>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</si>
  <si>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</si>
  <si>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</si>
  <si>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</si>
  <si>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</si>
  <si>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</si>
  <si>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</si>
  <si>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</si>
  <si>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</si>
  <si>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</si>
  <si>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</si>
  <si>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</si>
  <si>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</si>
  <si>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</si>
  <si>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</si>
  <si>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</si>
  <si>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</si>
  <si>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</si>
  <si>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</si>
  <si>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</si>
  <si>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</si>
  <si>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</si>
  <si>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</si>
  <si>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</si>
  <si>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</si>
  <si>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</si>
  <si>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</si>
  <si>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</si>
  <si>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</si>
  <si>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</si>
  <si>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</si>
  <si>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</si>
  <si>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</si>
  <si>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</si>
  <si>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</si>
  <si>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</si>
  <si>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</si>
  <si>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</si>
  <si>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</si>
  <si>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</si>
  <si>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</si>
  <si>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</si>
  <si>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</si>
  <si>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</si>
  <si>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</si>
  <si>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</si>
  <si>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</si>
  <si>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</si>
  <si>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</si>
  <si>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</si>
  <si>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</si>
  <si>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</si>
  <si>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</si>
  <si>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</si>
  <si>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</si>
  <si>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</si>
  <si>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</si>
  <si>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</si>
  <si>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</si>
  <si>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</si>
  <si>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</si>
  <si>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</si>
  <si>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</si>
  <si>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</si>
  <si>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</si>
  <si>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</si>
  <si>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</si>
  <si>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</si>
  <si>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</si>
  <si>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</si>
  <si>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</si>
  <si>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</si>
  <si>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</si>
  <si>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</si>
  <si>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</si>
  <si>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</si>
  <si>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</si>
  <si>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</si>
  <si>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</si>
  <si>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</si>
  <si>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</si>
  <si>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</si>
  <si>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</si>
  <si>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</si>
  <si>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</si>
  <si>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</si>
  <si>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</si>
  <si>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</si>
  <si>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</si>
  <si>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</si>
  <si>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</si>
  <si>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</si>
  <si>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</si>
  <si>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</si>
  <si>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</si>
  <si>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</si>
  <si>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</si>
  <si>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</si>
  <si>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</si>
  <si>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</si>
  <si>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</si>
  <si>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</si>
  <si>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</si>
  <si>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</si>
  <si>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</si>
  <si>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</si>
  <si>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</si>
  <si>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</si>
  <si>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</si>
  <si>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</si>
  <si>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</si>
  <si>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</si>
  <si>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</si>
  <si>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</si>
  <si>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</si>
  <si>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</si>
  <si>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</si>
  <si>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</si>
  <si>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</si>
  <si>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</si>
  <si>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</si>
  <si>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</si>
  <si>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</si>
  <si>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</si>
  <si>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</si>
  <si>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</si>
  <si>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</si>
  <si>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</si>
  <si>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</si>
  <si>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</si>
  <si>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</si>
  <si>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</si>
  <si>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</si>
  <si>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</si>
  <si>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</si>
  <si>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</si>
  <si>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</si>
  <si>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</si>
  <si>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</si>
  <si>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</si>
  <si>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</si>
  <si>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</si>
  <si>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</si>
  <si>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</si>
  <si>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</si>
  <si>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</si>
  <si>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</si>
  <si>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</si>
  <si>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</si>
  <si>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</si>
  <si>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</si>
  <si>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</si>
  <si>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</si>
  <si>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</si>
  <si>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</si>
  <si>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</si>
  <si>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</si>
  <si>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</si>
  <si>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</si>
  <si>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</si>
  <si>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</si>
  <si>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</si>
  <si>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</si>
  <si>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</si>
  <si>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</si>
  <si>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</si>
  <si>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</si>
  <si>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</si>
  <si>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</si>
  <si>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</si>
  <si>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</si>
  <si>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</si>
  <si>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</si>
  <si>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</si>
  <si>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</si>
  <si>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</si>
  <si>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</si>
  <si>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</si>
  <si>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</si>
  <si>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</si>
  <si>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</si>
  <si>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</si>
  <si>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</si>
  <si>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</si>
  <si>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</si>
  <si>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</si>
  <si>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</si>
  <si>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</si>
  <si>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</si>
  <si>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</si>
  <si>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</si>
  <si>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</si>
  <si>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</si>
  <si>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</si>
  <si>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</si>
  <si>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</si>
  <si>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</si>
  <si>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</si>
  <si>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</si>
  <si>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</si>
  <si>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</si>
  <si>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</si>
  <si>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</si>
  <si>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</si>
  <si>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</si>
  <si>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</si>
  <si>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</si>
  <si>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</si>
  <si>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</si>
  <si>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</si>
  <si>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</si>
  <si>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</si>
  <si>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</si>
  <si>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</si>
  <si>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</si>
  <si>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</si>
  <si>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</si>
  <si>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</si>
  <si>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</si>
  <si>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</si>
  <si>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</si>
  <si>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</si>
  <si>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</si>
  <si>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</si>
  <si>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</si>
  <si>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</si>
  <si>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</si>
  <si>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</si>
  <si>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</si>
  <si>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</si>
  <si>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</si>
  <si>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</si>
  <si>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</si>
  <si>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</si>
  <si>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</si>
  <si>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</si>
  <si>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</si>
  <si>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</si>
  <si>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</si>
  <si>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</si>
  <si>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</si>
  <si>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</si>
  <si>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</si>
  <si>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</si>
  <si>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</si>
  <si>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</si>
  <si>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</si>
  <si>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</si>
  <si>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Monterrey not found</t>
  </si>
  <si>
    <t>Phoenix not found</t>
  </si>
  <si>
    <t>Rockdale not found</t>
  </si>
  <si>
    <t>Colon de Santa Fe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</si>
  <si>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</si>
  <si>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</si>
  <si>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</si>
  <si>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</si>
  <si>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</si>
  <si>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</si>
  <si>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</si>
  <si>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</si>
  <si>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</si>
  <si>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</si>
  <si>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</si>
  <si>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</si>
  <si>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</si>
  <si>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</si>
  <si>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</si>
  <si>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</si>
  <si>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</si>
  <si>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</si>
  <si>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</si>
  <si>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</si>
  <si>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</si>
  <si>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</si>
  <si>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</si>
  <si>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</si>
  <si>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</si>
  <si>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</si>
  <si>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</si>
  <si>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</si>
  <si>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</si>
  <si>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</si>
  <si>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</si>
  <si>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</si>
  <si>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</si>
  <si>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</si>
  <si>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</si>
  <si>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</si>
  <si>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</si>
  <si>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</si>
  <si>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</si>
  <si>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</si>
  <si>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</si>
  <si>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</si>
  <si>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</si>
  <si>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</si>
  <si>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</si>
  <si>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</si>
  <si>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</si>
  <si>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</si>
  <si>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</si>
  <si>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</si>
  <si>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</si>
  <si>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</si>
  <si>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</si>
  <si>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</si>
  <si>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</si>
  <si>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</si>
  <si>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</si>
  <si>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</si>
  <si>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</si>
  <si>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</si>
  <si>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</si>
  <si>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</si>
  <si>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</si>
  <si>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</si>
  <si>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</si>
  <si>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</si>
  <si>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</si>
  <si>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</si>
  <si>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</si>
  <si>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</si>
  <si>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</si>
  <si>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</si>
  <si>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</si>
  <si>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</si>
  <si>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</si>
  <si>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</si>
  <si>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</si>
  <si>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</si>
  <si>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</si>
  <si>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</si>
  <si>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</si>
  <si>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</si>
  <si>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</si>
  <si>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</si>
  <si>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</si>
  <si>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</si>
  <si>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</si>
  <si>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</si>
  <si>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</si>
  <si>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</si>
  <si>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</si>
  <si>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</si>
  <si>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</si>
  <si>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</si>
  <si>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</si>
  <si>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</si>
  <si>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</si>
  <si>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</si>
  <si>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</si>
  <si>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</si>
  <si>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</si>
  <si>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</si>
  <si>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</si>
  <si>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</si>
  <si>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</si>
  <si>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</si>
  <si>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</si>
  <si>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Market</t>
  </si>
  <si>
    <t>Expected</t>
  </si>
  <si>
    <t>Real</t>
  </si>
  <si>
    <t>Min. Range</t>
  </si>
  <si>
    <t>Max. Range</t>
  </si>
  <si>
    <t>DC</t>
  </si>
  <si>
    <t>Total</t>
  </si>
  <si>
    <t>Total Green</t>
  </si>
  <si>
    <t>Total Accuracy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</si>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</sst>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%"/>
  </numFmts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49">
    <xf numFmtId="0" fontId="0" fillId="0" borderId="0" xfId="0"/>
    <xf numFmtId="0" fontId="4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5" fillId="2" borderId="0" xfId="1" applyFont="1" applyFill="1"/>
    <xf numFmtId="0" fontId="5" fillId="2" borderId="2" xfId="1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5" xfId="0" applyFont="1" applyFill="1" applyBorder="1"/>
    <xf numFmtId="0" fontId="7" fillId="2" borderId="0" xfId="0" applyFont="1" applyFill="1"/>
    <xf numFmtId="0" fontId="7" fillId="2" borderId="2" xfId="0" applyFont="1" applyFill="1" applyBorder="1"/>
    <xf numFmtId="49" fontId="7" fillId="2" borderId="2" xfId="0" applyNumberFormat="1" applyFont="1" applyFill="1" applyBorder="1"/>
    <xf numFmtId="0" fontId="6" fillId="4" borderId="3" xfId="0" applyFont="1" applyFill="1" applyBorder="1"/>
    <xf numFmtId="0" fontId="6" fillId="4" borderId="4" xfId="0" applyFont="1" applyFill="1" applyBorder="1"/>
    <xf numFmtId="20" fontId="6" fillId="4" borderId="4" xfId="0" applyNumberFormat="1" applyFont="1" applyFill="1" applyBorder="1"/>
    <xf numFmtId="49" fontId="6" fillId="4" borderId="4" xfId="0" applyNumberFormat="1" applyFont="1" applyFill="1" applyBorder="1"/>
    <xf numFmtId="0" fontId="6" fillId="3" borderId="5" xfId="0" applyFont="1" applyFill="1" applyBorder="1"/>
    <xf numFmtId="20" fontId="6" fillId="3" borderId="1" xfId="0" applyNumberFormat="1" applyFont="1" applyFill="1" applyBorder="1"/>
    <xf numFmtId="49" fontId="6" fillId="3" borderId="1" xfId="0" applyNumberFormat="1" applyFont="1" applyFill="1" applyBorder="1"/>
    <xf numFmtId="20" fontId="6" fillId="4" borderId="1" xfId="0" applyNumberFormat="1" applyFont="1" applyFill="1" applyBorder="1"/>
    <xf numFmtId="49" fontId="6" fillId="4" borderId="1" xfId="0" applyNumberFormat="1" applyFont="1" applyFill="1" applyBorder="1"/>
    <xf numFmtId="0" fontId="3" fillId="3" borderId="0" xfId="1" applyFont="1" applyFill="1"/>
    <xf numFmtId="21" fontId="3" fillId="3" borderId="0" xfId="1" applyNumberFormat="1" applyFont="1" applyFill="1"/>
    <xf numFmtId="0" fontId="2" fillId="0" borderId="0" xfId="1" applyFont="1"/>
    <xf numFmtId="20" fontId="0" fillId="0" borderId="0" xfId="0" applyNumberFormat="1"/>
    <xf numFmtId="0" fontId="7" fillId="5" borderId="2" xfId="0" applyFont="1" applyFill="1" applyBorder="1"/>
    <xf numFmtId="49" fontId="7" fillId="5" borderId="2" xfId="0" applyNumberFormat="1" applyFont="1" applyFill="1" applyBorder="1"/>
    <xf numFmtId="0" fontId="9" fillId="0" borderId="0" xfId="0" applyFont="1"/>
    <xf numFmtId="0" fontId="1" fillId="3" borderId="0" xfId="1" applyFont="1" applyFill="1"/>
    <xf numFmtId="0" fontId="3" fillId="6" borderId="0" xfId="1" applyFont="1" applyFill="1"/>
    <xf numFmtId="21" fontId="3" fillId="6" borderId="0" xfId="1" applyNumberFormat="1" applyFont="1" applyFill="1"/>
    <xf numFmtId="9" fontId="0" fillId="0" borderId="0" xfId="3" applyFont="1"/>
    <xf numFmtId="0" fontId="9" fillId="0" borderId="6" xfId="0" applyFont="1" applyBorder="1"/>
    <xf numFmtId="0" fontId="0" fillId="0" borderId="6" xfId="0" applyBorder="1"/>
    <xf numFmtId="9" fontId="0" fillId="0" borderId="6" xfId="3" applyFont="1" applyBorder="1"/>
    <xf numFmtId="165" fontId="0" fillId="0" borderId="6" xfId="3" applyNumberFormat="1" applyFont="1" applyBorder="1"/>
    <xf numFmtId="49" fontId="0" fillId="0" borderId="6" xfId="0" applyNumberFormat="1" applyBorder="1"/>
    <xf numFmtId="164" fontId="9" fillId="0" borderId="6" xfId="2" applyFont="1" applyFill="1" applyBorder="1"/>
    <xf numFmtId="164" fontId="0" fillId="0" borderId="6" xfId="2" applyFont="1" applyBorder="1"/>
    <xf numFmtId="164" fontId="0" fillId="0" borderId="6" xfId="2" applyFont="1" applyFill="1" applyBorder="1"/>
    <xf numFmtId="49" fontId="9" fillId="0" borderId="0" xfId="0" applyNumberFormat="1" applyFont="1"/>
    <xf numFmtId="21" fontId="0" fillId="0" borderId="2" xfId="0" applyNumberFormat="1" applyBorder="1"/>
    <xf numFmtId="0" fontId="5" fillId="2" borderId="0" xfId="1" applyFont="1" applyFill="1" applyBorder="1"/>
    <xf numFmtId="0" fontId="0" fillId="0" borderId="2" xfId="0" applyBorder="1"/>
    <xf numFmtId="0" fontId="3" fillId="3" borderId="2" xfId="1" applyFont="1" applyFill="1" applyBorder="1"/>
    <xf numFmtId="21" fontId="3" fillId="3" borderId="2" xfId="1" applyNumberFormat="1" applyFont="1" applyFill="1" applyBorder="1"/>
    <xf numFmtId="49" fontId="7" fillId="5" borderId="0" xfId="0" applyNumberFormat="1" applyFont="1" applyFill="1" applyBorder="1"/>
    <xf numFmtId="0" fontId="7" fillId="5" borderId="0" xfId="0" applyFont="1" applyFill="1" applyBorder="1"/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537</xdr:row>
      <xdr:rowOff>85725</xdr:rowOff>
    </xdr:from>
    <xdr:to>
      <xdr:col>5</xdr:col>
      <xdr:colOff>1952625</xdr:colOff>
      <xdr:row>540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F365273-D21A-4C42-A80F-6D7EAA8947CE}"/>
            </a:ext>
          </a:extLst>
        </xdr:cNvPr>
        <xdr:cNvSpPr/>
      </xdr:nvSpPr>
      <xdr:spPr>
        <a:xfrm>
          <a:off x="6149975" y="102409625"/>
          <a:ext cx="5073650" cy="6000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510</xdr:row>
      <xdr:rowOff>180975</xdr:rowOff>
    </xdr:from>
    <xdr:to>
      <xdr:col>10</xdr:col>
      <xdr:colOff>504825</xdr:colOff>
      <xdr:row>523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559"/>
  <sheetViews>
    <sheetView topLeftCell="Q122" workbookViewId="0">
      <selection activeCell="E136" sqref="E136"/>
    </sheetView>
  </sheetViews>
  <sheetFormatPr baseColWidth="10" defaultColWidth="8.83203125" defaultRowHeight="15" outlineLevelCol="1" x14ac:dyDescent="0.2"/>
  <cols>
    <col min="2" max="2" width="48" bestFit="1" customWidth="1"/>
    <col min="3" max="3" width="13.5" customWidth="1"/>
    <col min="4" max="4" width="9.5" bestFit="1" customWidth="1"/>
    <col min="5" max="5" width="41.83203125" customWidth="1"/>
    <col min="6" max="6" width="33.6640625" customWidth="1"/>
    <col min="7" max="7" width="8.33203125" style="4" customWidth="1" outlineLevel="1"/>
    <col min="8" max="8" width="6.5" customWidth="1" outlineLevel="1"/>
    <col min="9" max="13" width="6" customWidth="1" outlineLevel="1"/>
    <col min="14" max="14" width="6.83203125" customWidth="1" outlineLevel="1"/>
    <col min="15" max="15" width="7" customWidth="1" outlineLevel="1"/>
    <col min="16" max="16" width="6.83203125" customWidth="1" outlineLevel="1"/>
    <col min="17" max="17" width="18.83203125" customWidth="1" outlineLevel="1"/>
    <col min="18" max="19" width="14.83203125" customWidth="1" outlineLevel="1"/>
    <col min="20" max="21" width="16.33203125" customWidth="1" outlineLevel="1"/>
    <col min="22" max="22" width="10.83203125" customWidth="1" outlineLevel="1"/>
    <col min="23" max="23" width="11.1640625" customWidth="1" outlineLevel="1"/>
    <col min="24" max="24" width="23.5" bestFit="1" customWidth="1"/>
    <col min="25" max="25" width="27" bestFit="1" customWidth="1"/>
    <col min="26" max="26" width="22.83203125" bestFit="1" customWidth="1"/>
  </cols>
  <sheetData>
    <row r="2" spans="1:43" x14ac:dyDescent="0.2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ht="16" thickBot="1" x14ac:dyDescent="0.25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2113</v>
      </c>
      <c r="Y3" s="26" t="s">
        <v>2114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2115</v>
      </c>
      <c r="AL3" s="26" t="s">
        <v>2116</v>
      </c>
      <c r="AM3" s="26" t="s">
        <v>2117</v>
      </c>
      <c r="AN3" s="26" t="s">
        <v>2118</v>
      </c>
      <c r="AO3" s="26" t="s">
        <v>2119</v>
      </c>
      <c r="AP3" s="26" t="s">
        <v>15</v>
      </c>
      <c r="AQ3" s="26" t="s">
        <v>16</v>
      </c>
    </row>
    <row r="4" spans="1:43" ht="16" thickTop="1" x14ac:dyDescent="0.2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x14ac:dyDescent="0.2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>C5&amp;X5&amp;Y5</f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x14ac:dyDescent="0.2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>C6&amp;X6&amp;Y6</f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x14ac:dyDescent="0.2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>C7&amp;X7&amp;Y7</f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x14ac:dyDescent="0.2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>C8&amp;X8&amp;Y8</f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x14ac:dyDescent="0.2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>C9&amp;X9&amp;Y9</f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x14ac:dyDescent="0.2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>C10&amp;X10&amp;Y10</f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x14ac:dyDescent="0.2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>C11&amp;X11&amp;Y11</f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x14ac:dyDescent="0.2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tr">
        <f>VLOOKUP(E12,'Transform table'!A:B,2,0)</f>
        <v>Orgryte IS</v>
      </c>
      <c r="Y12" t="str">
        <f>VLOOKUP(F12,'Transform table'!A:B,2,0)</f>
        <v>Djurgardens IF</v>
      </c>
      <c r="Z12" t="str">
        <f>C12&amp;X12&amp;Y12</f>
        <v>20/07/2026Orgryte ISDjurgardens IF</v>
      </c>
      <c r="AA12" t="str">
        <f>VLOOKUP($Z12,'oddspedia-matches'!$A:$AD,AA$2,0)</f>
        <v>0 - 0</v>
      </c>
      <c r="AB12" t="str">
        <f>VLOOKUP($Z12,'oddspedia-matches'!$A:$AD,AB$2,0)</f>
        <v>Red</v>
      </c>
      <c r="AC12" t="str">
        <f>VLOOKUP($Z12,'oddspedia-matches'!$A:$AD,AC$2,0)</f>
        <v>Green</v>
      </c>
      <c r="AD12" t="str">
        <f>VLOOKUP($Z12,'oddspedia-matches'!$A:$AD,AD$2,0)</f>
        <v>Red</v>
      </c>
      <c r="AE12" t="str">
        <f>VLOOKUP($Z12,'oddspedia-matches'!$A:$AD,AE$2,0)</f>
        <v>Green</v>
      </c>
      <c r="AF12" t="str">
        <f>VLOOKUP($Z12,'oddspedia-matches'!$A:$AD,AF$2,0)</f>
        <v>Green</v>
      </c>
      <c r="AG12" t="str">
        <f>VLOOKUP($Z12,'oddspedia-matches'!$A:$AD,AG$2,0)</f>
        <v>Red</v>
      </c>
      <c r="AH12" t="str">
        <f>VLOOKUP($Z12,'oddspedia-matches'!$A:$AD,AH$2,0)</f>
        <v>Red</v>
      </c>
      <c r="AI12" t="str">
        <f>VLOOKUP($Z12,'oddspedia-matches'!$A:$AD,AI$2,0)</f>
        <v>Green</v>
      </c>
      <c r="AJ12" t="str">
        <f>VLOOKUP($Z12,'oddspedia-matches'!$A:$AD,AJ$2,0)</f>
        <v>Red</v>
      </c>
      <c r="AK12" t="str">
        <f>VLOOKUP($Z12,'oddspedia-matches'!$A:$AD,AK$2,0)</f>
        <v>Red</v>
      </c>
      <c r="AL12" t="str">
        <f>VLOOKUP($Z12,'oddspedia-matches'!$A:$AD,AL$2,0)</f>
        <v>Red</v>
      </c>
      <c r="AM12" t="str">
        <f>VLOOKUP($Z12,'oddspedia-matches'!$A:$AD,AM$2,0)</f>
        <v>Red</v>
      </c>
      <c r="AN12" t="str">
        <f>VLOOKUP($Z12,'oddspedia-matches'!$A:$AD,AN$2,0)</f>
        <v>Green</v>
      </c>
      <c r="AO12" t="str">
        <f>VLOOKUP($Z12,'oddspedia-matches'!$A:$AD,AO$2,0)</f>
        <v>Green</v>
      </c>
      <c r="AP12" t="str">
        <f>VLOOKUP($Z12,'oddspedia-matches'!$A:$AD,AP$2,0)</f>
        <v>Red</v>
      </c>
      <c r="AQ12" t="str">
        <f>VLOOKUP($Z12,'oddspedia-matches'!$A:$AD,AQ$2,0)</f>
        <v>Green</v>
      </c>
    </row>
    <row r="13" spans="1:43" x14ac:dyDescent="0.2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>C13&amp;X13&amp;Y13</f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x14ac:dyDescent="0.2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>C14&amp;X14&amp;Y14</f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x14ac:dyDescent="0.2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>C15&amp;X15&amp;Y15</f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x14ac:dyDescent="0.2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>C16&amp;X16&amp;Y16</f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x14ac:dyDescent="0.2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str">
        <f>VLOOKUP(E17,'Transform table'!A:B,2,0)</f>
        <v>Keflavik</v>
      </c>
      <c r="Y17" t="str">
        <f>VLOOKUP(F17,'Transform table'!A:B,2,0)</f>
        <v>IA Akranes</v>
      </c>
      <c r="Z17" t="str">
        <f>C17&amp;X17&amp;Y17</f>
        <v>20/07/2026KeflavikIA Akranes</v>
      </c>
      <c r="AA17" t="str">
        <f>VLOOKUP($Z17,'oddspedia-matches'!$A:$AD,AA$2,0)</f>
        <v>5 - 2</v>
      </c>
      <c r="AB17" t="str">
        <f>VLOOKUP($Z17,'oddspedia-matches'!$A:$AD,AB$2,0)</f>
        <v>Green</v>
      </c>
      <c r="AC17" t="str">
        <f>VLOOKUP($Z17,'oddspedia-matches'!$A:$AD,AC$2,0)</f>
        <v>Red</v>
      </c>
      <c r="AD17" t="str">
        <f>VLOOKUP($Z17,'oddspedia-matches'!$A:$AD,AD$2,0)</f>
        <v>Red</v>
      </c>
      <c r="AE17" t="str">
        <f>VLOOKUP($Z17,'oddspedia-matches'!$A:$AD,AE$2,0)</f>
        <v>Green</v>
      </c>
      <c r="AF17" t="str">
        <f>VLOOKUP($Z17,'oddspedia-matches'!$A:$AD,AF$2,0)</f>
        <v>Red</v>
      </c>
      <c r="AG17" t="str">
        <f>VLOOKUP($Z17,'oddspedia-matches'!$A:$AD,AG$2,0)</f>
        <v>Green</v>
      </c>
      <c r="AH17" t="str">
        <f>VLOOKUP($Z17,'oddspedia-matches'!$A:$AD,AH$2,0)</f>
        <v>Green</v>
      </c>
      <c r="AI17" t="str">
        <f>VLOOKUP($Z17,'oddspedia-matches'!$A:$AD,AI$2,0)</f>
        <v>Red</v>
      </c>
      <c r="AJ17" t="str">
        <f>VLOOKUP($Z17,'oddspedia-matches'!$A:$AD,AJ$2,0)</f>
        <v>Red</v>
      </c>
      <c r="AK17" t="str">
        <f>VLOOKUP($Z17,'oddspedia-matches'!$A:$AD,AK$2,0)</f>
        <v>Green</v>
      </c>
      <c r="AL17" t="str">
        <f>VLOOKUP($Z17,'oddspedia-matches'!$A:$AD,AL$2,0)</f>
        <v>Green</v>
      </c>
      <c r="AM17" t="str">
        <f>VLOOKUP($Z17,'oddspedia-matches'!$A:$AD,AM$2,0)</f>
        <v>Green</v>
      </c>
      <c r="AN17" t="str">
        <f>VLOOKUP($Z17,'oddspedia-matches'!$A:$AD,AN$2,0)</f>
        <v>Red</v>
      </c>
      <c r="AO17" t="str">
        <f>VLOOKUP($Z17,'oddspedia-matches'!$A:$AD,AO$2,0)</f>
        <v>Red</v>
      </c>
      <c r="AP17" t="str">
        <f>VLOOKUP($Z17,'oddspedia-matches'!$A:$AD,AP$2,0)</f>
        <v>Green</v>
      </c>
      <c r="AQ17" t="str">
        <f>VLOOKUP($Z17,'oddspedia-matches'!$A:$AD,AQ$2,0)</f>
        <v>Red</v>
      </c>
    </row>
    <row r="18" spans="2:43" x14ac:dyDescent="0.2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str">
        <f>VLOOKUP(E18,'Transform table'!A:B,2,0)</f>
        <v>Kopavogs</v>
      </c>
      <c r="Y18" t="str">
        <f>VLOOKUP(F18,'Transform table'!A:B,2,0)</f>
        <v>IF Vestri</v>
      </c>
      <c r="Z18" t="str">
        <f>C18&amp;X18&amp;Y18</f>
        <v>20/07/2026KopavogsIF Vestri</v>
      </c>
      <c r="AA18" t="str">
        <f>VLOOKUP($Z18,'oddspedia-matches'!$A:$AD,AA$2,0)</f>
        <v>6 - 2</v>
      </c>
      <c r="AB18" t="str">
        <f>VLOOKUP($Z18,'oddspedia-matches'!$A:$AD,AB$2,0)</f>
        <v>Green</v>
      </c>
      <c r="AC18" t="str">
        <f>VLOOKUP($Z18,'oddspedia-matches'!$A:$AD,AC$2,0)</f>
        <v>Red</v>
      </c>
      <c r="AD18" t="str">
        <f>VLOOKUP($Z18,'oddspedia-matches'!$A:$AD,AD$2,0)</f>
        <v>Red</v>
      </c>
      <c r="AE18" t="str">
        <f>VLOOKUP($Z18,'oddspedia-matches'!$A:$AD,AE$2,0)</f>
        <v>Green</v>
      </c>
      <c r="AF18" t="str">
        <f>VLOOKUP($Z18,'oddspedia-matches'!$A:$AD,AF$2,0)</f>
        <v>Red</v>
      </c>
      <c r="AG18" t="str">
        <f>VLOOKUP($Z18,'oddspedia-matches'!$A:$AD,AG$2,0)</f>
        <v>Green</v>
      </c>
      <c r="AH18" t="str">
        <f>VLOOKUP($Z18,'oddspedia-matches'!$A:$AD,AH$2,0)</f>
        <v>Green</v>
      </c>
      <c r="AI18" t="str">
        <f>VLOOKUP($Z18,'oddspedia-matches'!$A:$AD,AI$2,0)</f>
        <v>Red</v>
      </c>
      <c r="AJ18" t="str">
        <f>VLOOKUP($Z18,'oddspedia-matches'!$A:$AD,AJ$2,0)</f>
        <v>Red</v>
      </c>
      <c r="AK18" t="str">
        <f>VLOOKUP($Z18,'oddspedia-matches'!$A:$AD,AK$2,0)</f>
        <v>Green</v>
      </c>
      <c r="AL18" t="str">
        <f>VLOOKUP($Z18,'oddspedia-matches'!$A:$AD,AL$2,0)</f>
        <v>Green</v>
      </c>
      <c r="AM18" t="str">
        <f>VLOOKUP($Z18,'oddspedia-matches'!$A:$AD,AM$2,0)</f>
        <v>Green</v>
      </c>
      <c r="AN18" t="str">
        <f>VLOOKUP($Z18,'oddspedia-matches'!$A:$AD,AN$2,0)</f>
        <v>Red</v>
      </c>
      <c r="AO18" t="str">
        <f>VLOOKUP($Z18,'oddspedia-matches'!$A:$AD,AO$2,0)</f>
        <v>Red</v>
      </c>
      <c r="AP18" t="str">
        <f>VLOOKUP($Z18,'oddspedia-matches'!$A:$AD,AP$2,0)</f>
        <v>Green</v>
      </c>
      <c r="AQ18" t="str">
        <f>VLOOKUP($Z18,'oddspedia-matches'!$A:$AD,AQ$2,0)</f>
        <v>Red</v>
      </c>
    </row>
    <row r="19" spans="2:43" x14ac:dyDescent="0.2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>C19&amp;X19&amp;Y19</f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x14ac:dyDescent="0.2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 U23</v>
      </c>
      <c r="Y20" t="str">
        <f>VLOOKUP(F20,'Transform table'!A:B,2,0)</f>
        <v>Canberra Croatia U23</v>
      </c>
      <c r="Z20" t="str">
        <f>C20&amp;X20&amp;Y20</f>
        <v>21/07/2026Gungahlin Juventus U23Canberra Croatia U23</v>
      </c>
      <c r="AA20" t="str">
        <f>VLOOKUP($Z20,'oddspedia-matches'!$A:$AD,AA$2,0)</f>
        <v>2 - 1</v>
      </c>
      <c r="AB20" t="str">
        <f>VLOOKUP($Z20,'oddspedia-matches'!$A:$AD,AB$2,0)</f>
        <v>Green</v>
      </c>
      <c r="AC20" t="str">
        <f>VLOOKUP($Z20,'oddspedia-matches'!$A:$AD,AC$2,0)</f>
        <v>Red</v>
      </c>
      <c r="AD20" t="str">
        <f>VLOOKUP($Z20,'oddspedia-matches'!$A:$AD,AD$2,0)</f>
        <v>Red</v>
      </c>
      <c r="AE20" t="str">
        <f>VLOOKUP($Z20,'oddspedia-matches'!$A:$AD,AE$2,0)</f>
        <v>Green</v>
      </c>
      <c r="AF20" t="str">
        <f>VLOOKUP($Z20,'oddspedia-matches'!$A:$AD,AF$2,0)</f>
        <v>Red</v>
      </c>
      <c r="AG20" t="str">
        <f>VLOOKUP($Z20,'oddspedia-matches'!$A:$AD,AG$2,0)</f>
        <v>Green</v>
      </c>
      <c r="AH20" t="str">
        <f>VLOOKUP($Z20,'oddspedia-matches'!$A:$AD,AH$2,0)</f>
        <v>Green</v>
      </c>
      <c r="AI20" t="str">
        <f>VLOOKUP($Z20,'oddspedia-matches'!$A:$AD,AI$2,0)</f>
        <v>Red</v>
      </c>
      <c r="AJ20" t="str">
        <f>VLOOKUP($Z20,'oddspedia-matches'!$A:$AD,AJ$2,0)</f>
        <v>Red</v>
      </c>
      <c r="AK20" t="str">
        <f>VLOOKUP($Z20,'oddspedia-matches'!$A:$AD,AK$2,0)</f>
        <v>Green</v>
      </c>
      <c r="AL20" t="str">
        <f>VLOOKUP($Z20,'oddspedia-matches'!$A:$AD,AL$2,0)</f>
        <v>Green</v>
      </c>
      <c r="AM20" t="str">
        <f>VLOOKUP($Z20,'oddspedia-matches'!$A:$AD,AM$2,0)</f>
        <v>Green</v>
      </c>
      <c r="AN20" t="str">
        <f>VLOOKUP($Z20,'oddspedia-matches'!$A:$AD,AN$2,0)</f>
        <v>Red</v>
      </c>
      <c r="AO20" t="str">
        <f>VLOOKUP($Z20,'oddspedia-matches'!$A:$AD,AO$2,0)</f>
        <v>Green</v>
      </c>
      <c r="AP20" t="str">
        <f>VLOOKUP($Z20,'oddspedia-matches'!$A:$AD,AP$2,0)</f>
        <v>Green</v>
      </c>
      <c r="AQ20" t="str">
        <f>VLOOKUP($Z20,'oddspedia-matches'!$A:$AD,AQ$2,0)</f>
        <v>Red</v>
      </c>
    </row>
    <row r="21" spans="2:43" x14ac:dyDescent="0.2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>C21&amp;X21&amp;Y21</f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x14ac:dyDescent="0.2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>C22&amp;X22&amp;Y22</f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x14ac:dyDescent="0.2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>C23&amp;X23&amp;Y23</f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x14ac:dyDescent="0.2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>C24&amp;X24&amp;Y24</f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x14ac:dyDescent="0.2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>C25&amp;X25&amp;Y25</f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x14ac:dyDescent="0.2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>C26&amp;X26&amp;Y26</f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x14ac:dyDescent="0.2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>C27&amp;X27&amp;Y27</f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x14ac:dyDescent="0.2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>C28&amp;X28&amp;Y28</f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x14ac:dyDescent="0.2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>C29&amp;X29&amp;Y29</f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x14ac:dyDescent="0.2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>C30&amp;X30&amp;Y30</f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x14ac:dyDescent="0.2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>C31&amp;X31&amp;Y31</f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x14ac:dyDescent="0.2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>C32&amp;X32&amp;Y32</f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x14ac:dyDescent="0.2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>C33&amp;X33&amp;Y33</f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x14ac:dyDescent="0.2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Hamilton Olympic</v>
      </c>
      <c r="Y34" t="str">
        <f>VLOOKUP(F34,'Transform table'!A:B,2,0)</f>
        <v>Belmont Swansea United SC</v>
      </c>
      <c r="Z34" t="str">
        <f>C34&amp;X34&amp;Y34</f>
        <v>22/07/2026Hamilton OlympicBelmont Swansea United SC</v>
      </c>
      <c r="AA34" t="str">
        <f>VLOOKUP($Z34,'oddspedia-matches'!$A:$AD,AA$2,0)</f>
        <v>5 - 2</v>
      </c>
      <c r="AB34" t="str">
        <f>VLOOKUP($Z34,'oddspedia-matches'!$A:$AD,AB$2,0)</f>
        <v>Green</v>
      </c>
      <c r="AC34" t="str">
        <f>VLOOKUP($Z34,'oddspedia-matches'!$A:$AD,AC$2,0)</f>
        <v>Red</v>
      </c>
      <c r="AD34" t="str">
        <f>VLOOKUP($Z34,'oddspedia-matches'!$A:$AD,AD$2,0)</f>
        <v>Red</v>
      </c>
      <c r="AE34" t="str">
        <f>VLOOKUP($Z34,'oddspedia-matches'!$A:$AD,AE$2,0)</f>
        <v>Green</v>
      </c>
      <c r="AF34" t="str">
        <f>VLOOKUP($Z34,'oddspedia-matches'!$A:$AD,AF$2,0)</f>
        <v>Red</v>
      </c>
      <c r="AG34" t="str">
        <f>VLOOKUP($Z34,'oddspedia-matches'!$A:$AD,AG$2,0)</f>
        <v>Green</v>
      </c>
      <c r="AH34" t="str">
        <f>VLOOKUP($Z34,'oddspedia-matches'!$A:$AD,AH$2,0)</f>
        <v>Green</v>
      </c>
      <c r="AI34" t="str">
        <f>VLOOKUP($Z34,'oddspedia-matches'!$A:$AD,AI$2,0)</f>
        <v>Red</v>
      </c>
      <c r="AJ34" t="str">
        <f>VLOOKUP($Z34,'oddspedia-matches'!$A:$AD,AJ$2,0)</f>
        <v>Red</v>
      </c>
      <c r="AK34" t="str">
        <f>VLOOKUP($Z34,'oddspedia-matches'!$A:$AD,AK$2,0)</f>
        <v>Green</v>
      </c>
      <c r="AL34" t="str">
        <f>VLOOKUP($Z34,'oddspedia-matches'!$A:$AD,AL$2,0)</f>
        <v>Green</v>
      </c>
      <c r="AM34" t="str">
        <f>VLOOKUP($Z34,'oddspedia-matches'!$A:$AD,AM$2,0)</f>
        <v>Green</v>
      </c>
      <c r="AN34" t="str">
        <f>VLOOKUP($Z34,'oddspedia-matches'!$A:$AD,AN$2,0)</f>
        <v>Red</v>
      </c>
      <c r="AO34" t="str">
        <f>VLOOKUP($Z34,'oddspedia-matches'!$A:$AD,AO$2,0)</f>
        <v>Red</v>
      </c>
      <c r="AP34" t="str">
        <f>VLOOKUP($Z34,'oddspedia-matches'!$A:$AD,AP$2,0)</f>
        <v>Green</v>
      </c>
      <c r="AQ34" t="str">
        <f>VLOOKUP($Z34,'oddspedia-matches'!$A:$AD,AQ$2,0)</f>
        <v>Red</v>
      </c>
    </row>
    <row r="35" spans="2:43" x14ac:dyDescent="0.2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>C35&amp;X35&amp;Y35</f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x14ac:dyDescent="0.2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>C36&amp;X36&amp;Y36</f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x14ac:dyDescent="0.2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>C37&amp;X37&amp;Y37</f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x14ac:dyDescent="0.2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>C38&amp;X38&amp;Y38</f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x14ac:dyDescent="0.2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>C39&amp;X39&amp;Y39</f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x14ac:dyDescent="0.2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>C40&amp;X40&amp;Y40</f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x14ac:dyDescent="0.2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>C41&amp;X41&amp;Y41</f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x14ac:dyDescent="0.2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>C42&amp;X42&amp;Y42</f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x14ac:dyDescent="0.2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>C43&amp;X43&amp;Y43</f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x14ac:dyDescent="0.2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>C44&amp;X44&amp;Y44</f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x14ac:dyDescent="0.2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>C45&amp;X45&amp;Y45</f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x14ac:dyDescent="0.2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>C46&amp;X46&amp;Y46</f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x14ac:dyDescent="0.2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>C47&amp;X47&amp;Y47</f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x14ac:dyDescent="0.2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>C48&amp;X48&amp;Y48</f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x14ac:dyDescent="0.2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>C49&amp;X49&amp;Y49</f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x14ac:dyDescent="0.2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>C50&amp;X50&amp;Y50</f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x14ac:dyDescent="0.2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>C51&amp;X51&amp;Y51</f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x14ac:dyDescent="0.2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>C52&amp;X52&amp;Y52</f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x14ac:dyDescent="0.2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>C53&amp;X53&amp;Y53</f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x14ac:dyDescent="0.2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>C54&amp;X54&amp;Y54</f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x14ac:dyDescent="0.2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>C55&amp;X55&amp;Y55</f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x14ac:dyDescent="0.2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>C56&amp;X56&amp;Y56</f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x14ac:dyDescent="0.2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>C57&amp;X57&amp;Y57</f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x14ac:dyDescent="0.2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>C58&amp;X58&amp;Y58</f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x14ac:dyDescent="0.2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>C59&amp;X59&amp;Y59</f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x14ac:dyDescent="0.2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>C60&amp;X60&amp;Y60</f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x14ac:dyDescent="0.2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>C61&amp;X61&amp;Y61</f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x14ac:dyDescent="0.2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>C62&amp;X62&amp;Y62</f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x14ac:dyDescent="0.2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>C63&amp;X63&amp;Y63</f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x14ac:dyDescent="0.2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>C64&amp;X64&amp;Y64</f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x14ac:dyDescent="0.2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>C65&amp;X65&amp;Y65</f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x14ac:dyDescent="0.2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>C66&amp;X66&amp;Y66</f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x14ac:dyDescent="0.2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>C67&amp;X67&amp;Y67</f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x14ac:dyDescent="0.2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x14ac:dyDescent="0.2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>C69&amp;X69&amp;Y69</f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x14ac:dyDescent="0.2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>C70&amp;X70&amp;Y70</f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x14ac:dyDescent="0.2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>C71&amp;X71&amp;Y71</f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x14ac:dyDescent="0.2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>C72&amp;X72&amp;Y72</f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x14ac:dyDescent="0.2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>C73&amp;X73&amp;Y73</f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x14ac:dyDescent="0.2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>C74&amp;X74&amp;Y74</f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x14ac:dyDescent="0.2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>C75&amp;X75&amp;Y75</f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x14ac:dyDescent="0.2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tr">
        <f>VLOOKUP(E76,'Transform table'!A:B,2,0)</f>
        <v>Belgrano</v>
      </c>
      <c r="Y76" t="str">
        <f>VLOOKUP(F76,'Transform table'!A:B,2,0)</f>
        <v>Rosario Central</v>
      </c>
      <c r="Z76" t="str">
        <f>C76&amp;X76&amp;Y76</f>
        <v>23/07/2026BelgranoRosario Central</v>
      </c>
      <c r="AA76" t="str">
        <f>VLOOKUP($Z76,'oddspedia-matches'!$A:$AD,AA$2,0)</f>
        <v>2 - 1</v>
      </c>
      <c r="AB76" t="str">
        <f>VLOOKUP($Z76,'oddspedia-matches'!$A:$AD,AB$2,0)</f>
        <v>Green</v>
      </c>
      <c r="AC76" t="str">
        <f>VLOOKUP($Z76,'oddspedia-matches'!$A:$AD,AC$2,0)</f>
        <v>Red</v>
      </c>
      <c r="AD76" t="str">
        <f>VLOOKUP($Z76,'oddspedia-matches'!$A:$AD,AD$2,0)</f>
        <v>Red</v>
      </c>
      <c r="AE76" t="str">
        <f>VLOOKUP($Z76,'oddspedia-matches'!$A:$AD,AE$2,0)</f>
        <v>Green</v>
      </c>
      <c r="AF76" t="str">
        <f>VLOOKUP($Z76,'oddspedia-matches'!$A:$AD,AF$2,0)</f>
        <v>Red</v>
      </c>
      <c r="AG76" t="str">
        <f>VLOOKUP($Z76,'oddspedia-matches'!$A:$AD,AG$2,0)</f>
        <v>Green</v>
      </c>
      <c r="AH76" t="str">
        <f>VLOOKUP($Z76,'oddspedia-matches'!$A:$AD,AH$2,0)</f>
        <v>Green</v>
      </c>
      <c r="AI76" t="str">
        <f>VLOOKUP($Z76,'oddspedia-matches'!$A:$AD,AI$2,0)</f>
        <v>Red</v>
      </c>
      <c r="AJ76" t="str">
        <f>VLOOKUP($Z76,'oddspedia-matches'!$A:$AD,AJ$2,0)</f>
        <v>Red</v>
      </c>
      <c r="AK76" t="str">
        <f>VLOOKUP($Z76,'oddspedia-matches'!$A:$AD,AK$2,0)</f>
        <v>Green</v>
      </c>
      <c r="AL76" t="str">
        <f>VLOOKUP($Z76,'oddspedia-matches'!$A:$AD,AL$2,0)</f>
        <v>Green</v>
      </c>
      <c r="AM76" t="str">
        <f>VLOOKUP($Z76,'oddspedia-matches'!$A:$AD,AM$2,0)</f>
        <v>Green</v>
      </c>
      <c r="AN76" t="str">
        <f>VLOOKUP($Z76,'oddspedia-matches'!$A:$AD,AN$2,0)</f>
        <v>Red</v>
      </c>
      <c r="AO76" t="str">
        <f>VLOOKUP($Z76,'oddspedia-matches'!$A:$AD,AO$2,0)</f>
        <v>Green</v>
      </c>
      <c r="AP76" t="str">
        <f>VLOOKUP($Z76,'oddspedia-matches'!$A:$AD,AP$2,0)</f>
        <v>Green</v>
      </c>
      <c r="AQ76" t="str">
        <f>VLOOKUP($Z76,'oddspedia-matches'!$A:$AD,AQ$2,0)</f>
        <v>Red</v>
      </c>
    </row>
    <row r="77" spans="2:43" x14ac:dyDescent="0.2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>C77&amp;X77&amp;Y77</f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x14ac:dyDescent="0.2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>C78&amp;X78&amp;Y78</f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x14ac:dyDescent="0.2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>C79&amp;X79&amp;Y79</f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x14ac:dyDescent="0.2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>C80&amp;X80&amp;Y80</f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x14ac:dyDescent="0.2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>C81&amp;X81&amp;Y81</f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x14ac:dyDescent="0.2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>C82&amp;X82&amp;Y82</f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x14ac:dyDescent="0.2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>C83&amp;X83&amp;Y83</f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x14ac:dyDescent="0.2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>C84&amp;X84&amp;Y84</f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x14ac:dyDescent="0.2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>C85&amp;X85&amp;Y85</f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x14ac:dyDescent="0.2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>C86&amp;X86&amp;Y86</f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x14ac:dyDescent="0.2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>C87&amp;X87&amp;Y87</f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x14ac:dyDescent="0.2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>C88&amp;X88&amp;Y88</f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x14ac:dyDescent="0.2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>C89&amp;X89&amp;Y89</f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x14ac:dyDescent="0.2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>C90&amp;X90&amp;Y90</f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x14ac:dyDescent="0.2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>C91&amp;X91&amp;Y91</f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x14ac:dyDescent="0.2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>C92&amp;X92&amp;Y92</f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x14ac:dyDescent="0.2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tr">
        <f>VLOOKUP(E93,'Transform table'!A:B,2,0)</f>
        <v>FK Panevezys</v>
      </c>
      <c r="Y93" t="str">
        <f>VLOOKUP(F93,'Transform table'!A:B,2,0)</f>
        <v>Kauno Zalgiris</v>
      </c>
      <c r="Z93" t="str">
        <f>C93&amp;X93&amp;Y93</f>
        <v>24/07/2026FK PanevezysKauno Zalgiris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x14ac:dyDescent="0.2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tr">
        <f>VLOOKUP(E94,'Transform table'!A:B,2,0)</f>
        <v>FF Jaro II</v>
      </c>
      <c r="Y94" t="str">
        <f>VLOOKUP(F94,'Transform table'!A:B,2,0)</f>
        <v>Kuopio PS</v>
      </c>
      <c r="Z94" t="str">
        <f>C94&amp;X94&amp;Y94</f>
        <v>24/07/2026FF Jaro IIKuopio PS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x14ac:dyDescent="0.2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tr">
        <f>VLOOKUP(E95,'Transform table'!A:B,2,0)</f>
        <v>VMFD Zalgiris</v>
      </c>
      <c r="Y95" t="str">
        <f>VLOOKUP(F95,'Transform table'!A:B,2,0)</f>
        <v>Hegelmann Litauen</v>
      </c>
      <c r="Z95" t="str">
        <f>C95&amp;X95&amp;Y95</f>
        <v>24/07/2026VMFD ZalgirisHegelmann Litauen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x14ac:dyDescent="0.2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tr">
        <f>VLOOKUP(E96,'Transform table'!A:B,2,0)</f>
        <v>VSK Arhus</v>
      </c>
      <c r="Y96" t="str">
        <f>VLOOKUP(F96,'Transform table'!A:B,2,0)</f>
        <v>Orgryte IS</v>
      </c>
      <c r="Z96" t="str">
        <f>C96&amp;X96&amp;Y96</f>
        <v>24/07/2026VSK ArhusOrgryte IS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x14ac:dyDescent="0.2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>C97&amp;X97&amp;Y97</f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x14ac:dyDescent="0.2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>C98&amp;X98&amp;Y98</f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x14ac:dyDescent="0.2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>C99&amp;X99&amp;Y99</f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x14ac:dyDescent="0.2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>C100&amp;X100&amp;Y100</f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x14ac:dyDescent="0.2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>C101&amp;X101&amp;Y101</f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x14ac:dyDescent="0.2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>C102&amp;X102&amp;Y102</f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x14ac:dyDescent="0.2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>C103&amp;X103&amp;Y103</f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x14ac:dyDescent="0.2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>
        <f>VLOOKUP(E104,'Transform table'!A:B,2,0)</f>
        <v>0</v>
      </c>
      <c r="Y104" t="str">
        <f>VLOOKUP(F104,'Transform table'!A:B,2,0)</f>
        <v>Kopavogs</v>
      </c>
      <c r="Z104" t="str">
        <f>C104&amp;X104&amp;Y104</f>
        <v>24/07/20260Kopavogs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x14ac:dyDescent="0.2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>C105&amp;X105&amp;Y105</f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x14ac:dyDescent="0.2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>C106&amp;X106&amp;Y106</f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x14ac:dyDescent="0.2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str">
        <f>VLOOKUP(E107,'Transform table'!A:B,2,0)</f>
        <v>Vikingur Reykjavik</v>
      </c>
      <c r="Y107" t="str">
        <f>VLOOKUP(F107,'Transform table'!A:B,2,0)</f>
        <v>Keflavik</v>
      </c>
      <c r="Z107" t="str">
        <f>C107&amp;X107&amp;Y107</f>
        <v>24/07/2026Vikingur ReykjavikKeflavik</v>
      </c>
      <c r="AA107" t="str">
        <f>VLOOKUP($Z107,'oddspedia-matches'!$A:$AD,AA$2,0)</f>
        <v>5 - 1</v>
      </c>
      <c r="AB107" t="str">
        <f>VLOOKUP($Z107,'oddspedia-matches'!$A:$AD,AB$2,0)</f>
        <v>Green</v>
      </c>
      <c r="AC107" t="str">
        <f>VLOOKUP($Z107,'oddspedia-matches'!$A:$AD,AC$2,0)</f>
        <v>Red</v>
      </c>
      <c r="AD107" t="str">
        <f>VLOOKUP($Z107,'oddspedia-matches'!$A:$AD,AD$2,0)</f>
        <v>Red</v>
      </c>
      <c r="AE107" t="str">
        <f>VLOOKUP($Z107,'oddspedia-matches'!$A:$AD,AE$2,0)</f>
        <v>Green</v>
      </c>
      <c r="AF107" t="str">
        <f>VLOOKUP($Z107,'oddspedia-matches'!$A:$AD,AF$2,0)</f>
        <v>Red</v>
      </c>
      <c r="AG107" t="str">
        <f>VLOOKUP($Z107,'oddspedia-matches'!$A:$AD,AG$2,0)</f>
        <v>Green</v>
      </c>
      <c r="AH107" t="str">
        <f>VLOOKUP($Z107,'oddspedia-matches'!$A:$AD,AH$2,0)</f>
        <v>Green</v>
      </c>
      <c r="AI107" t="str">
        <f>VLOOKUP($Z107,'oddspedia-matches'!$A:$AD,AI$2,0)</f>
        <v>Red</v>
      </c>
      <c r="AJ107" t="str">
        <f>VLOOKUP($Z107,'oddspedia-matches'!$A:$AD,AJ$2,0)</f>
        <v>Red</v>
      </c>
      <c r="AK107" t="str">
        <f>VLOOKUP($Z107,'oddspedia-matches'!$A:$AD,AK$2,0)</f>
        <v>Green</v>
      </c>
      <c r="AL107" t="str">
        <f>VLOOKUP($Z107,'oddspedia-matches'!$A:$AD,AL$2,0)</f>
        <v>Green</v>
      </c>
      <c r="AM107" t="str">
        <f>VLOOKUP($Z107,'oddspedia-matches'!$A:$AD,AM$2,0)</f>
        <v>Green</v>
      </c>
      <c r="AN107" t="str">
        <f>VLOOKUP($Z107,'oddspedia-matches'!$A:$AD,AN$2,0)</f>
        <v>Red</v>
      </c>
      <c r="AO107" t="str">
        <f>VLOOKUP($Z107,'oddspedia-matches'!$A:$AD,AO$2,0)</f>
        <v>Red</v>
      </c>
      <c r="AP107" t="str">
        <f>VLOOKUP($Z107,'oddspedia-matches'!$A:$AD,AP$2,0)</f>
        <v>Green</v>
      </c>
      <c r="AQ107" t="str">
        <f>VLOOKUP($Z107,'oddspedia-matches'!$A:$AD,AQ$2,0)</f>
        <v>Red</v>
      </c>
    </row>
    <row r="108" spans="2:43" x14ac:dyDescent="0.2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>C108&amp;X108&amp;Y108</f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x14ac:dyDescent="0.2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>C109&amp;X109&amp;Y109</f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x14ac:dyDescent="0.2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>C110&amp;X110&amp;Y110</f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x14ac:dyDescent="0.2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>C111&amp;X111&amp;Y111</f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x14ac:dyDescent="0.2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>C112&amp;X112&amp;Y112</f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x14ac:dyDescent="0.2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>C113&amp;X113&amp;Y113</f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x14ac:dyDescent="0.2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>C114&amp;X114&amp;Y114</f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x14ac:dyDescent="0.2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>C115&amp;X115&amp;Y115</f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x14ac:dyDescent="0.2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>C116&amp;X116&amp;Y116</f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x14ac:dyDescent="0.2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tr">
        <f>VLOOKUP(E117,'Transform table'!A:B,2,0)</f>
        <v>Arouca</v>
      </c>
      <c r="Y117" t="str">
        <f>VLOOKUP(F117,'Transform table'!A:B,2,0)</f>
        <v>ABB</v>
      </c>
      <c r="Z117" t="str">
        <f>C117&amp;X117&amp;Y117</f>
        <v>24/07/2026AroucaABB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x14ac:dyDescent="0.2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>C118&amp;X118&amp;Y118</f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x14ac:dyDescent="0.2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>C119&amp;X119&amp;Y119</f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x14ac:dyDescent="0.2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>C120&amp;X120&amp;Y120</f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x14ac:dyDescent="0.2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>
        <f>VLOOKUP(E121,'Transform table'!A:B,2,0)</f>
        <v>0</v>
      </c>
      <c r="Y121">
        <f>VLOOKUP(F121,'Transform table'!A:B,2,0)</f>
        <v>0</v>
      </c>
      <c r="Z121" t="str">
        <f>C121&amp;X121&amp;Y121</f>
        <v>24/07/202600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x14ac:dyDescent="0.2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>C122&amp;X122&amp;Y122</f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x14ac:dyDescent="0.2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>C123&amp;X123&amp;Y123</f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x14ac:dyDescent="0.2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>C124&amp;X124&amp;Y124</f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x14ac:dyDescent="0.2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>C125&amp;X125&amp;Y125</f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x14ac:dyDescent="0.2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>C126&amp;X126&amp;Y126</f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x14ac:dyDescent="0.2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>C127&amp;X127&amp;Y127</f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x14ac:dyDescent="0.2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>C128&amp;X128&amp;Y128</f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x14ac:dyDescent="0.2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>C129&amp;X129&amp;Y129</f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x14ac:dyDescent="0.2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>
        <f>VLOOKUP(E130,'Transform table'!A:B,2,0)</f>
        <v>0</v>
      </c>
      <c r="Y130" t="e">
        <f>VLOOKUP(F130,'Transform table'!A:B,2,0)</f>
        <v>#N/A</v>
      </c>
      <c r="Z130" t="e">
        <f>C130&amp;X130&amp;Y130</f>
        <v>#N/A</v>
      </c>
      <c r="AA130" t="e">
        <f>VLOOKUP($Z130,'oddspedia-matches'!$A:$AD,AA$2,0)</f>
        <v>#N/A</v>
      </c>
      <c r="AB130" t="e">
        <f>VLOOKUP($Z130,'oddspedia-matches'!$A:$AD,AB$2,0)</f>
        <v>#N/A</v>
      </c>
      <c r="AC130" t="e">
        <f>VLOOKUP($Z130,'oddspedia-matches'!$A:$AD,AC$2,0)</f>
        <v>#N/A</v>
      </c>
      <c r="AD130" t="e">
        <f>VLOOKUP($Z130,'oddspedia-matches'!$A:$AD,AD$2,0)</f>
        <v>#N/A</v>
      </c>
      <c r="AE130" t="e">
        <f>VLOOKUP($Z130,'oddspedia-matches'!$A:$AD,AE$2,0)</f>
        <v>#N/A</v>
      </c>
      <c r="AF130" t="e">
        <f>VLOOKUP($Z130,'oddspedia-matches'!$A:$AD,AF$2,0)</f>
        <v>#N/A</v>
      </c>
      <c r="AG130" t="e">
        <f>VLOOKUP($Z130,'oddspedia-matches'!$A:$AD,AG$2,0)</f>
        <v>#N/A</v>
      </c>
      <c r="AH130" t="e">
        <f>VLOOKUP($Z130,'oddspedia-matches'!$A:$AD,AH$2,0)</f>
        <v>#N/A</v>
      </c>
      <c r="AI130" t="e">
        <f>VLOOKUP($Z130,'oddspedia-matches'!$A:$AD,AI$2,0)</f>
        <v>#N/A</v>
      </c>
      <c r="AJ130" t="e">
        <f>VLOOKUP($Z130,'oddspedia-matches'!$A:$AD,AJ$2,0)</f>
        <v>#N/A</v>
      </c>
      <c r="AK130" t="e">
        <f>VLOOKUP($Z130,'oddspedia-matches'!$A:$AD,AK$2,0)</f>
        <v>#N/A</v>
      </c>
      <c r="AL130" t="e">
        <f>VLOOKUP($Z130,'oddspedia-matches'!$A:$AD,AL$2,0)</f>
        <v>#N/A</v>
      </c>
      <c r="AM130" t="e">
        <f>VLOOKUP($Z130,'oddspedia-matches'!$A:$AD,AM$2,0)</f>
        <v>#N/A</v>
      </c>
      <c r="AN130" t="e">
        <f>VLOOKUP($Z130,'oddspedia-matches'!$A:$AD,AN$2,0)</f>
        <v>#N/A</v>
      </c>
      <c r="AO130" t="e">
        <f>VLOOKUP($Z130,'oddspedia-matches'!$A:$AD,AO$2,0)</f>
        <v>#N/A</v>
      </c>
      <c r="AP130" t="e">
        <f>VLOOKUP($Z130,'oddspedia-matches'!$A:$AD,AP$2,0)</f>
        <v>#N/A</v>
      </c>
      <c r="AQ130" t="e">
        <f>VLOOKUP($Z130,'oddspedia-matches'!$A:$AD,AQ$2,0)</f>
        <v>#N/A</v>
      </c>
    </row>
    <row r="131" spans="2:43" x14ac:dyDescent="0.2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</v>
      </c>
      <c r="Y131" t="e">
        <f>VLOOKUP(F131,'Transform table'!A:B,2,0)</f>
        <v>#N/A</v>
      </c>
      <c r="Z131" t="e">
        <f>C131&amp;X131&amp;Y131</f>
        <v>#N/A</v>
      </c>
      <c r="AA131" t="e">
        <f>VLOOKUP($Z131,'oddspedia-matches'!$A:$AD,AA$2,0)</f>
        <v>#N/A</v>
      </c>
      <c r="AB131" t="e">
        <f>VLOOKUP($Z131,'oddspedia-matches'!$A:$AD,AB$2,0)</f>
        <v>#N/A</v>
      </c>
      <c r="AC131" t="e">
        <f>VLOOKUP($Z131,'oddspedia-matches'!$A:$AD,AC$2,0)</f>
        <v>#N/A</v>
      </c>
      <c r="AD131" t="e">
        <f>VLOOKUP($Z131,'oddspedia-matches'!$A:$AD,AD$2,0)</f>
        <v>#N/A</v>
      </c>
      <c r="AE131" t="e">
        <f>VLOOKUP($Z131,'oddspedia-matches'!$A:$AD,AE$2,0)</f>
        <v>#N/A</v>
      </c>
      <c r="AF131" t="e">
        <f>VLOOKUP($Z131,'oddspedia-matches'!$A:$AD,AF$2,0)</f>
        <v>#N/A</v>
      </c>
      <c r="AG131" t="e">
        <f>VLOOKUP($Z131,'oddspedia-matches'!$A:$AD,AG$2,0)</f>
        <v>#N/A</v>
      </c>
      <c r="AH131" t="e">
        <f>VLOOKUP($Z131,'oddspedia-matches'!$A:$AD,AH$2,0)</f>
        <v>#N/A</v>
      </c>
      <c r="AI131" t="e">
        <f>VLOOKUP($Z131,'oddspedia-matches'!$A:$AD,AI$2,0)</f>
        <v>#N/A</v>
      </c>
      <c r="AJ131" t="e">
        <f>VLOOKUP($Z131,'oddspedia-matches'!$A:$AD,AJ$2,0)</f>
        <v>#N/A</v>
      </c>
      <c r="AK131" t="e">
        <f>VLOOKUP($Z131,'oddspedia-matches'!$A:$AD,AK$2,0)</f>
        <v>#N/A</v>
      </c>
      <c r="AL131" t="e">
        <f>VLOOKUP($Z131,'oddspedia-matches'!$A:$AD,AL$2,0)</f>
        <v>#N/A</v>
      </c>
      <c r="AM131" t="e">
        <f>VLOOKUP($Z131,'oddspedia-matches'!$A:$AD,AM$2,0)</f>
        <v>#N/A</v>
      </c>
      <c r="AN131" t="e">
        <f>VLOOKUP($Z131,'oddspedia-matches'!$A:$AD,AN$2,0)</f>
        <v>#N/A</v>
      </c>
      <c r="AO131" t="e">
        <f>VLOOKUP($Z131,'oddspedia-matches'!$A:$AD,AO$2,0)</f>
        <v>#N/A</v>
      </c>
      <c r="AP131" t="e">
        <f>VLOOKUP($Z131,'oddspedia-matches'!$A:$AD,AP$2,0)</f>
        <v>#N/A</v>
      </c>
      <c r="AQ131" t="e">
        <f>VLOOKUP($Z131,'oddspedia-matches'!$A:$AD,AQ$2,0)</f>
        <v>#N/A</v>
      </c>
    </row>
    <row r="132" spans="2:43" x14ac:dyDescent="0.2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e">
        <f>VLOOKUP(F132,'Transform table'!A:B,2,0)</f>
        <v>#N/A</v>
      </c>
      <c r="Z132" t="e">
        <f>C132&amp;X132&amp;Y132</f>
        <v>#N/A</v>
      </c>
      <c r="AA132" t="e">
        <f>VLOOKUP($Z132,'oddspedia-matches'!$A:$AD,AA$2,0)</f>
        <v>#N/A</v>
      </c>
      <c r="AB132" t="e">
        <f>VLOOKUP($Z132,'oddspedia-matches'!$A:$AD,AB$2,0)</f>
        <v>#N/A</v>
      </c>
      <c r="AC132" t="e">
        <f>VLOOKUP($Z132,'oddspedia-matches'!$A:$AD,AC$2,0)</f>
        <v>#N/A</v>
      </c>
      <c r="AD132" t="e">
        <f>VLOOKUP($Z132,'oddspedia-matches'!$A:$AD,AD$2,0)</f>
        <v>#N/A</v>
      </c>
      <c r="AE132" t="e">
        <f>VLOOKUP($Z132,'oddspedia-matches'!$A:$AD,AE$2,0)</f>
        <v>#N/A</v>
      </c>
      <c r="AF132" t="e">
        <f>VLOOKUP($Z132,'oddspedia-matches'!$A:$AD,AF$2,0)</f>
        <v>#N/A</v>
      </c>
      <c r="AG132" t="e">
        <f>VLOOKUP($Z132,'oddspedia-matches'!$A:$AD,AG$2,0)</f>
        <v>#N/A</v>
      </c>
      <c r="AH132" t="e">
        <f>VLOOKUP($Z132,'oddspedia-matches'!$A:$AD,AH$2,0)</f>
        <v>#N/A</v>
      </c>
      <c r="AI132" t="e">
        <f>VLOOKUP($Z132,'oddspedia-matches'!$A:$AD,AI$2,0)</f>
        <v>#N/A</v>
      </c>
      <c r="AJ132" t="e">
        <f>VLOOKUP($Z132,'oddspedia-matches'!$A:$AD,AJ$2,0)</f>
        <v>#N/A</v>
      </c>
      <c r="AK132" t="e">
        <f>VLOOKUP($Z132,'oddspedia-matches'!$A:$AD,AK$2,0)</f>
        <v>#N/A</v>
      </c>
      <c r="AL132" t="e">
        <f>VLOOKUP($Z132,'oddspedia-matches'!$A:$AD,AL$2,0)</f>
        <v>#N/A</v>
      </c>
      <c r="AM132" t="e">
        <f>VLOOKUP($Z132,'oddspedia-matches'!$A:$AD,AM$2,0)</f>
        <v>#N/A</v>
      </c>
      <c r="AN132" t="e">
        <f>VLOOKUP($Z132,'oddspedia-matches'!$A:$AD,AN$2,0)</f>
        <v>#N/A</v>
      </c>
      <c r="AO132" t="e">
        <f>VLOOKUP($Z132,'oddspedia-matches'!$A:$AD,AO$2,0)</f>
        <v>#N/A</v>
      </c>
      <c r="AP132" t="e">
        <f>VLOOKUP($Z132,'oddspedia-matches'!$A:$AD,AP$2,0)</f>
        <v>#N/A</v>
      </c>
      <c r="AQ132" t="e">
        <f>VLOOKUP($Z132,'oddspedia-matches'!$A:$AD,AQ$2,0)</f>
        <v>#N/A</v>
      </c>
    </row>
    <row r="133" spans="2:43" x14ac:dyDescent="0.2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>
        <f>VLOOKUP(E133,'Transform table'!A:B,2,0)</f>
        <v>0</v>
      </c>
      <c r="Y133" t="str">
        <f>VLOOKUP(F133,'Transform table'!A:B,2,0)</f>
        <v>Launceston City</v>
      </c>
      <c r="Z133" t="str">
        <f>C133&amp;X133&amp;Y133</f>
        <v>25/07/20260Launceston City</v>
      </c>
      <c r="AA133" t="e">
        <f>VLOOKUP($Z133,'oddspedia-matches'!$A:$AD,AA$2,0)</f>
        <v>#N/A</v>
      </c>
      <c r="AB133" t="e">
        <f>VLOOKUP($Z133,'oddspedia-matches'!$A:$AD,AB$2,0)</f>
        <v>#N/A</v>
      </c>
      <c r="AC133" t="e">
        <f>VLOOKUP($Z133,'oddspedia-matches'!$A:$AD,AC$2,0)</f>
        <v>#N/A</v>
      </c>
      <c r="AD133" t="e">
        <f>VLOOKUP($Z133,'oddspedia-matches'!$A:$AD,AD$2,0)</f>
        <v>#N/A</v>
      </c>
      <c r="AE133" t="e">
        <f>VLOOKUP($Z133,'oddspedia-matches'!$A:$AD,AE$2,0)</f>
        <v>#N/A</v>
      </c>
      <c r="AF133" t="e">
        <f>VLOOKUP($Z133,'oddspedia-matches'!$A:$AD,AF$2,0)</f>
        <v>#N/A</v>
      </c>
      <c r="AG133" t="e">
        <f>VLOOKUP($Z133,'oddspedia-matches'!$A:$AD,AG$2,0)</f>
        <v>#N/A</v>
      </c>
      <c r="AH133" t="e">
        <f>VLOOKUP($Z133,'oddspedia-matches'!$A:$AD,AH$2,0)</f>
        <v>#N/A</v>
      </c>
      <c r="AI133" t="e">
        <f>VLOOKUP($Z133,'oddspedia-matches'!$A:$AD,AI$2,0)</f>
        <v>#N/A</v>
      </c>
      <c r="AJ133" t="e">
        <f>VLOOKUP($Z133,'oddspedia-matches'!$A:$AD,AJ$2,0)</f>
        <v>#N/A</v>
      </c>
      <c r="AK133" t="e">
        <f>VLOOKUP($Z133,'oddspedia-matches'!$A:$AD,AK$2,0)</f>
        <v>#N/A</v>
      </c>
      <c r="AL133" t="e">
        <f>VLOOKUP($Z133,'oddspedia-matches'!$A:$AD,AL$2,0)</f>
        <v>#N/A</v>
      </c>
      <c r="AM133" t="e">
        <f>VLOOKUP($Z133,'oddspedia-matches'!$A:$AD,AM$2,0)</f>
        <v>#N/A</v>
      </c>
      <c r="AN133" t="e">
        <f>VLOOKUP($Z133,'oddspedia-matches'!$A:$AD,AN$2,0)</f>
        <v>#N/A</v>
      </c>
      <c r="AO133" t="e">
        <f>VLOOKUP($Z133,'oddspedia-matches'!$A:$AD,AO$2,0)</f>
        <v>#N/A</v>
      </c>
      <c r="AP133" t="e">
        <f>VLOOKUP($Z133,'oddspedia-matches'!$A:$AD,AP$2,0)</f>
        <v>#N/A</v>
      </c>
      <c r="AQ133" t="e">
        <f>VLOOKUP($Z133,'oddspedia-matches'!$A:$AD,AQ$2,0)</f>
        <v>#N/A</v>
      </c>
    </row>
    <row r="134" spans="2:43" x14ac:dyDescent="0.2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>
        <f>VLOOKUP(E134,'Transform table'!A:B,2,0)</f>
        <v>0</v>
      </c>
      <c r="Y134" t="str">
        <f>VLOOKUP(F134,'Transform table'!A:B,2,0)</f>
        <v>Canberra White Eagles</v>
      </c>
      <c r="Z134" t="str">
        <f>C134&amp;X134&amp;Y134</f>
        <v>25/07/20260Canberra White Eagles</v>
      </c>
      <c r="AA134" t="e">
        <f>VLOOKUP($Z134,'oddspedia-matches'!$A:$AD,AA$2,0)</f>
        <v>#N/A</v>
      </c>
      <c r="AB134" t="e">
        <f>VLOOKUP($Z134,'oddspedia-matches'!$A:$AD,AB$2,0)</f>
        <v>#N/A</v>
      </c>
      <c r="AC134" t="e">
        <f>VLOOKUP($Z134,'oddspedia-matches'!$A:$AD,AC$2,0)</f>
        <v>#N/A</v>
      </c>
      <c r="AD134" t="e">
        <f>VLOOKUP($Z134,'oddspedia-matches'!$A:$AD,AD$2,0)</f>
        <v>#N/A</v>
      </c>
      <c r="AE134" t="e">
        <f>VLOOKUP($Z134,'oddspedia-matches'!$A:$AD,AE$2,0)</f>
        <v>#N/A</v>
      </c>
      <c r="AF134" t="e">
        <f>VLOOKUP($Z134,'oddspedia-matches'!$A:$AD,AF$2,0)</f>
        <v>#N/A</v>
      </c>
      <c r="AG134" t="e">
        <f>VLOOKUP($Z134,'oddspedia-matches'!$A:$AD,AG$2,0)</f>
        <v>#N/A</v>
      </c>
      <c r="AH134" t="e">
        <f>VLOOKUP($Z134,'oddspedia-matches'!$A:$AD,AH$2,0)</f>
        <v>#N/A</v>
      </c>
      <c r="AI134" t="e">
        <f>VLOOKUP($Z134,'oddspedia-matches'!$A:$AD,AI$2,0)</f>
        <v>#N/A</v>
      </c>
      <c r="AJ134" t="e">
        <f>VLOOKUP($Z134,'oddspedia-matches'!$A:$AD,AJ$2,0)</f>
        <v>#N/A</v>
      </c>
      <c r="AK134" t="e">
        <f>VLOOKUP($Z134,'oddspedia-matches'!$A:$AD,AK$2,0)</f>
        <v>#N/A</v>
      </c>
      <c r="AL134" t="e">
        <f>VLOOKUP($Z134,'oddspedia-matches'!$A:$AD,AL$2,0)</f>
        <v>#N/A</v>
      </c>
      <c r="AM134" t="e">
        <f>VLOOKUP($Z134,'oddspedia-matches'!$A:$AD,AM$2,0)</f>
        <v>#N/A</v>
      </c>
      <c r="AN134" t="e">
        <f>VLOOKUP($Z134,'oddspedia-matches'!$A:$AD,AN$2,0)</f>
        <v>#N/A</v>
      </c>
      <c r="AO134" t="e">
        <f>VLOOKUP($Z134,'oddspedia-matches'!$A:$AD,AO$2,0)</f>
        <v>#N/A</v>
      </c>
      <c r="AP134" t="e">
        <f>VLOOKUP($Z134,'oddspedia-matches'!$A:$AD,AP$2,0)</f>
        <v>#N/A</v>
      </c>
      <c r="AQ134" t="e">
        <f>VLOOKUP($Z134,'oddspedia-matches'!$A:$AD,AQ$2,0)</f>
        <v>#N/A</v>
      </c>
    </row>
    <row r="135" spans="2:43" x14ac:dyDescent="0.2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United</v>
      </c>
      <c r="Y135" t="e">
        <f>VLOOKUP(F135,'Transform table'!A:B,2,0)</f>
        <v>#N/A</v>
      </c>
      <c r="Z135" t="e">
        <f>C135&amp;X135&amp;Y135</f>
        <v>#N/A</v>
      </c>
      <c r="AA135" t="e">
        <f>VLOOKUP($Z135,'oddspedia-matches'!$A:$AD,AA$2,0)</f>
        <v>#N/A</v>
      </c>
      <c r="AB135" t="e">
        <f>VLOOKUP($Z135,'oddspedia-matches'!$A:$AD,AB$2,0)</f>
        <v>#N/A</v>
      </c>
      <c r="AC135" t="e">
        <f>VLOOKUP($Z135,'oddspedia-matches'!$A:$AD,AC$2,0)</f>
        <v>#N/A</v>
      </c>
      <c r="AD135" t="e">
        <f>VLOOKUP($Z135,'oddspedia-matches'!$A:$AD,AD$2,0)</f>
        <v>#N/A</v>
      </c>
      <c r="AE135" t="e">
        <f>VLOOKUP($Z135,'oddspedia-matches'!$A:$AD,AE$2,0)</f>
        <v>#N/A</v>
      </c>
      <c r="AF135" t="e">
        <f>VLOOKUP($Z135,'oddspedia-matches'!$A:$AD,AF$2,0)</f>
        <v>#N/A</v>
      </c>
      <c r="AG135" t="e">
        <f>VLOOKUP($Z135,'oddspedia-matches'!$A:$AD,AG$2,0)</f>
        <v>#N/A</v>
      </c>
      <c r="AH135" t="e">
        <f>VLOOKUP($Z135,'oddspedia-matches'!$A:$AD,AH$2,0)</f>
        <v>#N/A</v>
      </c>
      <c r="AI135" t="e">
        <f>VLOOKUP($Z135,'oddspedia-matches'!$A:$AD,AI$2,0)</f>
        <v>#N/A</v>
      </c>
      <c r="AJ135" t="e">
        <f>VLOOKUP($Z135,'oddspedia-matches'!$A:$AD,AJ$2,0)</f>
        <v>#N/A</v>
      </c>
      <c r="AK135" t="e">
        <f>VLOOKUP($Z135,'oddspedia-matches'!$A:$AD,AK$2,0)</f>
        <v>#N/A</v>
      </c>
      <c r="AL135" t="e">
        <f>VLOOKUP($Z135,'oddspedia-matches'!$A:$AD,AL$2,0)</f>
        <v>#N/A</v>
      </c>
      <c r="AM135" t="e">
        <f>VLOOKUP($Z135,'oddspedia-matches'!$A:$AD,AM$2,0)</f>
        <v>#N/A</v>
      </c>
      <c r="AN135" t="e">
        <f>VLOOKUP($Z135,'oddspedia-matches'!$A:$AD,AN$2,0)</f>
        <v>#N/A</v>
      </c>
      <c r="AO135" t="e">
        <f>VLOOKUP($Z135,'oddspedia-matches'!$A:$AD,AO$2,0)</f>
        <v>#N/A</v>
      </c>
      <c r="AP135" t="e">
        <f>VLOOKUP($Z135,'oddspedia-matches'!$A:$AD,AP$2,0)</f>
        <v>#N/A</v>
      </c>
      <c r="AQ135" t="e">
        <f>VLOOKUP($Z135,'oddspedia-matches'!$A:$AD,AQ$2,0)</f>
        <v>#N/A</v>
      </c>
    </row>
    <row r="136" spans="2:43" x14ac:dyDescent="0.2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>
        <f>VLOOKUP(E136,'Transform table'!A:B,2,0)</f>
        <v>0</v>
      </c>
      <c r="Y136" t="e">
        <f>VLOOKUP(F136,'Transform table'!A:B,2,0)</f>
        <v>#N/A</v>
      </c>
      <c r="Z136" t="e">
        <f>C136&amp;X136&amp;Y136</f>
        <v>#N/A</v>
      </c>
      <c r="AA136" t="e">
        <f>VLOOKUP($Z136,'oddspedia-matches'!$A:$AD,AA$2,0)</f>
        <v>#N/A</v>
      </c>
      <c r="AB136" t="e">
        <f>VLOOKUP($Z136,'oddspedia-matches'!$A:$AD,AB$2,0)</f>
        <v>#N/A</v>
      </c>
      <c r="AC136" t="e">
        <f>VLOOKUP($Z136,'oddspedia-matches'!$A:$AD,AC$2,0)</f>
        <v>#N/A</v>
      </c>
      <c r="AD136" t="e">
        <f>VLOOKUP($Z136,'oddspedia-matches'!$A:$AD,AD$2,0)</f>
        <v>#N/A</v>
      </c>
      <c r="AE136" t="e">
        <f>VLOOKUP($Z136,'oddspedia-matches'!$A:$AD,AE$2,0)</f>
        <v>#N/A</v>
      </c>
      <c r="AF136" t="e">
        <f>VLOOKUP($Z136,'oddspedia-matches'!$A:$AD,AF$2,0)</f>
        <v>#N/A</v>
      </c>
      <c r="AG136" t="e">
        <f>VLOOKUP($Z136,'oddspedia-matches'!$A:$AD,AG$2,0)</f>
        <v>#N/A</v>
      </c>
      <c r="AH136" t="e">
        <f>VLOOKUP($Z136,'oddspedia-matches'!$A:$AD,AH$2,0)</f>
        <v>#N/A</v>
      </c>
      <c r="AI136" t="e">
        <f>VLOOKUP($Z136,'oddspedia-matches'!$A:$AD,AI$2,0)</f>
        <v>#N/A</v>
      </c>
      <c r="AJ136" t="e">
        <f>VLOOKUP($Z136,'oddspedia-matches'!$A:$AD,AJ$2,0)</f>
        <v>#N/A</v>
      </c>
      <c r="AK136" t="e">
        <f>VLOOKUP($Z136,'oddspedia-matches'!$A:$AD,AK$2,0)</f>
        <v>#N/A</v>
      </c>
      <c r="AL136" t="e">
        <f>VLOOKUP($Z136,'oddspedia-matches'!$A:$AD,AL$2,0)</f>
        <v>#N/A</v>
      </c>
      <c r="AM136" t="e">
        <f>VLOOKUP($Z136,'oddspedia-matches'!$A:$AD,AM$2,0)</f>
        <v>#N/A</v>
      </c>
      <c r="AN136" t="e">
        <f>VLOOKUP($Z136,'oddspedia-matches'!$A:$AD,AN$2,0)</f>
        <v>#N/A</v>
      </c>
      <c r="AO136" t="e">
        <f>VLOOKUP($Z136,'oddspedia-matches'!$A:$AD,AO$2,0)</f>
        <v>#N/A</v>
      </c>
      <c r="AP136" t="e">
        <f>VLOOKUP($Z136,'oddspedia-matches'!$A:$AD,AP$2,0)</f>
        <v>#N/A</v>
      </c>
      <c r="AQ136" t="e">
        <f>VLOOKUP($Z136,'oddspedia-matches'!$A:$AD,AQ$2,0)</f>
        <v>#N/A</v>
      </c>
    </row>
    <row r="137" spans="2:43" x14ac:dyDescent="0.2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>
        <f>VLOOKUP(E137,'Transform table'!A:B,2,0)</f>
        <v>0</v>
      </c>
      <c r="Y137" t="e">
        <f>VLOOKUP(F137,'Transform table'!A:B,2,0)</f>
        <v>#N/A</v>
      </c>
      <c r="Z137" t="e">
        <f>C137&amp;X137&amp;Y137</f>
        <v>#N/A</v>
      </c>
      <c r="AA137" t="e">
        <f>VLOOKUP($Z137,'oddspedia-matches'!$A:$AD,AA$2,0)</f>
        <v>#N/A</v>
      </c>
      <c r="AB137" t="e">
        <f>VLOOKUP($Z137,'oddspedia-matches'!$A:$AD,AB$2,0)</f>
        <v>#N/A</v>
      </c>
      <c r="AC137" t="e">
        <f>VLOOKUP($Z137,'oddspedia-matches'!$A:$AD,AC$2,0)</f>
        <v>#N/A</v>
      </c>
      <c r="AD137" t="e">
        <f>VLOOKUP($Z137,'oddspedia-matches'!$A:$AD,AD$2,0)</f>
        <v>#N/A</v>
      </c>
      <c r="AE137" t="e">
        <f>VLOOKUP($Z137,'oddspedia-matches'!$A:$AD,AE$2,0)</f>
        <v>#N/A</v>
      </c>
      <c r="AF137" t="e">
        <f>VLOOKUP($Z137,'oddspedia-matches'!$A:$AD,AF$2,0)</f>
        <v>#N/A</v>
      </c>
      <c r="AG137" t="e">
        <f>VLOOKUP($Z137,'oddspedia-matches'!$A:$AD,AG$2,0)</f>
        <v>#N/A</v>
      </c>
      <c r="AH137" t="e">
        <f>VLOOKUP($Z137,'oddspedia-matches'!$A:$AD,AH$2,0)</f>
        <v>#N/A</v>
      </c>
      <c r="AI137" t="e">
        <f>VLOOKUP($Z137,'oddspedia-matches'!$A:$AD,AI$2,0)</f>
        <v>#N/A</v>
      </c>
      <c r="AJ137" t="e">
        <f>VLOOKUP($Z137,'oddspedia-matches'!$A:$AD,AJ$2,0)</f>
        <v>#N/A</v>
      </c>
      <c r="AK137" t="e">
        <f>VLOOKUP($Z137,'oddspedia-matches'!$A:$AD,AK$2,0)</f>
        <v>#N/A</v>
      </c>
      <c r="AL137" t="e">
        <f>VLOOKUP($Z137,'oddspedia-matches'!$A:$AD,AL$2,0)</f>
        <v>#N/A</v>
      </c>
      <c r="AM137" t="e">
        <f>VLOOKUP($Z137,'oddspedia-matches'!$A:$AD,AM$2,0)</f>
        <v>#N/A</v>
      </c>
      <c r="AN137" t="e">
        <f>VLOOKUP($Z137,'oddspedia-matches'!$A:$AD,AN$2,0)</f>
        <v>#N/A</v>
      </c>
      <c r="AO137" t="e">
        <f>VLOOKUP($Z137,'oddspedia-matches'!$A:$AD,AO$2,0)</f>
        <v>#N/A</v>
      </c>
      <c r="AP137" t="e">
        <f>VLOOKUP($Z137,'oddspedia-matches'!$A:$AD,AP$2,0)</f>
        <v>#N/A</v>
      </c>
      <c r="AQ137" t="e">
        <f>VLOOKUP($Z137,'oddspedia-matches'!$A:$AD,AQ$2,0)</f>
        <v>#N/A</v>
      </c>
    </row>
    <row r="138" spans="2:43" x14ac:dyDescent="0.2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>
        <f>VLOOKUP(E138,'Transform table'!A:B,2,0)</f>
        <v>0</v>
      </c>
      <c r="Y138" t="e">
        <f>VLOOKUP(F138,'Transform table'!A:B,2,0)</f>
        <v>#N/A</v>
      </c>
      <c r="Z138" t="e">
        <f>C138&amp;X138&amp;Y138</f>
        <v>#N/A</v>
      </c>
      <c r="AA138" t="e">
        <f>VLOOKUP($Z138,'oddspedia-matches'!$A:$AD,AA$2,0)</f>
        <v>#N/A</v>
      </c>
      <c r="AB138" t="e">
        <f>VLOOKUP($Z138,'oddspedia-matches'!$A:$AD,AB$2,0)</f>
        <v>#N/A</v>
      </c>
      <c r="AC138" t="e">
        <f>VLOOKUP($Z138,'oddspedia-matches'!$A:$AD,AC$2,0)</f>
        <v>#N/A</v>
      </c>
      <c r="AD138" t="e">
        <f>VLOOKUP($Z138,'oddspedia-matches'!$A:$AD,AD$2,0)</f>
        <v>#N/A</v>
      </c>
      <c r="AE138" t="e">
        <f>VLOOKUP($Z138,'oddspedia-matches'!$A:$AD,AE$2,0)</f>
        <v>#N/A</v>
      </c>
      <c r="AF138" t="e">
        <f>VLOOKUP($Z138,'oddspedia-matches'!$A:$AD,AF$2,0)</f>
        <v>#N/A</v>
      </c>
      <c r="AG138" t="e">
        <f>VLOOKUP($Z138,'oddspedia-matches'!$A:$AD,AG$2,0)</f>
        <v>#N/A</v>
      </c>
      <c r="AH138" t="e">
        <f>VLOOKUP($Z138,'oddspedia-matches'!$A:$AD,AH$2,0)</f>
        <v>#N/A</v>
      </c>
      <c r="AI138" t="e">
        <f>VLOOKUP($Z138,'oddspedia-matches'!$A:$AD,AI$2,0)</f>
        <v>#N/A</v>
      </c>
      <c r="AJ138" t="e">
        <f>VLOOKUP($Z138,'oddspedia-matches'!$A:$AD,AJ$2,0)</f>
        <v>#N/A</v>
      </c>
      <c r="AK138" t="e">
        <f>VLOOKUP($Z138,'oddspedia-matches'!$A:$AD,AK$2,0)</f>
        <v>#N/A</v>
      </c>
      <c r="AL138" t="e">
        <f>VLOOKUP($Z138,'oddspedia-matches'!$A:$AD,AL$2,0)</f>
        <v>#N/A</v>
      </c>
      <c r="AM138" t="e">
        <f>VLOOKUP($Z138,'oddspedia-matches'!$A:$AD,AM$2,0)</f>
        <v>#N/A</v>
      </c>
      <c r="AN138" t="e">
        <f>VLOOKUP($Z138,'oddspedia-matches'!$A:$AD,AN$2,0)</f>
        <v>#N/A</v>
      </c>
      <c r="AO138" t="e">
        <f>VLOOKUP($Z138,'oddspedia-matches'!$A:$AD,AO$2,0)</f>
        <v>#N/A</v>
      </c>
      <c r="AP138" t="e">
        <f>VLOOKUP($Z138,'oddspedia-matches'!$A:$AD,AP$2,0)</f>
        <v>#N/A</v>
      </c>
      <c r="AQ138" t="e">
        <f>VLOOKUP($Z138,'oddspedia-matches'!$A:$AD,AQ$2,0)</f>
        <v>#N/A</v>
      </c>
    </row>
    <row r="139" spans="2:43" x14ac:dyDescent="0.2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>
        <f>VLOOKUP(E139,'Transform table'!A:B,2,0)</f>
        <v>0</v>
      </c>
      <c r="Y139" t="e">
        <f>VLOOKUP(F139,'Transform table'!A:B,2,0)</f>
        <v>#N/A</v>
      </c>
      <c r="Z139" t="e">
        <f>C139&amp;X139&amp;Y139</f>
        <v>#N/A</v>
      </c>
      <c r="AA139" t="e">
        <f>VLOOKUP($Z139,'oddspedia-matches'!$A:$AD,AA$2,0)</f>
        <v>#N/A</v>
      </c>
      <c r="AB139" t="e">
        <f>VLOOKUP($Z139,'oddspedia-matches'!$A:$AD,AB$2,0)</f>
        <v>#N/A</v>
      </c>
      <c r="AC139" t="e">
        <f>VLOOKUP($Z139,'oddspedia-matches'!$A:$AD,AC$2,0)</f>
        <v>#N/A</v>
      </c>
      <c r="AD139" t="e">
        <f>VLOOKUP($Z139,'oddspedia-matches'!$A:$AD,AD$2,0)</f>
        <v>#N/A</v>
      </c>
      <c r="AE139" t="e">
        <f>VLOOKUP($Z139,'oddspedia-matches'!$A:$AD,AE$2,0)</f>
        <v>#N/A</v>
      </c>
      <c r="AF139" t="e">
        <f>VLOOKUP($Z139,'oddspedia-matches'!$A:$AD,AF$2,0)</f>
        <v>#N/A</v>
      </c>
      <c r="AG139" t="e">
        <f>VLOOKUP($Z139,'oddspedia-matches'!$A:$AD,AG$2,0)</f>
        <v>#N/A</v>
      </c>
      <c r="AH139" t="e">
        <f>VLOOKUP($Z139,'oddspedia-matches'!$A:$AD,AH$2,0)</f>
        <v>#N/A</v>
      </c>
      <c r="AI139" t="e">
        <f>VLOOKUP($Z139,'oddspedia-matches'!$A:$AD,AI$2,0)</f>
        <v>#N/A</v>
      </c>
      <c r="AJ139" t="e">
        <f>VLOOKUP($Z139,'oddspedia-matches'!$A:$AD,AJ$2,0)</f>
        <v>#N/A</v>
      </c>
      <c r="AK139" t="e">
        <f>VLOOKUP($Z139,'oddspedia-matches'!$A:$AD,AK$2,0)</f>
        <v>#N/A</v>
      </c>
      <c r="AL139" t="e">
        <f>VLOOKUP($Z139,'oddspedia-matches'!$A:$AD,AL$2,0)</f>
        <v>#N/A</v>
      </c>
      <c r="AM139" t="e">
        <f>VLOOKUP($Z139,'oddspedia-matches'!$A:$AD,AM$2,0)</f>
        <v>#N/A</v>
      </c>
      <c r="AN139" t="e">
        <f>VLOOKUP($Z139,'oddspedia-matches'!$A:$AD,AN$2,0)</f>
        <v>#N/A</v>
      </c>
      <c r="AO139" t="e">
        <f>VLOOKUP($Z139,'oddspedia-matches'!$A:$AD,AO$2,0)</f>
        <v>#N/A</v>
      </c>
      <c r="AP139" t="e">
        <f>VLOOKUP($Z139,'oddspedia-matches'!$A:$AD,AP$2,0)</f>
        <v>#N/A</v>
      </c>
      <c r="AQ139" t="e">
        <f>VLOOKUP($Z139,'oddspedia-matches'!$A:$AD,AQ$2,0)</f>
        <v>#N/A</v>
      </c>
    </row>
    <row r="140" spans="2:43" x14ac:dyDescent="0.2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>
        <f>VLOOKUP(E140,'Transform table'!A:B,2,0)</f>
        <v>0</v>
      </c>
      <c r="Y140" t="e">
        <f>VLOOKUP(F140,'Transform table'!A:B,2,0)</f>
        <v>#N/A</v>
      </c>
      <c r="Z140" t="e">
        <f>C140&amp;X140&amp;Y140</f>
        <v>#N/A</v>
      </c>
      <c r="AA140" t="e">
        <f>VLOOKUP($Z140,'oddspedia-matches'!$A:$AD,AA$2,0)</f>
        <v>#N/A</v>
      </c>
      <c r="AB140" t="e">
        <f>VLOOKUP($Z140,'oddspedia-matches'!$A:$AD,AB$2,0)</f>
        <v>#N/A</v>
      </c>
      <c r="AC140" t="e">
        <f>VLOOKUP($Z140,'oddspedia-matches'!$A:$AD,AC$2,0)</f>
        <v>#N/A</v>
      </c>
      <c r="AD140" t="e">
        <f>VLOOKUP($Z140,'oddspedia-matches'!$A:$AD,AD$2,0)</f>
        <v>#N/A</v>
      </c>
      <c r="AE140" t="e">
        <f>VLOOKUP($Z140,'oddspedia-matches'!$A:$AD,AE$2,0)</f>
        <v>#N/A</v>
      </c>
      <c r="AF140" t="e">
        <f>VLOOKUP($Z140,'oddspedia-matches'!$A:$AD,AF$2,0)</f>
        <v>#N/A</v>
      </c>
      <c r="AG140" t="e">
        <f>VLOOKUP($Z140,'oddspedia-matches'!$A:$AD,AG$2,0)</f>
        <v>#N/A</v>
      </c>
      <c r="AH140" t="e">
        <f>VLOOKUP($Z140,'oddspedia-matches'!$A:$AD,AH$2,0)</f>
        <v>#N/A</v>
      </c>
      <c r="AI140" t="e">
        <f>VLOOKUP($Z140,'oddspedia-matches'!$A:$AD,AI$2,0)</f>
        <v>#N/A</v>
      </c>
      <c r="AJ140" t="e">
        <f>VLOOKUP($Z140,'oddspedia-matches'!$A:$AD,AJ$2,0)</f>
        <v>#N/A</v>
      </c>
      <c r="AK140" t="e">
        <f>VLOOKUP($Z140,'oddspedia-matches'!$A:$AD,AK$2,0)</f>
        <v>#N/A</v>
      </c>
      <c r="AL140" t="e">
        <f>VLOOKUP($Z140,'oddspedia-matches'!$A:$AD,AL$2,0)</f>
        <v>#N/A</v>
      </c>
      <c r="AM140" t="e">
        <f>VLOOKUP($Z140,'oddspedia-matches'!$A:$AD,AM$2,0)</f>
        <v>#N/A</v>
      </c>
      <c r="AN140" t="e">
        <f>VLOOKUP($Z140,'oddspedia-matches'!$A:$AD,AN$2,0)</f>
        <v>#N/A</v>
      </c>
      <c r="AO140" t="e">
        <f>VLOOKUP($Z140,'oddspedia-matches'!$A:$AD,AO$2,0)</f>
        <v>#N/A</v>
      </c>
      <c r="AP140" t="e">
        <f>VLOOKUP($Z140,'oddspedia-matches'!$A:$AD,AP$2,0)</f>
        <v>#N/A</v>
      </c>
      <c r="AQ140" t="e">
        <f>VLOOKUP($Z140,'oddspedia-matches'!$A:$AD,AQ$2,0)</f>
        <v>#N/A</v>
      </c>
    </row>
    <row r="141" spans="2:43" x14ac:dyDescent="0.2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>
        <f>VLOOKUP(E141,'Transform table'!A:B,2,0)</f>
        <v>0</v>
      </c>
      <c r="Y141" t="e">
        <f>VLOOKUP(F141,'Transform table'!A:B,2,0)</f>
        <v>#N/A</v>
      </c>
      <c r="Z141" t="e">
        <f>C141&amp;X141&amp;Y141</f>
        <v>#N/A</v>
      </c>
      <c r="AA141" t="e">
        <f>VLOOKUP($Z141,'oddspedia-matches'!$A:$AD,AA$2,0)</f>
        <v>#N/A</v>
      </c>
      <c r="AB141" t="e">
        <f>VLOOKUP($Z141,'oddspedia-matches'!$A:$AD,AB$2,0)</f>
        <v>#N/A</v>
      </c>
      <c r="AC141" t="e">
        <f>VLOOKUP($Z141,'oddspedia-matches'!$A:$AD,AC$2,0)</f>
        <v>#N/A</v>
      </c>
      <c r="AD141" t="e">
        <f>VLOOKUP($Z141,'oddspedia-matches'!$A:$AD,AD$2,0)</f>
        <v>#N/A</v>
      </c>
      <c r="AE141" t="e">
        <f>VLOOKUP($Z141,'oddspedia-matches'!$A:$AD,AE$2,0)</f>
        <v>#N/A</v>
      </c>
      <c r="AF141" t="e">
        <f>VLOOKUP($Z141,'oddspedia-matches'!$A:$AD,AF$2,0)</f>
        <v>#N/A</v>
      </c>
      <c r="AG141" t="e">
        <f>VLOOKUP($Z141,'oddspedia-matches'!$A:$AD,AG$2,0)</f>
        <v>#N/A</v>
      </c>
      <c r="AH141" t="e">
        <f>VLOOKUP($Z141,'oddspedia-matches'!$A:$AD,AH$2,0)</f>
        <v>#N/A</v>
      </c>
      <c r="AI141" t="e">
        <f>VLOOKUP($Z141,'oddspedia-matches'!$A:$AD,AI$2,0)</f>
        <v>#N/A</v>
      </c>
      <c r="AJ141" t="e">
        <f>VLOOKUP($Z141,'oddspedia-matches'!$A:$AD,AJ$2,0)</f>
        <v>#N/A</v>
      </c>
      <c r="AK141" t="e">
        <f>VLOOKUP($Z141,'oddspedia-matches'!$A:$AD,AK$2,0)</f>
        <v>#N/A</v>
      </c>
      <c r="AL141" t="e">
        <f>VLOOKUP($Z141,'oddspedia-matches'!$A:$AD,AL$2,0)</f>
        <v>#N/A</v>
      </c>
      <c r="AM141" t="e">
        <f>VLOOKUP($Z141,'oddspedia-matches'!$A:$AD,AM$2,0)</f>
        <v>#N/A</v>
      </c>
      <c r="AN141" t="e">
        <f>VLOOKUP($Z141,'oddspedia-matches'!$A:$AD,AN$2,0)</f>
        <v>#N/A</v>
      </c>
      <c r="AO141" t="e">
        <f>VLOOKUP($Z141,'oddspedia-matches'!$A:$AD,AO$2,0)</f>
        <v>#N/A</v>
      </c>
      <c r="AP141" t="e">
        <f>VLOOKUP($Z141,'oddspedia-matches'!$A:$AD,AP$2,0)</f>
        <v>#N/A</v>
      </c>
      <c r="AQ141" t="e">
        <f>VLOOKUP($Z141,'oddspedia-matches'!$A:$AD,AQ$2,0)</f>
        <v>#N/A</v>
      </c>
    </row>
    <row r="142" spans="2:43" x14ac:dyDescent="0.2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e">
        <f>VLOOKUP(F142,'Transform table'!A:B,2,0)</f>
        <v>#N/A</v>
      </c>
      <c r="Z142" t="e">
        <f>C142&amp;X142&amp;Y142</f>
        <v>#N/A</v>
      </c>
      <c r="AA142" t="e">
        <f>VLOOKUP($Z142,'oddspedia-matches'!$A:$AD,AA$2,0)</f>
        <v>#N/A</v>
      </c>
      <c r="AB142" t="e">
        <f>VLOOKUP($Z142,'oddspedia-matches'!$A:$AD,AB$2,0)</f>
        <v>#N/A</v>
      </c>
      <c r="AC142" t="e">
        <f>VLOOKUP($Z142,'oddspedia-matches'!$A:$AD,AC$2,0)</f>
        <v>#N/A</v>
      </c>
      <c r="AD142" t="e">
        <f>VLOOKUP($Z142,'oddspedia-matches'!$A:$AD,AD$2,0)</f>
        <v>#N/A</v>
      </c>
      <c r="AE142" t="e">
        <f>VLOOKUP($Z142,'oddspedia-matches'!$A:$AD,AE$2,0)</f>
        <v>#N/A</v>
      </c>
      <c r="AF142" t="e">
        <f>VLOOKUP($Z142,'oddspedia-matches'!$A:$AD,AF$2,0)</f>
        <v>#N/A</v>
      </c>
      <c r="AG142" t="e">
        <f>VLOOKUP($Z142,'oddspedia-matches'!$A:$AD,AG$2,0)</f>
        <v>#N/A</v>
      </c>
      <c r="AH142" t="e">
        <f>VLOOKUP($Z142,'oddspedia-matches'!$A:$AD,AH$2,0)</f>
        <v>#N/A</v>
      </c>
      <c r="AI142" t="e">
        <f>VLOOKUP($Z142,'oddspedia-matches'!$A:$AD,AI$2,0)</f>
        <v>#N/A</v>
      </c>
      <c r="AJ142" t="e">
        <f>VLOOKUP($Z142,'oddspedia-matches'!$A:$AD,AJ$2,0)</f>
        <v>#N/A</v>
      </c>
      <c r="AK142" t="e">
        <f>VLOOKUP($Z142,'oddspedia-matches'!$A:$AD,AK$2,0)</f>
        <v>#N/A</v>
      </c>
      <c r="AL142" t="e">
        <f>VLOOKUP($Z142,'oddspedia-matches'!$A:$AD,AL$2,0)</f>
        <v>#N/A</v>
      </c>
      <c r="AM142" t="e">
        <f>VLOOKUP($Z142,'oddspedia-matches'!$A:$AD,AM$2,0)</f>
        <v>#N/A</v>
      </c>
      <c r="AN142" t="e">
        <f>VLOOKUP($Z142,'oddspedia-matches'!$A:$AD,AN$2,0)</f>
        <v>#N/A</v>
      </c>
      <c r="AO142" t="e">
        <f>VLOOKUP($Z142,'oddspedia-matches'!$A:$AD,AO$2,0)</f>
        <v>#N/A</v>
      </c>
      <c r="AP142" t="e">
        <f>VLOOKUP($Z142,'oddspedia-matches'!$A:$AD,AP$2,0)</f>
        <v>#N/A</v>
      </c>
      <c r="AQ142" t="e">
        <f>VLOOKUP($Z142,'oddspedia-matches'!$A:$AD,AQ$2,0)</f>
        <v>#N/A</v>
      </c>
    </row>
    <row r="143" spans="2:43" x14ac:dyDescent="0.2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>
        <f>VLOOKUP(E143,'Transform table'!A:B,2,0)</f>
        <v>0</v>
      </c>
      <c r="Y143" t="e">
        <f>VLOOKUP(F143,'Transform table'!A:B,2,0)</f>
        <v>#N/A</v>
      </c>
      <c r="Z143" t="e">
        <f>C143&amp;X143&amp;Y143</f>
        <v>#N/A</v>
      </c>
      <c r="AA143" t="e">
        <f>VLOOKUP($Z143,'oddspedia-matches'!$A:$AD,AA$2,0)</f>
        <v>#N/A</v>
      </c>
      <c r="AB143" t="e">
        <f>VLOOKUP($Z143,'oddspedia-matches'!$A:$AD,AB$2,0)</f>
        <v>#N/A</v>
      </c>
      <c r="AC143" t="e">
        <f>VLOOKUP($Z143,'oddspedia-matches'!$A:$AD,AC$2,0)</f>
        <v>#N/A</v>
      </c>
      <c r="AD143" t="e">
        <f>VLOOKUP($Z143,'oddspedia-matches'!$A:$AD,AD$2,0)</f>
        <v>#N/A</v>
      </c>
      <c r="AE143" t="e">
        <f>VLOOKUP($Z143,'oddspedia-matches'!$A:$AD,AE$2,0)</f>
        <v>#N/A</v>
      </c>
      <c r="AF143" t="e">
        <f>VLOOKUP($Z143,'oddspedia-matches'!$A:$AD,AF$2,0)</f>
        <v>#N/A</v>
      </c>
      <c r="AG143" t="e">
        <f>VLOOKUP($Z143,'oddspedia-matches'!$A:$AD,AG$2,0)</f>
        <v>#N/A</v>
      </c>
      <c r="AH143" t="e">
        <f>VLOOKUP($Z143,'oddspedia-matches'!$A:$AD,AH$2,0)</f>
        <v>#N/A</v>
      </c>
      <c r="AI143" t="e">
        <f>VLOOKUP($Z143,'oddspedia-matches'!$A:$AD,AI$2,0)</f>
        <v>#N/A</v>
      </c>
      <c r="AJ143" t="e">
        <f>VLOOKUP($Z143,'oddspedia-matches'!$A:$AD,AJ$2,0)</f>
        <v>#N/A</v>
      </c>
      <c r="AK143" t="e">
        <f>VLOOKUP($Z143,'oddspedia-matches'!$A:$AD,AK$2,0)</f>
        <v>#N/A</v>
      </c>
      <c r="AL143" t="e">
        <f>VLOOKUP($Z143,'oddspedia-matches'!$A:$AD,AL$2,0)</f>
        <v>#N/A</v>
      </c>
      <c r="AM143" t="e">
        <f>VLOOKUP($Z143,'oddspedia-matches'!$A:$AD,AM$2,0)</f>
        <v>#N/A</v>
      </c>
      <c r="AN143" t="e">
        <f>VLOOKUP($Z143,'oddspedia-matches'!$A:$AD,AN$2,0)</f>
        <v>#N/A</v>
      </c>
      <c r="AO143" t="e">
        <f>VLOOKUP($Z143,'oddspedia-matches'!$A:$AD,AO$2,0)</f>
        <v>#N/A</v>
      </c>
      <c r="AP143" t="e">
        <f>VLOOKUP($Z143,'oddspedia-matches'!$A:$AD,AP$2,0)</f>
        <v>#N/A</v>
      </c>
      <c r="AQ143" t="e">
        <f>VLOOKUP($Z143,'oddspedia-matches'!$A:$AD,AQ$2,0)</f>
        <v>#N/A</v>
      </c>
    </row>
    <row r="144" spans="2:43" x14ac:dyDescent="0.2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>
        <f>VLOOKUP(E144,'Transform table'!A:B,2,0)</f>
        <v>0</v>
      </c>
      <c r="Y144" t="e">
        <f>VLOOKUP(F144,'Transform table'!A:B,2,0)</f>
        <v>#N/A</v>
      </c>
      <c r="Z144" t="e">
        <f>C144&amp;X144&amp;Y144</f>
        <v>#N/A</v>
      </c>
      <c r="AA144" t="e">
        <f>VLOOKUP($Z144,'oddspedia-matches'!$A:$AD,AA$2,0)</f>
        <v>#N/A</v>
      </c>
      <c r="AB144" t="e">
        <f>VLOOKUP($Z144,'oddspedia-matches'!$A:$AD,AB$2,0)</f>
        <v>#N/A</v>
      </c>
      <c r="AC144" t="e">
        <f>VLOOKUP($Z144,'oddspedia-matches'!$A:$AD,AC$2,0)</f>
        <v>#N/A</v>
      </c>
      <c r="AD144" t="e">
        <f>VLOOKUP($Z144,'oddspedia-matches'!$A:$AD,AD$2,0)</f>
        <v>#N/A</v>
      </c>
      <c r="AE144" t="e">
        <f>VLOOKUP($Z144,'oddspedia-matches'!$A:$AD,AE$2,0)</f>
        <v>#N/A</v>
      </c>
      <c r="AF144" t="e">
        <f>VLOOKUP($Z144,'oddspedia-matches'!$A:$AD,AF$2,0)</f>
        <v>#N/A</v>
      </c>
      <c r="AG144" t="e">
        <f>VLOOKUP($Z144,'oddspedia-matches'!$A:$AD,AG$2,0)</f>
        <v>#N/A</v>
      </c>
      <c r="AH144" t="e">
        <f>VLOOKUP($Z144,'oddspedia-matches'!$A:$AD,AH$2,0)</f>
        <v>#N/A</v>
      </c>
      <c r="AI144" t="e">
        <f>VLOOKUP($Z144,'oddspedia-matches'!$A:$AD,AI$2,0)</f>
        <v>#N/A</v>
      </c>
      <c r="AJ144" t="e">
        <f>VLOOKUP($Z144,'oddspedia-matches'!$A:$AD,AJ$2,0)</f>
        <v>#N/A</v>
      </c>
      <c r="AK144" t="e">
        <f>VLOOKUP($Z144,'oddspedia-matches'!$A:$AD,AK$2,0)</f>
        <v>#N/A</v>
      </c>
      <c r="AL144" t="e">
        <f>VLOOKUP($Z144,'oddspedia-matches'!$A:$AD,AL$2,0)</f>
        <v>#N/A</v>
      </c>
      <c r="AM144" t="e">
        <f>VLOOKUP($Z144,'oddspedia-matches'!$A:$AD,AM$2,0)</f>
        <v>#N/A</v>
      </c>
      <c r="AN144" t="e">
        <f>VLOOKUP($Z144,'oddspedia-matches'!$A:$AD,AN$2,0)</f>
        <v>#N/A</v>
      </c>
      <c r="AO144" t="e">
        <f>VLOOKUP($Z144,'oddspedia-matches'!$A:$AD,AO$2,0)</f>
        <v>#N/A</v>
      </c>
      <c r="AP144" t="e">
        <f>VLOOKUP($Z144,'oddspedia-matches'!$A:$AD,AP$2,0)</f>
        <v>#N/A</v>
      </c>
      <c r="AQ144" t="e">
        <f>VLOOKUP($Z144,'oddspedia-matches'!$A:$AD,AQ$2,0)</f>
        <v>#N/A</v>
      </c>
    </row>
    <row r="145" spans="2:43" x14ac:dyDescent="0.2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>
        <f>VLOOKUP(E145,'Transform table'!A:B,2,0)</f>
        <v>0</v>
      </c>
      <c r="Y145" t="e">
        <f>VLOOKUP(F145,'Transform table'!A:B,2,0)</f>
        <v>#N/A</v>
      </c>
      <c r="Z145" t="e">
        <f>C145&amp;X145&amp;Y145</f>
        <v>#N/A</v>
      </c>
      <c r="AA145" t="e">
        <f>VLOOKUP($Z145,'oddspedia-matches'!$A:$AD,AA$2,0)</f>
        <v>#N/A</v>
      </c>
      <c r="AB145" t="e">
        <f>VLOOKUP($Z145,'oddspedia-matches'!$A:$AD,AB$2,0)</f>
        <v>#N/A</v>
      </c>
      <c r="AC145" t="e">
        <f>VLOOKUP($Z145,'oddspedia-matches'!$A:$AD,AC$2,0)</f>
        <v>#N/A</v>
      </c>
      <c r="AD145" t="e">
        <f>VLOOKUP($Z145,'oddspedia-matches'!$A:$AD,AD$2,0)</f>
        <v>#N/A</v>
      </c>
      <c r="AE145" t="e">
        <f>VLOOKUP($Z145,'oddspedia-matches'!$A:$AD,AE$2,0)</f>
        <v>#N/A</v>
      </c>
      <c r="AF145" t="e">
        <f>VLOOKUP($Z145,'oddspedia-matches'!$A:$AD,AF$2,0)</f>
        <v>#N/A</v>
      </c>
      <c r="AG145" t="e">
        <f>VLOOKUP($Z145,'oddspedia-matches'!$A:$AD,AG$2,0)</f>
        <v>#N/A</v>
      </c>
      <c r="AH145" t="e">
        <f>VLOOKUP($Z145,'oddspedia-matches'!$A:$AD,AH$2,0)</f>
        <v>#N/A</v>
      </c>
      <c r="AI145" t="e">
        <f>VLOOKUP($Z145,'oddspedia-matches'!$A:$AD,AI$2,0)</f>
        <v>#N/A</v>
      </c>
      <c r="AJ145" t="e">
        <f>VLOOKUP($Z145,'oddspedia-matches'!$A:$AD,AJ$2,0)</f>
        <v>#N/A</v>
      </c>
      <c r="AK145" t="e">
        <f>VLOOKUP($Z145,'oddspedia-matches'!$A:$AD,AK$2,0)</f>
        <v>#N/A</v>
      </c>
      <c r="AL145" t="e">
        <f>VLOOKUP($Z145,'oddspedia-matches'!$A:$AD,AL$2,0)</f>
        <v>#N/A</v>
      </c>
      <c r="AM145" t="e">
        <f>VLOOKUP($Z145,'oddspedia-matches'!$A:$AD,AM$2,0)</f>
        <v>#N/A</v>
      </c>
      <c r="AN145" t="e">
        <f>VLOOKUP($Z145,'oddspedia-matches'!$A:$AD,AN$2,0)</f>
        <v>#N/A</v>
      </c>
      <c r="AO145" t="e">
        <f>VLOOKUP($Z145,'oddspedia-matches'!$A:$AD,AO$2,0)</f>
        <v>#N/A</v>
      </c>
      <c r="AP145" t="e">
        <f>VLOOKUP($Z145,'oddspedia-matches'!$A:$AD,AP$2,0)</f>
        <v>#N/A</v>
      </c>
      <c r="AQ145" t="e">
        <f>VLOOKUP($Z145,'oddspedia-matches'!$A:$AD,AQ$2,0)</f>
        <v>#N/A</v>
      </c>
    </row>
    <row r="146" spans="2:43" x14ac:dyDescent="0.2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</v>
      </c>
      <c r="Y146" t="e">
        <f>VLOOKUP(F146,'Transform table'!A:B,2,0)</f>
        <v>#N/A</v>
      </c>
      <c r="Z146" t="e">
        <f>C146&amp;X146&amp;Y146</f>
        <v>#N/A</v>
      </c>
      <c r="AA146" t="e">
        <f>VLOOKUP($Z146,'oddspedia-matches'!$A:$AD,AA$2,0)</f>
        <v>#N/A</v>
      </c>
      <c r="AB146" t="e">
        <f>VLOOKUP($Z146,'oddspedia-matches'!$A:$AD,AB$2,0)</f>
        <v>#N/A</v>
      </c>
      <c r="AC146" t="e">
        <f>VLOOKUP($Z146,'oddspedia-matches'!$A:$AD,AC$2,0)</f>
        <v>#N/A</v>
      </c>
      <c r="AD146" t="e">
        <f>VLOOKUP($Z146,'oddspedia-matches'!$A:$AD,AD$2,0)</f>
        <v>#N/A</v>
      </c>
      <c r="AE146" t="e">
        <f>VLOOKUP($Z146,'oddspedia-matches'!$A:$AD,AE$2,0)</f>
        <v>#N/A</v>
      </c>
      <c r="AF146" t="e">
        <f>VLOOKUP($Z146,'oddspedia-matches'!$A:$AD,AF$2,0)</f>
        <v>#N/A</v>
      </c>
      <c r="AG146" t="e">
        <f>VLOOKUP($Z146,'oddspedia-matches'!$A:$AD,AG$2,0)</f>
        <v>#N/A</v>
      </c>
      <c r="AH146" t="e">
        <f>VLOOKUP($Z146,'oddspedia-matches'!$A:$AD,AH$2,0)</f>
        <v>#N/A</v>
      </c>
      <c r="AI146" t="e">
        <f>VLOOKUP($Z146,'oddspedia-matches'!$A:$AD,AI$2,0)</f>
        <v>#N/A</v>
      </c>
      <c r="AJ146" t="e">
        <f>VLOOKUP($Z146,'oddspedia-matches'!$A:$AD,AJ$2,0)</f>
        <v>#N/A</v>
      </c>
      <c r="AK146" t="e">
        <f>VLOOKUP($Z146,'oddspedia-matches'!$A:$AD,AK$2,0)</f>
        <v>#N/A</v>
      </c>
      <c r="AL146" t="e">
        <f>VLOOKUP($Z146,'oddspedia-matches'!$A:$AD,AL$2,0)</f>
        <v>#N/A</v>
      </c>
      <c r="AM146" t="e">
        <f>VLOOKUP($Z146,'oddspedia-matches'!$A:$AD,AM$2,0)</f>
        <v>#N/A</v>
      </c>
      <c r="AN146" t="e">
        <f>VLOOKUP($Z146,'oddspedia-matches'!$A:$AD,AN$2,0)</f>
        <v>#N/A</v>
      </c>
      <c r="AO146" t="e">
        <f>VLOOKUP($Z146,'oddspedia-matches'!$A:$AD,AO$2,0)</f>
        <v>#N/A</v>
      </c>
      <c r="AP146" t="e">
        <f>VLOOKUP($Z146,'oddspedia-matches'!$A:$AD,AP$2,0)</f>
        <v>#N/A</v>
      </c>
      <c r="AQ146" t="e">
        <f>VLOOKUP($Z146,'oddspedia-matches'!$A:$AD,AQ$2,0)</f>
        <v>#N/A</v>
      </c>
    </row>
    <row r="147" spans="2:43" x14ac:dyDescent="0.2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>
        <f>VLOOKUP(E147,'Transform table'!A:B,2,0)</f>
        <v>0</v>
      </c>
      <c r="Y147" t="e">
        <f>VLOOKUP(F147,'Transform table'!A:B,2,0)</f>
        <v>#N/A</v>
      </c>
      <c r="Z147" t="e">
        <f>C147&amp;X147&amp;Y147</f>
        <v>#N/A</v>
      </c>
      <c r="AA147" t="e">
        <f>VLOOKUP($Z147,'oddspedia-matches'!$A:$AD,AA$2,0)</f>
        <v>#N/A</v>
      </c>
      <c r="AB147" t="e">
        <f>VLOOKUP($Z147,'oddspedia-matches'!$A:$AD,AB$2,0)</f>
        <v>#N/A</v>
      </c>
      <c r="AC147" t="e">
        <f>VLOOKUP($Z147,'oddspedia-matches'!$A:$AD,AC$2,0)</f>
        <v>#N/A</v>
      </c>
      <c r="AD147" t="e">
        <f>VLOOKUP($Z147,'oddspedia-matches'!$A:$AD,AD$2,0)</f>
        <v>#N/A</v>
      </c>
      <c r="AE147" t="e">
        <f>VLOOKUP($Z147,'oddspedia-matches'!$A:$AD,AE$2,0)</f>
        <v>#N/A</v>
      </c>
      <c r="AF147" t="e">
        <f>VLOOKUP($Z147,'oddspedia-matches'!$A:$AD,AF$2,0)</f>
        <v>#N/A</v>
      </c>
      <c r="AG147" t="e">
        <f>VLOOKUP($Z147,'oddspedia-matches'!$A:$AD,AG$2,0)</f>
        <v>#N/A</v>
      </c>
      <c r="AH147" t="e">
        <f>VLOOKUP($Z147,'oddspedia-matches'!$A:$AD,AH$2,0)</f>
        <v>#N/A</v>
      </c>
      <c r="AI147" t="e">
        <f>VLOOKUP($Z147,'oddspedia-matches'!$A:$AD,AI$2,0)</f>
        <v>#N/A</v>
      </c>
      <c r="AJ147" t="e">
        <f>VLOOKUP($Z147,'oddspedia-matches'!$A:$AD,AJ$2,0)</f>
        <v>#N/A</v>
      </c>
      <c r="AK147" t="e">
        <f>VLOOKUP($Z147,'oddspedia-matches'!$A:$AD,AK$2,0)</f>
        <v>#N/A</v>
      </c>
      <c r="AL147" t="e">
        <f>VLOOKUP($Z147,'oddspedia-matches'!$A:$AD,AL$2,0)</f>
        <v>#N/A</v>
      </c>
      <c r="AM147" t="e">
        <f>VLOOKUP($Z147,'oddspedia-matches'!$A:$AD,AM$2,0)</f>
        <v>#N/A</v>
      </c>
      <c r="AN147" t="e">
        <f>VLOOKUP($Z147,'oddspedia-matches'!$A:$AD,AN$2,0)</f>
        <v>#N/A</v>
      </c>
      <c r="AO147" t="e">
        <f>VLOOKUP($Z147,'oddspedia-matches'!$A:$AD,AO$2,0)</f>
        <v>#N/A</v>
      </c>
      <c r="AP147" t="e">
        <f>VLOOKUP($Z147,'oddspedia-matches'!$A:$AD,AP$2,0)</f>
        <v>#N/A</v>
      </c>
      <c r="AQ147" t="e">
        <f>VLOOKUP($Z147,'oddspedia-matches'!$A:$AD,AQ$2,0)</f>
        <v>#N/A</v>
      </c>
    </row>
    <row r="148" spans="2:43" x14ac:dyDescent="0.2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>
        <f>VLOOKUP(E148,'Transform table'!A:B,2,0)</f>
        <v>0</v>
      </c>
      <c r="Y148" t="e">
        <f>VLOOKUP(F148,'Transform table'!A:B,2,0)</f>
        <v>#N/A</v>
      </c>
      <c r="Z148" t="e">
        <f>C148&amp;X148&amp;Y148</f>
        <v>#N/A</v>
      </c>
      <c r="AA148" t="e">
        <f>VLOOKUP($Z148,'oddspedia-matches'!$A:$AD,AA$2,0)</f>
        <v>#N/A</v>
      </c>
      <c r="AB148" t="e">
        <f>VLOOKUP($Z148,'oddspedia-matches'!$A:$AD,AB$2,0)</f>
        <v>#N/A</v>
      </c>
      <c r="AC148" t="e">
        <f>VLOOKUP($Z148,'oddspedia-matches'!$A:$AD,AC$2,0)</f>
        <v>#N/A</v>
      </c>
      <c r="AD148" t="e">
        <f>VLOOKUP($Z148,'oddspedia-matches'!$A:$AD,AD$2,0)</f>
        <v>#N/A</v>
      </c>
      <c r="AE148" t="e">
        <f>VLOOKUP($Z148,'oddspedia-matches'!$A:$AD,AE$2,0)</f>
        <v>#N/A</v>
      </c>
      <c r="AF148" t="e">
        <f>VLOOKUP($Z148,'oddspedia-matches'!$A:$AD,AF$2,0)</f>
        <v>#N/A</v>
      </c>
      <c r="AG148" t="e">
        <f>VLOOKUP($Z148,'oddspedia-matches'!$A:$AD,AG$2,0)</f>
        <v>#N/A</v>
      </c>
      <c r="AH148" t="e">
        <f>VLOOKUP($Z148,'oddspedia-matches'!$A:$AD,AH$2,0)</f>
        <v>#N/A</v>
      </c>
      <c r="AI148" t="e">
        <f>VLOOKUP($Z148,'oddspedia-matches'!$A:$AD,AI$2,0)</f>
        <v>#N/A</v>
      </c>
      <c r="AJ148" t="e">
        <f>VLOOKUP($Z148,'oddspedia-matches'!$A:$AD,AJ$2,0)</f>
        <v>#N/A</v>
      </c>
      <c r="AK148" t="e">
        <f>VLOOKUP($Z148,'oddspedia-matches'!$A:$AD,AK$2,0)</f>
        <v>#N/A</v>
      </c>
      <c r="AL148" t="e">
        <f>VLOOKUP($Z148,'oddspedia-matches'!$A:$AD,AL$2,0)</f>
        <v>#N/A</v>
      </c>
      <c r="AM148" t="e">
        <f>VLOOKUP($Z148,'oddspedia-matches'!$A:$AD,AM$2,0)</f>
        <v>#N/A</v>
      </c>
      <c r="AN148" t="e">
        <f>VLOOKUP($Z148,'oddspedia-matches'!$A:$AD,AN$2,0)</f>
        <v>#N/A</v>
      </c>
      <c r="AO148" t="e">
        <f>VLOOKUP($Z148,'oddspedia-matches'!$A:$AD,AO$2,0)</f>
        <v>#N/A</v>
      </c>
      <c r="AP148" t="e">
        <f>VLOOKUP($Z148,'oddspedia-matches'!$A:$AD,AP$2,0)</f>
        <v>#N/A</v>
      </c>
      <c r="AQ148" t="e">
        <f>VLOOKUP($Z148,'oddspedia-matches'!$A:$AD,AQ$2,0)</f>
        <v>#N/A</v>
      </c>
    </row>
    <row r="149" spans="2:43" x14ac:dyDescent="0.2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>
        <f>VLOOKUP(E149,'Transform table'!A:B,2,0)</f>
        <v>0</v>
      </c>
      <c r="Y149" t="e">
        <f>VLOOKUP(F149,'Transform table'!A:B,2,0)</f>
        <v>#N/A</v>
      </c>
      <c r="Z149" t="e">
        <f>C149&amp;X149&amp;Y149</f>
        <v>#N/A</v>
      </c>
      <c r="AA149" t="e">
        <f>VLOOKUP($Z149,'oddspedia-matches'!$A:$AD,AA$2,0)</f>
        <v>#N/A</v>
      </c>
      <c r="AB149" t="e">
        <f>VLOOKUP($Z149,'oddspedia-matches'!$A:$AD,AB$2,0)</f>
        <v>#N/A</v>
      </c>
      <c r="AC149" t="e">
        <f>VLOOKUP($Z149,'oddspedia-matches'!$A:$AD,AC$2,0)</f>
        <v>#N/A</v>
      </c>
      <c r="AD149" t="e">
        <f>VLOOKUP($Z149,'oddspedia-matches'!$A:$AD,AD$2,0)</f>
        <v>#N/A</v>
      </c>
      <c r="AE149" t="e">
        <f>VLOOKUP($Z149,'oddspedia-matches'!$A:$AD,AE$2,0)</f>
        <v>#N/A</v>
      </c>
      <c r="AF149" t="e">
        <f>VLOOKUP($Z149,'oddspedia-matches'!$A:$AD,AF$2,0)</f>
        <v>#N/A</v>
      </c>
      <c r="AG149" t="e">
        <f>VLOOKUP($Z149,'oddspedia-matches'!$A:$AD,AG$2,0)</f>
        <v>#N/A</v>
      </c>
      <c r="AH149" t="e">
        <f>VLOOKUP($Z149,'oddspedia-matches'!$A:$AD,AH$2,0)</f>
        <v>#N/A</v>
      </c>
      <c r="AI149" t="e">
        <f>VLOOKUP($Z149,'oddspedia-matches'!$A:$AD,AI$2,0)</f>
        <v>#N/A</v>
      </c>
      <c r="AJ149" t="e">
        <f>VLOOKUP($Z149,'oddspedia-matches'!$A:$AD,AJ$2,0)</f>
        <v>#N/A</v>
      </c>
      <c r="AK149" t="e">
        <f>VLOOKUP($Z149,'oddspedia-matches'!$A:$AD,AK$2,0)</f>
        <v>#N/A</v>
      </c>
      <c r="AL149" t="e">
        <f>VLOOKUP($Z149,'oddspedia-matches'!$A:$AD,AL$2,0)</f>
        <v>#N/A</v>
      </c>
      <c r="AM149" t="e">
        <f>VLOOKUP($Z149,'oddspedia-matches'!$A:$AD,AM$2,0)</f>
        <v>#N/A</v>
      </c>
      <c r="AN149" t="e">
        <f>VLOOKUP($Z149,'oddspedia-matches'!$A:$AD,AN$2,0)</f>
        <v>#N/A</v>
      </c>
      <c r="AO149" t="e">
        <f>VLOOKUP($Z149,'oddspedia-matches'!$A:$AD,AO$2,0)</f>
        <v>#N/A</v>
      </c>
      <c r="AP149" t="e">
        <f>VLOOKUP($Z149,'oddspedia-matches'!$A:$AD,AP$2,0)</f>
        <v>#N/A</v>
      </c>
      <c r="AQ149" t="e">
        <f>VLOOKUP($Z149,'oddspedia-matches'!$A:$AD,AQ$2,0)</f>
        <v>#N/A</v>
      </c>
    </row>
    <row r="150" spans="2:43" x14ac:dyDescent="0.2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Sydney Wanderers</v>
      </c>
      <c r="Y150" t="e">
        <f>VLOOKUP(F150,'Transform table'!A:B,2,0)</f>
        <v>#N/A</v>
      </c>
      <c r="Z150" t="e">
        <f>C150&amp;X150&amp;Y150</f>
        <v>#N/A</v>
      </c>
      <c r="AA150" t="e">
        <f>VLOOKUP($Z150,'oddspedia-matches'!$A:$AD,AA$2,0)</f>
        <v>#N/A</v>
      </c>
      <c r="AB150" t="e">
        <f>VLOOKUP($Z150,'oddspedia-matches'!$A:$AD,AB$2,0)</f>
        <v>#N/A</v>
      </c>
      <c r="AC150" t="e">
        <f>VLOOKUP($Z150,'oddspedia-matches'!$A:$AD,AC$2,0)</f>
        <v>#N/A</v>
      </c>
      <c r="AD150" t="e">
        <f>VLOOKUP($Z150,'oddspedia-matches'!$A:$AD,AD$2,0)</f>
        <v>#N/A</v>
      </c>
      <c r="AE150" t="e">
        <f>VLOOKUP($Z150,'oddspedia-matches'!$A:$AD,AE$2,0)</f>
        <v>#N/A</v>
      </c>
      <c r="AF150" t="e">
        <f>VLOOKUP($Z150,'oddspedia-matches'!$A:$AD,AF$2,0)</f>
        <v>#N/A</v>
      </c>
      <c r="AG150" t="e">
        <f>VLOOKUP($Z150,'oddspedia-matches'!$A:$AD,AG$2,0)</f>
        <v>#N/A</v>
      </c>
      <c r="AH150" t="e">
        <f>VLOOKUP($Z150,'oddspedia-matches'!$A:$AD,AH$2,0)</f>
        <v>#N/A</v>
      </c>
      <c r="AI150" t="e">
        <f>VLOOKUP($Z150,'oddspedia-matches'!$A:$AD,AI$2,0)</f>
        <v>#N/A</v>
      </c>
      <c r="AJ150" t="e">
        <f>VLOOKUP($Z150,'oddspedia-matches'!$A:$AD,AJ$2,0)</f>
        <v>#N/A</v>
      </c>
      <c r="AK150" t="e">
        <f>VLOOKUP($Z150,'oddspedia-matches'!$A:$AD,AK$2,0)</f>
        <v>#N/A</v>
      </c>
      <c r="AL150" t="e">
        <f>VLOOKUP($Z150,'oddspedia-matches'!$A:$AD,AL$2,0)</f>
        <v>#N/A</v>
      </c>
      <c r="AM150" t="e">
        <f>VLOOKUP($Z150,'oddspedia-matches'!$A:$AD,AM$2,0)</f>
        <v>#N/A</v>
      </c>
      <c r="AN150" t="e">
        <f>VLOOKUP($Z150,'oddspedia-matches'!$A:$AD,AN$2,0)</f>
        <v>#N/A</v>
      </c>
      <c r="AO150" t="e">
        <f>VLOOKUP($Z150,'oddspedia-matches'!$A:$AD,AO$2,0)</f>
        <v>#N/A</v>
      </c>
      <c r="AP150" t="e">
        <f>VLOOKUP($Z150,'oddspedia-matches'!$A:$AD,AP$2,0)</f>
        <v>#N/A</v>
      </c>
      <c r="AQ150" t="e">
        <f>VLOOKUP($Z150,'oddspedia-matches'!$A:$AD,AQ$2,0)</f>
        <v>#N/A</v>
      </c>
    </row>
    <row r="151" spans="2:43" x14ac:dyDescent="0.2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>
        <f>VLOOKUP(E151,'Transform table'!A:B,2,0)</f>
        <v>0</v>
      </c>
      <c r="Y151" t="e">
        <f>VLOOKUP(F151,'Transform table'!A:B,2,0)</f>
        <v>#N/A</v>
      </c>
      <c r="Z151" t="e">
        <f>C151&amp;X151&amp;Y151</f>
        <v>#N/A</v>
      </c>
      <c r="AA151" t="e">
        <f>VLOOKUP($Z151,'oddspedia-matches'!$A:$AD,AA$2,0)</f>
        <v>#N/A</v>
      </c>
      <c r="AB151" t="e">
        <f>VLOOKUP($Z151,'oddspedia-matches'!$A:$AD,AB$2,0)</f>
        <v>#N/A</v>
      </c>
      <c r="AC151" t="e">
        <f>VLOOKUP($Z151,'oddspedia-matches'!$A:$AD,AC$2,0)</f>
        <v>#N/A</v>
      </c>
      <c r="AD151" t="e">
        <f>VLOOKUP($Z151,'oddspedia-matches'!$A:$AD,AD$2,0)</f>
        <v>#N/A</v>
      </c>
      <c r="AE151" t="e">
        <f>VLOOKUP($Z151,'oddspedia-matches'!$A:$AD,AE$2,0)</f>
        <v>#N/A</v>
      </c>
      <c r="AF151" t="e">
        <f>VLOOKUP($Z151,'oddspedia-matches'!$A:$AD,AF$2,0)</f>
        <v>#N/A</v>
      </c>
      <c r="AG151" t="e">
        <f>VLOOKUP($Z151,'oddspedia-matches'!$A:$AD,AG$2,0)</f>
        <v>#N/A</v>
      </c>
      <c r="AH151" t="e">
        <f>VLOOKUP($Z151,'oddspedia-matches'!$A:$AD,AH$2,0)</f>
        <v>#N/A</v>
      </c>
      <c r="AI151" t="e">
        <f>VLOOKUP($Z151,'oddspedia-matches'!$A:$AD,AI$2,0)</f>
        <v>#N/A</v>
      </c>
      <c r="AJ151" t="e">
        <f>VLOOKUP($Z151,'oddspedia-matches'!$A:$AD,AJ$2,0)</f>
        <v>#N/A</v>
      </c>
      <c r="AK151" t="e">
        <f>VLOOKUP($Z151,'oddspedia-matches'!$A:$AD,AK$2,0)</f>
        <v>#N/A</v>
      </c>
      <c r="AL151" t="e">
        <f>VLOOKUP($Z151,'oddspedia-matches'!$A:$AD,AL$2,0)</f>
        <v>#N/A</v>
      </c>
      <c r="AM151" t="e">
        <f>VLOOKUP($Z151,'oddspedia-matches'!$A:$AD,AM$2,0)</f>
        <v>#N/A</v>
      </c>
      <c r="AN151" t="e">
        <f>VLOOKUP($Z151,'oddspedia-matches'!$A:$AD,AN$2,0)</f>
        <v>#N/A</v>
      </c>
      <c r="AO151" t="e">
        <f>VLOOKUP($Z151,'oddspedia-matches'!$A:$AD,AO$2,0)</f>
        <v>#N/A</v>
      </c>
      <c r="AP151" t="e">
        <f>VLOOKUP($Z151,'oddspedia-matches'!$A:$AD,AP$2,0)</f>
        <v>#N/A</v>
      </c>
      <c r="AQ151" t="e">
        <f>VLOOKUP($Z151,'oddspedia-matches'!$A:$AD,AQ$2,0)</f>
        <v>#N/A</v>
      </c>
    </row>
    <row r="152" spans="2:43" x14ac:dyDescent="0.2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>
        <f>VLOOKUP(E152,'Transform table'!A:B,2,0)</f>
        <v>0</v>
      </c>
      <c r="Y152" t="str">
        <f>VLOOKUP(F152,'Transform table'!A:B,2,0)</f>
        <v>Tuggeranong United</v>
      </c>
      <c r="Z152" t="str">
        <f>C152&amp;X152&amp;Y152</f>
        <v>25/07/20260Tuggeranong United</v>
      </c>
      <c r="AA152" t="e">
        <f>VLOOKUP($Z152,'oddspedia-matches'!$A:$AD,AA$2,0)</f>
        <v>#N/A</v>
      </c>
      <c r="AB152" t="e">
        <f>VLOOKUP($Z152,'oddspedia-matches'!$A:$AD,AB$2,0)</f>
        <v>#N/A</v>
      </c>
      <c r="AC152" t="e">
        <f>VLOOKUP($Z152,'oddspedia-matches'!$A:$AD,AC$2,0)</f>
        <v>#N/A</v>
      </c>
      <c r="AD152" t="e">
        <f>VLOOKUP($Z152,'oddspedia-matches'!$A:$AD,AD$2,0)</f>
        <v>#N/A</v>
      </c>
      <c r="AE152" t="e">
        <f>VLOOKUP($Z152,'oddspedia-matches'!$A:$AD,AE$2,0)</f>
        <v>#N/A</v>
      </c>
      <c r="AF152" t="e">
        <f>VLOOKUP($Z152,'oddspedia-matches'!$A:$AD,AF$2,0)</f>
        <v>#N/A</v>
      </c>
      <c r="AG152" t="e">
        <f>VLOOKUP($Z152,'oddspedia-matches'!$A:$AD,AG$2,0)</f>
        <v>#N/A</v>
      </c>
      <c r="AH152" t="e">
        <f>VLOOKUP($Z152,'oddspedia-matches'!$A:$AD,AH$2,0)</f>
        <v>#N/A</v>
      </c>
      <c r="AI152" t="e">
        <f>VLOOKUP($Z152,'oddspedia-matches'!$A:$AD,AI$2,0)</f>
        <v>#N/A</v>
      </c>
      <c r="AJ152" t="e">
        <f>VLOOKUP($Z152,'oddspedia-matches'!$A:$AD,AJ$2,0)</f>
        <v>#N/A</v>
      </c>
      <c r="AK152" t="e">
        <f>VLOOKUP($Z152,'oddspedia-matches'!$A:$AD,AK$2,0)</f>
        <v>#N/A</v>
      </c>
      <c r="AL152" t="e">
        <f>VLOOKUP($Z152,'oddspedia-matches'!$A:$AD,AL$2,0)</f>
        <v>#N/A</v>
      </c>
      <c r="AM152" t="e">
        <f>VLOOKUP($Z152,'oddspedia-matches'!$A:$AD,AM$2,0)</f>
        <v>#N/A</v>
      </c>
      <c r="AN152" t="e">
        <f>VLOOKUP($Z152,'oddspedia-matches'!$A:$AD,AN$2,0)</f>
        <v>#N/A</v>
      </c>
      <c r="AO152" t="e">
        <f>VLOOKUP($Z152,'oddspedia-matches'!$A:$AD,AO$2,0)</f>
        <v>#N/A</v>
      </c>
      <c r="AP152" t="e">
        <f>VLOOKUP($Z152,'oddspedia-matches'!$A:$AD,AP$2,0)</f>
        <v>#N/A</v>
      </c>
      <c r="AQ152" t="e">
        <f>VLOOKUP($Z152,'oddspedia-matches'!$A:$AD,AQ$2,0)</f>
        <v>#N/A</v>
      </c>
    </row>
    <row r="153" spans="2:43" x14ac:dyDescent="0.2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>
        <f>VLOOKUP(E153,'Transform table'!A:B,2,0)</f>
        <v>0</v>
      </c>
      <c r="Y153" t="e">
        <f>VLOOKUP(F153,'Transform table'!A:B,2,0)</f>
        <v>#N/A</v>
      </c>
      <c r="Z153" t="e">
        <f>C153&amp;X153&amp;Y153</f>
        <v>#N/A</v>
      </c>
      <c r="AA153" t="e">
        <f>VLOOKUP($Z153,'oddspedia-matches'!$A:$AD,AA$2,0)</f>
        <v>#N/A</v>
      </c>
      <c r="AB153" t="e">
        <f>VLOOKUP($Z153,'oddspedia-matches'!$A:$AD,AB$2,0)</f>
        <v>#N/A</v>
      </c>
      <c r="AC153" t="e">
        <f>VLOOKUP($Z153,'oddspedia-matches'!$A:$AD,AC$2,0)</f>
        <v>#N/A</v>
      </c>
      <c r="AD153" t="e">
        <f>VLOOKUP($Z153,'oddspedia-matches'!$A:$AD,AD$2,0)</f>
        <v>#N/A</v>
      </c>
      <c r="AE153" t="e">
        <f>VLOOKUP($Z153,'oddspedia-matches'!$A:$AD,AE$2,0)</f>
        <v>#N/A</v>
      </c>
      <c r="AF153" t="e">
        <f>VLOOKUP($Z153,'oddspedia-matches'!$A:$AD,AF$2,0)</f>
        <v>#N/A</v>
      </c>
      <c r="AG153" t="e">
        <f>VLOOKUP($Z153,'oddspedia-matches'!$A:$AD,AG$2,0)</f>
        <v>#N/A</v>
      </c>
      <c r="AH153" t="e">
        <f>VLOOKUP($Z153,'oddspedia-matches'!$A:$AD,AH$2,0)</f>
        <v>#N/A</v>
      </c>
      <c r="AI153" t="e">
        <f>VLOOKUP($Z153,'oddspedia-matches'!$A:$AD,AI$2,0)</f>
        <v>#N/A</v>
      </c>
      <c r="AJ153" t="e">
        <f>VLOOKUP($Z153,'oddspedia-matches'!$A:$AD,AJ$2,0)</f>
        <v>#N/A</v>
      </c>
      <c r="AK153" t="e">
        <f>VLOOKUP($Z153,'oddspedia-matches'!$A:$AD,AK$2,0)</f>
        <v>#N/A</v>
      </c>
      <c r="AL153" t="e">
        <f>VLOOKUP($Z153,'oddspedia-matches'!$A:$AD,AL$2,0)</f>
        <v>#N/A</v>
      </c>
      <c r="AM153" t="e">
        <f>VLOOKUP($Z153,'oddspedia-matches'!$A:$AD,AM$2,0)</f>
        <v>#N/A</v>
      </c>
      <c r="AN153" t="e">
        <f>VLOOKUP($Z153,'oddspedia-matches'!$A:$AD,AN$2,0)</f>
        <v>#N/A</v>
      </c>
      <c r="AO153" t="e">
        <f>VLOOKUP($Z153,'oddspedia-matches'!$A:$AD,AO$2,0)</f>
        <v>#N/A</v>
      </c>
      <c r="AP153" t="e">
        <f>VLOOKUP($Z153,'oddspedia-matches'!$A:$AD,AP$2,0)</f>
        <v>#N/A</v>
      </c>
      <c r="AQ153" t="e">
        <f>VLOOKUP($Z153,'oddspedia-matches'!$A:$AD,AQ$2,0)</f>
        <v>#N/A</v>
      </c>
    </row>
    <row r="154" spans="2:43" x14ac:dyDescent="0.2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>
        <f>VLOOKUP(E154,'Transform table'!A:B,2,0)</f>
        <v>0</v>
      </c>
      <c r="Y154" t="e">
        <f>VLOOKUP(F154,'Transform table'!A:B,2,0)</f>
        <v>#N/A</v>
      </c>
      <c r="Z154" t="e">
        <f>C154&amp;X154&amp;Y154</f>
        <v>#N/A</v>
      </c>
      <c r="AA154" t="e">
        <f>VLOOKUP($Z154,'oddspedia-matches'!$A:$AD,AA$2,0)</f>
        <v>#N/A</v>
      </c>
      <c r="AB154" t="e">
        <f>VLOOKUP($Z154,'oddspedia-matches'!$A:$AD,AB$2,0)</f>
        <v>#N/A</v>
      </c>
      <c r="AC154" t="e">
        <f>VLOOKUP($Z154,'oddspedia-matches'!$A:$AD,AC$2,0)</f>
        <v>#N/A</v>
      </c>
      <c r="AD154" t="e">
        <f>VLOOKUP($Z154,'oddspedia-matches'!$A:$AD,AD$2,0)</f>
        <v>#N/A</v>
      </c>
      <c r="AE154" t="e">
        <f>VLOOKUP($Z154,'oddspedia-matches'!$A:$AD,AE$2,0)</f>
        <v>#N/A</v>
      </c>
      <c r="AF154" t="e">
        <f>VLOOKUP($Z154,'oddspedia-matches'!$A:$AD,AF$2,0)</f>
        <v>#N/A</v>
      </c>
      <c r="AG154" t="e">
        <f>VLOOKUP($Z154,'oddspedia-matches'!$A:$AD,AG$2,0)</f>
        <v>#N/A</v>
      </c>
      <c r="AH154" t="e">
        <f>VLOOKUP($Z154,'oddspedia-matches'!$A:$AD,AH$2,0)</f>
        <v>#N/A</v>
      </c>
      <c r="AI154" t="e">
        <f>VLOOKUP($Z154,'oddspedia-matches'!$A:$AD,AI$2,0)</f>
        <v>#N/A</v>
      </c>
      <c r="AJ154" t="e">
        <f>VLOOKUP($Z154,'oddspedia-matches'!$A:$AD,AJ$2,0)</f>
        <v>#N/A</v>
      </c>
      <c r="AK154" t="e">
        <f>VLOOKUP($Z154,'oddspedia-matches'!$A:$AD,AK$2,0)</f>
        <v>#N/A</v>
      </c>
      <c r="AL154" t="e">
        <f>VLOOKUP($Z154,'oddspedia-matches'!$A:$AD,AL$2,0)</f>
        <v>#N/A</v>
      </c>
      <c r="AM154" t="e">
        <f>VLOOKUP($Z154,'oddspedia-matches'!$A:$AD,AM$2,0)</f>
        <v>#N/A</v>
      </c>
      <c r="AN154" t="e">
        <f>VLOOKUP($Z154,'oddspedia-matches'!$A:$AD,AN$2,0)</f>
        <v>#N/A</v>
      </c>
      <c r="AO154" t="e">
        <f>VLOOKUP($Z154,'oddspedia-matches'!$A:$AD,AO$2,0)</f>
        <v>#N/A</v>
      </c>
      <c r="AP154" t="e">
        <f>VLOOKUP($Z154,'oddspedia-matches'!$A:$AD,AP$2,0)</f>
        <v>#N/A</v>
      </c>
      <c r="AQ154" t="e">
        <f>VLOOKUP($Z154,'oddspedia-matches'!$A:$AD,AQ$2,0)</f>
        <v>#N/A</v>
      </c>
    </row>
    <row r="155" spans="2:43" x14ac:dyDescent="0.2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>
        <f>VLOOKUP(E155,'Transform table'!A:B,2,0)</f>
        <v>0</v>
      </c>
      <c r="Y155" t="e">
        <f>VLOOKUP(F155,'Transform table'!A:B,2,0)</f>
        <v>#N/A</v>
      </c>
      <c r="Z155" t="e">
        <f>C155&amp;X155&amp;Y155</f>
        <v>#N/A</v>
      </c>
      <c r="AA155" t="e">
        <f>VLOOKUP($Z155,'oddspedia-matches'!$A:$AD,AA$2,0)</f>
        <v>#N/A</v>
      </c>
      <c r="AB155" t="e">
        <f>VLOOKUP($Z155,'oddspedia-matches'!$A:$AD,AB$2,0)</f>
        <v>#N/A</v>
      </c>
      <c r="AC155" t="e">
        <f>VLOOKUP($Z155,'oddspedia-matches'!$A:$AD,AC$2,0)</f>
        <v>#N/A</v>
      </c>
      <c r="AD155" t="e">
        <f>VLOOKUP($Z155,'oddspedia-matches'!$A:$AD,AD$2,0)</f>
        <v>#N/A</v>
      </c>
      <c r="AE155" t="e">
        <f>VLOOKUP($Z155,'oddspedia-matches'!$A:$AD,AE$2,0)</f>
        <v>#N/A</v>
      </c>
      <c r="AF155" t="e">
        <f>VLOOKUP($Z155,'oddspedia-matches'!$A:$AD,AF$2,0)</f>
        <v>#N/A</v>
      </c>
      <c r="AG155" t="e">
        <f>VLOOKUP($Z155,'oddspedia-matches'!$A:$AD,AG$2,0)</f>
        <v>#N/A</v>
      </c>
      <c r="AH155" t="e">
        <f>VLOOKUP($Z155,'oddspedia-matches'!$A:$AD,AH$2,0)</f>
        <v>#N/A</v>
      </c>
      <c r="AI155" t="e">
        <f>VLOOKUP($Z155,'oddspedia-matches'!$A:$AD,AI$2,0)</f>
        <v>#N/A</v>
      </c>
      <c r="AJ155" t="e">
        <f>VLOOKUP($Z155,'oddspedia-matches'!$A:$AD,AJ$2,0)</f>
        <v>#N/A</v>
      </c>
      <c r="AK155" t="e">
        <f>VLOOKUP($Z155,'oddspedia-matches'!$A:$AD,AK$2,0)</f>
        <v>#N/A</v>
      </c>
      <c r="AL155" t="e">
        <f>VLOOKUP($Z155,'oddspedia-matches'!$A:$AD,AL$2,0)</f>
        <v>#N/A</v>
      </c>
      <c r="AM155" t="e">
        <f>VLOOKUP($Z155,'oddspedia-matches'!$A:$AD,AM$2,0)</f>
        <v>#N/A</v>
      </c>
      <c r="AN155" t="e">
        <f>VLOOKUP($Z155,'oddspedia-matches'!$A:$AD,AN$2,0)</f>
        <v>#N/A</v>
      </c>
      <c r="AO155" t="e">
        <f>VLOOKUP($Z155,'oddspedia-matches'!$A:$AD,AO$2,0)</f>
        <v>#N/A</v>
      </c>
      <c r="AP155" t="e">
        <f>VLOOKUP($Z155,'oddspedia-matches'!$A:$AD,AP$2,0)</f>
        <v>#N/A</v>
      </c>
      <c r="AQ155" t="e">
        <f>VLOOKUP($Z155,'oddspedia-matches'!$A:$AD,AQ$2,0)</f>
        <v>#N/A</v>
      </c>
    </row>
    <row r="156" spans="2:43" x14ac:dyDescent="0.2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>
        <f>VLOOKUP(E156,'Transform table'!A:B,2,0)</f>
        <v>0</v>
      </c>
      <c r="Y156" t="e">
        <f>VLOOKUP(F156,'Transform table'!A:B,2,0)</f>
        <v>#N/A</v>
      </c>
      <c r="Z156" t="e">
        <f>C156&amp;X156&amp;Y156</f>
        <v>#N/A</v>
      </c>
      <c r="AA156" t="e">
        <f>VLOOKUP($Z156,'oddspedia-matches'!$A:$AD,AA$2,0)</f>
        <v>#N/A</v>
      </c>
      <c r="AB156" t="e">
        <f>VLOOKUP($Z156,'oddspedia-matches'!$A:$AD,AB$2,0)</f>
        <v>#N/A</v>
      </c>
      <c r="AC156" t="e">
        <f>VLOOKUP($Z156,'oddspedia-matches'!$A:$AD,AC$2,0)</f>
        <v>#N/A</v>
      </c>
      <c r="AD156" t="e">
        <f>VLOOKUP($Z156,'oddspedia-matches'!$A:$AD,AD$2,0)</f>
        <v>#N/A</v>
      </c>
      <c r="AE156" t="e">
        <f>VLOOKUP($Z156,'oddspedia-matches'!$A:$AD,AE$2,0)</f>
        <v>#N/A</v>
      </c>
      <c r="AF156" t="e">
        <f>VLOOKUP($Z156,'oddspedia-matches'!$A:$AD,AF$2,0)</f>
        <v>#N/A</v>
      </c>
      <c r="AG156" t="e">
        <f>VLOOKUP($Z156,'oddspedia-matches'!$A:$AD,AG$2,0)</f>
        <v>#N/A</v>
      </c>
      <c r="AH156" t="e">
        <f>VLOOKUP($Z156,'oddspedia-matches'!$A:$AD,AH$2,0)</f>
        <v>#N/A</v>
      </c>
      <c r="AI156" t="e">
        <f>VLOOKUP($Z156,'oddspedia-matches'!$A:$AD,AI$2,0)</f>
        <v>#N/A</v>
      </c>
      <c r="AJ156" t="e">
        <f>VLOOKUP($Z156,'oddspedia-matches'!$A:$AD,AJ$2,0)</f>
        <v>#N/A</v>
      </c>
      <c r="AK156" t="e">
        <f>VLOOKUP($Z156,'oddspedia-matches'!$A:$AD,AK$2,0)</f>
        <v>#N/A</v>
      </c>
      <c r="AL156" t="e">
        <f>VLOOKUP($Z156,'oddspedia-matches'!$A:$AD,AL$2,0)</f>
        <v>#N/A</v>
      </c>
      <c r="AM156" t="e">
        <f>VLOOKUP($Z156,'oddspedia-matches'!$A:$AD,AM$2,0)</f>
        <v>#N/A</v>
      </c>
      <c r="AN156" t="e">
        <f>VLOOKUP($Z156,'oddspedia-matches'!$A:$AD,AN$2,0)</f>
        <v>#N/A</v>
      </c>
      <c r="AO156" t="e">
        <f>VLOOKUP($Z156,'oddspedia-matches'!$A:$AD,AO$2,0)</f>
        <v>#N/A</v>
      </c>
      <c r="AP156" t="e">
        <f>VLOOKUP($Z156,'oddspedia-matches'!$A:$AD,AP$2,0)</f>
        <v>#N/A</v>
      </c>
      <c r="AQ156" t="e">
        <f>VLOOKUP($Z156,'oddspedia-matches'!$A:$AD,AQ$2,0)</f>
        <v>#N/A</v>
      </c>
    </row>
    <row r="157" spans="2:43" x14ac:dyDescent="0.2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e">
        <f>VLOOKUP(F157,'Transform table'!A:B,2,0)</f>
        <v>#N/A</v>
      </c>
      <c r="Z157" t="e">
        <f>C157&amp;X157&amp;Y157</f>
        <v>#N/A</v>
      </c>
      <c r="AA157" t="e">
        <f>VLOOKUP($Z157,'oddspedia-matches'!$A:$AD,AA$2,0)</f>
        <v>#N/A</v>
      </c>
      <c r="AB157" t="e">
        <f>VLOOKUP($Z157,'oddspedia-matches'!$A:$AD,AB$2,0)</f>
        <v>#N/A</v>
      </c>
      <c r="AC157" t="e">
        <f>VLOOKUP($Z157,'oddspedia-matches'!$A:$AD,AC$2,0)</f>
        <v>#N/A</v>
      </c>
      <c r="AD157" t="e">
        <f>VLOOKUP($Z157,'oddspedia-matches'!$A:$AD,AD$2,0)</f>
        <v>#N/A</v>
      </c>
      <c r="AE157" t="e">
        <f>VLOOKUP($Z157,'oddspedia-matches'!$A:$AD,AE$2,0)</f>
        <v>#N/A</v>
      </c>
      <c r="AF157" t="e">
        <f>VLOOKUP($Z157,'oddspedia-matches'!$A:$AD,AF$2,0)</f>
        <v>#N/A</v>
      </c>
      <c r="AG157" t="e">
        <f>VLOOKUP($Z157,'oddspedia-matches'!$A:$AD,AG$2,0)</f>
        <v>#N/A</v>
      </c>
      <c r="AH157" t="e">
        <f>VLOOKUP($Z157,'oddspedia-matches'!$A:$AD,AH$2,0)</f>
        <v>#N/A</v>
      </c>
      <c r="AI157" t="e">
        <f>VLOOKUP($Z157,'oddspedia-matches'!$A:$AD,AI$2,0)</f>
        <v>#N/A</v>
      </c>
      <c r="AJ157" t="e">
        <f>VLOOKUP($Z157,'oddspedia-matches'!$A:$AD,AJ$2,0)</f>
        <v>#N/A</v>
      </c>
      <c r="AK157" t="e">
        <f>VLOOKUP($Z157,'oddspedia-matches'!$A:$AD,AK$2,0)</f>
        <v>#N/A</v>
      </c>
      <c r="AL157" t="e">
        <f>VLOOKUP($Z157,'oddspedia-matches'!$A:$AD,AL$2,0)</f>
        <v>#N/A</v>
      </c>
      <c r="AM157" t="e">
        <f>VLOOKUP($Z157,'oddspedia-matches'!$A:$AD,AM$2,0)</f>
        <v>#N/A</v>
      </c>
      <c r="AN157" t="e">
        <f>VLOOKUP($Z157,'oddspedia-matches'!$A:$AD,AN$2,0)</f>
        <v>#N/A</v>
      </c>
      <c r="AO157" t="e">
        <f>VLOOKUP($Z157,'oddspedia-matches'!$A:$AD,AO$2,0)</f>
        <v>#N/A</v>
      </c>
      <c r="AP157" t="e">
        <f>VLOOKUP($Z157,'oddspedia-matches'!$A:$AD,AP$2,0)</f>
        <v>#N/A</v>
      </c>
      <c r="AQ157" t="e">
        <f>VLOOKUP($Z157,'oddspedia-matches'!$A:$AD,AQ$2,0)</f>
        <v>#N/A</v>
      </c>
    </row>
    <row r="158" spans="2:43" x14ac:dyDescent="0.2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e">
        <f>VLOOKUP(F158,'Transform table'!A:B,2,0)</f>
        <v>#N/A</v>
      </c>
      <c r="Z158" t="e">
        <f>C158&amp;X158&amp;Y158</f>
        <v>#N/A</v>
      </c>
      <c r="AA158" t="e">
        <f>VLOOKUP($Z158,'oddspedia-matches'!$A:$AD,AA$2,0)</f>
        <v>#N/A</v>
      </c>
      <c r="AB158" t="e">
        <f>VLOOKUP($Z158,'oddspedia-matches'!$A:$AD,AB$2,0)</f>
        <v>#N/A</v>
      </c>
      <c r="AC158" t="e">
        <f>VLOOKUP($Z158,'oddspedia-matches'!$A:$AD,AC$2,0)</f>
        <v>#N/A</v>
      </c>
      <c r="AD158" t="e">
        <f>VLOOKUP($Z158,'oddspedia-matches'!$A:$AD,AD$2,0)</f>
        <v>#N/A</v>
      </c>
      <c r="AE158" t="e">
        <f>VLOOKUP($Z158,'oddspedia-matches'!$A:$AD,AE$2,0)</f>
        <v>#N/A</v>
      </c>
      <c r="AF158" t="e">
        <f>VLOOKUP($Z158,'oddspedia-matches'!$A:$AD,AF$2,0)</f>
        <v>#N/A</v>
      </c>
      <c r="AG158" t="e">
        <f>VLOOKUP($Z158,'oddspedia-matches'!$A:$AD,AG$2,0)</f>
        <v>#N/A</v>
      </c>
      <c r="AH158" t="e">
        <f>VLOOKUP($Z158,'oddspedia-matches'!$A:$AD,AH$2,0)</f>
        <v>#N/A</v>
      </c>
      <c r="AI158" t="e">
        <f>VLOOKUP($Z158,'oddspedia-matches'!$A:$AD,AI$2,0)</f>
        <v>#N/A</v>
      </c>
      <c r="AJ158" t="e">
        <f>VLOOKUP($Z158,'oddspedia-matches'!$A:$AD,AJ$2,0)</f>
        <v>#N/A</v>
      </c>
      <c r="AK158" t="e">
        <f>VLOOKUP($Z158,'oddspedia-matches'!$A:$AD,AK$2,0)</f>
        <v>#N/A</v>
      </c>
      <c r="AL158" t="e">
        <f>VLOOKUP($Z158,'oddspedia-matches'!$A:$AD,AL$2,0)</f>
        <v>#N/A</v>
      </c>
      <c r="AM158" t="e">
        <f>VLOOKUP($Z158,'oddspedia-matches'!$A:$AD,AM$2,0)</f>
        <v>#N/A</v>
      </c>
      <c r="AN158" t="e">
        <f>VLOOKUP($Z158,'oddspedia-matches'!$A:$AD,AN$2,0)</f>
        <v>#N/A</v>
      </c>
      <c r="AO158" t="e">
        <f>VLOOKUP($Z158,'oddspedia-matches'!$A:$AD,AO$2,0)</f>
        <v>#N/A</v>
      </c>
      <c r="AP158" t="e">
        <f>VLOOKUP($Z158,'oddspedia-matches'!$A:$AD,AP$2,0)</f>
        <v>#N/A</v>
      </c>
      <c r="AQ158" t="e">
        <f>VLOOKUP($Z158,'oddspedia-matches'!$A:$AD,AQ$2,0)</f>
        <v>#N/A</v>
      </c>
    </row>
    <row r="159" spans="2:43" x14ac:dyDescent="0.2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Metz</v>
      </c>
      <c r="Y159" t="e">
        <f>VLOOKUP(F159,'Transform table'!A:B,2,0)</f>
        <v>#N/A</v>
      </c>
      <c r="Z159" t="e">
        <f>C159&amp;X159&amp;Y159</f>
        <v>#N/A</v>
      </c>
      <c r="AA159" t="e">
        <f>VLOOKUP($Z159,'oddspedia-matches'!$A:$AD,AA$2,0)</f>
        <v>#N/A</v>
      </c>
      <c r="AB159" t="e">
        <f>VLOOKUP($Z159,'oddspedia-matches'!$A:$AD,AB$2,0)</f>
        <v>#N/A</v>
      </c>
      <c r="AC159" t="e">
        <f>VLOOKUP($Z159,'oddspedia-matches'!$A:$AD,AC$2,0)</f>
        <v>#N/A</v>
      </c>
      <c r="AD159" t="e">
        <f>VLOOKUP($Z159,'oddspedia-matches'!$A:$AD,AD$2,0)</f>
        <v>#N/A</v>
      </c>
      <c r="AE159" t="e">
        <f>VLOOKUP($Z159,'oddspedia-matches'!$A:$AD,AE$2,0)</f>
        <v>#N/A</v>
      </c>
      <c r="AF159" t="e">
        <f>VLOOKUP($Z159,'oddspedia-matches'!$A:$AD,AF$2,0)</f>
        <v>#N/A</v>
      </c>
      <c r="AG159" t="e">
        <f>VLOOKUP($Z159,'oddspedia-matches'!$A:$AD,AG$2,0)</f>
        <v>#N/A</v>
      </c>
      <c r="AH159" t="e">
        <f>VLOOKUP($Z159,'oddspedia-matches'!$A:$AD,AH$2,0)</f>
        <v>#N/A</v>
      </c>
      <c r="AI159" t="e">
        <f>VLOOKUP($Z159,'oddspedia-matches'!$A:$AD,AI$2,0)</f>
        <v>#N/A</v>
      </c>
      <c r="AJ159" t="e">
        <f>VLOOKUP($Z159,'oddspedia-matches'!$A:$AD,AJ$2,0)</f>
        <v>#N/A</v>
      </c>
      <c r="AK159" t="e">
        <f>VLOOKUP($Z159,'oddspedia-matches'!$A:$AD,AK$2,0)</f>
        <v>#N/A</v>
      </c>
      <c r="AL159" t="e">
        <f>VLOOKUP($Z159,'oddspedia-matches'!$A:$AD,AL$2,0)</f>
        <v>#N/A</v>
      </c>
      <c r="AM159" t="e">
        <f>VLOOKUP($Z159,'oddspedia-matches'!$A:$AD,AM$2,0)</f>
        <v>#N/A</v>
      </c>
      <c r="AN159" t="e">
        <f>VLOOKUP($Z159,'oddspedia-matches'!$A:$AD,AN$2,0)</f>
        <v>#N/A</v>
      </c>
      <c r="AO159" t="e">
        <f>VLOOKUP($Z159,'oddspedia-matches'!$A:$AD,AO$2,0)</f>
        <v>#N/A</v>
      </c>
      <c r="AP159" t="e">
        <f>VLOOKUP($Z159,'oddspedia-matches'!$A:$AD,AP$2,0)</f>
        <v>#N/A</v>
      </c>
      <c r="AQ159" t="e">
        <f>VLOOKUP($Z159,'oddspedia-matches'!$A:$AD,AQ$2,0)</f>
        <v>#N/A</v>
      </c>
    </row>
    <row r="160" spans="2:43" x14ac:dyDescent="0.2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>C160&amp;X160&amp;Y160</f>
        <v>25/07/2026Sangju SangmuDaejeon Citizen</v>
      </c>
      <c r="AA160" t="e">
        <f>VLOOKUP($Z160,'oddspedia-matches'!$A:$AD,AA$2,0)</f>
        <v>#N/A</v>
      </c>
      <c r="AB160" t="e">
        <f>VLOOKUP($Z160,'oddspedia-matches'!$A:$AD,AB$2,0)</f>
        <v>#N/A</v>
      </c>
      <c r="AC160" t="e">
        <f>VLOOKUP($Z160,'oddspedia-matches'!$A:$AD,AC$2,0)</f>
        <v>#N/A</v>
      </c>
      <c r="AD160" t="e">
        <f>VLOOKUP($Z160,'oddspedia-matches'!$A:$AD,AD$2,0)</f>
        <v>#N/A</v>
      </c>
      <c r="AE160" t="e">
        <f>VLOOKUP($Z160,'oddspedia-matches'!$A:$AD,AE$2,0)</f>
        <v>#N/A</v>
      </c>
      <c r="AF160" t="e">
        <f>VLOOKUP($Z160,'oddspedia-matches'!$A:$AD,AF$2,0)</f>
        <v>#N/A</v>
      </c>
      <c r="AG160" t="e">
        <f>VLOOKUP($Z160,'oddspedia-matches'!$A:$AD,AG$2,0)</f>
        <v>#N/A</v>
      </c>
      <c r="AH160" t="e">
        <f>VLOOKUP($Z160,'oddspedia-matches'!$A:$AD,AH$2,0)</f>
        <v>#N/A</v>
      </c>
      <c r="AI160" t="e">
        <f>VLOOKUP($Z160,'oddspedia-matches'!$A:$AD,AI$2,0)</f>
        <v>#N/A</v>
      </c>
      <c r="AJ160" t="e">
        <f>VLOOKUP($Z160,'oddspedia-matches'!$A:$AD,AJ$2,0)</f>
        <v>#N/A</v>
      </c>
      <c r="AK160" t="e">
        <f>VLOOKUP($Z160,'oddspedia-matches'!$A:$AD,AK$2,0)</f>
        <v>#N/A</v>
      </c>
      <c r="AL160" t="e">
        <f>VLOOKUP($Z160,'oddspedia-matches'!$A:$AD,AL$2,0)</f>
        <v>#N/A</v>
      </c>
      <c r="AM160" t="e">
        <f>VLOOKUP($Z160,'oddspedia-matches'!$A:$AD,AM$2,0)</f>
        <v>#N/A</v>
      </c>
      <c r="AN160" t="e">
        <f>VLOOKUP($Z160,'oddspedia-matches'!$A:$AD,AN$2,0)</f>
        <v>#N/A</v>
      </c>
      <c r="AO160" t="e">
        <f>VLOOKUP($Z160,'oddspedia-matches'!$A:$AD,AO$2,0)</f>
        <v>#N/A</v>
      </c>
      <c r="AP160" t="e">
        <f>VLOOKUP($Z160,'oddspedia-matches'!$A:$AD,AP$2,0)</f>
        <v>#N/A</v>
      </c>
      <c r="AQ160" t="e">
        <f>VLOOKUP($Z160,'oddspedia-matches'!$A:$AD,AQ$2,0)</f>
        <v>#N/A</v>
      </c>
    </row>
    <row r="161" spans="2:43" x14ac:dyDescent="0.2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>C161&amp;X161&amp;Y161</f>
        <v>25/07/2026Pohang SteelersJeonbuk Hyundai Motors</v>
      </c>
      <c r="AA161" t="e">
        <f>VLOOKUP($Z161,'oddspedia-matches'!$A:$AD,AA$2,0)</f>
        <v>#N/A</v>
      </c>
      <c r="AB161" t="e">
        <f>VLOOKUP($Z161,'oddspedia-matches'!$A:$AD,AB$2,0)</f>
        <v>#N/A</v>
      </c>
      <c r="AC161" t="e">
        <f>VLOOKUP($Z161,'oddspedia-matches'!$A:$AD,AC$2,0)</f>
        <v>#N/A</v>
      </c>
      <c r="AD161" t="e">
        <f>VLOOKUP($Z161,'oddspedia-matches'!$A:$AD,AD$2,0)</f>
        <v>#N/A</v>
      </c>
      <c r="AE161" t="e">
        <f>VLOOKUP($Z161,'oddspedia-matches'!$A:$AD,AE$2,0)</f>
        <v>#N/A</v>
      </c>
      <c r="AF161" t="e">
        <f>VLOOKUP($Z161,'oddspedia-matches'!$A:$AD,AF$2,0)</f>
        <v>#N/A</v>
      </c>
      <c r="AG161" t="e">
        <f>VLOOKUP($Z161,'oddspedia-matches'!$A:$AD,AG$2,0)</f>
        <v>#N/A</v>
      </c>
      <c r="AH161" t="e">
        <f>VLOOKUP($Z161,'oddspedia-matches'!$A:$AD,AH$2,0)</f>
        <v>#N/A</v>
      </c>
      <c r="AI161" t="e">
        <f>VLOOKUP($Z161,'oddspedia-matches'!$A:$AD,AI$2,0)</f>
        <v>#N/A</v>
      </c>
      <c r="AJ161" t="e">
        <f>VLOOKUP($Z161,'oddspedia-matches'!$A:$AD,AJ$2,0)</f>
        <v>#N/A</v>
      </c>
      <c r="AK161" t="e">
        <f>VLOOKUP($Z161,'oddspedia-matches'!$A:$AD,AK$2,0)</f>
        <v>#N/A</v>
      </c>
      <c r="AL161" t="e">
        <f>VLOOKUP($Z161,'oddspedia-matches'!$A:$AD,AL$2,0)</f>
        <v>#N/A</v>
      </c>
      <c r="AM161" t="e">
        <f>VLOOKUP($Z161,'oddspedia-matches'!$A:$AD,AM$2,0)</f>
        <v>#N/A</v>
      </c>
      <c r="AN161" t="e">
        <f>VLOOKUP($Z161,'oddspedia-matches'!$A:$AD,AN$2,0)</f>
        <v>#N/A</v>
      </c>
      <c r="AO161" t="e">
        <f>VLOOKUP($Z161,'oddspedia-matches'!$A:$AD,AO$2,0)</f>
        <v>#N/A</v>
      </c>
      <c r="AP161" t="e">
        <f>VLOOKUP($Z161,'oddspedia-matches'!$A:$AD,AP$2,0)</f>
        <v>#N/A</v>
      </c>
      <c r="AQ161" t="e">
        <f>VLOOKUP($Z161,'oddspedia-matches'!$A:$AD,AQ$2,0)</f>
        <v>#N/A</v>
      </c>
    </row>
    <row r="162" spans="2:43" x14ac:dyDescent="0.2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Sangju Sangmu</v>
      </c>
      <c r="Y162" t="e">
        <f>VLOOKUP(F162,'Transform table'!A:B,2,0)</f>
        <v>#N/A</v>
      </c>
      <c r="Z162" t="e">
        <f>C162&amp;X162&amp;Y162</f>
        <v>#N/A</v>
      </c>
      <c r="AA162" t="e">
        <f>VLOOKUP($Z162,'oddspedia-matches'!$A:$AD,AA$2,0)</f>
        <v>#N/A</v>
      </c>
      <c r="AB162" t="e">
        <f>VLOOKUP($Z162,'oddspedia-matches'!$A:$AD,AB$2,0)</f>
        <v>#N/A</v>
      </c>
      <c r="AC162" t="e">
        <f>VLOOKUP($Z162,'oddspedia-matches'!$A:$AD,AC$2,0)</f>
        <v>#N/A</v>
      </c>
      <c r="AD162" t="e">
        <f>VLOOKUP($Z162,'oddspedia-matches'!$A:$AD,AD$2,0)</f>
        <v>#N/A</v>
      </c>
      <c r="AE162" t="e">
        <f>VLOOKUP($Z162,'oddspedia-matches'!$A:$AD,AE$2,0)</f>
        <v>#N/A</v>
      </c>
      <c r="AF162" t="e">
        <f>VLOOKUP($Z162,'oddspedia-matches'!$A:$AD,AF$2,0)</f>
        <v>#N/A</v>
      </c>
      <c r="AG162" t="e">
        <f>VLOOKUP($Z162,'oddspedia-matches'!$A:$AD,AG$2,0)</f>
        <v>#N/A</v>
      </c>
      <c r="AH162" t="e">
        <f>VLOOKUP($Z162,'oddspedia-matches'!$A:$AD,AH$2,0)</f>
        <v>#N/A</v>
      </c>
      <c r="AI162" t="e">
        <f>VLOOKUP($Z162,'oddspedia-matches'!$A:$AD,AI$2,0)</f>
        <v>#N/A</v>
      </c>
      <c r="AJ162" t="e">
        <f>VLOOKUP($Z162,'oddspedia-matches'!$A:$AD,AJ$2,0)</f>
        <v>#N/A</v>
      </c>
      <c r="AK162" t="e">
        <f>VLOOKUP($Z162,'oddspedia-matches'!$A:$AD,AK$2,0)</f>
        <v>#N/A</v>
      </c>
      <c r="AL162" t="e">
        <f>VLOOKUP($Z162,'oddspedia-matches'!$A:$AD,AL$2,0)</f>
        <v>#N/A</v>
      </c>
      <c r="AM162" t="e">
        <f>VLOOKUP($Z162,'oddspedia-matches'!$A:$AD,AM$2,0)</f>
        <v>#N/A</v>
      </c>
      <c r="AN162" t="e">
        <f>VLOOKUP($Z162,'oddspedia-matches'!$A:$AD,AN$2,0)</f>
        <v>#N/A</v>
      </c>
      <c r="AO162" t="e">
        <f>VLOOKUP($Z162,'oddspedia-matches'!$A:$AD,AO$2,0)</f>
        <v>#N/A</v>
      </c>
      <c r="AP162" t="e">
        <f>VLOOKUP($Z162,'oddspedia-matches'!$A:$AD,AP$2,0)</f>
        <v>#N/A</v>
      </c>
      <c r="AQ162" t="e">
        <f>VLOOKUP($Z162,'oddspedia-matches'!$A:$AD,AQ$2,0)</f>
        <v>#N/A</v>
      </c>
    </row>
    <row r="163" spans="2:43" x14ac:dyDescent="0.2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Gangwon</v>
      </c>
      <c r="Y163" t="e">
        <f>VLOOKUP(F163,'Transform table'!A:B,2,0)</f>
        <v>#N/A</v>
      </c>
      <c r="Z163" t="e">
        <f>C163&amp;X163&amp;Y163</f>
        <v>#N/A</v>
      </c>
      <c r="AA163" t="e">
        <f>VLOOKUP($Z163,'oddspedia-matches'!$A:$AD,AA$2,0)</f>
        <v>#N/A</v>
      </c>
      <c r="AB163" t="e">
        <f>VLOOKUP($Z163,'oddspedia-matches'!$A:$AD,AB$2,0)</f>
        <v>#N/A</v>
      </c>
      <c r="AC163" t="e">
        <f>VLOOKUP($Z163,'oddspedia-matches'!$A:$AD,AC$2,0)</f>
        <v>#N/A</v>
      </c>
      <c r="AD163" t="e">
        <f>VLOOKUP($Z163,'oddspedia-matches'!$A:$AD,AD$2,0)</f>
        <v>#N/A</v>
      </c>
      <c r="AE163" t="e">
        <f>VLOOKUP($Z163,'oddspedia-matches'!$A:$AD,AE$2,0)</f>
        <v>#N/A</v>
      </c>
      <c r="AF163" t="e">
        <f>VLOOKUP($Z163,'oddspedia-matches'!$A:$AD,AF$2,0)</f>
        <v>#N/A</v>
      </c>
      <c r="AG163" t="e">
        <f>VLOOKUP($Z163,'oddspedia-matches'!$A:$AD,AG$2,0)</f>
        <v>#N/A</v>
      </c>
      <c r="AH163" t="e">
        <f>VLOOKUP($Z163,'oddspedia-matches'!$A:$AD,AH$2,0)</f>
        <v>#N/A</v>
      </c>
      <c r="AI163" t="e">
        <f>VLOOKUP($Z163,'oddspedia-matches'!$A:$AD,AI$2,0)</f>
        <v>#N/A</v>
      </c>
      <c r="AJ163" t="e">
        <f>VLOOKUP($Z163,'oddspedia-matches'!$A:$AD,AJ$2,0)</f>
        <v>#N/A</v>
      </c>
      <c r="AK163" t="e">
        <f>VLOOKUP($Z163,'oddspedia-matches'!$A:$AD,AK$2,0)</f>
        <v>#N/A</v>
      </c>
      <c r="AL163" t="e">
        <f>VLOOKUP($Z163,'oddspedia-matches'!$A:$AD,AL$2,0)</f>
        <v>#N/A</v>
      </c>
      <c r="AM163" t="e">
        <f>VLOOKUP($Z163,'oddspedia-matches'!$A:$AD,AM$2,0)</f>
        <v>#N/A</v>
      </c>
      <c r="AN163" t="e">
        <f>VLOOKUP($Z163,'oddspedia-matches'!$A:$AD,AN$2,0)</f>
        <v>#N/A</v>
      </c>
      <c r="AO163" t="e">
        <f>VLOOKUP($Z163,'oddspedia-matches'!$A:$AD,AO$2,0)</f>
        <v>#N/A</v>
      </c>
      <c r="AP163" t="e">
        <f>VLOOKUP($Z163,'oddspedia-matches'!$A:$AD,AP$2,0)</f>
        <v>#N/A</v>
      </c>
      <c r="AQ163" t="e">
        <f>VLOOKUP($Z163,'oddspedia-matches'!$A:$AD,AQ$2,0)</f>
        <v>#N/A</v>
      </c>
    </row>
    <row r="164" spans="2:43" x14ac:dyDescent="0.2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Anyang</v>
      </c>
      <c r="Y164" t="e">
        <f>VLOOKUP(F164,'Transform table'!A:B,2,0)</f>
        <v>#N/A</v>
      </c>
      <c r="Z164" t="e">
        <f>C164&amp;X164&amp;Y164</f>
        <v>#N/A</v>
      </c>
      <c r="AA164" t="e">
        <f>VLOOKUP($Z164,'oddspedia-matches'!$A:$AD,AA$2,0)</f>
        <v>#N/A</v>
      </c>
      <c r="AB164" t="e">
        <f>VLOOKUP($Z164,'oddspedia-matches'!$A:$AD,AB$2,0)</f>
        <v>#N/A</v>
      </c>
      <c r="AC164" t="e">
        <f>VLOOKUP($Z164,'oddspedia-matches'!$A:$AD,AC$2,0)</f>
        <v>#N/A</v>
      </c>
      <c r="AD164" t="e">
        <f>VLOOKUP($Z164,'oddspedia-matches'!$A:$AD,AD$2,0)</f>
        <v>#N/A</v>
      </c>
      <c r="AE164" t="e">
        <f>VLOOKUP($Z164,'oddspedia-matches'!$A:$AD,AE$2,0)</f>
        <v>#N/A</v>
      </c>
      <c r="AF164" t="e">
        <f>VLOOKUP($Z164,'oddspedia-matches'!$A:$AD,AF$2,0)</f>
        <v>#N/A</v>
      </c>
      <c r="AG164" t="e">
        <f>VLOOKUP($Z164,'oddspedia-matches'!$A:$AD,AG$2,0)</f>
        <v>#N/A</v>
      </c>
      <c r="AH164" t="e">
        <f>VLOOKUP($Z164,'oddspedia-matches'!$A:$AD,AH$2,0)</f>
        <v>#N/A</v>
      </c>
      <c r="AI164" t="e">
        <f>VLOOKUP($Z164,'oddspedia-matches'!$A:$AD,AI$2,0)</f>
        <v>#N/A</v>
      </c>
      <c r="AJ164" t="e">
        <f>VLOOKUP($Z164,'oddspedia-matches'!$A:$AD,AJ$2,0)</f>
        <v>#N/A</v>
      </c>
      <c r="AK164" t="e">
        <f>VLOOKUP($Z164,'oddspedia-matches'!$A:$AD,AK$2,0)</f>
        <v>#N/A</v>
      </c>
      <c r="AL164" t="e">
        <f>VLOOKUP($Z164,'oddspedia-matches'!$A:$AD,AL$2,0)</f>
        <v>#N/A</v>
      </c>
      <c r="AM164" t="e">
        <f>VLOOKUP($Z164,'oddspedia-matches'!$A:$AD,AM$2,0)</f>
        <v>#N/A</v>
      </c>
      <c r="AN164" t="e">
        <f>VLOOKUP($Z164,'oddspedia-matches'!$A:$AD,AN$2,0)</f>
        <v>#N/A</v>
      </c>
      <c r="AO164" t="e">
        <f>VLOOKUP($Z164,'oddspedia-matches'!$A:$AD,AO$2,0)</f>
        <v>#N/A</v>
      </c>
      <c r="AP164" t="e">
        <f>VLOOKUP($Z164,'oddspedia-matches'!$A:$AD,AP$2,0)</f>
        <v>#N/A</v>
      </c>
      <c r="AQ164" t="e">
        <f>VLOOKUP($Z164,'oddspedia-matches'!$A:$AD,AQ$2,0)</f>
        <v>#N/A</v>
      </c>
    </row>
    <row r="165" spans="2:43" x14ac:dyDescent="0.2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Daejeon Citizen</v>
      </c>
      <c r="Y165" t="e">
        <f>VLOOKUP(F165,'Transform table'!A:B,2,0)</f>
        <v>#N/A</v>
      </c>
      <c r="Z165" t="e">
        <f>C165&amp;X165&amp;Y165</f>
        <v>#N/A</v>
      </c>
      <c r="AA165" t="e">
        <f>VLOOKUP($Z165,'oddspedia-matches'!$A:$AD,AA$2,0)</f>
        <v>#N/A</v>
      </c>
      <c r="AB165" t="e">
        <f>VLOOKUP($Z165,'oddspedia-matches'!$A:$AD,AB$2,0)</f>
        <v>#N/A</v>
      </c>
      <c r="AC165" t="e">
        <f>VLOOKUP($Z165,'oddspedia-matches'!$A:$AD,AC$2,0)</f>
        <v>#N/A</v>
      </c>
      <c r="AD165" t="e">
        <f>VLOOKUP($Z165,'oddspedia-matches'!$A:$AD,AD$2,0)</f>
        <v>#N/A</v>
      </c>
      <c r="AE165" t="e">
        <f>VLOOKUP($Z165,'oddspedia-matches'!$A:$AD,AE$2,0)</f>
        <v>#N/A</v>
      </c>
      <c r="AF165" t="e">
        <f>VLOOKUP($Z165,'oddspedia-matches'!$A:$AD,AF$2,0)</f>
        <v>#N/A</v>
      </c>
      <c r="AG165" t="e">
        <f>VLOOKUP($Z165,'oddspedia-matches'!$A:$AD,AG$2,0)</f>
        <v>#N/A</v>
      </c>
      <c r="AH165" t="e">
        <f>VLOOKUP($Z165,'oddspedia-matches'!$A:$AD,AH$2,0)</f>
        <v>#N/A</v>
      </c>
      <c r="AI165" t="e">
        <f>VLOOKUP($Z165,'oddspedia-matches'!$A:$AD,AI$2,0)</f>
        <v>#N/A</v>
      </c>
      <c r="AJ165" t="e">
        <f>VLOOKUP($Z165,'oddspedia-matches'!$A:$AD,AJ$2,0)</f>
        <v>#N/A</v>
      </c>
      <c r="AK165" t="e">
        <f>VLOOKUP($Z165,'oddspedia-matches'!$A:$AD,AK$2,0)</f>
        <v>#N/A</v>
      </c>
      <c r="AL165" t="e">
        <f>VLOOKUP($Z165,'oddspedia-matches'!$A:$AD,AL$2,0)</f>
        <v>#N/A</v>
      </c>
      <c r="AM165" t="e">
        <f>VLOOKUP($Z165,'oddspedia-matches'!$A:$AD,AM$2,0)</f>
        <v>#N/A</v>
      </c>
      <c r="AN165" t="e">
        <f>VLOOKUP($Z165,'oddspedia-matches'!$A:$AD,AN$2,0)</f>
        <v>#N/A</v>
      </c>
      <c r="AO165" t="e">
        <f>VLOOKUP($Z165,'oddspedia-matches'!$A:$AD,AO$2,0)</f>
        <v>#N/A</v>
      </c>
      <c r="AP165" t="e">
        <f>VLOOKUP($Z165,'oddspedia-matches'!$A:$AD,AP$2,0)</f>
        <v>#N/A</v>
      </c>
      <c r="AQ165" t="e">
        <f>VLOOKUP($Z165,'oddspedia-matches'!$A:$AD,AQ$2,0)</f>
        <v>#N/A</v>
      </c>
    </row>
    <row r="166" spans="2:43" x14ac:dyDescent="0.2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Chengdu Qianbao</v>
      </c>
      <c r="Y166" t="e">
        <f>VLOOKUP(F166,'Transform table'!A:B,2,0)</f>
        <v>#N/A</v>
      </c>
      <c r="Z166" t="e">
        <f>C166&amp;X166&amp;Y166</f>
        <v>#N/A</v>
      </c>
      <c r="AA166" t="e">
        <f>VLOOKUP($Z166,'oddspedia-matches'!$A:$AD,AA$2,0)</f>
        <v>#N/A</v>
      </c>
      <c r="AB166" t="e">
        <f>VLOOKUP($Z166,'oddspedia-matches'!$A:$AD,AB$2,0)</f>
        <v>#N/A</v>
      </c>
      <c r="AC166" t="e">
        <f>VLOOKUP($Z166,'oddspedia-matches'!$A:$AD,AC$2,0)</f>
        <v>#N/A</v>
      </c>
      <c r="AD166" t="e">
        <f>VLOOKUP($Z166,'oddspedia-matches'!$A:$AD,AD$2,0)</f>
        <v>#N/A</v>
      </c>
      <c r="AE166" t="e">
        <f>VLOOKUP($Z166,'oddspedia-matches'!$A:$AD,AE$2,0)</f>
        <v>#N/A</v>
      </c>
      <c r="AF166" t="e">
        <f>VLOOKUP($Z166,'oddspedia-matches'!$A:$AD,AF$2,0)</f>
        <v>#N/A</v>
      </c>
      <c r="AG166" t="e">
        <f>VLOOKUP($Z166,'oddspedia-matches'!$A:$AD,AG$2,0)</f>
        <v>#N/A</v>
      </c>
      <c r="AH166" t="e">
        <f>VLOOKUP($Z166,'oddspedia-matches'!$A:$AD,AH$2,0)</f>
        <v>#N/A</v>
      </c>
      <c r="AI166" t="e">
        <f>VLOOKUP($Z166,'oddspedia-matches'!$A:$AD,AI$2,0)</f>
        <v>#N/A</v>
      </c>
      <c r="AJ166" t="e">
        <f>VLOOKUP($Z166,'oddspedia-matches'!$A:$AD,AJ$2,0)</f>
        <v>#N/A</v>
      </c>
      <c r="AK166" t="e">
        <f>VLOOKUP($Z166,'oddspedia-matches'!$A:$AD,AK$2,0)</f>
        <v>#N/A</v>
      </c>
      <c r="AL166" t="e">
        <f>VLOOKUP($Z166,'oddspedia-matches'!$A:$AD,AL$2,0)</f>
        <v>#N/A</v>
      </c>
      <c r="AM166" t="e">
        <f>VLOOKUP($Z166,'oddspedia-matches'!$A:$AD,AM$2,0)</f>
        <v>#N/A</v>
      </c>
      <c r="AN166" t="e">
        <f>VLOOKUP($Z166,'oddspedia-matches'!$A:$AD,AN$2,0)</f>
        <v>#N/A</v>
      </c>
      <c r="AO166" t="e">
        <f>VLOOKUP($Z166,'oddspedia-matches'!$A:$AD,AO$2,0)</f>
        <v>#N/A</v>
      </c>
      <c r="AP166" t="e">
        <f>VLOOKUP($Z166,'oddspedia-matches'!$A:$AD,AP$2,0)</f>
        <v>#N/A</v>
      </c>
      <c r="AQ166" t="e">
        <f>VLOOKUP($Z166,'oddspedia-matches'!$A:$AD,AQ$2,0)</f>
        <v>#N/A</v>
      </c>
    </row>
    <row r="167" spans="2:43" x14ac:dyDescent="0.2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>
        <f>VLOOKUP(E167,'Transform table'!A:B,2,0)</f>
        <v>0</v>
      </c>
      <c r="Y167" t="e">
        <f>VLOOKUP(F167,'Transform table'!A:B,2,0)</f>
        <v>#N/A</v>
      </c>
      <c r="Z167" t="e">
        <f>C167&amp;X167&amp;Y167</f>
        <v>#N/A</v>
      </c>
      <c r="AA167" t="e">
        <f>VLOOKUP($Z167,'oddspedia-matches'!$A:$AD,AA$2,0)</f>
        <v>#N/A</v>
      </c>
      <c r="AB167" t="e">
        <f>VLOOKUP($Z167,'oddspedia-matches'!$A:$AD,AB$2,0)</f>
        <v>#N/A</v>
      </c>
      <c r="AC167" t="e">
        <f>VLOOKUP($Z167,'oddspedia-matches'!$A:$AD,AC$2,0)</f>
        <v>#N/A</v>
      </c>
      <c r="AD167" t="e">
        <f>VLOOKUP($Z167,'oddspedia-matches'!$A:$AD,AD$2,0)</f>
        <v>#N/A</v>
      </c>
      <c r="AE167" t="e">
        <f>VLOOKUP($Z167,'oddspedia-matches'!$A:$AD,AE$2,0)</f>
        <v>#N/A</v>
      </c>
      <c r="AF167" t="e">
        <f>VLOOKUP($Z167,'oddspedia-matches'!$A:$AD,AF$2,0)</f>
        <v>#N/A</v>
      </c>
      <c r="AG167" t="e">
        <f>VLOOKUP($Z167,'oddspedia-matches'!$A:$AD,AG$2,0)</f>
        <v>#N/A</v>
      </c>
      <c r="AH167" t="e">
        <f>VLOOKUP($Z167,'oddspedia-matches'!$A:$AD,AH$2,0)</f>
        <v>#N/A</v>
      </c>
      <c r="AI167" t="e">
        <f>VLOOKUP($Z167,'oddspedia-matches'!$A:$AD,AI$2,0)</f>
        <v>#N/A</v>
      </c>
      <c r="AJ167" t="e">
        <f>VLOOKUP($Z167,'oddspedia-matches'!$A:$AD,AJ$2,0)</f>
        <v>#N/A</v>
      </c>
      <c r="AK167" t="e">
        <f>VLOOKUP($Z167,'oddspedia-matches'!$A:$AD,AK$2,0)</f>
        <v>#N/A</v>
      </c>
      <c r="AL167" t="e">
        <f>VLOOKUP($Z167,'oddspedia-matches'!$A:$AD,AL$2,0)</f>
        <v>#N/A</v>
      </c>
      <c r="AM167" t="e">
        <f>VLOOKUP($Z167,'oddspedia-matches'!$A:$AD,AM$2,0)</f>
        <v>#N/A</v>
      </c>
      <c r="AN167" t="e">
        <f>VLOOKUP($Z167,'oddspedia-matches'!$A:$AD,AN$2,0)</f>
        <v>#N/A</v>
      </c>
      <c r="AO167" t="e">
        <f>VLOOKUP($Z167,'oddspedia-matches'!$A:$AD,AO$2,0)</f>
        <v>#N/A</v>
      </c>
      <c r="AP167" t="e">
        <f>VLOOKUP($Z167,'oddspedia-matches'!$A:$AD,AP$2,0)</f>
        <v>#N/A</v>
      </c>
      <c r="AQ167" t="e">
        <f>VLOOKUP($Z167,'oddspedia-matches'!$A:$AD,AQ$2,0)</f>
        <v>#N/A</v>
      </c>
    </row>
    <row r="168" spans="2:43" x14ac:dyDescent="0.2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e">
        <f>VLOOKUP(F168,'Transform table'!A:B,2,0)</f>
        <v>#N/A</v>
      </c>
      <c r="Z168" t="e">
        <f>C168&amp;X168&amp;Y168</f>
        <v>#N/A</v>
      </c>
      <c r="AA168" t="e">
        <f>VLOOKUP($Z168,'oddspedia-matches'!$A:$AD,AA$2,0)</f>
        <v>#N/A</v>
      </c>
      <c r="AB168" t="e">
        <f>VLOOKUP($Z168,'oddspedia-matches'!$A:$AD,AB$2,0)</f>
        <v>#N/A</v>
      </c>
      <c r="AC168" t="e">
        <f>VLOOKUP($Z168,'oddspedia-matches'!$A:$AD,AC$2,0)</f>
        <v>#N/A</v>
      </c>
      <c r="AD168" t="e">
        <f>VLOOKUP($Z168,'oddspedia-matches'!$A:$AD,AD$2,0)</f>
        <v>#N/A</v>
      </c>
      <c r="AE168" t="e">
        <f>VLOOKUP($Z168,'oddspedia-matches'!$A:$AD,AE$2,0)</f>
        <v>#N/A</v>
      </c>
      <c r="AF168" t="e">
        <f>VLOOKUP($Z168,'oddspedia-matches'!$A:$AD,AF$2,0)</f>
        <v>#N/A</v>
      </c>
      <c r="AG168" t="e">
        <f>VLOOKUP($Z168,'oddspedia-matches'!$A:$AD,AG$2,0)</f>
        <v>#N/A</v>
      </c>
      <c r="AH168" t="e">
        <f>VLOOKUP($Z168,'oddspedia-matches'!$A:$AD,AH$2,0)</f>
        <v>#N/A</v>
      </c>
      <c r="AI168" t="e">
        <f>VLOOKUP($Z168,'oddspedia-matches'!$A:$AD,AI$2,0)</f>
        <v>#N/A</v>
      </c>
      <c r="AJ168" t="e">
        <f>VLOOKUP($Z168,'oddspedia-matches'!$A:$AD,AJ$2,0)</f>
        <v>#N/A</v>
      </c>
      <c r="AK168" t="e">
        <f>VLOOKUP($Z168,'oddspedia-matches'!$A:$AD,AK$2,0)</f>
        <v>#N/A</v>
      </c>
      <c r="AL168" t="e">
        <f>VLOOKUP($Z168,'oddspedia-matches'!$A:$AD,AL$2,0)</f>
        <v>#N/A</v>
      </c>
      <c r="AM168" t="e">
        <f>VLOOKUP($Z168,'oddspedia-matches'!$A:$AD,AM$2,0)</f>
        <v>#N/A</v>
      </c>
      <c r="AN168" t="e">
        <f>VLOOKUP($Z168,'oddspedia-matches'!$A:$AD,AN$2,0)</f>
        <v>#N/A</v>
      </c>
      <c r="AO168" t="e">
        <f>VLOOKUP($Z168,'oddspedia-matches'!$A:$AD,AO$2,0)</f>
        <v>#N/A</v>
      </c>
      <c r="AP168" t="e">
        <f>VLOOKUP($Z168,'oddspedia-matches'!$A:$AD,AP$2,0)</f>
        <v>#N/A</v>
      </c>
      <c r="AQ168" t="e">
        <f>VLOOKUP($Z168,'oddspedia-matches'!$A:$AD,AQ$2,0)</f>
        <v>#N/A</v>
      </c>
    </row>
    <row r="169" spans="2:43" x14ac:dyDescent="0.2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>
        <f>VLOOKUP(E169,'Transform table'!A:B,2,0)</f>
        <v>0</v>
      </c>
      <c r="Y169" t="e">
        <f>VLOOKUP(F169,'Transform table'!A:B,2,0)</f>
        <v>#N/A</v>
      </c>
      <c r="Z169" t="e">
        <f>C169&amp;X169&amp;Y169</f>
        <v>#N/A</v>
      </c>
      <c r="AA169" t="e">
        <f>VLOOKUP($Z169,'oddspedia-matches'!$A:$AD,AA$2,0)</f>
        <v>#N/A</v>
      </c>
      <c r="AB169" t="e">
        <f>VLOOKUP($Z169,'oddspedia-matches'!$A:$AD,AB$2,0)</f>
        <v>#N/A</v>
      </c>
      <c r="AC169" t="e">
        <f>VLOOKUP($Z169,'oddspedia-matches'!$A:$AD,AC$2,0)</f>
        <v>#N/A</v>
      </c>
      <c r="AD169" t="e">
        <f>VLOOKUP($Z169,'oddspedia-matches'!$A:$AD,AD$2,0)</f>
        <v>#N/A</v>
      </c>
      <c r="AE169" t="e">
        <f>VLOOKUP($Z169,'oddspedia-matches'!$A:$AD,AE$2,0)</f>
        <v>#N/A</v>
      </c>
      <c r="AF169" t="e">
        <f>VLOOKUP($Z169,'oddspedia-matches'!$A:$AD,AF$2,0)</f>
        <v>#N/A</v>
      </c>
      <c r="AG169" t="e">
        <f>VLOOKUP($Z169,'oddspedia-matches'!$A:$AD,AG$2,0)</f>
        <v>#N/A</v>
      </c>
      <c r="AH169" t="e">
        <f>VLOOKUP($Z169,'oddspedia-matches'!$A:$AD,AH$2,0)</f>
        <v>#N/A</v>
      </c>
      <c r="AI169" t="e">
        <f>VLOOKUP($Z169,'oddspedia-matches'!$A:$AD,AI$2,0)</f>
        <v>#N/A</v>
      </c>
      <c r="AJ169" t="e">
        <f>VLOOKUP($Z169,'oddspedia-matches'!$A:$AD,AJ$2,0)</f>
        <v>#N/A</v>
      </c>
      <c r="AK169" t="e">
        <f>VLOOKUP($Z169,'oddspedia-matches'!$A:$AD,AK$2,0)</f>
        <v>#N/A</v>
      </c>
      <c r="AL169" t="e">
        <f>VLOOKUP($Z169,'oddspedia-matches'!$A:$AD,AL$2,0)</f>
        <v>#N/A</v>
      </c>
      <c r="AM169" t="e">
        <f>VLOOKUP($Z169,'oddspedia-matches'!$A:$AD,AM$2,0)</f>
        <v>#N/A</v>
      </c>
      <c r="AN169" t="e">
        <f>VLOOKUP($Z169,'oddspedia-matches'!$A:$AD,AN$2,0)</f>
        <v>#N/A</v>
      </c>
      <c r="AO169" t="e">
        <f>VLOOKUP($Z169,'oddspedia-matches'!$A:$AD,AO$2,0)</f>
        <v>#N/A</v>
      </c>
      <c r="AP169" t="e">
        <f>VLOOKUP($Z169,'oddspedia-matches'!$A:$AD,AP$2,0)</f>
        <v>#N/A</v>
      </c>
      <c r="AQ169" t="e">
        <f>VLOOKUP($Z169,'oddspedia-matches'!$A:$AD,AQ$2,0)</f>
        <v>#N/A</v>
      </c>
    </row>
    <row r="170" spans="2:43" x14ac:dyDescent="0.2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>
        <f>VLOOKUP(E170,'Transform table'!A:B,2,0)</f>
        <v>0</v>
      </c>
      <c r="Y170" t="e">
        <f>VLOOKUP(F170,'Transform table'!A:B,2,0)</f>
        <v>#N/A</v>
      </c>
      <c r="Z170" t="e">
        <f>C170&amp;X170&amp;Y170</f>
        <v>#N/A</v>
      </c>
      <c r="AA170" t="e">
        <f>VLOOKUP($Z170,'oddspedia-matches'!$A:$AD,AA$2,0)</f>
        <v>#N/A</v>
      </c>
      <c r="AB170" t="e">
        <f>VLOOKUP($Z170,'oddspedia-matches'!$A:$AD,AB$2,0)</f>
        <v>#N/A</v>
      </c>
      <c r="AC170" t="e">
        <f>VLOOKUP($Z170,'oddspedia-matches'!$A:$AD,AC$2,0)</f>
        <v>#N/A</v>
      </c>
      <c r="AD170" t="e">
        <f>VLOOKUP($Z170,'oddspedia-matches'!$A:$AD,AD$2,0)</f>
        <v>#N/A</v>
      </c>
      <c r="AE170" t="e">
        <f>VLOOKUP($Z170,'oddspedia-matches'!$A:$AD,AE$2,0)</f>
        <v>#N/A</v>
      </c>
      <c r="AF170" t="e">
        <f>VLOOKUP($Z170,'oddspedia-matches'!$A:$AD,AF$2,0)</f>
        <v>#N/A</v>
      </c>
      <c r="AG170" t="e">
        <f>VLOOKUP($Z170,'oddspedia-matches'!$A:$AD,AG$2,0)</f>
        <v>#N/A</v>
      </c>
      <c r="AH170" t="e">
        <f>VLOOKUP($Z170,'oddspedia-matches'!$A:$AD,AH$2,0)</f>
        <v>#N/A</v>
      </c>
      <c r="AI170" t="e">
        <f>VLOOKUP($Z170,'oddspedia-matches'!$A:$AD,AI$2,0)</f>
        <v>#N/A</v>
      </c>
      <c r="AJ170" t="e">
        <f>VLOOKUP($Z170,'oddspedia-matches'!$A:$AD,AJ$2,0)</f>
        <v>#N/A</v>
      </c>
      <c r="AK170" t="e">
        <f>VLOOKUP($Z170,'oddspedia-matches'!$A:$AD,AK$2,0)</f>
        <v>#N/A</v>
      </c>
      <c r="AL170" t="e">
        <f>VLOOKUP($Z170,'oddspedia-matches'!$A:$AD,AL$2,0)</f>
        <v>#N/A</v>
      </c>
      <c r="AM170" t="e">
        <f>VLOOKUP($Z170,'oddspedia-matches'!$A:$AD,AM$2,0)</f>
        <v>#N/A</v>
      </c>
      <c r="AN170" t="e">
        <f>VLOOKUP($Z170,'oddspedia-matches'!$A:$AD,AN$2,0)</f>
        <v>#N/A</v>
      </c>
      <c r="AO170" t="e">
        <f>VLOOKUP($Z170,'oddspedia-matches'!$A:$AD,AO$2,0)</f>
        <v>#N/A</v>
      </c>
      <c r="AP170" t="e">
        <f>VLOOKUP($Z170,'oddspedia-matches'!$A:$AD,AP$2,0)</f>
        <v>#N/A</v>
      </c>
      <c r="AQ170" t="e">
        <f>VLOOKUP($Z170,'oddspedia-matches'!$A:$AD,AQ$2,0)</f>
        <v>#N/A</v>
      </c>
    </row>
    <row r="171" spans="2:43" x14ac:dyDescent="0.2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>
        <f>VLOOKUP(E171,'Transform table'!A:B,2,0)</f>
        <v>0</v>
      </c>
      <c r="Y171" t="str">
        <f>VLOOKUP(F171,'Transform table'!A:B,2,0)</f>
        <v>Rigas Futbola Skola II</v>
      </c>
      <c r="Z171" t="str">
        <f>C171&amp;X171&amp;Y171</f>
        <v>25/07/20260Rigas Futbola Skola II</v>
      </c>
      <c r="AA171" t="e">
        <f>VLOOKUP($Z171,'oddspedia-matches'!$A:$AD,AA$2,0)</f>
        <v>#N/A</v>
      </c>
      <c r="AB171" t="e">
        <f>VLOOKUP($Z171,'oddspedia-matches'!$A:$AD,AB$2,0)</f>
        <v>#N/A</v>
      </c>
      <c r="AC171" t="e">
        <f>VLOOKUP($Z171,'oddspedia-matches'!$A:$AD,AC$2,0)</f>
        <v>#N/A</v>
      </c>
      <c r="AD171" t="e">
        <f>VLOOKUP($Z171,'oddspedia-matches'!$A:$AD,AD$2,0)</f>
        <v>#N/A</v>
      </c>
      <c r="AE171" t="e">
        <f>VLOOKUP($Z171,'oddspedia-matches'!$A:$AD,AE$2,0)</f>
        <v>#N/A</v>
      </c>
      <c r="AF171" t="e">
        <f>VLOOKUP($Z171,'oddspedia-matches'!$A:$AD,AF$2,0)</f>
        <v>#N/A</v>
      </c>
      <c r="AG171" t="e">
        <f>VLOOKUP($Z171,'oddspedia-matches'!$A:$AD,AG$2,0)</f>
        <v>#N/A</v>
      </c>
      <c r="AH171" t="e">
        <f>VLOOKUP($Z171,'oddspedia-matches'!$A:$AD,AH$2,0)</f>
        <v>#N/A</v>
      </c>
      <c r="AI171" t="e">
        <f>VLOOKUP($Z171,'oddspedia-matches'!$A:$AD,AI$2,0)</f>
        <v>#N/A</v>
      </c>
      <c r="AJ171" t="e">
        <f>VLOOKUP($Z171,'oddspedia-matches'!$A:$AD,AJ$2,0)</f>
        <v>#N/A</v>
      </c>
      <c r="AK171" t="e">
        <f>VLOOKUP($Z171,'oddspedia-matches'!$A:$AD,AK$2,0)</f>
        <v>#N/A</v>
      </c>
      <c r="AL171" t="e">
        <f>VLOOKUP($Z171,'oddspedia-matches'!$A:$AD,AL$2,0)</f>
        <v>#N/A</v>
      </c>
      <c r="AM171" t="e">
        <f>VLOOKUP($Z171,'oddspedia-matches'!$A:$AD,AM$2,0)</f>
        <v>#N/A</v>
      </c>
      <c r="AN171" t="e">
        <f>VLOOKUP($Z171,'oddspedia-matches'!$A:$AD,AN$2,0)</f>
        <v>#N/A</v>
      </c>
      <c r="AO171" t="e">
        <f>VLOOKUP($Z171,'oddspedia-matches'!$A:$AD,AO$2,0)</f>
        <v>#N/A</v>
      </c>
      <c r="AP171" t="e">
        <f>VLOOKUP($Z171,'oddspedia-matches'!$A:$AD,AP$2,0)</f>
        <v>#N/A</v>
      </c>
      <c r="AQ171" t="e">
        <f>VLOOKUP($Z171,'oddspedia-matches'!$A:$AD,AQ$2,0)</f>
        <v>#N/A</v>
      </c>
    </row>
    <row r="172" spans="2:43" x14ac:dyDescent="0.2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>
        <f>VLOOKUP(E172,'Transform table'!A:B,2,0)</f>
        <v>0</v>
      </c>
      <c r="Y172" t="e">
        <f>VLOOKUP(F172,'Transform table'!A:B,2,0)</f>
        <v>#N/A</v>
      </c>
      <c r="Z172" t="e">
        <f>C172&amp;X172&amp;Y172</f>
        <v>#N/A</v>
      </c>
      <c r="AA172" t="e">
        <f>VLOOKUP($Z172,'oddspedia-matches'!$A:$AD,AA$2,0)</f>
        <v>#N/A</v>
      </c>
      <c r="AB172" t="e">
        <f>VLOOKUP($Z172,'oddspedia-matches'!$A:$AD,AB$2,0)</f>
        <v>#N/A</v>
      </c>
      <c r="AC172" t="e">
        <f>VLOOKUP($Z172,'oddspedia-matches'!$A:$AD,AC$2,0)</f>
        <v>#N/A</v>
      </c>
      <c r="AD172" t="e">
        <f>VLOOKUP($Z172,'oddspedia-matches'!$A:$AD,AD$2,0)</f>
        <v>#N/A</v>
      </c>
      <c r="AE172" t="e">
        <f>VLOOKUP($Z172,'oddspedia-matches'!$A:$AD,AE$2,0)</f>
        <v>#N/A</v>
      </c>
      <c r="AF172" t="e">
        <f>VLOOKUP($Z172,'oddspedia-matches'!$A:$AD,AF$2,0)</f>
        <v>#N/A</v>
      </c>
      <c r="AG172" t="e">
        <f>VLOOKUP($Z172,'oddspedia-matches'!$A:$AD,AG$2,0)</f>
        <v>#N/A</v>
      </c>
      <c r="AH172" t="e">
        <f>VLOOKUP($Z172,'oddspedia-matches'!$A:$AD,AH$2,0)</f>
        <v>#N/A</v>
      </c>
      <c r="AI172" t="e">
        <f>VLOOKUP($Z172,'oddspedia-matches'!$A:$AD,AI$2,0)</f>
        <v>#N/A</v>
      </c>
      <c r="AJ172" t="e">
        <f>VLOOKUP($Z172,'oddspedia-matches'!$A:$AD,AJ$2,0)</f>
        <v>#N/A</v>
      </c>
      <c r="AK172" t="e">
        <f>VLOOKUP($Z172,'oddspedia-matches'!$A:$AD,AK$2,0)</f>
        <v>#N/A</v>
      </c>
      <c r="AL172" t="e">
        <f>VLOOKUP($Z172,'oddspedia-matches'!$A:$AD,AL$2,0)</f>
        <v>#N/A</v>
      </c>
      <c r="AM172" t="e">
        <f>VLOOKUP($Z172,'oddspedia-matches'!$A:$AD,AM$2,0)</f>
        <v>#N/A</v>
      </c>
      <c r="AN172" t="e">
        <f>VLOOKUP($Z172,'oddspedia-matches'!$A:$AD,AN$2,0)</f>
        <v>#N/A</v>
      </c>
      <c r="AO172" t="e">
        <f>VLOOKUP($Z172,'oddspedia-matches'!$A:$AD,AO$2,0)</f>
        <v>#N/A</v>
      </c>
      <c r="AP172" t="e">
        <f>VLOOKUP($Z172,'oddspedia-matches'!$A:$AD,AP$2,0)</f>
        <v>#N/A</v>
      </c>
      <c r="AQ172" t="e">
        <f>VLOOKUP($Z172,'oddspedia-matches'!$A:$AD,AQ$2,0)</f>
        <v>#N/A</v>
      </c>
    </row>
    <row r="173" spans="2:43" x14ac:dyDescent="0.2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>
        <f>VLOOKUP(E173,'Transform table'!A:B,2,0)</f>
        <v>0</v>
      </c>
      <c r="Y173" t="e">
        <f>VLOOKUP(F173,'Transform table'!A:B,2,0)</f>
        <v>#N/A</v>
      </c>
      <c r="Z173" t="e">
        <f>C173&amp;X173&amp;Y173</f>
        <v>#N/A</v>
      </c>
      <c r="AA173" t="e">
        <f>VLOOKUP($Z173,'oddspedia-matches'!$A:$AD,AA$2,0)</f>
        <v>#N/A</v>
      </c>
      <c r="AB173" t="e">
        <f>VLOOKUP($Z173,'oddspedia-matches'!$A:$AD,AB$2,0)</f>
        <v>#N/A</v>
      </c>
      <c r="AC173" t="e">
        <f>VLOOKUP($Z173,'oddspedia-matches'!$A:$AD,AC$2,0)</f>
        <v>#N/A</v>
      </c>
      <c r="AD173" t="e">
        <f>VLOOKUP($Z173,'oddspedia-matches'!$A:$AD,AD$2,0)</f>
        <v>#N/A</v>
      </c>
      <c r="AE173" t="e">
        <f>VLOOKUP($Z173,'oddspedia-matches'!$A:$AD,AE$2,0)</f>
        <v>#N/A</v>
      </c>
      <c r="AF173" t="e">
        <f>VLOOKUP($Z173,'oddspedia-matches'!$A:$AD,AF$2,0)</f>
        <v>#N/A</v>
      </c>
      <c r="AG173" t="e">
        <f>VLOOKUP($Z173,'oddspedia-matches'!$A:$AD,AG$2,0)</f>
        <v>#N/A</v>
      </c>
      <c r="AH173" t="e">
        <f>VLOOKUP($Z173,'oddspedia-matches'!$A:$AD,AH$2,0)</f>
        <v>#N/A</v>
      </c>
      <c r="AI173" t="e">
        <f>VLOOKUP($Z173,'oddspedia-matches'!$A:$AD,AI$2,0)</f>
        <v>#N/A</v>
      </c>
      <c r="AJ173" t="e">
        <f>VLOOKUP($Z173,'oddspedia-matches'!$A:$AD,AJ$2,0)</f>
        <v>#N/A</v>
      </c>
      <c r="AK173" t="e">
        <f>VLOOKUP($Z173,'oddspedia-matches'!$A:$AD,AK$2,0)</f>
        <v>#N/A</v>
      </c>
      <c r="AL173" t="e">
        <f>VLOOKUP($Z173,'oddspedia-matches'!$A:$AD,AL$2,0)</f>
        <v>#N/A</v>
      </c>
      <c r="AM173" t="e">
        <f>VLOOKUP($Z173,'oddspedia-matches'!$A:$AD,AM$2,0)</f>
        <v>#N/A</v>
      </c>
      <c r="AN173" t="e">
        <f>VLOOKUP($Z173,'oddspedia-matches'!$A:$AD,AN$2,0)</f>
        <v>#N/A</v>
      </c>
      <c r="AO173" t="e">
        <f>VLOOKUP($Z173,'oddspedia-matches'!$A:$AD,AO$2,0)</f>
        <v>#N/A</v>
      </c>
      <c r="AP173" t="e">
        <f>VLOOKUP($Z173,'oddspedia-matches'!$A:$AD,AP$2,0)</f>
        <v>#N/A</v>
      </c>
      <c r="AQ173" t="e">
        <f>VLOOKUP($Z173,'oddspedia-matches'!$A:$AD,AQ$2,0)</f>
        <v>#N/A</v>
      </c>
    </row>
    <row r="174" spans="2:43" x14ac:dyDescent="0.2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>
        <f>VLOOKUP(E174,'Transform table'!A:B,2,0)</f>
        <v>0</v>
      </c>
      <c r="Y174" t="e">
        <f>VLOOKUP(F174,'Transform table'!A:B,2,0)</f>
        <v>#N/A</v>
      </c>
      <c r="Z174" t="e">
        <f>C174&amp;X174&amp;Y174</f>
        <v>#N/A</v>
      </c>
      <c r="AA174" t="e">
        <f>VLOOKUP($Z174,'oddspedia-matches'!$A:$AD,AA$2,0)</f>
        <v>#N/A</v>
      </c>
      <c r="AB174" t="e">
        <f>VLOOKUP($Z174,'oddspedia-matches'!$A:$AD,AB$2,0)</f>
        <v>#N/A</v>
      </c>
      <c r="AC174" t="e">
        <f>VLOOKUP($Z174,'oddspedia-matches'!$A:$AD,AC$2,0)</f>
        <v>#N/A</v>
      </c>
      <c r="AD174" t="e">
        <f>VLOOKUP($Z174,'oddspedia-matches'!$A:$AD,AD$2,0)</f>
        <v>#N/A</v>
      </c>
      <c r="AE174" t="e">
        <f>VLOOKUP($Z174,'oddspedia-matches'!$A:$AD,AE$2,0)</f>
        <v>#N/A</v>
      </c>
      <c r="AF174" t="e">
        <f>VLOOKUP($Z174,'oddspedia-matches'!$A:$AD,AF$2,0)</f>
        <v>#N/A</v>
      </c>
      <c r="AG174" t="e">
        <f>VLOOKUP($Z174,'oddspedia-matches'!$A:$AD,AG$2,0)</f>
        <v>#N/A</v>
      </c>
      <c r="AH174" t="e">
        <f>VLOOKUP($Z174,'oddspedia-matches'!$A:$AD,AH$2,0)</f>
        <v>#N/A</v>
      </c>
      <c r="AI174" t="e">
        <f>VLOOKUP($Z174,'oddspedia-matches'!$A:$AD,AI$2,0)</f>
        <v>#N/A</v>
      </c>
      <c r="AJ174" t="e">
        <f>VLOOKUP($Z174,'oddspedia-matches'!$A:$AD,AJ$2,0)</f>
        <v>#N/A</v>
      </c>
      <c r="AK174" t="e">
        <f>VLOOKUP($Z174,'oddspedia-matches'!$A:$AD,AK$2,0)</f>
        <v>#N/A</v>
      </c>
      <c r="AL174" t="e">
        <f>VLOOKUP($Z174,'oddspedia-matches'!$A:$AD,AL$2,0)</f>
        <v>#N/A</v>
      </c>
      <c r="AM174" t="e">
        <f>VLOOKUP($Z174,'oddspedia-matches'!$A:$AD,AM$2,0)</f>
        <v>#N/A</v>
      </c>
      <c r="AN174" t="e">
        <f>VLOOKUP($Z174,'oddspedia-matches'!$A:$AD,AN$2,0)</f>
        <v>#N/A</v>
      </c>
      <c r="AO174" t="e">
        <f>VLOOKUP($Z174,'oddspedia-matches'!$A:$AD,AO$2,0)</f>
        <v>#N/A</v>
      </c>
      <c r="AP174" t="e">
        <f>VLOOKUP($Z174,'oddspedia-matches'!$A:$AD,AP$2,0)</f>
        <v>#N/A</v>
      </c>
      <c r="AQ174" t="e">
        <f>VLOOKUP($Z174,'oddspedia-matches'!$A:$AD,AQ$2,0)</f>
        <v>#N/A</v>
      </c>
    </row>
    <row r="175" spans="2:43" x14ac:dyDescent="0.2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>
        <f>VLOOKUP(E175,'Transform table'!A:B,2,0)</f>
        <v>0</v>
      </c>
      <c r="Y175" t="e">
        <f>VLOOKUP(F175,'Transform table'!A:B,2,0)</f>
        <v>#N/A</v>
      </c>
      <c r="Z175" t="e">
        <f>C175&amp;X175&amp;Y175</f>
        <v>#N/A</v>
      </c>
      <c r="AA175" t="e">
        <f>VLOOKUP($Z175,'oddspedia-matches'!$A:$AD,AA$2,0)</f>
        <v>#N/A</v>
      </c>
      <c r="AB175" t="e">
        <f>VLOOKUP($Z175,'oddspedia-matches'!$A:$AD,AB$2,0)</f>
        <v>#N/A</v>
      </c>
      <c r="AC175" t="e">
        <f>VLOOKUP($Z175,'oddspedia-matches'!$A:$AD,AC$2,0)</f>
        <v>#N/A</v>
      </c>
      <c r="AD175" t="e">
        <f>VLOOKUP($Z175,'oddspedia-matches'!$A:$AD,AD$2,0)</f>
        <v>#N/A</v>
      </c>
      <c r="AE175" t="e">
        <f>VLOOKUP($Z175,'oddspedia-matches'!$A:$AD,AE$2,0)</f>
        <v>#N/A</v>
      </c>
      <c r="AF175" t="e">
        <f>VLOOKUP($Z175,'oddspedia-matches'!$A:$AD,AF$2,0)</f>
        <v>#N/A</v>
      </c>
      <c r="AG175" t="e">
        <f>VLOOKUP($Z175,'oddspedia-matches'!$A:$AD,AG$2,0)</f>
        <v>#N/A</v>
      </c>
      <c r="AH175" t="e">
        <f>VLOOKUP($Z175,'oddspedia-matches'!$A:$AD,AH$2,0)</f>
        <v>#N/A</v>
      </c>
      <c r="AI175" t="e">
        <f>VLOOKUP($Z175,'oddspedia-matches'!$A:$AD,AI$2,0)</f>
        <v>#N/A</v>
      </c>
      <c r="AJ175" t="e">
        <f>VLOOKUP($Z175,'oddspedia-matches'!$A:$AD,AJ$2,0)</f>
        <v>#N/A</v>
      </c>
      <c r="AK175" t="e">
        <f>VLOOKUP($Z175,'oddspedia-matches'!$A:$AD,AK$2,0)</f>
        <v>#N/A</v>
      </c>
      <c r="AL175" t="e">
        <f>VLOOKUP($Z175,'oddspedia-matches'!$A:$AD,AL$2,0)</f>
        <v>#N/A</v>
      </c>
      <c r="AM175" t="e">
        <f>VLOOKUP($Z175,'oddspedia-matches'!$A:$AD,AM$2,0)</f>
        <v>#N/A</v>
      </c>
      <c r="AN175" t="e">
        <f>VLOOKUP($Z175,'oddspedia-matches'!$A:$AD,AN$2,0)</f>
        <v>#N/A</v>
      </c>
      <c r="AO175" t="e">
        <f>VLOOKUP($Z175,'oddspedia-matches'!$A:$AD,AO$2,0)</f>
        <v>#N/A</v>
      </c>
      <c r="AP175" t="e">
        <f>VLOOKUP($Z175,'oddspedia-matches'!$A:$AD,AP$2,0)</f>
        <v>#N/A</v>
      </c>
      <c r="AQ175" t="e">
        <f>VLOOKUP($Z175,'oddspedia-matches'!$A:$AD,AQ$2,0)</f>
        <v>#N/A</v>
      </c>
    </row>
    <row r="176" spans="2:43" x14ac:dyDescent="0.2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>
        <f>VLOOKUP(E176,'Transform table'!A:B,2,0)</f>
        <v>0</v>
      </c>
      <c r="Y176" t="e">
        <f>VLOOKUP(F176,'Transform table'!A:B,2,0)</f>
        <v>#N/A</v>
      </c>
      <c r="Z176" t="e">
        <f>C176&amp;X176&amp;Y176</f>
        <v>#N/A</v>
      </c>
      <c r="AA176" t="e">
        <f>VLOOKUP($Z176,'oddspedia-matches'!$A:$AD,AA$2,0)</f>
        <v>#N/A</v>
      </c>
      <c r="AB176" t="e">
        <f>VLOOKUP($Z176,'oddspedia-matches'!$A:$AD,AB$2,0)</f>
        <v>#N/A</v>
      </c>
      <c r="AC176" t="e">
        <f>VLOOKUP($Z176,'oddspedia-matches'!$A:$AD,AC$2,0)</f>
        <v>#N/A</v>
      </c>
      <c r="AD176" t="e">
        <f>VLOOKUP($Z176,'oddspedia-matches'!$A:$AD,AD$2,0)</f>
        <v>#N/A</v>
      </c>
      <c r="AE176" t="e">
        <f>VLOOKUP($Z176,'oddspedia-matches'!$A:$AD,AE$2,0)</f>
        <v>#N/A</v>
      </c>
      <c r="AF176" t="e">
        <f>VLOOKUP($Z176,'oddspedia-matches'!$A:$AD,AF$2,0)</f>
        <v>#N/A</v>
      </c>
      <c r="AG176" t="e">
        <f>VLOOKUP($Z176,'oddspedia-matches'!$A:$AD,AG$2,0)</f>
        <v>#N/A</v>
      </c>
      <c r="AH176" t="e">
        <f>VLOOKUP($Z176,'oddspedia-matches'!$A:$AD,AH$2,0)</f>
        <v>#N/A</v>
      </c>
      <c r="AI176" t="e">
        <f>VLOOKUP($Z176,'oddspedia-matches'!$A:$AD,AI$2,0)</f>
        <v>#N/A</v>
      </c>
      <c r="AJ176" t="e">
        <f>VLOOKUP($Z176,'oddspedia-matches'!$A:$AD,AJ$2,0)</f>
        <v>#N/A</v>
      </c>
      <c r="AK176" t="e">
        <f>VLOOKUP($Z176,'oddspedia-matches'!$A:$AD,AK$2,0)</f>
        <v>#N/A</v>
      </c>
      <c r="AL176" t="e">
        <f>VLOOKUP($Z176,'oddspedia-matches'!$A:$AD,AL$2,0)</f>
        <v>#N/A</v>
      </c>
      <c r="AM176" t="e">
        <f>VLOOKUP($Z176,'oddspedia-matches'!$A:$AD,AM$2,0)</f>
        <v>#N/A</v>
      </c>
      <c r="AN176" t="e">
        <f>VLOOKUP($Z176,'oddspedia-matches'!$A:$AD,AN$2,0)</f>
        <v>#N/A</v>
      </c>
      <c r="AO176" t="e">
        <f>VLOOKUP($Z176,'oddspedia-matches'!$A:$AD,AO$2,0)</f>
        <v>#N/A</v>
      </c>
      <c r="AP176" t="e">
        <f>VLOOKUP($Z176,'oddspedia-matches'!$A:$AD,AP$2,0)</f>
        <v>#N/A</v>
      </c>
      <c r="AQ176" t="e">
        <f>VLOOKUP($Z176,'oddspedia-matches'!$A:$AD,AQ$2,0)</f>
        <v>#N/A</v>
      </c>
    </row>
    <row r="177" spans="2:43" x14ac:dyDescent="0.2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>
        <f>VLOOKUP(E177,'Transform table'!A:B,2,0)</f>
        <v>0</v>
      </c>
      <c r="Y177" t="e">
        <f>VLOOKUP(F177,'Transform table'!A:B,2,0)</f>
        <v>#N/A</v>
      </c>
      <c r="Z177" t="e">
        <f>C177&amp;X177&amp;Y177</f>
        <v>#N/A</v>
      </c>
      <c r="AA177" t="e">
        <f>VLOOKUP($Z177,'oddspedia-matches'!$A:$AD,AA$2,0)</f>
        <v>#N/A</v>
      </c>
      <c r="AB177" t="e">
        <f>VLOOKUP($Z177,'oddspedia-matches'!$A:$AD,AB$2,0)</f>
        <v>#N/A</v>
      </c>
      <c r="AC177" t="e">
        <f>VLOOKUP($Z177,'oddspedia-matches'!$A:$AD,AC$2,0)</f>
        <v>#N/A</v>
      </c>
      <c r="AD177" t="e">
        <f>VLOOKUP($Z177,'oddspedia-matches'!$A:$AD,AD$2,0)</f>
        <v>#N/A</v>
      </c>
      <c r="AE177" t="e">
        <f>VLOOKUP($Z177,'oddspedia-matches'!$A:$AD,AE$2,0)</f>
        <v>#N/A</v>
      </c>
      <c r="AF177" t="e">
        <f>VLOOKUP($Z177,'oddspedia-matches'!$A:$AD,AF$2,0)</f>
        <v>#N/A</v>
      </c>
      <c r="AG177" t="e">
        <f>VLOOKUP($Z177,'oddspedia-matches'!$A:$AD,AG$2,0)</f>
        <v>#N/A</v>
      </c>
      <c r="AH177" t="e">
        <f>VLOOKUP($Z177,'oddspedia-matches'!$A:$AD,AH$2,0)</f>
        <v>#N/A</v>
      </c>
      <c r="AI177" t="e">
        <f>VLOOKUP($Z177,'oddspedia-matches'!$A:$AD,AI$2,0)</f>
        <v>#N/A</v>
      </c>
      <c r="AJ177" t="e">
        <f>VLOOKUP($Z177,'oddspedia-matches'!$A:$AD,AJ$2,0)</f>
        <v>#N/A</v>
      </c>
      <c r="AK177" t="e">
        <f>VLOOKUP($Z177,'oddspedia-matches'!$A:$AD,AK$2,0)</f>
        <v>#N/A</v>
      </c>
      <c r="AL177" t="e">
        <f>VLOOKUP($Z177,'oddspedia-matches'!$A:$AD,AL$2,0)</f>
        <v>#N/A</v>
      </c>
      <c r="AM177" t="e">
        <f>VLOOKUP($Z177,'oddspedia-matches'!$A:$AD,AM$2,0)</f>
        <v>#N/A</v>
      </c>
      <c r="AN177" t="e">
        <f>VLOOKUP($Z177,'oddspedia-matches'!$A:$AD,AN$2,0)</f>
        <v>#N/A</v>
      </c>
      <c r="AO177" t="e">
        <f>VLOOKUP($Z177,'oddspedia-matches'!$A:$AD,AO$2,0)</f>
        <v>#N/A</v>
      </c>
      <c r="AP177" t="e">
        <f>VLOOKUP($Z177,'oddspedia-matches'!$A:$AD,AP$2,0)</f>
        <v>#N/A</v>
      </c>
      <c r="AQ177" t="e">
        <f>VLOOKUP($Z177,'oddspedia-matches'!$A:$AD,AQ$2,0)</f>
        <v>#N/A</v>
      </c>
    </row>
    <row r="178" spans="2:43" x14ac:dyDescent="0.2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e">
        <f>VLOOKUP(F178,'Transform table'!A:B,2,0)</f>
        <v>#N/A</v>
      </c>
      <c r="Z178" t="e">
        <f>C178&amp;X178&amp;Y178</f>
        <v>#N/A</v>
      </c>
      <c r="AA178" t="e">
        <f>VLOOKUP($Z178,'oddspedia-matches'!$A:$AD,AA$2,0)</f>
        <v>#N/A</v>
      </c>
      <c r="AB178" t="e">
        <f>VLOOKUP($Z178,'oddspedia-matches'!$A:$AD,AB$2,0)</f>
        <v>#N/A</v>
      </c>
      <c r="AC178" t="e">
        <f>VLOOKUP($Z178,'oddspedia-matches'!$A:$AD,AC$2,0)</f>
        <v>#N/A</v>
      </c>
      <c r="AD178" t="e">
        <f>VLOOKUP($Z178,'oddspedia-matches'!$A:$AD,AD$2,0)</f>
        <v>#N/A</v>
      </c>
      <c r="AE178" t="e">
        <f>VLOOKUP($Z178,'oddspedia-matches'!$A:$AD,AE$2,0)</f>
        <v>#N/A</v>
      </c>
      <c r="AF178" t="e">
        <f>VLOOKUP($Z178,'oddspedia-matches'!$A:$AD,AF$2,0)</f>
        <v>#N/A</v>
      </c>
      <c r="AG178" t="e">
        <f>VLOOKUP($Z178,'oddspedia-matches'!$A:$AD,AG$2,0)</f>
        <v>#N/A</v>
      </c>
      <c r="AH178" t="e">
        <f>VLOOKUP($Z178,'oddspedia-matches'!$A:$AD,AH$2,0)</f>
        <v>#N/A</v>
      </c>
      <c r="AI178" t="e">
        <f>VLOOKUP($Z178,'oddspedia-matches'!$A:$AD,AI$2,0)</f>
        <v>#N/A</v>
      </c>
      <c r="AJ178" t="e">
        <f>VLOOKUP($Z178,'oddspedia-matches'!$A:$AD,AJ$2,0)</f>
        <v>#N/A</v>
      </c>
      <c r="AK178" t="e">
        <f>VLOOKUP($Z178,'oddspedia-matches'!$A:$AD,AK$2,0)</f>
        <v>#N/A</v>
      </c>
      <c r="AL178" t="e">
        <f>VLOOKUP($Z178,'oddspedia-matches'!$A:$AD,AL$2,0)</f>
        <v>#N/A</v>
      </c>
      <c r="AM178" t="e">
        <f>VLOOKUP($Z178,'oddspedia-matches'!$A:$AD,AM$2,0)</f>
        <v>#N/A</v>
      </c>
      <c r="AN178" t="e">
        <f>VLOOKUP($Z178,'oddspedia-matches'!$A:$AD,AN$2,0)</f>
        <v>#N/A</v>
      </c>
      <c r="AO178" t="e">
        <f>VLOOKUP($Z178,'oddspedia-matches'!$A:$AD,AO$2,0)</f>
        <v>#N/A</v>
      </c>
      <c r="AP178" t="e">
        <f>VLOOKUP($Z178,'oddspedia-matches'!$A:$AD,AP$2,0)</f>
        <v>#N/A</v>
      </c>
      <c r="AQ178" t="e">
        <f>VLOOKUP($Z178,'oddspedia-matches'!$A:$AD,AQ$2,0)</f>
        <v>#N/A</v>
      </c>
    </row>
    <row r="179" spans="2:43" x14ac:dyDescent="0.2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>
        <f>VLOOKUP(E179,'Transform table'!A:B,2,0)</f>
        <v>0</v>
      </c>
      <c r="Y179" t="e">
        <f>VLOOKUP(F179,'Transform table'!A:B,2,0)</f>
        <v>#N/A</v>
      </c>
      <c r="Z179" t="e">
        <f>C179&amp;X179&amp;Y179</f>
        <v>#N/A</v>
      </c>
      <c r="AA179" t="e">
        <f>VLOOKUP($Z179,'oddspedia-matches'!$A:$AD,AA$2,0)</f>
        <v>#N/A</v>
      </c>
      <c r="AB179" t="e">
        <f>VLOOKUP($Z179,'oddspedia-matches'!$A:$AD,AB$2,0)</f>
        <v>#N/A</v>
      </c>
      <c r="AC179" t="e">
        <f>VLOOKUP($Z179,'oddspedia-matches'!$A:$AD,AC$2,0)</f>
        <v>#N/A</v>
      </c>
      <c r="AD179" t="e">
        <f>VLOOKUP($Z179,'oddspedia-matches'!$A:$AD,AD$2,0)</f>
        <v>#N/A</v>
      </c>
      <c r="AE179" t="e">
        <f>VLOOKUP($Z179,'oddspedia-matches'!$A:$AD,AE$2,0)</f>
        <v>#N/A</v>
      </c>
      <c r="AF179" t="e">
        <f>VLOOKUP($Z179,'oddspedia-matches'!$A:$AD,AF$2,0)</f>
        <v>#N/A</v>
      </c>
      <c r="AG179" t="e">
        <f>VLOOKUP($Z179,'oddspedia-matches'!$A:$AD,AG$2,0)</f>
        <v>#N/A</v>
      </c>
      <c r="AH179" t="e">
        <f>VLOOKUP($Z179,'oddspedia-matches'!$A:$AD,AH$2,0)</f>
        <v>#N/A</v>
      </c>
      <c r="AI179" t="e">
        <f>VLOOKUP($Z179,'oddspedia-matches'!$A:$AD,AI$2,0)</f>
        <v>#N/A</v>
      </c>
      <c r="AJ179" t="e">
        <f>VLOOKUP($Z179,'oddspedia-matches'!$A:$AD,AJ$2,0)</f>
        <v>#N/A</v>
      </c>
      <c r="AK179" t="e">
        <f>VLOOKUP($Z179,'oddspedia-matches'!$A:$AD,AK$2,0)</f>
        <v>#N/A</v>
      </c>
      <c r="AL179" t="e">
        <f>VLOOKUP($Z179,'oddspedia-matches'!$A:$AD,AL$2,0)</f>
        <v>#N/A</v>
      </c>
      <c r="AM179" t="e">
        <f>VLOOKUP($Z179,'oddspedia-matches'!$A:$AD,AM$2,0)</f>
        <v>#N/A</v>
      </c>
      <c r="AN179" t="e">
        <f>VLOOKUP($Z179,'oddspedia-matches'!$A:$AD,AN$2,0)</f>
        <v>#N/A</v>
      </c>
      <c r="AO179" t="e">
        <f>VLOOKUP($Z179,'oddspedia-matches'!$A:$AD,AO$2,0)</f>
        <v>#N/A</v>
      </c>
      <c r="AP179" t="e">
        <f>VLOOKUP($Z179,'oddspedia-matches'!$A:$AD,AP$2,0)</f>
        <v>#N/A</v>
      </c>
      <c r="AQ179" t="e">
        <f>VLOOKUP($Z179,'oddspedia-matches'!$A:$AD,AQ$2,0)</f>
        <v>#N/A</v>
      </c>
    </row>
    <row r="180" spans="2:43" x14ac:dyDescent="0.2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e">
        <f>VLOOKUP(F180,'Transform table'!A:B,2,0)</f>
        <v>#N/A</v>
      </c>
      <c r="Z180" t="e">
        <f>C180&amp;X180&amp;Y180</f>
        <v>#N/A</v>
      </c>
      <c r="AA180" t="e">
        <f>VLOOKUP($Z180,'oddspedia-matches'!$A:$AD,AA$2,0)</f>
        <v>#N/A</v>
      </c>
      <c r="AB180" t="e">
        <f>VLOOKUP($Z180,'oddspedia-matches'!$A:$AD,AB$2,0)</f>
        <v>#N/A</v>
      </c>
      <c r="AC180" t="e">
        <f>VLOOKUP($Z180,'oddspedia-matches'!$A:$AD,AC$2,0)</f>
        <v>#N/A</v>
      </c>
      <c r="AD180" t="e">
        <f>VLOOKUP($Z180,'oddspedia-matches'!$A:$AD,AD$2,0)</f>
        <v>#N/A</v>
      </c>
      <c r="AE180" t="e">
        <f>VLOOKUP($Z180,'oddspedia-matches'!$A:$AD,AE$2,0)</f>
        <v>#N/A</v>
      </c>
      <c r="AF180" t="e">
        <f>VLOOKUP($Z180,'oddspedia-matches'!$A:$AD,AF$2,0)</f>
        <v>#N/A</v>
      </c>
      <c r="AG180" t="e">
        <f>VLOOKUP($Z180,'oddspedia-matches'!$A:$AD,AG$2,0)</f>
        <v>#N/A</v>
      </c>
      <c r="AH180" t="e">
        <f>VLOOKUP($Z180,'oddspedia-matches'!$A:$AD,AH$2,0)</f>
        <v>#N/A</v>
      </c>
      <c r="AI180" t="e">
        <f>VLOOKUP($Z180,'oddspedia-matches'!$A:$AD,AI$2,0)</f>
        <v>#N/A</v>
      </c>
      <c r="AJ180" t="e">
        <f>VLOOKUP($Z180,'oddspedia-matches'!$A:$AD,AJ$2,0)</f>
        <v>#N/A</v>
      </c>
      <c r="AK180" t="e">
        <f>VLOOKUP($Z180,'oddspedia-matches'!$A:$AD,AK$2,0)</f>
        <v>#N/A</v>
      </c>
      <c r="AL180" t="e">
        <f>VLOOKUP($Z180,'oddspedia-matches'!$A:$AD,AL$2,0)</f>
        <v>#N/A</v>
      </c>
      <c r="AM180" t="e">
        <f>VLOOKUP($Z180,'oddspedia-matches'!$A:$AD,AM$2,0)</f>
        <v>#N/A</v>
      </c>
      <c r="AN180" t="e">
        <f>VLOOKUP($Z180,'oddspedia-matches'!$A:$AD,AN$2,0)</f>
        <v>#N/A</v>
      </c>
      <c r="AO180" t="e">
        <f>VLOOKUP($Z180,'oddspedia-matches'!$A:$AD,AO$2,0)</f>
        <v>#N/A</v>
      </c>
      <c r="AP180" t="e">
        <f>VLOOKUP($Z180,'oddspedia-matches'!$A:$AD,AP$2,0)</f>
        <v>#N/A</v>
      </c>
      <c r="AQ180" t="e">
        <f>VLOOKUP($Z180,'oddspedia-matches'!$A:$AD,AQ$2,0)</f>
        <v>#N/A</v>
      </c>
    </row>
    <row r="181" spans="2:43" x14ac:dyDescent="0.2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Hardrock</v>
      </c>
      <c r="Y181" t="str">
        <f>VLOOKUP(F181,'Transform table'!A:B,2,0)</f>
        <v>Kapylan Pallo</v>
      </c>
      <c r="Z181" t="str">
        <f>C181&amp;X181&amp;Y181</f>
        <v>25/07/2026HardrockKapylan Pallo</v>
      </c>
      <c r="AA181" t="e">
        <f>VLOOKUP($Z181,'oddspedia-matches'!$A:$AD,AA$2,0)</f>
        <v>#N/A</v>
      </c>
      <c r="AB181" t="e">
        <f>VLOOKUP($Z181,'oddspedia-matches'!$A:$AD,AB$2,0)</f>
        <v>#N/A</v>
      </c>
      <c r="AC181" t="e">
        <f>VLOOKUP($Z181,'oddspedia-matches'!$A:$AD,AC$2,0)</f>
        <v>#N/A</v>
      </c>
      <c r="AD181" t="e">
        <f>VLOOKUP($Z181,'oddspedia-matches'!$A:$AD,AD$2,0)</f>
        <v>#N/A</v>
      </c>
      <c r="AE181" t="e">
        <f>VLOOKUP($Z181,'oddspedia-matches'!$A:$AD,AE$2,0)</f>
        <v>#N/A</v>
      </c>
      <c r="AF181" t="e">
        <f>VLOOKUP($Z181,'oddspedia-matches'!$A:$AD,AF$2,0)</f>
        <v>#N/A</v>
      </c>
      <c r="AG181" t="e">
        <f>VLOOKUP($Z181,'oddspedia-matches'!$A:$AD,AG$2,0)</f>
        <v>#N/A</v>
      </c>
      <c r="AH181" t="e">
        <f>VLOOKUP($Z181,'oddspedia-matches'!$A:$AD,AH$2,0)</f>
        <v>#N/A</v>
      </c>
      <c r="AI181" t="e">
        <f>VLOOKUP($Z181,'oddspedia-matches'!$A:$AD,AI$2,0)</f>
        <v>#N/A</v>
      </c>
      <c r="AJ181" t="e">
        <f>VLOOKUP($Z181,'oddspedia-matches'!$A:$AD,AJ$2,0)</f>
        <v>#N/A</v>
      </c>
      <c r="AK181" t="e">
        <f>VLOOKUP($Z181,'oddspedia-matches'!$A:$AD,AK$2,0)</f>
        <v>#N/A</v>
      </c>
      <c r="AL181" t="e">
        <f>VLOOKUP($Z181,'oddspedia-matches'!$A:$AD,AL$2,0)</f>
        <v>#N/A</v>
      </c>
      <c r="AM181" t="e">
        <f>VLOOKUP($Z181,'oddspedia-matches'!$A:$AD,AM$2,0)</f>
        <v>#N/A</v>
      </c>
      <c r="AN181" t="e">
        <f>VLOOKUP($Z181,'oddspedia-matches'!$A:$AD,AN$2,0)</f>
        <v>#N/A</v>
      </c>
      <c r="AO181" t="e">
        <f>VLOOKUP($Z181,'oddspedia-matches'!$A:$AD,AO$2,0)</f>
        <v>#N/A</v>
      </c>
      <c r="AP181" t="e">
        <f>VLOOKUP($Z181,'oddspedia-matches'!$A:$AD,AP$2,0)</f>
        <v>#N/A</v>
      </c>
      <c r="AQ181" t="e">
        <f>VLOOKUP($Z181,'oddspedia-matches'!$A:$AD,AQ$2,0)</f>
        <v>#N/A</v>
      </c>
    </row>
    <row r="182" spans="2:43" x14ac:dyDescent="0.2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>
        <f>VLOOKUP(E182,'Transform table'!A:B,2,0)</f>
        <v>0</v>
      </c>
      <c r="Y182" t="str">
        <f>VLOOKUP(F182,'Transform table'!A:B,2,0)</f>
        <v>Hegelmann Litauen II</v>
      </c>
      <c r="Z182" t="str">
        <f>C182&amp;X182&amp;Y182</f>
        <v>25/07/20260Hegelmann Litauen II</v>
      </c>
      <c r="AA182" t="e">
        <f>VLOOKUP($Z182,'oddspedia-matches'!$A:$AD,AA$2,0)</f>
        <v>#N/A</v>
      </c>
      <c r="AB182" t="e">
        <f>VLOOKUP($Z182,'oddspedia-matches'!$A:$AD,AB$2,0)</f>
        <v>#N/A</v>
      </c>
      <c r="AC182" t="e">
        <f>VLOOKUP($Z182,'oddspedia-matches'!$A:$AD,AC$2,0)</f>
        <v>#N/A</v>
      </c>
      <c r="AD182" t="e">
        <f>VLOOKUP($Z182,'oddspedia-matches'!$A:$AD,AD$2,0)</f>
        <v>#N/A</v>
      </c>
      <c r="AE182" t="e">
        <f>VLOOKUP($Z182,'oddspedia-matches'!$A:$AD,AE$2,0)</f>
        <v>#N/A</v>
      </c>
      <c r="AF182" t="e">
        <f>VLOOKUP($Z182,'oddspedia-matches'!$A:$AD,AF$2,0)</f>
        <v>#N/A</v>
      </c>
      <c r="AG182" t="e">
        <f>VLOOKUP($Z182,'oddspedia-matches'!$A:$AD,AG$2,0)</f>
        <v>#N/A</v>
      </c>
      <c r="AH182" t="e">
        <f>VLOOKUP($Z182,'oddspedia-matches'!$A:$AD,AH$2,0)</f>
        <v>#N/A</v>
      </c>
      <c r="AI182" t="e">
        <f>VLOOKUP($Z182,'oddspedia-matches'!$A:$AD,AI$2,0)</f>
        <v>#N/A</v>
      </c>
      <c r="AJ182" t="e">
        <f>VLOOKUP($Z182,'oddspedia-matches'!$A:$AD,AJ$2,0)</f>
        <v>#N/A</v>
      </c>
      <c r="AK182" t="e">
        <f>VLOOKUP($Z182,'oddspedia-matches'!$A:$AD,AK$2,0)</f>
        <v>#N/A</v>
      </c>
      <c r="AL182" t="e">
        <f>VLOOKUP($Z182,'oddspedia-matches'!$A:$AD,AL$2,0)</f>
        <v>#N/A</v>
      </c>
      <c r="AM182" t="e">
        <f>VLOOKUP($Z182,'oddspedia-matches'!$A:$AD,AM$2,0)</f>
        <v>#N/A</v>
      </c>
      <c r="AN182" t="e">
        <f>VLOOKUP($Z182,'oddspedia-matches'!$A:$AD,AN$2,0)</f>
        <v>#N/A</v>
      </c>
      <c r="AO182" t="e">
        <f>VLOOKUP($Z182,'oddspedia-matches'!$A:$AD,AO$2,0)</f>
        <v>#N/A</v>
      </c>
      <c r="AP182" t="e">
        <f>VLOOKUP($Z182,'oddspedia-matches'!$A:$AD,AP$2,0)</f>
        <v>#N/A</v>
      </c>
      <c r="AQ182" t="e">
        <f>VLOOKUP($Z182,'oddspedia-matches'!$A:$AD,AQ$2,0)</f>
        <v>#N/A</v>
      </c>
    </row>
    <row r="183" spans="2:43" x14ac:dyDescent="0.2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Zira IK</v>
      </c>
      <c r="Y183" t="e">
        <f>VLOOKUP(F183,'Transform table'!A:B,2,0)</f>
        <v>#N/A</v>
      </c>
      <c r="Z183" t="e">
        <f>C183&amp;X183&amp;Y183</f>
        <v>#N/A</v>
      </c>
      <c r="AA183" t="e">
        <f>VLOOKUP($Z183,'oddspedia-matches'!$A:$AD,AA$2,0)</f>
        <v>#N/A</v>
      </c>
      <c r="AB183" t="e">
        <f>VLOOKUP($Z183,'oddspedia-matches'!$A:$AD,AB$2,0)</f>
        <v>#N/A</v>
      </c>
      <c r="AC183" t="e">
        <f>VLOOKUP($Z183,'oddspedia-matches'!$A:$AD,AC$2,0)</f>
        <v>#N/A</v>
      </c>
      <c r="AD183" t="e">
        <f>VLOOKUP($Z183,'oddspedia-matches'!$A:$AD,AD$2,0)</f>
        <v>#N/A</v>
      </c>
      <c r="AE183" t="e">
        <f>VLOOKUP($Z183,'oddspedia-matches'!$A:$AD,AE$2,0)</f>
        <v>#N/A</v>
      </c>
      <c r="AF183" t="e">
        <f>VLOOKUP($Z183,'oddspedia-matches'!$A:$AD,AF$2,0)</f>
        <v>#N/A</v>
      </c>
      <c r="AG183" t="e">
        <f>VLOOKUP($Z183,'oddspedia-matches'!$A:$AD,AG$2,0)</f>
        <v>#N/A</v>
      </c>
      <c r="AH183" t="e">
        <f>VLOOKUP($Z183,'oddspedia-matches'!$A:$AD,AH$2,0)</f>
        <v>#N/A</v>
      </c>
      <c r="AI183" t="e">
        <f>VLOOKUP($Z183,'oddspedia-matches'!$A:$AD,AI$2,0)</f>
        <v>#N/A</v>
      </c>
      <c r="AJ183" t="e">
        <f>VLOOKUP($Z183,'oddspedia-matches'!$A:$AD,AJ$2,0)</f>
        <v>#N/A</v>
      </c>
      <c r="AK183" t="e">
        <f>VLOOKUP($Z183,'oddspedia-matches'!$A:$AD,AK$2,0)</f>
        <v>#N/A</v>
      </c>
      <c r="AL183" t="e">
        <f>VLOOKUP($Z183,'oddspedia-matches'!$A:$AD,AL$2,0)</f>
        <v>#N/A</v>
      </c>
      <c r="AM183" t="e">
        <f>VLOOKUP($Z183,'oddspedia-matches'!$A:$AD,AM$2,0)</f>
        <v>#N/A</v>
      </c>
      <c r="AN183" t="e">
        <f>VLOOKUP($Z183,'oddspedia-matches'!$A:$AD,AN$2,0)</f>
        <v>#N/A</v>
      </c>
      <c r="AO183" t="e">
        <f>VLOOKUP($Z183,'oddspedia-matches'!$A:$AD,AO$2,0)</f>
        <v>#N/A</v>
      </c>
      <c r="AP183" t="e">
        <f>VLOOKUP($Z183,'oddspedia-matches'!$A:$AD,AP$2,0)</f>
        <v>#N/A</v>
      </c>
      <c r="AQ183" t="e">
        <f>VLOOKUP($Z183,'oddspedia-matches'!$A:$AD,AQ$2,0)</f>
        <v>#N/A</v>
      </c>
    </row>
    <row r="184" spans="2:43" x14ac:dyDescent="0.2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 II</v>
      </c>
      <c r="Y184" t="str">
        <f>VLOOKUP(F184,'Transform table'!A:B,2,0)</f>
        <v>Klubi 04</v>
      </c>
      <c r="Z184" t="str">
        <f>C184&amp;X184&amp;Y184</f>
        <v>25/07/2026JaPS IIKlubi 04</v>
      </c>
      <c r="AA184" t="e">
        <f>VLOOKUP($Z184,'oddspedia-matches'!$A:$AD,AA$2,0)</f>
        <v>#N/A</v>
      </c>
      <c r="AB184" t="e">
        <f>VLOOKUP($Z184,'oddspedia-matches'!$A:$AD,AB$2,0)</f>
        <v>#N/A</v>
      </c>
      <c r="AC184" t="e">
        <f>VLOOKUP($Z184,'oddspedia-matches'!$A:$AD,AC$2,0)</f>
        <v>#N/A</v>
      </c>
      <c r="AD184" t="e">
        <f>VLOOKUP($Z184,'oddspedia-matches'!$A:$AD,AD$2,0)</f>
        <v>#N/A</v>
      </c>
      <c r="AE184" t="e">
        <f>VLOOKUP($Z184,'oddspedia-matches'!$A:$AD,AE$2,0)</f>
        <v>#N/A</v>
      </c>
      <c r="AF184" t="e">
        <f>VLOOKUP($Z184,'oddspedia-matches'!$A:$AD,AF$2,0)</f>
        <v>#N/A</v>
      </c>
      <c r="AG184" t="e">
        <f>VLOOKUP($Z184,'oddspedia-matches'!$A:$AD,AG$2,0)</f>
        <v>#N/A</v>
      </c>
      <c r="AH184" t="e">
        <f>VLOOKUP($Z184,'oddspedia-matches'!$A:$AD,AH$2,0)</f>
        <v>#N/A</v>
      </c>
      <c r="AI184" t="e">
        <f>VLOOKUP($Z184,'oddspedia-matches'!$A:$AD,AI$2,0)</f>
        <v>#N/A</v>
      </c>
      <c r="AJ184" t="e">
        <f>VLOOKUP($Z184,'oddspedia-matches'!$A:$AD,AJ$2,0)</f>
        <v>#N/A</v>
      </c>
      <c r="AK184" t="e">
        <f>VLOOKUP($Z184,'oddspedia-matches'!$A:$AD,AK$2,0)</f>
        <v>#N/A</v>
      </c>
      <c r="AL184" t="e">
        <f>VLOOKUP($Z184,'oddspedia-matches'!$A:$AD,AL$2,0)</f>
        <v>#N/A</v>
      </c>
      <c r="AM184" t="e">
        <f>VLOOKUP($Z184,'oddspedia-matches'!$A:$AD,AM$2,0)</f>
        <v>#N/A</v>
      </c>
      <c r="AN184" t="e">
        <f>VLOOKUP($Z184,'oddspedia-matches'!$A:$AD,AN$2,0)</f>
        <v>#N/A</v>
      </c>
      <c r="AO184" t="e">
        <f>VLOOKUP($Z184,'oddspedia-matches'!$A:$AD,AO$2,0)</f>
        <v>#N/A</v>
      </c>
      <c r="AP184" t="e">
        <f>VLOOKUP($Z184,'oddspedia-matches'!$A:$AD,AP$2,0)</f>
        <v>#N/A</v>
      </c>
      <c r="AQ184" t="e">
        <f>VLOOKUP($Z184,'oddspedia-matches'!$A:$AD,AQ$2,0)</f>
        <v>#N/A</v>
      </c>
    </row>
    <row r="185" spans="2:43" x14ac:dyDescent="0.2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MFC Zhytomyr</v>
      </c>
      <c r="Y185" t="e">
        <f>VLOOKUP(F185,'Transform table'!A:B,2,0)</f>
        <v>#N/A</v>
      </c>
      <c r="Z185" t="e">
        <f>C185&amp;X185&amp;Y185</f>
        <v>#N/A</v>
      </c>
      <c r="AA185" t="e">
        <f>VLOOKUP($Z185,'oddspedia-matches'!$A:$AD,AA$2,0)</f>
        <v>#N/A</v>
      </c>
      <c r="AB185" t="e">
        <f>VLOOKUP($Z185,'oddspedia-matches'!$A:$AD,AB$2,0)</f>
        <v>#N/A</v>
      </c>
      <c r="AC185" t="e">
        <f>VLOOKUP($Z185,'oddspedia-matches'!$A:$AD,AC$2,0)</f>
        <v>#N/A</v>
      </c>
      <c r="AD185" t="e">
        <f>VLOOKUP($Z185,'oddspedia-matches'!$A:$AD,AD$2,0)</f>
        <v>#N/A</v>
      </c>
      <c r="AE185" t="e">
        <f>VLOOKUP($Z185,'oddspedia-matches'!$A:$AD,AE$2,0)</f>
        <v>#N/A</v>
      </c>
      <c r="AF185" t="e">
        <f>VLOOKUP($Z185,'oddspedia-matches'!$A:$AD,AF$2,0)</f>
        <v>#N/A</v>
      </c>
      <c r="AG185" t="e">
        <f>VLOOKUP($Z185,'oddspedia-matches'!$A:$AD,AG$2,0)</f>
        <v>#N/A</v>
      </c>
      <c r="AH185" t="e">
        <f>VLOOKUP($Z185,'oddspedia-matches'!$A:$AD,AH$2,0)</f>
        <v>#N/A</v>
      </c>
      <c r="AI185" t="e">
        <f>VLOOKUP($Z185,'oddspedia-matches'!$A:$AD,AI$2,0)</f>
        <v>#N/A</v>
      </c>
      <c r="AJ185" t="e">
        <f>VLOOKUP($Z185,'oddspedia-matches'!$A:$AD,AJ$2,0)</f>
        <v>#N/A</v>
      </c>
      <c r="AK185" t="e">
        <f>VLOOKUP($Z185,'oddspedia-matches'!$A:$AD,AK$2,0)</f>
        <v>#N/A</v>
      </c>
      <c r="AL185" t="e">
        <f>VLOOKUP($Z185,'oddspedia-matches'!$A:$AD,AL$2,0)</f>
        <v>#N/A</v>
      </c>
      <c r="AM185" t="e">
        <f>VLOOKUP($Z185,'oddspedia-matches'!$A:$AD,AM$2,0)</f>
        <v>#N/A</v>
      </c>
      <c r="AN185" t="e">
        <f>VLOOKUP($Z185,'oddspedia-matches'!$A:$AD,AN$2,0)</f>
        <v>#N/A</v>
      </c>
      <c r="AO185" t="e">
        <f>VLOOKUP($Z185,'oddspedia-matches'!$A:$AD,AO$2,0)</f>
        <v>#N/A</v>
      </c>
      <c r="AP185" t="e">
        <f>VLOOKUP($Z185,'oddspedia-matches'!$A:$AD,AP$2,0)</f>
        <v>#N/A</v>
      </c>
      <c r="AQ185" t="e">
        <f>VLOOKUP($Z185,'oddspedia-matches'!$A:$AD,AQ$2,0)</f>
        <v>#N/A</v>
      </c>
    </row>
    <row r="186" spans="2:43" x14ac:dyDescent="0.2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SJK-j Apollo</v>
      </c>
      <c r="Y186" t="e">
        <f>VLOOKUP(F186,'Transform table'!A:B,2,0)</f>
        <v>#N/A</v>
      </c>
      <c r="Z186" t="e">
        <f>C186&amp;X186&amp;Y186</f>
        <v>#N/A</v>
      </c>
      <c r="AA186" t="e">
        <f>VLOOKUP($Z186,'oddspedia-matches'!$A:$AD,AA$2,0)</f>
        <v>#N/A</v>
      </c>
      <c r="AB186" t="e">
        <f>VLOOKUP($Z186,'oddspedia-matches'!$A:$AD,AB$2,0)</f>
        <v>#N/A</v>
      </c>
      <c r="AC186" t="e">
        <f>VLOOKUP($Z186,'oddspedia-matches'!$A:$AD,AC$2,0)</f>
        <v>#N/A</v>
      </c>
      <c r="AD186" t="e">
        <f>VLOOKUP($Z186,'oddspedia-matches'!$A:$AD,AD$2,0)</f>
        <v>#N/A</v>
      </c>
      <c r="AE186" t="e">
        <f>VLOOKUP($Z186,'oddspedia-matches'!$A:$AD,AE$2,0)</f>
        <v>#N/A</v>
      </c>
      <c r="AF186" t="e">
        <f>VLOOKUP($Z186,'oddspedia-matches'!$A:$AD,AF$2,0)</f>
        <v>#N/A</v>
      </c>
      <c r="AG186" t="e">
        <f>VLOOKUP($Z186,'oddspedia-matches'!$A:$AD,AG$2,0)</f>
        <v>#N/A</v>
      </c>
      <c r="AH186" t="e">
        <f>VLOOKUP($Z186,'oddspedia-matches'!$A:$AD,AH$2,0)</f>
        <v>#N/A</v>
      </c>
      <c r="AI186" t="e">
        <f>VLOOKUP($Z186,'oddspedia-matches'!$A:$AD,AI$2,0)</f>
        <v>#N/A</v>
      </c>
      <c r="AJ186" t="e">
        <f>VLOOKUP($Z186,'oddspedia-matches'!$A:$AD,AJ$2,0)</f>
        <v>#N/A</v>
      </c>
      <c r="AK186" t="e">
        <f>VLOOKUP($Z186,'oddspedia-matches'!$A:$AD,AK$2,0)</f>
        <v>#N/A</v>
      </c>
      <c r="AL186" t="e">
        <f>VLOOKUP($Z186,'oddspedia-matches'!$A:$AD,AL$2,0)</f>
        <v>#N/A</v>
      </c>
      <c r="AM186" t="e">
        <f>VLOOKUP($Z186,'oddspedia-matches'!$A:$AD,AM$2,0)</f>
        <v>#N/A</v>
      </c>
      <c r="AN186" t="e">
        <f>VLOOKUP($Z186,'oddspedia-matches'!$A:$AD,AN$2,0)</f>
        <v>#N/A</v>
      </c>
      <c r="AO186" t="e">
        <f>VLOOKUP($Z186,'oddspedia-matches'!$A:$AD,AO$2,0)</f>
        <v>#N/A</v>
      </c>
      <c r="AP186" t="e">
        <f>VLOOKUP($Z186,'oddspedia-matches'!$A:$AD,AP$2,0)</f>
        <v>#N/A</v>
      </c>
      <c r="AQ186" t="e">
        <f>VLOOKUP($Z186,'oddspedia-matches'!$A:$AD,AQ$2,0)</f>
        <v>#N/A</v>
      </c>
    </row>
    <row r="187" spans="2:43" x14ac:dyDescent="0.2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>
        <f>VLOOKUP(E187,'Transform table'!A:B,2,0)</f>
        <v>0</v>
      </c>
      <c r="Y187" t="e">
        <f>VLOOKUP(F187,'Transform table'!A:B,2,0)</f>
        <v>#N/A</v>
      </c>
      <c r="Z187" t="e">
        <f>C187&amp;X187&amp;Y187</f>
        <v>#N/A</v>
      </c>
      <c r="AA187" t="e">
        <f>VLOOKUP($Z187,'oddspedia-matches'!$A:$AD,AA$2,0)</f>
        <v>#N/A</v>
      </c>
      <c r="AB187" t="e">
        <f>VLOOKUP($Z187,'oddspedia-matches'!$A:$AD,AB$2,0)</f>
        <v>#N/A</v>
      </c>
      <c r="AC187" t="e">
        <f>VLOOKUP($Z187,'oddspedia-matches'!$A:$AD,AC$2,0)</f>
        <v>#N/A</v>
      </c>
      <c r="AD187" t="e">
        <f>VLOOKUP($Z187,'oddspedia-matches'!$A:$AD,AD$2,0)</f>
        <v>#N/A</v>
      </c>
      <c r="AE187" t="e">
        <f>VLOOKUP($Z187,'oddspedia-matches'!$A:$AD,AE$2,0)</f>
        <v>#N/A</v>
      </c>
      <c r="AF187" t="e">
        <f>VLOOKUP($Z187,'oddspedia-matches'!$A:$AD,AF$2,0)</f>
        <v>#N/A</v>
      </c>
      <c r="AG187" t="e">
        <f>VLOOKUP($Z187,'oddspedia-matches'!$A:$AD,AG$2,0)</f>
        <v>#N/A</v>
      </c>
      <c r="AH187" t="e">
        <f>VLOOKUP($Z187,'oddspedia-matches'!$A:$AD,AH$2,0)</f>
        <v>#N/A</v>
      </c>
      <c r="AI187" t="e">
        <f>VLOOKUP($Z187,'oddspedia-matches'!$A:$AD,AI$2,0)</f>
        <v>#N/A</v>
      </c>
      <c r="AJ187" t="e">
        <f>VLOOKUP($Z187,'oddspedia-matches'!$A:$AD,AJ$2,0)</f>
        <v>#N/A</v>
      </c>
      <c r="AK187" t="e">
        <f>VLOOKUP($Z187,'oddspedia-matches'!$A:$AD,AK$2,0)</f>
        <v>#N/A</v>
      </c>
      <c r="AL187" t="e">
        <f>VLOOKUP($Z187,'oddspedia-matches'!$A:$AD,AL$2,0)</f>
        <v>#N/A</v>
      </c>
      <c r="AM187" t="e">
        <f>VLOOKUP($Z187,'oddspedia-matches'!$A:$AD,AM$2,0)</f>
        <v>#N/A</v>
      </c>
      <c r="AN187" t="e">
        <f>VLOOKUP($Z187,'oddspedia-matches'!$A:$AD,AN$2,0)</f>
        <v>#N/A</v>
      </c>
      <c r="AO187" t="e">
        <f>VLOOKUP($Z187,'oddspedia-matches'!$A:$AD,AO$2,0)</f>
        <v>#N/A</v>
      </c>
      <c r="AP187" t="e">
        <f>VLOOKUP($Z187,'oddspedia-matches'!$A:$AD,AP$2,0)</f>
        <v>#N/A</v>
      </c>
      <c r="AQ187" t="e">
        <f>VLOOKUP($Z187,'oddspedia-matches'!$A:$AD,AQ$2,0)</f>
        <v>#N/A</v>
      </c>
    </row>
    <row r="188" spans="2:43" x14ac:dyDescent="0.2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Dagenham &amp; Redbridge</v>
      </c>
      <c r="Y188" t="str">
        <f>VLOOKUP(F188,'Transform table'!A:B,2,0)</f>
        <v>Djurgardens IF</v>
      </c>
      <c r="Z188" t="str">
        <f>C188&amp;X188&amp;Y188</f>
        <v>25/07/2026Dagenham &amp; RedbridgeDjurgardens IF</v>
      </c>
      <c r="AA188" t="e">
        <f>VLOOKUP($Z188,'oddspedia-matches'!$A:$AD,AA$2,0)</f>
        <v>#N/A</v>
      </c>
      <c r="AB188" t="e">
        <f>VLOOKUP($Z188,'oddspedia-matches'!$A:$AD,AB$2,0)</f>
        <v>#N/A</v>
      </c>
      <c r="AC188" t="e">
        <f>VLOOKUP($Z188,'oddspedia-matches'!$A:$AD,AC$2,0)</f>
        <v>#N/A</v>
      </c>
      <c r="AD188" t="e">
        <f>VLOOKUP($Z188,'oddspedia-matches'!$A:$AD,AD$2,0)</f>
        <v>#N/A</v>
      </c>
      <c r="AE188" t="e">
        <f>VLOOKUP($Z188,'oddspedia-matches'!$A:$AD,AE$2,0)</f>
        <v>#N/A</v>
      </c>
      <c r="AF188" t="e">
        <f>VLOOKUP($Z188,'oddspedia-matches'!$A:$AD,AF$2,0)</f>
        <v>#N/A</v>
      </c>
      <c r="AG188" t="e">
        <f>VLOOKUP($Z188,'oddspedia-matches'!$A:$AD,AG$2,0)</f>
        <v>#N/A</v>
      </c>
      <c r="AH188" t="e">
        <f>VLOOKUP($Z188,'oddspedia-matches'!$A:$AD,AH$2,0)</f>
        <v>#N/A</v>
      </c>
      <c r="AI188" t="e">
        <f>VLOOKUP($Z188,'oddspedia-matches'!$A:$AD,AI$2,0)</f>
        <v>#N/A</v>
      </c>
      <c r="AJ188" t="e">
        <f>VLOOKUP($Z188,'oddspedia-matches'!$A:$AD,AJ$2,0)</f>
        <v>#N/A</v>
      </c>
      <c r="AK188" t="e">
        <f>VLOOKUP($Z188,'oddspedia-matches'!$A:$AD,AK$2,0)</f>
        <v>#N/A</v>
      </c>
      <c r="AL188" t="e">
        <f>VLOOKUP($Z188,'oddspedia-matches'!$A:$AD,AL$2,0)</f>
        <v>#N/A</v>
      </c>
      <c r="AM188" t="e">
        <f>VLOOKUP($Z188,'oddspedia-matches'!$A:$AD,AM$2,0)</f>
        <v>#N/A</v>
      </c>
      <c r="AN188" t="e">
        <f>VLOOKUP($Z188,'oddspedia-matches'!$A:$AD,AN$2,0)</f>
        <v>#N/A</v>
      </c>
      <c r="AO188" t="e">
        <f>VLOOKUP($Z188,'oddspedia-matches'!$A:$AD,AO$2,0)</f>
        <v>#N/A</v>
      </c>
      <c r="AP188" t="e">
        <f>VLOOKUP($Z188,'oddspedia-matches'!$A:$AD,AP$2,0)</f>
        <v>#N/A</v>
      </c>
      <c r="AQ188" t="e">
        <f>VLOOKUP($Z188,'oddspedia-matches'!$A:$AD,AQ$2,0)</f>
        <v>#N/A</v>
      </c>
    </row>
    <row r="189" spans="2:43" x14ac:dyDescent="0.2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>
        <f>VLOOKUP(E189,'Transform table'!A:B,2,0)</f>
        <v>0</v>
      </c>
      <c r="Y189" t="e">
        <f>VLOOKUP(F189,'Transform table'!A:B,2,0)</f>
        <v>#N/A</v>
      </c>
      <c r="Z189" t="e">
        <f>C189&amp;X189&amp;Y189</f>
        <v>#N/A</v>
      </c>
      <c r="AA189" t="e">
        <f>VLOOKUP($Z189,'oddspedia-matches'!$A:$AD,AA$2,0)</f>
        <v>#N/A</v>
      </c>
      <c r="AB189" t="e">
        <f>VLOOKUP($Z189,'oddspedia-matches'!$A:$AD,AB$2,0)</f>
        <v>#N/A</v>
      </c>
      <c r="AC189" t="e">
        <f>VLOOKUP($Z189,'oddspedia-matches'!$A:$AD,AC$2,0)</f>
        <v>#N/A</v>
      </c>
      <c r="AD189" t="e">
        <f>VLOOKUP($Z189,'oddspedia-matches'!$A:$AD,AD$2,0)</f>
        <v>#N/A</v>
      </c>
      <c r="AE189" t="e">
        <f>VLOOKUP($Z189,'oddspedia-matches'!$A:$AD,AE$2,0)</f>
        <v>#N/A</v>
      </c>
      <c r="AF189" t="e">
        <f>VLOOKUP($Z189,'oddspedia-matches'!$A:$AD,AF$2,0)</f>
        <v>#N/A</v>
      </c>
      <c r="AG189" t="e">
        <f>VLOOKUP($Z189,'oddspedia-matches'!$A:$AD,AG$2,0)</f>
        <v>#N/A</v>
      </c>
      <c r="AH189" t="e">
        <f>VLOOKUP($Z189,'oddspedia-matches'!$A:$AD,AH$2,0)</f>
        <v>#N/A</v>
      </c>
      <c r="AI189" t="e">
        <f>VLOOKUP($Z189,'oddspedia-matches'!$A:$AD,AI$2,0)</f>
        <v>#N/A</v>
      </c>
      <c r="AJ189" t="e">
        <f>VLOOKUP($Z189,'oddspedia-matches'!$A:$AD,AJ$2,0)</f>
        <v>#N/A</v>
      </c>
      <c r="AK189" t="e">
        <f>VLOOKUP($Z189,'oddspedia-matches'!$A:$AD,AK$2,0)</f>
        <v>#N/A</v>
      </c>
      <c r="AL189" t="e">
        <f>VLOOKUP($Z189,'oddspedia-matches'!$A:$AD,AL$2,0)</f>
        <v>#N/A</v>
      </c>
      <c r="AM189" t="e">
        <f>VLOOKUP($Z189,'oddspedia-matches'!$A:$AD,AM$2,0)</f>
        <v>#N/A</v>
      </c>
      <c r="AN189" t="e">
        <f>VLOOKUP($Z189,'oddspedia-matches'!$A:$AD,AN$2,0)</f>
        <v>#N/A</v>
      </c>
      <c r="AO189" t="e">
        <f>VLOOKUP($Z189,'oddspedia-matches'!$A:$AD,AO$2,0)</f>
        <v>#N/A</v>
      </c>
      <c r="AP189" t="e">
        <f>VLOOKUP($Z189,'oddspedia-matches'!$A:$AD,AP$2,0)</f>
        <v>#N/A</v>
      </c>
      <c r="AQ189" t="e">
        <f>VLOOKUP($Z189,'oddspedia-matches'!$A:$AD,AQ$2,0)</f>
        <v>#N/A</v>
      </c>
    </row>
    <row r="190" spans="2:43" x14ac:dyDescent="0.2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e">
        <f>VLOOKUP(F190,'Transform table'!A:B,2,0)</f>
        <v>#N/A</v>
      </c>
      <c r="Z190" t="e">
        <f>C190&amp;X190&amp;Y190</f>
        <v>#N/A</v>
      </c>
      <c r="AA190" t="e">
        <f>VLOOKUP($Z190,'oddspedia-matches'!$A:$AD,AA$2,0)</f>
        <v>#N/A</v>
      </c>
      <c r="AB190" t="e">
        <f>VLOOKUP($Z190,'oddspedia-matches'!$A:$AD,AB$2,0)</f>
        <v>#N/A</v>
      </c>
      <c r="AC190" t="e">
        <f>VLOOKUP($Z190,'oddspedia-matches'!$A:$AD,AC$2,0)</f>
        <v>#N/A</v>
      </c>
      <c r="AD190" t="e">
        <f>VLOOKUP($Z190,'oddspedia-matches'!$A:$AD,AD$2,0)</f>
        <v>#N/A</v>
      </c>
      <c r="AE190" t="e">
        <f>VLOOKUP($Z190,'oddspedia-matches'!$A:$AD,AE$2,0)</f>
        <v>#N/A</v>
      </c>
      <c r="AF190" t="e">
        <f>VLOOKUP($Z190,'oddspedia-matches'!$A:$AD,AF$2,0)</f>
        <v>#N/A</v>
      </c>
      <c r="AG190" t="e">
        <f>VLOOKUP($Z190,'oddspedia-matches'!$A:$AD,AG$2,0)</f>
        <v>#N/A</v>
      </c>
      <c r="AH190" t="e">
        <f>VLOOKUP($Z190,'oddspedia-matches'!$A:$AD,AH$2,0)</f>
        <v>#N/A</v>
      </c>
      <c r="AI190" t="e">
        <f>VLOOKUP($Z190,'oddspedia-matches'!$A:$AD,AI$2,0)</f>
        <v>#N/A</v>
      </c>
      <c r="AJ190" t="e">
        <f>VLOOKUP($Z190,'oddspedia-matches'!$A:$AD,AJ$2,0)</f>
        <v>#N/A</v>
      </c>
      <c r="AK190" t="e">
        <f>VLOOKUP($Z190,'oddspedia-matches'!$A:$AD,AK$2,0)</f>
        <v>#N/A</v>
      </c>
      <c r="AL190" t="e">
        <f>VLOOKUP($Z190,'oddspedia-matches'!$A:$AD,AL$2,0)</f>
        <v>#N/A</v>
      </c>
      <c r="AM190" t="e">
        <f>VLOOKUP($Z190,'oddspedia-matches'!$A:$AD,AM$2,0)</f>
        <v>#N/A</v>
      </c>
      <c r="AN190" t="e">
        <f>VLOOKUP($Z190,'oddspedia-matches'!$A:$AD,AN$2,0)</f>
        <v>#N/A</v>
      </c>
      <c r="AO190" t="e">
        <f>VLOOKUP($Z190,'oddspedia-matches'!$A:$AD,AO$2,0)</f>
        <v>#N/A</v>
      </c>
      <c r="AP190" t="e">
        <f>VLOOKUP($Z190,'oddspedia-matches'!$A:$AD,AP$2,0)</f>
        <v>#N/A</v>
      </c>
      <c r="AQ190" t="e">
        <f>VLOOKUP($Z190,'oddspedia-matches'!$A:$AD,AQ$2,0)</f>
        <v>#N/A</v>
      </c>
    </row>
    <row r="191" spans="2:43" x14ac:dyDescent="0.2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e">
        <f>VLOOKUP(F191,'Transform table'!A:B,2,0)</f>
        <v>#N/A</v>
      </c>
      <c r="Z191" t="e">
        <f>C191&amp;X191&amp;Y191</f>
        <v>#N/A</v>
      </c>
      <c r="AA191" t="e">
        <f>VLOOKUP($Z191,'oddspedia-matches'!$A:$AD,AA$2,0)</f>
        <v>#N/A</v>
      </c>
      <c r="AB191" t="e">
        <f>VLOOKUP($Z191,'oddspedia-matches'!$A:$AD,AB$2,0)</f>
        <v>#N/A</v>
      </c>
      <c r="AC191" t="e">
        <f>VLOOKUP($Z191,'oddspedia-matches'!$A:$AD,AC$2,0)</f>
        <v>#N/A</v>
      </c>
      <c r="AD191" t="e">
        <f>VLOOKUP($Z191,'oddspedia-matches'!$A:$AD,AD$2,0)</f>
        <v>#N/A</v>
      </c>
      <c r="AE191" t="e">
        <f>VLOOKUP($Z191,'oddspedia-matches'!$A:$AD,AE$2,0)</f>
        <v>#N/A</v>
      </c>
      <c r="AF191" t="e">
        <f>VLOOKUP($Z191,'oddspedia-matches'!$A:$AD,AF$2,0)</f>
        <v>#N/A</v>
      </c>
      <c r="AG191" t="e">
        <f>VLOOKUP($Z191,'oddspedia-matches'!$A:$AD,AG$2,0)</f>
        <v>#N/A</v>
      </c>
      <c r="AH191" t="e">
        <f>VLOOKUP($Z191,'oddspedia-matches'!$A:$AD,AH$2,0)</f>
        <v>#N/A</v>
      </c>
      <c r="AI191" t="e">
        <f>VLOOKUP($Z191,'oddspedia-matches'!$A:$AD,AI$2,0)</f>
        <v>#N/A</v>
      </c>
      <c r="AJ191" t="e">
        <f>VLOOKUP($Z191,'oddspedia-matches'!$A:$AD,AJ$2,0)</f>
        <v>#N/A</v>
      </c>
      <c r="AK191" t="e">
        <f>VLOOKUP($Z191,'oddspedia-matches'!$A:$AD,AK$2,0)</f>
        <v>#N/A</v>
      </c>
      <c r="AL191" t="e">
        <f>VLOOKUP($Z191,'oddspedia-matches'!$A:$AD,AL$2,0)</f>
        <v>#N/A</v>
      </c>
      <c r="AM191" t="e">
        <f>VLOOKUP($Z191,'oddspedia-matches'!$A:$AD,AM$2,0)</f>
        <v>#N/A</v>
      </c>
      <c r="AN191" t="e">
        <f>VLOOKUP($Z191,'oddspedia-matches'!$A:$AD,AN$2,0)</f>
        <v>#N/A</v>
      </c>
      <c r="AO191" t="e">
        <f>VLOOKUP($Z191,'oddspedia-matches'!$A:$AD,AO$2,0)</f>
        <v>#N/A</v>
      </c>
      <c r="AP191" t="e">
        <f>VLOOKUP($Z191,'oddspedia-matches'!$A:$AD,AP$2,0)</f>
        <v>#N/A</v>
      </c>
      <c r="AQ191" t="e">
        <f>VLOOKUP($Z191,'oddspedia-matches'!$A:$AD,AQ$2,0)</f>
        <v>#N/A</v>
      </c>
    </row>
    <row r="192" spans="2:43" x14ac:dyDescent="0.2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e">
        <f>VLOOKUP(F192,'Transform table'!A:B,2,0)</f>
        <v>#N/A</v>
      </c>
      <c r="Z192" t="e">
        <f>C192&amp;X192&amp;Y192</f>
        <v>#N/A</v>
      </c>
      <c r="AA192" t="e">
        <f>VLOOKUP($Z192,'oddspedia-matches'!$A:$AD,AA$2,0)</f>
        <v>#N/A</v>
      </c>
      <c r="AB192" t="e">
        <f>VLOOKUP($Z192,'oddspedia-matches'!$A:$AD,AB$2,0)</f>
        <v>#N/A</v>
      </c>
      <c r="AC192" t="e">
        <f>VLOOKUP($Z192,'oddspedia-matches'!$A:$AD,AC$2,0)</f>
        <v>#N/A</v>
      </c>
      <c r="AD192" t="e">
        <f>VLOOKUP($Z192,'oddspedia-matches'!$A:$AD,AD$2,0)</f>
        <v>#N/A</v>
      </c>
      <c r="AE192" t="e">
        <f>VLOOKUP($Z192,'oddspedia-matches'!$A:$AD,AE$2,0)</f>
        <v>#N/A</v>
      </c>
      <c r="AF192" t="e">
        <f>VLOOKUP($Z192,'oddspedia-matches'!$A:$AD,AF$2,0)</f>
        <v>#N/A</v>
      </c>
      <c r="AG192" t="e">
        <f>VLOOKUP($Z192,'oddspedia-matches'!$A:$AD,AG$2,0)</f>
        <v>#N/A</v>
      </c>
      <c r="AH192" t="e">
        <f>VLOOKUP($Z192,'oddspedia-matches'!$A:$AD,AH$2,0)</f>
        <v>#N/A</v>
      </c>
      <c r="AI192" t="e">
        <f>VLOOKUP($Z192,'oddspedia-matches'!$A:$AD,AI$2,0)</f>
        <v>#N/A</v>
      </c>
      <c r="AJ192" t="e">
        <f>VLOOKUP($Z192,'oddspedia-matches'!$A:$AD,AJ$2,0)</f>
        <v>#N/A</v>
      </c>
      <c r="AK192" t="e">
        <f>VLOOKUP($Z192,'oddspedia-matches'!$A:$AD,AK$2,0)</f>
        <v>#N/A</v>
      </c>
      <c r="AL192" t="e">
        <f>VLOOKUP($Z192,'oddspedia-matches'!$A:$AD,AL$2,0)</f>
        <v>#N/A</v>
      </c>
      <c r="AM192" t="e">
        <f>VLOOKUP($Z192,'oddspedia-matches'!$A:$AD,AM$2,0)</f>
        <v>#N/A</v>
      </c>
      <c r="AN192" t="e">
        <f>VLOOKUP($Z192,'oddspedia-matches'!$A:$AD,AN$2,0)</f>
        <v>#N/A</v>
      </c>
      <c r="AO192" t="e">
        <f>VLOOKUP($Z192,'oddspedia-matches'!$A:$AD,AO$2,0)</f>
        <v>#N/A</v>
      </c>
      <c r="AP192" t="e">
        <f>VLOOKUP($Z192,'oddspedia-matches'!$A:$AD,AP$2,0)</f>
        <v>#N/A</v>
      </c>
      <c r="AQ192" t="e">
        <f>VLOOKUP($Z192,'oddspedia-matches'!$A:$AD,AQ$2,0)</f>
        <v>#N/A</v>
      </c>
    </row>
    <row r="193" spans="2:43" x14ac:dyDescent="0.2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>
        <f>VLOOKUP(E193,'Transform table'!A:B,2,0)</f>
        <v>0</v>
      </c>
      <c r="Y193" t="e">
        <f>VLOOKUP(F193,'Transform table'!A:B,2,0)</f>
        <v>#N/A</v>
      </c>
      <c r="Z193" t="e">
        <f>C193&amp;X193&amp;Y193</f>
        <v>#N/A</v>
      </c>
      <c r="AA193" t="e">
        <f>VLOOKUP($Z193,'oddspedia-matches'!$A:$AD,AA$2,0)</f>
        <v>#N/A</v>
      </c>
      <c r="AB193" t="e">
        <f>VLOOKUP($Z193,'oddspedia-matches'!$A:$AD,AB$2,0)</f>
        <v>#N/A</v>
      </c>
      <c r="AC193" t="e">
        <f>VLOOKUP($Z193,'oddspedia-matches'!$A:$AD,AC$2,0)</f>
        <v>#N/A</v>
      </c>
      <c r="AD193" t="e">
        <f>VLOOKUP($Z193,'oddspedia-matches'!$A:$AD,AD$2,0)</f>
        <v>#N/A</v>
      </c>
      <c r="AE193" t="e">
        <f>VLOOKUP($Z193,'oddspedia-matches'!$A:$AD,AE$2,0)</f>
        <v>#N/A</v>
      </c>
      <c r="AF193" t="e">
        <f>VLOOKUP($Z193,'oddspedia-matches'!$A:$AD,AF$2,0)</f>
        <v>#N/A</v>
      </c>
      <c r="AG193" t="e">
        <f>VLOOKUP($Z193,'oddspedia-matches'!$A:$AD,AG$2,0)</f>
        <v>#N/A</v>
      </c>
      <c r="AH193" t="e">
        <f>VLOOKUP($Z193,'oddspedia-matches'!$A:$AD,AH$2,0)</f>
        <v>#N/A</v>
      </c>
      <c r="AI193" t="e">
        <f>VLOOKUP($Z193,'oddspedia-matches'!$A:$AD,AI$2,0)</f>
        <v>#N/A</v>
      </c>
      <c r="AJ193" t="e">
        <f>VLOOKUP($Z193,'oddspedia-matches'!$A:$AD,AJ$2,0)</f>
        <v>#N/A</v>
      </c>
      <c r="AK193" t="e">
        <f>VLOOKUP($Z193,'oddspedia-matches'!$A:$AD,AK$2,0)</f>
        <v>#N/A</v>
      </c>
      <c r="AL193" t="e">
        <f>VLOOKUP($Z193,'oddspedia-matches'!$A:$AD,AL$2,0)</f>
        <v>#N/A</v>
      </c>
      <c r="AM193" t="e">
        <f>VLOOKUP($Z193,'oddspedia-matches'!$A:$AD,AM$2,0)</f>
        <v>#N/A</v>
      </c>
      <c r="AN193" t="e">
        <f>VLOOKUP($Z193,'oddspedia-matches'!$A:$AD,AN$2,0)</f>
        <v>#N/A</v>
      </c>
      <c r="AO193" t="e">
        <f>VLOOKUP($Z193,'oddspedia-matches'!$A:$AD,AO$2,0)</f>
        <v>#N/A</v>
      </c>
      <c r="AP193" t="e">
        <f>VLOOKUP($Z193,'oddspedia-matches'!$A:$AD,AP$2,0)</f>
        <v>#N/A</v>
      </c>
      <c r="AQ193" t="e">
        <f>VLOOKUP($Z193,'oddspedia-matches'!$A:$AD,AQ$2,0)</f>
        <v>#N/A</v>
      </c>
    </row>
    <row r="194" spans="2:43" x14ac:dyDescent="0.2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>
        <f>VLOOKUP(E194,'Transform table'!A:B,2,0)</f>
        <v>0</v>
      </c>
      <c r="Y194" t="e">
        <f>VLOOKUP(F194,'Transform table'!A:B,2,0)</f>
        <v>#N/A</v>
      </c>
      <c r="Z194" t="e">
        <f>C194&amp;X194&amp;Y194</f>
        <v>#N/A</v>
      </c>
      <c r="AA194" t="e">
        <f>VLOOKUP($Z194,'oddspedia-matches'!$A:$AD,AA$2,0)</f>
        <v>#N/A</v>
      </c>
      <c r="AB194" t="e">
        <f>VLOOKUP($Z194,'oddspedia-matches'!$A:$AD,AB$2,0)</f>
        <v>#N/A</v>
      </c>
      <c r="AC194" t="e">
        <f>VLOOKUP($Z194,'oddspedia-matches'!$A:$AD,AC$2,0)</f>
        <v>#N/A</v>
      </c>
      <c r="AD194" t="e">
        <f>VLOOKUP($Z194,'oddspedia-matches'!$A:$AD,AD$2,0)</f>
        <v>#N/A</v>
      </c>
      <c r="AE194" t="e">
        <f>VLOOKUP($Z194,'oddspedia-matches'!$A:$AD,AE$2,0)</f>
        <v>#N/A</v>
      </c>
      <c r="AF194" t="e">
        <f>VLOOKUP($Z194,'oddspedia-matches'!$A:$AD,AF$2,0)</f>
        <v>#N/A</v>
      </c>
      <c r="AG194" t="e">
        <f>VLOOKUP($Z194,'oddspedia-matches'!$A:$AD,AG$2,0)</f>
        <v>#N/A</v>
      </c>
      <c r="AH194" t="e">
        <f>VLOOKUP($Z194,'oddspedia-matches'!$A:$AD,AH$2,0)</f>
        <v>#N/A</v>
      </c>
      <c r="AI194" t="e">
        <f>VLOOKUP($Z194,'oddspedia-matches'!$A:$AD,AI$2,0)</f>
        <v>#N/A</v>
      </c>
      <c r="AJ194" t="e">
        <f>VLOOKUP($Z194,'oddspedia-matches'!$A:$AD,AJ$2,0)</f>
        <v>#N/A</v>
      </c>
      <c r="AK194" t="e">
        <f>VLOOKUP($Z194,'oddspedia-matches'!$A:$AD,AK$2,0)</f>
        <v>#N/A</v>
      </c>
      <c r="AL194" t="e">
        <f>VLOOKUP($Z194,'oddspedia-matches'!$A:$AD,AL$2,0)</f>
        <v>#N/A</v>
      </c>
      <c r="AM194" t="e">
        <f>VLOOKUP($Z194,'oddspedia-matches'!$A:$AD,AM$2,0)</f>
        <v>#N/A</v>
      </c>
      <c r="AN194" t="e">
        <f>VLOOKUP($Z194,'oddspedia-matches'!$A:$AD,AN$2,0)</f>
        <v>#N/A</v>
      </c>
      <c r="AO194" t="e">
        <f>VLOOKUP($Z194,'oddspedia-matches'!$A:$AD,AO$2,0)</f>
        <v>#N/A</v>
      </c>
      <c r="AP194" t="e">
        <f>VLOOKUP($Z194,'oddspedia-matches'!$A:$AD,AP$2,0)</f>
        <v>#N/A</v>
      </c>
      <c r="AQ194" t="e">
        <f>VLOOKUP($Z194,'oddspedia-matches'!$A:$AD,AQ$2,0)</f>
        <v>#N/A</v>
      </c>
    </row>
    <row r="195" spans="2:43" x14ac:dyDescent="0.2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>
        <f>VLOOKUP(E195,'Transform table'!A:B,2,0)</f>
        <v>0</v>
      </c>
      <c r="Y195" t="e">
        <f>VLOOKUP(F195,'Transform table'!A:B,2,0)</f>
        <v>#N/A</v>
      </c>
      <c r="Z195" t="e">
        <f>C195&amp;X195&amp;Y195</f>
        <v>#N/A</v>
      </c>
      <c r="AA195" t="e">
        <f>VLOOKUP($Z195,'oddspedia-matches'!$A:$AD,AA$2,0)</f>
        <v>#N/A</v>
      </c>
      <c r="AB195" t="e">
        <f>VLOOKUP($Z195,'oddspedia-matches'!$A:$AD,AB$2,0)</f>
        <v>#N/A</v>
      </c>
      <c r="AC195" t="e">
        <f>VLOOKUP($Z195,'oddspedia-matches'!$A:$AD,AC$2,0)</f>
        <v>#N/A</v>
      </c>
      <c r="AD195" t="e">
        <f>VLOOKUP($Z195,'oddspedia-matches'!$A:$AD,AD$2,0)</f>
        <v>#N/A</v>
      </c>
      <c r="AE195" t="e">
        <f>VLOOKUP($Z195,'oddspedia-matches'!$A:$AD,AE$2,0)</f>
        <v>#N/A</v>
      </c>
      <c r="AF195" t="e">
        <f>VLOOKUP($Z195,'oddspedia-matches'!$A:$AD,AF$2,0)</f>
        <v>#N/A</v>
      </c>
      <c r="AG195" t="e">
        <f>VLOOKUP($Z195,'oddspedia-matches'!$A:$AD,AG$2,0)</f>
        <v>#N/A</v>
      </c>
      <c r="AH195" t="e">
        <f>VLOOKUP($Z195,'oddspedia-matches'!$A:$AD,AH$2,0)</f>
        <v>#N/A</v>
      </c>
      <c r="AI195" t="e">
        <f>VLOOKUP($Z195,'oddspedia-matches'!$A:$AD,AI$2,0)</f>
        <v>#N/A</v>
      </c>
      <c r="AJ195" t="e">
        <f>VLOOKUP($Z195,'oddspedia-matches'!$A:$AD,AJ$2,0)</f>
        <v>#N/A</v>
      </c>
      <c r="AK195" t="e">
        <f>VLOOKUP($Z195,'oddspedia-matches'!$A:$AD,AK$2,0)</f>
        <v>#N/A</v>
      </c>
      <c r="AL195" t="e">
        <f>VLOOKUP($Z195,'oddspedia-matches'!$A:$AD,AL$2,0)</f>
        <v>#N/A</v>
      </c>
      <c r="AM195" t="e">
        <f>VLOOKUP($Z195,'oddspedia-matches'!$A:$AD,AM$2,0)</f>
        <v>#N/A</v>
      </c>
      <c r="AN195" t="e">
        <f>VLOOKUP($Z195,'oddspedia-matches'!$A:$AD,AN$2,0)</f>
        <v>#N/A</v>
      </c>
      <c r="AO195" t="e">
        <f>VLOOKUP($Z195,'oddspedia-matches'!$A:$AD,AO$2,0)</f>
        <v>#N/A</v>
      </c>
      <c r="AP195" t="e">
        <f>VLOOKUP($Z195,'oddspedia-matches'!$A:$AD,AP$2,0)</f>
        <v>#N/A</v>
      </c>
      <c r="AQ195" t="e">
        <f>VLOOKUP($Z195,'oddspedia-matches'!$A:$AD,AQ$2,0)</f>
        <v>#N/A</v>
      </c>
    </row>
    <row r="196" spans="2:43" x14ac:dyDescent="0.2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e">
        <f>VLOOKUP(F196,'Transform table'!A:B,2,0)</f>
        <v>#N/A</v>
      </c>
      <c r="Z196" t="e">
        <f>C196&amp;X196&amp;Y196</f>
        <v>#N/A</v>
      </c>
      <c r="AA196" t="e">
        <f>VLOOKUP($Z196,'oddspedia-matches'!$A:$AD,AA$2,0)</f>
        <v>#N/A</v>
      </c>
      <c r="AB196" t="e">
        <f>VLOOKUP($Z196,'oddspedia-matches'!$A:$AD,AB$2,0)</f>
        <v>#N/A</v>
      </c>
      <c r="AC196" t="e">
        <f>VLOOKUP($Z196,'oddspedia-matches'!$A:$AD,AC$2,0)</f>
        <v>#N/A</v>
      </c>
      <c r="AD196" t="e">
        <f>VLOOKUP($Z196,'oddspedia-matches'!$A:$AD,AD$2,0)</f>
        <v>#N/A</v>
      </c>
      <c r="AE196" t="e">
        <f>VLOOKUP($Z196,'oddspedia-matches'!$A:$AD,AE$2,0)</f>
        <v>#N/A</v>
      </c>
      <c r="AF196" t="e">
        <f>VLOOKUP($Z196,'oddspedia-matches'!$A:$AD,AF$2,0)</f>
        <v>#N/A</v>
      </c>
      <c r="AG196" t="e">
        <f>VLOOKUP($Z196,'oddspedia-matches'!$A:$AD,AG$2,0)</f>
        <v>#N/A</v>
      </c>
      <c r="AH196" t="e">
        <f>VLOOKUP($Z196,'oddspedia-matches'!$A:$AD,AH$2,0)</f>
        <v>#N/A</v>
      </c>
      <c r="AI196" t="e">
        <f>VLOOKUP($Z196,'oddspedia-matches'!$A:$AD,AI$2,0)</f>
        <v>#N/A</v>
      </c>
      <c r="AJ196" t="e">
        <f>VLOOKUP($Z196,'oddspedia-matches'!$A:$AD,AJ$2,0)</f>
        <v>#N/A</v>
      </c>
      <c r="AK196" t="e">
        <f>VLOOKUP($Z196,'oddspedia-matches'!$A:$AD,AK$2,0)</f>
        <v>#N/A</v>
      </c>
      <c r="AL196" t="e">
        <f>VLOOKUP($Z196,'oddspedia-matches'!$A:$AD,AL$2,0)</f>
        <v>#N/A</v>
      </c>
      <c r="AM196" t="e">
        <f>VLOOKUP($Z196,'oddspedia-matches'!$A:$AD,AM$2,0)</f>
        <v>#N/A</v>
      </c>
      <c r="AN196" t="e">
        <f>VLOOKUP($Z196,'oddspedia-matches'!$A:$AD,AN$2,0)</f>
        <v>#N/A</v>
      </c>
      <c r="AO196" t="e">
        <f>VLOOKUP($Z196,'oddspedia-matches'!$A:$AD,AO$2,0)</f>
        <v>#N/A</v>
      </c>
      <c r="AP196" t="e">
        <f>VLOOKUP($Z196,'oddspedia-matches'!$A:$AD,AP$2,0)</f>
        <v>#N/A</v>
      </c>
      <c r="AQ196" t="e">
        <f>VLOOKUP($Z196,'oddspedia-matches'!$A:$AD,AQ$2,0)</f>
        <v>#N/A</v>
      </c>
    </row>
    <row r="197" spans="2:43" x14ac:dyDescent="0.2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Crystal Palace U21</v>
      </c>
      <c r="Y197" t="e">
        <f>VLOOKUP(F197,'Transform table'!A:B,2,0)</f>
        <v>#N/A</v>
      </c>
      <c r="Z197" t="e">
        <f>C197&amp;X197&amp;Y197</f>
        <v>#N/A</v>
      </c>
      <c r="AA197" t="e">
        <f>VLOOKUP($Z197,'oddspedia-matches'!$A:$AD,AA$2,0)</f>
        <v>#N/A</v>
      </c>
      <c r="AB197" t="e">
        <f>VLOOKUP($Z197,'oddspedia-matches'!$A:$AD,AB$2,0)</f>
        <v>#N/A</v>
      </c>
      <c r="AC197" t="e">
        <f>VLOOKUP($Z197,'oddspedia-matches'!$A:$AD,AC$2,0)</f>
        <v>#N/A</v>
      </c>
      <c r="AD197" t="e">
        <f>VLOOKUP($Z197,'oddspedia-matches'!$A:$AD,AD$2,0)</f>
        <v>#N/A</v>
      </c>
      <c r="AE197" t="e">
        <f>VLOOKUP($Z197,'oddspedia-matches'!$A:$AD,AE$2,0)</f>
        <v>#N/A</v>
      </c>
      <c r="AF197" t="e">
        <f>VLOOKUP($Z197,'oddspedia-matches'!$A:$AD,AF$2,0)</f>
        <v>#N/A</v>
      </c>
      <c r="AG197" t="e">
        <f>VLOOKUP($Z197,'oddspedia-matches'!$A:$AD,AG$2,0)</f>
        <v>#N/A</v>
      </c>
      <c r="AH197" t="e">
        <f>VLOOKUP($Z197,'oddspedia-matches'!$A:$AD,AH$2,0)</f>
        <v>#N/A</v>
      </c>
      <c r="AI197" t="e">
        <f>VLOOKUP($Z197,'oddspedia-matches'!$A:$AD,AI$2,0)</f>
        <v>#N/A</v>
      </c>
      <c r="AJ197" t="e">
        <f>VLOOKUP($Z197,'oddspedia-matches'!$A:$AD,AJ$2,0)</f>
        <v>#N/A</v>
      </c>
      <c r="AK197" t="e">
        <f>VLOOKUP($Z197,'oddspedia-matches'!$A:$AD,AK$2,0)</f>
        <v>#N/A</v>
      </c>
      <c r="AL197" t="e">
        <f>VLOOKUP($Z197,'oddspedia-matches'!$A:$AD,AL$2,0)</f>
        <v>#N/A</v>
      </c>
      <c r="AM197" t="e">
        <f>VLOOKUP($Z197,'oddspedia-matches'!$A:$AD,AM$2,0)</f>
        <v>#N/A</v>
      </c>
      <c r="AN197" t="e">
        <f>VLOOKUP($Z197,'oddspedia-matches'!$A:$AD,AN$2,0)</f>
        <v>#N/A</v>
      </c>
      <c r="AO197" t="e">
        <f>VLOOKUP($Z197,'oddspedia-matches'!$A:$AD,AO$2,0)</f>
        <v>#N/A</v>
      </c>
      <c r="AP197" t="e">
        <f>VLOOKUP($Z197,'oddspedia-matches'!$A:$AD,AP$2,0)</f>
        <v>#N/A</v>
      </c>
      <c r="AQ197" t="e">
        <f>VLOOKUP($Z197,'oddspedia-matches'!$A:$AD,AQ$2,0)</f>
        <v>#N/A</v>
      </c>
    </row>
    <row r="198" spans="2:43" x14ac:dyDescent="0.2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FK Kaspyi Aktau U21</v>
      </c>
      <c r="Y198" t="e">
        <f>VLOOKUP(F198,'Transform table'!A:B,2,0)</f>
        <v>#N/A</v>
      </c>
      <c r="Z198" t="e">
        <f>C198&amp;X198&amp;Y198</f>
        <v>#N/A</v>
      </c>
      <c r="AA198" t="e">
        <f>VLOOKUP($Z198,'oddspedia-matches'!$A:$AD,AA$2,0)</f>
        <v>#N/A</v>
      </c>
      <c r="AB198" t="e">
        <f>VLOOKUP($Z198,'oddspedia-matches'!$A:$AD,AB$2,0)</f>
        <v>#N/A</v>
      </c>
      <c r="AC198" t="e">
        <f>VLOOKUP($Z198,'oddspedia-matches'!$A:$AD,AC$2,0)</f>
        <v>#N/A</v>
      </c>
      <c r="AD198" t="e">
        <f>VLOOKUP($Z198,'oddspedia-matches'!$A:$AD,AD$2,0)</f>
        <v>#N/A</v>
      </c>
      <c r="AE198" t="e">
        <f>VLOOKUP($Z198,'oddspedia-matches'!$A:$AD,AE$2,0)</f>
        <v>#N/A</v>
      </c>
      <c r="AF198" t="e">
        <f>VLOOKUP($Z198,'oddspedia-matches'!$A:$AD,AF$2,0)</f>
        <v>#N/A</v>
      </c>
      <c r="AG198" t="e">
        <f>VLOOKUP($Z198,'oddspedia-matches'!$A:$AD,AG$2,0)</f>
        <v>#N/A</v>
      </c>
      <c r="AH198" t="e">
        <f>VLOOKUP($Z198,'oddspedia-matches'!$A:$AD,AH$2,0)</f>
        <v>#N/A</v>
      </c>
      <c r="AI198" t="e">
        <f>VLOOKUP($Z198,'oddspedia-matches'!$A:$AD,AI$2,0)</f>
        <v>#N/A</v>
      </c>
      <c r="AJ198" t="e">
        <f>VLOOKUP($Z198,'oddspedia-matches'!$A:$AD,AJ$2,0)</f>
        <v>#N/A</v>
      </c>
      <c r="AK198" t="e">
        <f>VLOOKUP($Z198,'oddspedia-matches'!$A:$AD,AK$2,0)</f>
        <v>#N/A</v>
      </c>
      <c r="AL198" t="e">
        <f>VLOOKUP($Z198,'oddspedia-matches'!$A:$AD,AL$2,0)</f>
        <v>#N/A</v>
      </c>
      <c r="AM198" t="e">
        <f>VLOOKUP($Z198,'oddspedia-matches'!$A:$AD,AM$2,0)</f>
        <v>#N/A</v>
      </c>
      <c r="AN198" t="e">
        <f>VLOOKUP($Z198,'oddspedia-matches'!$A:$AD,AN$2,0)</f>
        <v>#N/A</v>
      </c>
      <c r="AO198" t="e">
        <f>VLOOKUP($Z198,'oddspedia-matches'!$A:$AD,AO$2,0)</f>
        <v>#N/A</v>
      </c>
      <c r="AP198" t="e">
        <f>VLOOKUP($Z198,'oddspedia-matches'!$A:$AD,AP$2,0)</f>
        <v>#N/A</v>
      </c>
      <c r="AQ198" t="e">
        <f>VLOOKUP($Z198,'oddspedia-matches'!$A:$AD,AQ$2,0)</f>
        <v>#N/A</v>
      </c>
    </row>
    <row r="199" spans="2:43" x14ac:dyDescent="0.2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>
        <f>VLOOKUP(E199,'Transform table'!A:B,2,0)</f>
        <v>0</v>
      </c>
      <c r="Y199" t="e">
        <f>VLOOKUP(F199,'Transform table'!A:B,2,0)</f>
        <v>#N/A</v>
      </c>
      <c r="Z199" t="e">
        <f>C199&amp;X199&amp;Y199</f>
        <v>#N/A</v>
      </c>
      <c r="AA199" t="e">
        <f>VLOOKUP($Z199,'oddspedia-matches'!$A:$AD,AA$2,0)</f>
        <v>#N/A</v>
      </c>
      <c r="AB199" t="e">
        <f>VLOOKUP($Z199,'oddspedia-matches'!$A:$AD,AB$2,0)</f>
        <v>#N/A</v>
      </c>
      <c r="AC199" t="e">
        <f>VLOOKUP($Z199,'oddspedia-matches'!$A:$AD,AC$2,0)</f>
        <v>#N/A</v>
      </c>
      <c r="AD199" t="e">
        <f>VLOOKUP($Z199,'oddspedia-matches'!$A:$AD,AD$2,0)</f>
        <v>#N/A</v>
      </c>
      <c r="AE199" t="e">
        <f>VLOOKUP($Z199,'oddspedia-matches'!$A:$AD,AE$2,0)</f>
        <v>#N/A</v>
      </c>
      <c r="AF199" t="e">
        <f>VLOOKUP($Z199,'oddspedia-matches'!$A:$AD,AF$2,0)</f>
        <v>#N/A</v>
      </c>
      <c r="AG199" t="e">
        <f>VLOOKUP($Z199,'oddspedia-matches'!$A:$AD,AG$2,0)</f>
        <v>#N/A</v>
      </c>
      <c r="AH199" t="e">
        <f>VLOOKUP($Z199,'oddspedia-matches'!$A:$AD,AH$2,0)</f>
        <v>#N/A</v>
      </c>
      <c r="AI199" t="e">
        <f>VLOOKUP($Z199,'oddspedia-matches'!$A:$AD,AI$2,0)</f>
        <v>#N/A</v>
      </c>
      <c r="AJ199" t="e">
        <f>VLOOKUP($Z199,'oddspedia-matches'!$A:$AD,AJ$2,0)</f>
        <v>#N/A</v>
      </c>
      <c r="AK199" t="e">
        <f>VLOOKUP($Z199,'oddspedia-matches'!$A:$AD,AK$2,0)</f>
        <v>#N/A</v>
      </c>
      <c r="AL199" t="e">
        <f>VLOOKUP($Z199,'oddspedia-matches'!$A:$AD,AL$2,0)</f>
        <v>#N/A</v>
      </c>
      <c r="AM199" t="e">
        <f>VLOOKUP($Z199,'oddspedia-matches'!$A:$AD,AM$2,0)</f>
        <v>#N/A</v>
      </c>
      <c r="AN199" t="e">
        <f>VLOOKUP($Z199,'oddspedia-matches'!$A:$AD,AN$2,0)</f>
        <v>#N/A</v>
      </c>
      <c r="AO199" t="e">
        <f>VLOOKUP($Z199,'oddspedia-matches'!$A:$AD,AO$2,0)</f>
        <v>#N/A</v>
      </c>
      <c r="AP199" t="e">
        <f>VLOOKUP($Z199,'oddspedia-matches'!$A:$AD,AP$2,0)</f>
        <v>#N/A</v>
      </c>
      <c r="AQ199" t="e">
        <f>VLOOKUP($Z199,'oddspedia-matches'!$A:$AD,AQ$2,0)</f>
        <v>#N/A</v>
      </c>
    </row>
    <row r="200" spans="2:43" x14ac:dyDescent="0.2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>
        <f>VLOOKUP(E200,'Transform table'!A:B,2,0)</f>
        <v>0</v>
      </c>
      <c r="Y200" t="e">
        <f>VLOOKUP(F200,'Transform table'!A:B,2,0)</f>
        <v>#N/A</v>
      </c>
      <c r="Z200" t="e">
        <f>C200&amp;X200&amp;Y200</f>
        <v>#N/A</v>
      </c>
      <c r="AA200" t="e">
        <f>VLOOKUP($Z200,'oddspedia-matches'!$A:$AD,AA$2,0)</f>
        <v>#N/A</v>
      </c>
      <c r="AB200" t="e">
        <f>VLOOKUP($Z200,'oddspedia-matches'!$A:$AD,AB$2,0)</f>
        <v>#N/A</v>
      </c>
      <c r="AC200" t="e">
        <f>VLOOKUP($Z200,'oddspedia-matches'!$A:$AD,AC$2,0)</f>
        <v>#N/A</v>
      </c>
      <c r="AD200" t="e">
        <f>VLOOKUP($Z200,'oddspedia-matches'!$A:$AD,AD$2,0)</f>
        <v>#N/A</v>
      </c>
      <c r="AE200" t="e">
        <f>VLOOKUP($Z200,'oddspedia-matches'!$A:$AD,AE$2,0)</f>
        <v>#N/A</v>
      </c>
      <c r="AF200" t="e">
        <f>VLOOKUP($Z200,'oddspedia-matches'!$A:$AD,AF$2,0)</f>
        <v>#N/A</v>
      </c>
      <c r="AG200" t="e">
        <f>VLOOKUP($Z200,'oddspedia-matches'!$A:$AD,AG$2,0)</f>
        <v>#N/A</v>
      </c>
      <c r="AH200" t="e">
        <f>VLOOKUP($Z200,'oddspedia-matches'!$A:$AD,AH$2,0)</f>
        <v>#N/A</v>
      </c>
      <c r="AI200" t="e">
        <f>VLOOKUP($Z200,'oddspedia-matches'!$A:$AD,AI$2,0)</f>
        <v>#N/A</v>
      </c>
      <c r="AJ200" t="e">
        <f>VLOOKUP($Z200,'oddspedia-matches'!$A:$AD,AJ$2,0)</f>
        <v>#N/A</v>
      </c>
      <c r="AK200" t="e">
        <f>VLOOKUP($Z200,'oddspedia-matches'!$A:$AD,AK$2,0)</f>
        <v>#N/A</v>
      </c>
      <c r="AL200" t="e">
        <f>VLOOKUP($Z200,'oddspedia-matches'!$A:$AD,AL$2,0)</f>
        <v>#N/A</v>
      </c>
      <c r="AM200" t="e">
        <f>VLOOKUP($Z200,'oddspedia-matches'!$A:$AD,AM$2,0)</f>
        <v>#N/A</v>
      </c>
      <c r="AN200" t="e">
        <f>VLOOKUP($Z200,'oddspedia-matches'!$A:$AD,AN$2,0)</f>
        <v>#N/A</v>
      </c>
      <c r="AO200" t="e">
        <f>VLOOKUP($Z200,'oddspedia-matches'!$A:$AD,AO$2,0)</f>
        <v>#N/A</v>
      </c>
      <c r="AP200" t="e">
        <f>VLOOKUP($Z200,'oddspedia-matches'!$A:$AD,AP$2,0)</f>
        <v>#N/A</v>
      </c>
      <c r="AQ200" t="e">
        <f>VLOOKUP($Z200,'oddspedia-matches'!$A:$AD,AQ$2,0)</f>
        <v>#N/A</v>
      </c>
    </row>
    <row r="201" spans="2:43" x14ac:dyDescent="0.2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>
        <f>VLOOKUP(E201,'Transform table'!A:B,2,0)</f>
        <v>0</v>
      </c>
      <c r="Y201" t="e">
        <f>VLOOKUP(F201,'Transform table'!A:B,2,0)</f>
        <v>#N/A</v>
      </c>
      <c r="Z201" t="e">
        <f>C201&amp;X201&amp;Y201</f>
        <v>#N/A</v>
      </c>
      <c r="AA201" t="e">
        <f>VLOOKUP($Z201,'oddspedia-matches'!$A:$AD,AA$2,0)</f>
        <v>#N/A</v>
      </c>
      <c r="AB201" t="e">
        <f>VLOOKUP($Z201,'oddspedia-matches'!$A:$AD,AB$2,0)</f>
        <v>#N/A</v>
      </c>
      <c r="AC201" t="e">
        <f>VLOOKUP($Z201,'oddspedia-matches'!$A:$AD,AC$2,0)</f>
        <v>#N/A</v>
      </c>
      <c r="AD201" t="e">
        <f>VLOOKUP($Z201,'oddspedia-matches'!$A:$AD,AD$2,0)</f>
        <v>#N/A</v>
      </c>
      <c r="AE201" t="e">
        <f>VLOOKUP($Z201,'oddspedia-matches'!$A:$AD,AE$2,0)</f>
        <v>#N/A</v>
      </c>
      <c r="AF201" t="e">
        <f>VLOOKUP($Z201,'oddspedia-matches'!$A:$AD,AF$2,0)</f>
        <v>#N/A</v>
      </c>
      <c r="AG201" t="e">
        <f>VLOOKUP($Z201,'oddspedia-matches'!$A:$AD,AG$2,0)</f>
        <v>#N/A</v>
      </c>
      <c r="AH201" t="e">
        <f>VLOOKUP($Z201,'oddspedia-matches'!$A:$AD,AH$2,0)</f>
        <v>#N/A</v>
      </c>
      <c r="AI201" t="e">
        <f>VLOOKUP($Z201,'oddspedia-matches'!$A:$AD,AI$2,0)</f>
        <v>#N/A</v>
      </c>
      <c r="AJ201" t="e">
        <f>VLOOKUP($Z201,'oddspedia-matches'!$A:$AD,AJ$2,0)</f>
        <v>#N/A</v>
      </c>
      <c r="AK201" t="e">
        <f>VLOOKUP($Z201,'oddspedia-matches'!$A:$AD,AK$2,0)</f>
        <v>#N/A</v>
      </c>
      <c r="AL201" t="e">
        <f>VLOOKUP($Z201,'oddspedia-matches'!$A:$AD,AL$2,0)</f>
        <v>#N/A</v>
      </c>
      <c r="AM201" t="e">
        <f>VLOOKUP($Z201,'oddspedia-matches'!$A:$AD,AM$2,0)</f>
        <v>#N/A</v>
      </c>
      <c r="AN201" t="e">
        <f>VLOOKUP($Z201,'oddspedia-matches'!$A:$AD,AN$2,0)</f>
        <v>#N/A</v>
      </c>
      <c r="AO201" t="e">
        <f>VLOOKUP($Z201,'oddspedia-matches'!$A:$AD,AO$2,0)</f>
        <v>#N/A</v>
      </c>
      <c r="AP201" t="e">
        <f>VLOOKUP($Z201,'oddspedia-matches'!$A:$AD,AP$2,0)</f>
        <v>#N/A</v>
      </c>
      <c r="AQ201" t="e">
        <f>VLOOKUP($Z201,'oddspedia-matches'!$A:$AD,AQ$2,0)</f>
        <v>#N/A</v>
      </c>
    </row>
    <row r="202" spans="2:43" x14ac:dyDescent="0.2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Centro Espanol</v>
      </c>
      <c r="Y202" t="e">
        <f>VLOOKUP(F202,'Transform table'!A:B,2,0)</f>
        <v>#N/A</v>
      </c>
      <c r="Z202" t="e">
        <f>C202&amp;X202&amp;Y202</f>
        <v>#N/A</v>
      </c>
      <c r="AA202" t="e">
        <f>VLOOKUP($Z202,'oddspedia-matches'!$A:$AD,AA$2,0)</f>
        <v>#N/A</v>
      </c>
      <c r="AB202" t="e">
        <f>VLOOKUP($Z202,'oddspedia-matches'!$A:$AD,AB$2,0)</f>
        <v>#N/A</v>
      </c>
      <c r="AC202" t="e">
        <f>VLOOKUP($Z202,'oddspedia-matches'!$A:$AD,AC$2,0)</f>
        <v>#N/A</v>
      </c>
      <c r="AD202" t="e">
        <f>VLOOKUP($Z202,'oddspedia-matches'!$A:$AD,AD$2,0)</f>
        <v>#N/A</v>
      </c>
      <c r="AE202" t="e">
        <f>VLOOKUP($Z202,'oddspedia-matches'!$A:$AD,AE$2,0)</f>
        <v>#N/A</v>
      </c>
      <c r="AF202" t="e">
        <f>VLOOKUP($Z202,'oddspedia-matches'!$A:$AD,AF$2,0)</f>
        <v>#N/A</v>
      </c>
      <c r="AG202" t="e">
        <f>VLOOKUP($Z202,'oddspedia-matches'!$A:$AD,AG$2,0)</f>
        <v>#N/A</v>
      </c>
      <c r="AH202" t="e">
        <f>VLOOKUP($Z202,'oddspedia-matches'!$A:$AD,AH$2,0)</f>
        <v>#N/A</v>
      </c>
      <c r="AI202" t="e">
        <f>VLOOKUP($Z202,'oddspedia-matches'!$A:$AD,AI$2,0)</f>
        <v>#N/A</v>
      </c>
      <c r="AJ202" t="e">
        <f>VLOOKUP($Z202,'oddspedia-matches'!$A:$AD,AJ$2,0)</f>
        <v>#N/A</v>
      </c>
      <c r="AK202" t="e">
        <f>VLOOKUP($Z202,'oddspedia-matches'!$A:$AD,AK$2,0)</f>
        <v>#N/A</v>
      </c>
      <c r="AL202" t="e">
        <f>VLOOKUP($Z202,'oddspedia-matches'!$A:$AD,AL$2,0)</f>
        <v>#N/A</v>
      </c>
      <c r="AM202" t="e">
        <f>VLOOKUP($Z202,'oddspedia-matches'!$A:$AD,AM$2,0)</f>
        <v>#N/A</v>
      </c>
      <c r="AN202" t="e">
        <f>VLOOKUP($Z202,'oddspedia-matches'!$A:$AD,AN$2,0)</f>
        <v>#N/A</v>
      </c>
      <c r="AO202" t="e">
        <f>VLOOKUP($Z202,'oddspedia-matches'!$A:$AD,AO$2,0)</f>
        <v>#N/A</v>
      </c>
      <c r="AP202" t="e">
        <f>VLOOKUP($Z202,'oddspedia-matches'!$A:$AD,AP$2,0)</f>
        <v>#N/A</v>
      </c>
      <c r="AQ202" t="e">
        <f>VLOOKUP($Z202,'oddspedia-matches'!$A:$AD,AQ$2,0)</f>
        <v>#N/A</v>
      </c>
    </row>
    <row r="203" spans="2:43" x14ac:dyDescent="0.2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e">
        <f>VLOOKUP(F203,'Transform table'!A:B,2,0)</f>
        <v>#N/A</v>
      </c>
      <c r="Z203" t="e">
        <f>C203&amp;X203&amp;Y203</f>
        <v>#N/A</v>
      </c>
      <c r="AA203" t="e">
        <f>VLOOKUP($Z203,'oddspedia-matches'!$A:$AD,AA$2,0)</f>
        <v>#N/A</v>
      </c>
      <c r="AB203" t="e">
        <f>VLOOKUP($Z203,'oddspedia-matches'!$A:$AD,AB$2,0)</f>
        <v>#N/A</v>
      </c>
      <c r="AC203" t="e">
        <f>VLOOKUP($Z203,'oddspedia-matches'!$A:$AD,AC$2,0)</f>
        <v>#N/A</v>
      </c>
      <c r="AD203" t="e">
        <f>VLOOKUP($Z203,'oddspedia-matches'!$A:$AD,AD$2,0)</f>
        <v>#N/A</v>
      </c>
      <c r="AE203" t="e">
        <f>VLOOKUP($Z203,'oddspedia-matches'!$A:$AD,AE$2,0)</f>
        <v>#N/A</v>
      </c>
      <c r="AF203" t="e">
        <f>VLOOKUP($Z203,'oddspedia-matches'!$A:$AD,AF$2,0)</f>
        <v>#N/A</v>
      </c>
      <c r="AG203" t="e">
        <f>VLOOKUP($Z203,'oddspedia-matches'!$A:$AD,AG$2,0)</f>
        <v>#N/A</v>
      </c>
      <c r="AH203" t="e">
        <f>VLOOKUP($Z203,'oddspedia-matches'!$A:$AD,AH$2,0)</f>
        <v>#N/A</v>
      </c>
      <c r="AI203" t="e">
        <f>VLOOKUP($Z203,'oddspedia-matches'!$A:$AD,AI$2,0)</f>
        <v>#N/A</v>
      </c>
      <c r="AJ203" t="e">
        <f>VLOOKUP($Z203,'oddspedia-matches'!$A:$AD,AJ$2,0)</f>
        <v>#N/A</v>
      </c>
      <c r="AK203" t="e">
        <f>VLOOKUP($Z203,'oddspedia-matches'!$A:$AD,AK$2,0)</f>
        <v>#N/A</v>
      </c>
      <c r="AL203" t="e">
        <f>VLOOKUP($Z203,'oddspedia-matches'!$A:$AD,AL$2,0)</f>
        <v>#N/A</v>
      </c>
      <c r="AM203" t="e">
        <f>VLOOKUP($Z203,'oddspedia-matches'!$A:$AD,AM$2,0)</f>
        <v>#N/A</v>
      </c>
      <c r="AN203" t="e">
        <f>VLOOKUP($Z203,'oddspedia-matches'!$A:$AD,AN$2,0)</f>
        <v>#N/A</v>
      </c>
      <c r="AO203" t="e">
        <f>VLOOKUP($Z203,'oddspedia-matches'!$A:$AD,AO$2,0)</f>
        <v>#N/A</v>
      </c>
      <c r="AP203" t="e">
        <f>VLOOKUP($Z203,'oddspedia-matches'!$A:$AD,AP$2,0)</f>
        <v>#N/A</v>
      </c>
      <c r="AQ203" t="e">
        <f>VLOOKUP($Z203,'oddspedia-matches'!$A:$AD,AQ$2,0)</f>
        <v>#N/A</v>
      </c>
    </row>
    <row r="204" spans="2:43" x14ac:dyDescent="0.2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</v>
      </c>
      <c r="Y204" t="e">
        <f>VLOOKUP(F204,'Transform table'!A:B,2,0)</f>
        <v>#N/A</v>
      </c>
      <c r="Z204" t="e">
        <f>C204&amp;X204&amp;Y204</f>
        <v>#N/A</v>
      </c>
      <c r="AA204" t="e">
        <f>VLOOKUP($Z204,'oddspedia-matches'!$A:$AD,AA$2,0)</f>
        <v>#N/A</v>
      </c>
      <c r="AB204" t="e">
        <f>VLOOKUP($Z204,'oddspedia-matches'!$A:$AD,AB$2,0)</f>
        <v>#N/A</v>
      </c>
      <c r="AC204" t="e">
        <f>VLOOKUP($Z204,'oddspedia-matches'!$A:$AD,AC$2,0)</f>
        <v>#N/A</v>
      </c>
      <c r="AD204" t="e">
        <f>VLOOKUP($Z204,'oddspedia-matches'!$A:$AD,AD$2,0)</f>
        <v>#N/A</v>
      </c>
      <c r="AE204" t="e">
        <f>VLOOKUP($Z204,'oddspedia-matches'!$A:$AD,AE$2,0)</f>
        <v>#N/A</v>
      </c>
      <c r="AF204" t="e">
        <f>VLOOKUP($Z204,'oddspedia-matches'!$A:$AD,AF$2,0)</f>
        <v>#N/A</v>
      </c>
      <c r="AG204" t="e">
        <f>VLOOKUP($Z204,'oddspedia-matches'!$A:$AD,AG$2,0)</f>
        <v>#N/A</v>
      </c>
      <c r="AH204" t="e">
        <f>VLOOKUP($Z204,'oddspedia-matches'!$A:$AD,AH$2,0)</f>
        <v>#N/A</v>
      </c>
      <c r="AI204" t="e">
        <f>VLOOKUP($Z204,'oddspedia-matches'!$A:$AD,AI$2,0)</f>
        <v>#N/A</v>
      </c>
      <c r="AJ204" t="e">
        <f>VLOOKUP($Z204,'oddspedia-matches'!$A:$AD,AJ$2,0)</f>
        <v>#N/A</v>
      </c>
      <c r="AK204" t="e">
        <f>VLOOKUP($Z204,'oddspedia-matches'!$A:$AD,AK$2,0)</f>
        <v>#N/A</v>
      </c>
      <c r="AL204" t="e">
        <f>VLOOKUP($Z204,'oddspedia-matches'!$A:$AD,AL$2,0)</f>
        <v>#N/A</v>
      </c>
      <c r="AM204" t="e">
        <f>VLOOKUP($Z204,'oddspedia-matches'!$A:$AD,AM$2,0)</f>
        <v>#N/A</v>
      </c>
      <c r="AN204" t="e">
        <f>VLOOKUP($Z204,'oddspedia-matches'!$A:$AD,AN$2,0)</f>
        <v>#N/A</v>
      </c>
      <c r="AO204" t="e">
        <f>VLOOKUP($Z204,'oddspedia-matches'!$A:$AD,AO$2,0)</f>
        <v>#N/A</v>
      </c>
      <c r="AP204" t="e">
        <f>VLOOKUP($Z204,'oddspedia-matches'!$A:$AD,AP$2,0)</f>
        <v>#N/A</v>
      </c>
      <c r="AQ204" t="e">
        <f>VLOOKUP($Z204,'oddspedia-matches'!$A:$AD,AQ$2,0)</f>
        <v>#N/A</v>
      </c>
    </row>
    <row r="205" spans="2:43" x14ac:dyDescent="0.2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Gillingham</v>
      </c>
      <c r="Y205" t="e">
        <f>VLOOKUP(F205,'Transform table'!A:B,2,0)</f>
        <v>#N/A</v>
      </c>
      <c r="Z205" t="e">
        <f>C205&amp;X205&amp;Y205</f>
        <v>#N/A</v>
      </c>
      <c r="AA205" t="e">
        <f>VLOOKUP($Z205,'oddspedia-matches'!$A:$AD,AA$2,0)</f>
        <v>#N/A</v>
      </c>
      <c r="AB205" t="e">
        <f>VLOOKUP($Z205,'oddspedia-matches'!$A:$AD,AB$2,0)</f>
        <v>#N/A</v>
      </c>
      <c r="AC205" t="e">
        <f>VLOOKUP($Z205,'oddspedia-matches'!$A:$AD,AC$2,0)</f>
        <v>#N/A</v>
      </c>
      <c r="AD205" t="e">
        <f>VLOOKUP($Z205,'oddspedia-matches'!$A:$AD,AD$2,0)</f>
        <v>#N/A</v>
      </c>
      <c r="AE205" t="e">
        <f>VLOOKUP($Z205,'oddspedia-matches'!$A:$AD,AE$2,0)</f>
        <v>#N/A</v>
      </c>
      <c r="AF205" t="e">
        <f>VLOOKUP($Z205,'oddspedia-matches'!$A:$AD,AF$2,0)</f>
        <v>#N/A</v>
      </c>
      <c r="AG205" t="e">
        <f>VLOOKUP($Z205,'oddspedia-matches'!$A:$AD,AG$2,0)</f>
        <v>#N/A</v>
      </c>
      <c r="AH205" t="e">
        <f>VLOOKUP($Z205,'oddspedia-matches'!$A:$AD,AH$2,0)</f>
        <v>#N/A</v>
      </c>
      <c r="AI205" t="e">
        <f>VLOOKUP($Z205,'oddspedia-matches'!$A:$AD,AI$2,0)</f>
        <v>#N/A</v>
      </c>
      <c r="AJ205" t="e">
        <f>VLOOKUP($Z205,'oddspedia-matches'!$A:$AD,AJ$2,0)</f>
        <v>#N/A</v>
      </c>
      <c r="AK205" t="e">
        <f>VLOOKUP($Z205,'oddspedia-matches'!$A:$AD,AK$2,0)</f>
        <v>#N/A</v>
      </c>
      <c r="AL205" t="e">
        <f>VLOOKUP($Z205,'oddspedia-matches'!$A:$AD,AL$2,0)</f>
        <v>#N/A</v>
      </c>
      <c r="AM205" t="e">
        <f>VLOOKUP($Z205,'oddspedia-matches'!$A:$AD,AM$2,0)</f>
        <v>#N/A</v>
      </c>
      <c r="AN205" t="e">
        <f>VLOOKUP($Z205,'oddspedia-matches'!$A:$AD,AN$2,0)</f>
        <v>#N/A</v>
      </c>
      <c r="AO205" t="e">
        <f>VLOOKUP($Z205,'oddspedia-matches'!$A:$AD,AO$2,0)</f>
        <v>#N/A</v>
      </c>
      <c r="AP205" t="e">
        <f>VLOOKUP($Z205,'oddspedia-matches'!$A:$AD,AP$2,0)</f>
        <v>#N/A</v>
      </c>
      <c r="AQ205" t="e">
        <f>VLOOKUP($Z205,'oddspedia-matches'!$A:$AD,AQ$2,0)</f>
        <v>#N/A</v>
      </c>
    </row>
    <row r="206" spans="2:43" x14ac:dyDescent="0.2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>
        <f>VLOOKUP(E206,'Transform table'!A:B,2,0)</f>
        <v>0</v>
      </c>
      <c r="Y206" t="e">
        <f>VLOOKUP(F206,'Transform table'!A:B,2,0)</f>
        <v>#N/A</v>
      </c>
      <c r="Z206" t="e">
        <f>C206&amp;X206&amp;Y206</f>
        <v>#N/A</v>
      </c>
      <c r="AA206" t="e">
        <f>VLOOKUP($Z206,'oddspedia-matches'!$A:$AD,AA$2,0)</f>
        <v>#N/A</v>
      </c>
      <c r="AB206" t="e">
        <f>VLOOKUP($Z206,'oddspedia-matches'!$A:$AD,AB$2,0)</f>
        <v>#N/A</v>
      </c>
      <c r="AC206" t="e">
        <f>VLOOKUP($Z206,'oddspedia-matches'!$A:$AD,AC$2,0)</f>
        <v>#N/A</v>
      </c>
      <c r="AD206" t="e">
        <f>VLOOKUP($Z206,'oddspedia-matches'!$A:$AD,AD$2,0)</f>
        <v>#N/A</v>
      </c>
      <c r="AE206" t="e">
        <f>VLOOKUP($Z206,'oddspedia-matches'!$A:$AD,AE$2,0)</f>
        <v>#N/A</v>
      </c>
      <c r="AF206" t="e">
        <f>VLOOKUP($Z206,'oddspedia-matches'!$A:$AD,AF$2,0)</f>
        <v>#N/A</v>
      </c>
      <c r="AG206" t="e">
        <f>VLOOKUP($Z206,'oddspedia-matches'!$A:$AD,AG$2,0)</f>
        <v>#N/A</v>
      </c>
      <c r="AH206" t="e">
        <f>VLOOKUP($Z206,'oddspedia-matches'!$A:$AD,AH$2,0)</f>
        <v>#N/A</v>
      </c>
      <c r="AI206" t="e">
        <f>VLOOKUP($Z206,'oddspedia-matches'!$A:$AD,AI$2,0)</f>
        <v>#N/A</v>
      </c>
      <c r="AJ206" t="e">
        <f>VLOOKUP($Z206,'oddspedia-matches'!$A:$AD,AJ$2,0)</f>
        <v>#N/A</v>
      </c>
      <c r="AK206" t="e">
        <f>VLOOKUP($Z206,'oddspedia-matches'!$A:$AD,AK$2,0)</f>
        <v>#N/A</v>
      </c>
      <c r="AL206" t="e">
        <f>VLOOKUP($Z206,'oddspedia-matches'!$A:$AD,AL$2,0)</f>
        <v>#N/A</v>
      </c>
      <c r="AM206" t="e">
        <f>VLOOKUP($Z206,'oddspedia-matches'!$A:$AD,AM$2,0)</f>
        <v>#N/A</v>
      </c>
      <c r="AN206" t="e">
        <f>VLOOKUP($Z206,'oddspedia-matches'!$A:$AD,AN$2,0)</f>
        <v>#N/A</v>
      </c>
      <c r="AO206" t="e">
        <f>VLOOKUP($Z206,'oddspedia-matches'!$A:$AD,AO$2,0)</f>
        <v>#N/A</v>
      </c>
      <c r="AP206" t="e">
        <f>VLOOKUP($Z206,'oddspedia-matches'!$A:$AD,AP$2,0)</f>
        <v>#N/A</v>
      </c>
      <c r="AQ206" t="e">
        <f>VLOOKUP($Z206,'oddspedia-matches'!$A:$AD,AQ$2,0)</f>
        <v>#N/A</v>
      </c>
    </row>
    <row r="207" spans="2:43" x14ac:dyDescent="0.2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>
        <f>VLOOKUP(E207,'Transform table'!A:B,2,0)</f>
        <v>0</v>
      </c>
      <c r="Y207" t="e">
        <f>VLOOKUP(F207,'Transform table'!A:B,2,0)</f>
        <v>#N/A</v>
      </c>
      <c r="Z207" t="e">
        <f>C207&amp;X207&amp;Y207</f>
        <v>#N/A</v>
      </c>
      <c r="AA207" t="e">
        <f>VLOOKUP($Z207,'oddspedia-matches'!$A:$AD,AA$2,0)</f>
        <v>#N/A</v>
      </c>
      <c r="AB207" t="e">
        <f>VLOOKUP($Z207,'oddspedia-matches'!$A:$AD,AB$2,0)</f>
        <v>#N/A</v>
      </c>
      <c r="AC207" t="e">
        <f>VLOOKUP($Z207,'oddspedia-matches'!$A:$AD,AC$2,0)</f>
        <v>#N/A</v>
      </c>
      <c r="AD207" t="e">
        <f>VLOOKUP($Z207,'oddspedia-matches'!$A:$AD,AD$2,0)</f>
        <v>#N/A</v>
      </c>
      <c r="AE207" t="e">
        <f>VLOOKUP($Z207,'oddspedia-matches'!$A:$AD,AE$2,0)</f>
        <v>#N/A</v>
      </c>
      <c r="AF207" t="e">
        <f>VLOOKUP($Z207,'oddspedia-matches'!$A:$AD,AF$2,0)</f>
        <v>#N/A</v>
      </c>
      <c r="AG207" t="e">
        <f>VLOOKUP($Z207,'oddspedia-matches'!$A:$AD,AG$2,0)</f>
        <v>#N/A</v>
      </c>
      <c r="AH207" t="e">
        <f>VLOOKUP($Z207,'oddspedia-matches'!$A:$AD,AH$2,0)</f>
        <v>#N/A</v>
      </c>
      <c r="AI207" t="e">
        <f>VLOOKUP($Z207,'oddspedia-matches'!$A:$AD,AI$2,0)</f>
        <v>#N/A</v>
      </c>
      <c r="AJ207" t="e">
        <f>VLOOKUP($Z207,'oddspedia-matches'!$A:$AD,AJ$2,0)</f>
        <v>#N/A</v>
      </c>
      <c r="AK207" t="e">
        <f>VLOOKUP($Z207,'oddspedia-matches'!$A:$AD,AK$2,0)</f>
        <v>#N/A</v>
      </c>
      <c r="AL207" t="e">
        <f>VLOOKUP($Z207,'oddspedia-matches'!$A:$AD,AL$2,0)</f>
        <v>#N/A</v>
      </c>
      <c r="AM207" t="e">
        <f>VLOOKUP($Z207,'oddspedia-matches'!$A:$AD,AM$2,0)</f>
        <v>#N/A</v>
      </c>
      <c r="AN207" t="e">
        <f>VLOOKUP($Z207,'oddspedia-matches'!$A:$AD,AN$2,0)</f>
        <v>#N/A</v>
      </c>
      <c r="AO207" t="e">
        <f>VLOOKUP($Z207,'oddspedia-matches'!$A:$AD,AO$2,0)</f>
        <v>#N/A</v>
      </c>
      <c r="AP207" t="e">
        <f>VLOOKUP($Z207,'oddspedia-matches'!$A:$AD,AP$2,0)</f>
        <v>#N/A</v>
      </c>
      <c r="AQ207" t="e">
        <f>VLOOKUP($Z207,'oddspedia-matches'!$A:$AD,AQ$2,0)</f>
        <v>#N/A</v>
      </c>
    </row>
    <row r="208" spans="2:43" x14ac:dyDescent="0.2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Hegelmann Litauen II</v>
      </c>
      <c r="Y208" t="str">
        <f>VLOOKUP(F208,'Transform table'!A:B,2,0)</f>
        <v>FK Suduva Marijampole</v>
      </c>
      <c r="Z208" t="str">
        <f>C208&amp;X208&amp;Y208</f>
        <v>25/07/2026Hegelmann Litauen IIFK Suduva Marijampole</v>
      </c>
      <c r="AA208" t="e">
        <f>VLOOKUP($Z208,'oddspedia-matches'!$A:$AD,AA$2,0)</f>
        <v>#N/A</v>
      </c>
      <c r="AB208" t="e">
        <f>VLOOKUP($Z208,'oddspedia-matches'!$A:$AD,AB$2,0)</f>
        <v>#N/A</v>
      </c>
      <c r="AC208" t="e">
        <f>VLOOKUP($Z208,'oddspedia-matches'!$A:$AD,AC$2,0)</f>
        <v>#N/A</v>
      </c>
      <c r="AD208" t="e">
        <f>VLOOKUP($Z208,'oddspedia-matches'!$A:$AD,AD$2,0)</f>
        <v>#N/A</v>
      </c>
      <c r="AE208" t="e">
        <f>VLOOKUP($Z208,'oddspedia-matches'!$A:$AD,AE$2,0)</f>
        <v>#N/A</v>
      </c>
      <c r="AF208" t="e">
        <f>VLOOKUP($Z208,'oddspedia-matches'!$A:$AD,AF$2,0)</f>
        <v>#N/A</v>
      </c>
      <c r="AG208" t="e">
        <f>VLOOKUP($Z208,'oddspedia-matches'!$A:$AD,AG$2,0)</f>
        <v>#N/A</v>
      </c>
      <c r="AH208" t="e">
        <f>VLOOKUP($Z208,'oddspedia-matches'!$A:$AD,AH$2,0)</f>
        <v>#N/A</v>
      </c>
      <c r="AI208" t="e">
        <f>VLOOKUP($Z208,'oddspedia-matches'!$A:$AD,AI$2,0)</f>
        <v>#N/A</v>
      </c>
      <c r="AJ208" t="e">
        <f>VLOOKUP($Z208,'oddspedia-matches'!$A:$AD,AJ$2,0)</f>
        <v>#N/A</v>
      </c>
      <c r="AK208" t="e">
        <f>VLOOKUP($Z208,'oddspedia-matches'!$A:$AD,AK$2,0)</f>
        <v>#N/A</v>
      </c>
      <c r="AL208" t="e">
        <f>VLOOKUP($Z208,'oddspedia-matches'!$A:$AD,AL$2,0)</f>
        <v>#N/A</v>
      </c>
      <c r="AM208" t="e">
        <f>VLOOKUP($Z208,'oddspedia-matches'!$A:$AD,AM$2,0)</f>
        <v>#N/A</v>
      </c>
      <c r="AN208" t="e">
        <f>VLOOKUP($Z208,'oddspedia-matches'!$A:$AD,AN$2,0)</f>
        <v>#N/A</v>
      </c>
      <c r="AO208" t="e">
        <f>VLOOKUP($Z208,'oddspedia-matches'!$A:$AD,AO$2,0)</f>
        <v>#N/A</v>
      </c>
      <c r="AP208" t="e">
        <f>VLOOKUP($Z208,'oddspedia-matches'!$A:$AD,AP$2,0)</f>
        <v>#N/A</v>
      </c>
      <c r="AQ208" t="e">
        <f>VLOOKUP($Z208,'oddspedia-matches'!$A:$AD,AQ$2,0)</f>
        <v>#N/A</v>
      </c>
    </row>
    <row r="209" spans="2:43" x14ac:dyDescent="0.2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>
        <f>VLOOKUP(E209,'Transform table'!A:B,2,0)</f>
        <v>0</v>
      </c>
      <c r="Y209" t="e">
        <f>VLOOKUP(F209,'Transform table'!A:B,2,0)</f>
        <v>#N/A</v>
      </c>
      <c r="Z209" t="e">
        <f>C209&amp;X209&amp;Y209</f>
        <v>#N/A</v>
      </c>
      <c r="AA209" t="e">
        <f>VLOOKUP($Z209,'oddspedia-matches'!$A:$AD,AA$2,0)</f>
        <v>#N/A</v>
      </c>
      <c r="AB209" t="e">
        <f>VLOOKUP($Z209,'oddspedia-matches'!$A:$AD,AB$2,0)</f>
        <v>#N/A</v>
      </c>
      <c r="AC209" t="e">
        <f>VLOOKUP($Z209,'oddspedia-matches'!$A:$AD,AC$2,0)</f>
        <v>#N/A</v>
      </c>
      <c r="AD209" t="e">
        <f>VLOOKUP($Z209,'oddspedia-matches'!$A:$AD,AD$2,0)</f>
        <v>#N/A</v>
      </c>
      <c r="AE209" t="e">
        <f>VLOOKUP($Z209,'oddspedia-matches'!$A:$AD,AE$2,0)</f>
        <v>#N/A</v>
      </c>
      <c r="AF209" t="e">
        <f>VLOOKUP($Z209,'oddspedia-matches'!$A:$AD,AF$2,0)</f>
        <v>#N/A</v>
      </c>
      <c r="AG209" t="e">
        <f>VLOOKUP($Z209,'oddspedia-matches'!$A:$AD,AG$2,0)</f>
        <v>#N/A</v>
      </c>
      <c r="AH209" t="e">
        <f>VLOOKUP($Z209,'oddspedia-matches'!$A:$AD,AH$2,0)</f>
        <v>#N/A</v>
      </c>
      <c r="AI209" t="e">
        <f>VLOOKUP($Z209,'oddspedia-matches'!$A:$AD,AI$2,0)</f>
        <v>#N/A</v>
      </c>
      <c r="AJ209" t="e">
        <f>VLOOKUP($Z209,'oddspedia-matches'!$A:$AD,AJ$2,0)</f>
        <v>#N/A</v>
      </c>
      <c r="AK209" t="e">
        <f>VLOOKUP($Z209,'oddspedia-matches'!$A:$AD,AK$2,0)</f>
        <v>#N/A</v>
      </c>
      <c r="AL209" t="e">
        <f>VLOOKUP($Z209,'oddspedia-matches'!$A:$AD,AL$2,0)</f>
        <v>#N/A</v>
      </c>
      <c r="AM209" t="e">
        <f>VLOOKUP($Z209,'oddspedia-matches'!$A:$AD,AM$2,0)</f>
        <v>#N/A</v>
      </c>
      <c r="AN209" t="e">
        <f>VLOOKUP($Z209,'oddspedia-matches'!$A:$AD,AN$2,0)</f>
        <v>#N/A</v>
      </c>
      <c r="AO209" t="e">
        <f>VLOOKUP($Z209,'oddspedia-matches'!$A:$AD,AO$2,0)</f>
        <v>#N/A</v>
      </c>
      <c r="AP209" t="e">
        <f>VLOOKUP($Z209,'oddspedia-matches'!$A:$AD,AP$2,0)</f>
        <v>#N/A</v>
      </c>
      <c r="AQ209" t="e">
        <f>VLOOKUP($Z209,'oddspedia-matches'!$A:$AD,AQ$2,0)</f>
        <v>#N/A</v>
      </c>
    </row>
    <row r="210" spans="2:43" x14ac:dyDescent="0.2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Stuttgart</v>
      </c>
      <c r="Y210" t="e">
        <f>VLOOKUP(F210,'Transform table'!A:B,2,0)</f>
        <v>#N/A</v>
      </c>
      <c r="Z210" t="e">
        <f>C210&amp;X210&amp;Y210</f>
        <v>#N/A</v>
      </c>
      <c r="AA210" t="e">
        <f>VLOOKUP($Z210,'oddspedia-matches'!$A:$AD,AA$2,0)</f>
        <v>#N/A</v>
      </c>
      <c r="AB210" t="e">
        <f>VLOOKUP($Z210,'oddspedia-matches'!$A:$AD,AB$2,0)</f>
        <v>#N/A</v>
      </c>
      <c r="AC210" t="e">
        <f>VLOOKUP($Z210,'oddspedia-matches'!$A:$AD,AC$2,0)</f>
        <v>#N/A</v>
      </c>
      <c r="AD210" t="e">
        <f>VLOOKUP($Z210,'oddspedia-matches'!$A:$AD,AD$2,0)</f>
        <v>#N/A</v>
      </c>
      <c r="AE210" t="e">
        <f>VLOOKUP($Z210,'oddspedia-matches'!$A:$AD,AE$2,0)</f>
        <v>#N/A</v>
      </c>
      <c r="AF210" t="e">
        <f>VLOOKUP($Z210,'oddspedia-matches'!$A:$AD,AF$2,0)</f>
        <v>#N/A</v>
      </c>
      <c r="AG210" t="e">
        <f>VLOOKUP($Z210,'oddspedia-matches'!$A:$AD,AG$2,0)</f>
        <v>#N/A</v>
      </c>
      <c r="AH210" t="e">
        <f>VLOOKUP($Z210,'oddspedia-matches'!$A:$AD,AH$2,0)</f>
        <v>#N/A</v>
      </c>
      <c r="AI210" t="e">
        <f>VLOOKUP($Z210,'oddspedia-matches'!$A:$AD,AI$2,0)</f>
        <v>#N/A</v>
      </c>
      <c r="AJ210" t="e">
        <f>VLOOKUP($Z210,'oddspedia-matches'!$A:$AD,AJ$2,0)</f>
        <v>#N/A</v>
      </c>
      <c r="AK210" t="e">
        <f>VLOOKUP($Z210,'oddspedia-matches'!$A:$AD,AK$2,0)</f>
        <v>#N/A</v>
      </c>
      <c r="AL210" t="e">
        <f>VLOOKUP($Z210,'oddspedia-matches'!$A:$AD,AL$2,0)</f>
        <v>#N/A</v>
      </c>
      <c r="AM210" t="e">
        <f>VLOOKUP($Z210,'oddspedia-matches'!$A:$AD,AM$2,0)</f>
        <v>#N/A</v>
      </c>
      <c r="AN210" t="e">
        <f>VLOOKUP($Z210,'oddspedia-matches'!$A:$AD,AN$2,0)</f>
        <v>#N/A</v>
      </c>
      <c r="AO210" t="e">
        <f>VLOOKUP($Z210,'oddspedia-matches'!$A:$AD,AO$2,0)</f>
        <v>#N/A</v>
      </c>
      <c r="AP210" t="e">
        <f>VLOOKUP($Z210,'oddspedia-matches'!$A:$AD,AP$2,0)</f>
        <v>#N/A</v>
      </c>
      <c r="AQ210" t="e">
        <f>VLOOKUP($Z210,'oddspedia-matches'!$A:$AD,AQ$2,0)</f>
        <v>#N/A</v>
      </c>
    </row>
    <row r="211" spans="2:43" x14ac:dyDescent="0.2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>
        <f>VLOOKUP(E211,'Transform table'!A:B,2,0)</f>
        <v>0</v>
      </c>
      <c r="Y211" t="e">
        <f>VLOOKUP(F211,'Transform table'!A:B,2,0)</f>
        <v>#N/A</v>
      </c>
      <c r="Z211" t="e">
        <f>C211&amp;X211&amp;Y211</f>
        <v>#N/A</v>
      </c>
      <c r="AA211" t="e">
        <f>VLOOKUP($Z211,'oddspedia-matches'!$A:$AD,AA$2,0)</f>
        <v>#N/A</v>
      </c>
      <c r="AB211" t="e">
        <f>VLOOKUP($Z211,'oddspedia-matches'!$A:$AD,AB$2,0)</f>
        <v>#N/A</v>
      </c>
      <c r="AC211" t="e">
        <f>VLOOKUP($Z211,'oddspedia-matches'!$A:$AD,AC$2,0)</f>
        <v>#N/A</v>
      </c>
      <c r="AD211" t="e">
        <f>VLOOKUP($Z211,'oddspedia-matches'!$A:$AD,AD$2,0)</f>
        <v>#N/A</v>
      </c>
      <c r="AE211" t="e">
        <f>VLOOKUP($Z211,'oddspedia-matches'!$A:$AD,AE$2,0)</f>
        <v>#N/A</v>
      </c>
      <c r="AF211" t="e">
        <f>VLOOKUP($Z211,'oddspedia-matches'!$A:$AD,AF$2,0)</f>
        <v>#N/A</v>
      </c>
      <c r="AG211" t="e">
        <f>VLOOKUP($Z211,'oddspedia-matches'!$A:$AD,AG$2,0)</f>
        <v>#N/A</v>
      </c>
      <c r="AH211" t="e">
        <f>VLOOKUP($Z211,'oddspedia-matches'!$A:$AD,AH$2,0)</f>
        <v>#N/A</v>
      </c>
      <c r="AI211" t="e">
        <f>VLOOKUP($Z211,'oddspedia-matches'!$A:$AD,AI$2,0)</f>
        <v>#N/A</v>
      </c>
      <c r="AJ211" t="e">
        <f>VLOOKUP($Z211,'oddspedia-matches'!$A:$AD,AJ$2,0)</f>
        <v>#N/A</v>
      </c>
      <c r="AK211" t="e">
        <f>VLOOKUP($Z211,'oddspedia-matches'!$A:$AD,AK$2,0)</f>
        <v>#N/A</v>
      </c>
      <c r="AL211" t="e">
        <f>VLOOKUP($Z211,'oddspedia-matches'!$A:$AD,AL$2,0)</f>
        <v>#N/A</v>
      </c>
      <c r="AM211" t="e">
        <f>VLOOKUP($Z211,'oddspedia-matches'!$A:$AD,AM$2,0)</f>
        <v>#N/A</v>
      </c>
      <c r="AN211" t="e">
        <f>VLOOKUP($Z211,'oddspedia-matches'!$A:$AD,AN$2,0)</f>
        <v>#N/A</v>
      </c>
      <c r="AO211" t="e">
        <f>VLOOKUP($Z211,'oddspedia-matches'!$A:$AD,AO$2,0)</f>
        <v>#N/A</v>
      </c>
      <c r="AP211" t="e">
        <f>VLOOKUP($Z211,'oddspedia-matches'!$A:$AD,AP$2,0)</f>
        <v>#N/A</v>
      </c>
      <c r="AQ211" t="e">
        <f>VLOOKUP($Z211,'oddspedia-matches'!$A:$AD,AQ$2,0)</f>
        <v>#N/A</v>
      </c>
    </row>
    <row r="212" spans="2:43" x14ac:dyDescent="0.2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>
        <f>VLOOKUP(E212,'Transform table'!A:B,2,0)</f>
        <v>0</v>
      </c>
      <c r="Y212" t="e">
        <f>VLOOKUP(F212,'Transform table'!A:B,2,0)</f>
        <v>#N/A</v>
      </c>
      <c r="Z212" t="e">
        <f>C212&amp;X212&amp;Y212</f>
        <v>#N/A</v>
      </c>
      <c r="AA212" t="e">
        <f>VLOOKUP($Z212,'oddspedia-matches'!$A:$AD,AA$2,0)</f>
        <v>#N/A</v>
      </c>
      <c r="AB212" t="e">
        <f>VLOOKUP($Z212,'oddspedia-matches'!$A:$AD,AB$2,0)</f>
        <v>#N/A</v>
      </c>
      <c r="AC212" t="e">
        <f>VLOOKUP($Z212,'oddspedia-matches'!$A:$AD,AC$2,0)</f>
        <v>#N/A</v>
      </c>
      <c r="AD212" t="e">
        <f>VLOOKUP($Z212,'oddspedia-matches'!$A:$AD,AD$2,0)</f>
        <v>#N/A</v>
      </c>
      <c r="AE212" t="e">
        <f>VLOOKUP($Z212,'oddspedia-matches'!$A:$AD,AE$2,0)</f>
        <v>#N/A</v>
      </c>
      <c r="AF212" t="e">
        <f>VLOOKUP($Z212,'oddspedia-matches'!$A:$AD,AF$2,0)</f>
        <v>#N/A</v>
      </c>
      <c r="AG212" t="e">
        <f>VLOOKUP($Z212,'oddspedia-matches'!$A:$AD,AG$2,0)</f>
        <v>#N/A</v>
      </c>
      <c r="AH212" t="e">
        <f>VLOOKUP($Z212,'oddspedia-matches'!$A:$AD,AH$2,0)</f>
        <v>#N/A</v>
      </c>
      <c r="AI212" t="e">
        <f>VLOOKUP($Z212,'oddspedia-matches'!$A:$AD,AI$2,0)</f>
        <v>#N/A</v>
      </c>
      <c r="AJ212" t="e">
        <f>VLOOKUP($Z212,'oddspedia-matches'!$A:$AD,AJ$2,0)</f>
        <v>#N/A</v>
      </c>
      <c r="AK212" t="e">
        <f>VLOOKUP($Z212,'oddspedia-matches'!$A:$AD,AK$2,0)</f>
        <v>#N/A</v>
      </c>
      <c r="AL212" t="e">
        <f>VLOOKUP($Z212,'oddspedia-matches'!$A:$AD,AL$2,0)</f>
        <v>#N/A</v>
      </c>
      <c r="AM212" t="e">
        <f>VLOOKUP($Z212,'oddspedia-matches'!$A:$AD,AM$2,0)</f>
        <v>#N/A</v>
      </c>
      <c r="AN212" t="e">
        <f>VLOOKUP($Z212,'oddspedia-matches'!$A:$AD,AN$2,0)</f>
        <v>#N/A</v>
      </c>
      <c r="AO212" t="e">
        <f>VLOOKUP($Z212,'oddspedia-matches'!$A:$AD,AO$2,0)</f>
        <v>#N/A</v>
      </c>
      <c r="AP212" t="e">
        <f>VLOOKUP($Z212,'oddspedia-matches'!$A:$AD,AP$2,0)</f>
        <v>#N/A</v>
      </c>
      <c r="AQ212" t="e">
        <f>VLOOKUP($Z212,'oddspedia-matches'!$A:$AD,AQ$2,0)</f>
        <v>#N/A</v>
      </c>
    </row>
    <row r="213" spans="2:43" x14ac:dyDescent="0.2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>
        <f>VLOOKUP(E213,'Transform table'!A:B,2,0)</f>
        <v>0</v>
      </c>
      <c r="Y213" t="e">
        <f>VLOOKUP(F213,'Transform table'!A:B,2,0)</f>
        <v>#N/A</v>
      </c>
      <c r="Z213" t="e">
        <f>C213&amp;X213&amp;Y213</f>
        <v>#N/A</v>
      </c>
      <c r="AA213" t="e">
        <f>VLOOKUP($Z213,'oddspedia-matches'!$A:$AD,AA$2,0)</f>
        <v>#N/A</v>
      </c>
      <c r="AB213" t="e">
        <f>VLOOKUP($Z213,'oddspedia-matches'!$A:$AD,AB$2,0)</f>
        <v>#N/A</v>
      </c>
      <c r="AC213" t="e">
        <f>VLOOKUP($Z213,'oddspedia-matches'!$A:$AD,AC$2,0)</f>
        <v>#N/A</v>
      </c>
      <c r="AD213" t="e">
        <f>VLOOKUP($Z213,'oddspedia-matches'!$A:$AD,AD$2,0)</f>
        <v>#N/A</v>
      </c>
      <c r="AE213" t="e">
        <f>VLOOKUP($Z213,'oddspedia-matches'!$A:$AD,AE$2,0)</f>
        <v>#N/A</v>
      </c>
      <c r="AF213" t="e">
        <f>VLOOKUP($Z213,'oddspedia-matches'!$A:$AD,AF$2,0)</f>
        <v>#N/A</v>
      </c>
      <c r="AG213" t="e">
        <f>VLOOKUP($Z213,'oddspedia-matches'!$A:$AD,AG$2,0)</f>
        <v>#N/A</v>
      </c>
      <c r="AH213" t="e">
        <f>VLOOKUP($Z213,'oddspedia-matches'!$A:$AD,AH$2,0)</f>
        <v>#N/A</v>
      </c>
      <c r="AI213" t="e">
        <f>VLOOKUP($Z213,'oddspedia-matches'!$A:$AD,AI$2,0)</f>
        <v>#N/A</v>
      </c>
      <c r="AJ213" t="e">
        <f>VLOOKUP($Z213,'oddspedia-matches'!$A:$AD,AJ$2,0)</f>
        <v>#N/A</v>
      </c>
      <c r="AK213" t="e">
        <f>VLOOKUP($Z213,'oddspedia-matches'!$A:$AD,AK$2,0)</f>
        <v>#N/A</v>
      </c>
      <c r="AL213" t="e">
        <f>VLOOKUP($Z213,'oddspedia-matches'!$A:$AD,AL$2,0)</f>
        <v>#N/A</v>
      </c>
      <c r="AM213" t="e">
        <f>VLOOKUP($Z213,'oddspedia-matches'!$A:$AD,AM$2,0)</f>
        <v>#N/A</v>
      </c>
      <c r="AN213" t="e">
        <f>VLOOKUP($Z213,'oddspedia-matches'!$A:$AD,AN$2,0)</f>
        <v>#N/A</v>
      </c>
      <c r="AO213" t="e">
        <f>VLOOKUP($Z213,'oddspedia-matches'!$A:$AD,AO$2,0)</f>
        <v>#N/A</v>
      </c>
      <c r="AP213" t="e">
        <f>VLOOKUP($Z213,'oddspedia-matches'!$A:$AD,AP$2,0)</f>
        <v>#N/A</v>
      </c>
      <c r="AQ213" t="e">
        <f>VLOOKUP($Z213,'oddspedia-matches'!$A:$AD,AQ$2,0)</f>
        <v>#N/A</v>
      </c>
    </row>
    <row r="214" spans="2:43" x14ac:dyDescent="0.2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>
        <f>VLOOKUP(E214,'Transform table'!A:B,2,0)</f>
        <v>0</v>
      </c>
      <c r="Y214" t="e">
        <f>VLOOKUP(F214,'Transform table'!A:B,2,0)</f>
        <v>#N/A</v>
      </c>
      <c r="Z214" t="e">
        <f>C214&amp;X214&amp;Y214</f>
        <v>#N/A</v>
      </c>
      <c r="AA214" t="e">
        <f>VLOOKUP($Z214,'oddspedia-matches'!$A:$AD,AA$2,0)</f>
        <v>#N/A</v>
      </c>
      <c r="AB214" t="e">
        <f>VLOOKUP($Z214,'oddspedia-matches'!$A:$AD,AB$2,0)</f>
        <v>#N/A</v>
      </c>
      <c r="AC214" t="e">
        <f>VLOOKUP($Z214,'oddspedia-matches'!$A:$AD,AC$2,0)</f>
        <v>#N/A</v>
      </c>
      <c r="AD214" t="e">
        <f>VLOOKUP($Z214,'oddspedia-matches'!$A:$AD,AD$2,0)</f>
        <v>#N/A</v>
      </c>
      <c r="AE214" t="e">
        <f>VLOOKUP($Z214,'oddspedia-matches'!$A:$AD,AE$2,0)</f>
        <v>#N/A</v>
      </c>
      <c r="AF214" t="e">
        <f>VLOOKUP($Z214,'oddspedia-matches'!$A:$AD,AF$2,0)</f>
        <v>#N/A</v>
      </c>
      <c r="AG214" t="e">
        <f>VLOOKUP($Z214,'oddspedia-matches'!$A:$AD,AG$2,0)</f>
        <v>#N/A</v>
      </c>
      <c r="AH214" t="e">
        <f>VLOOKUP($Z214,'oddspedia-matches'!$A:$AD,AH$2,0)</f>
        <v>#N/A</v>
      </c>
      <c r="AI214" t="e">
        <f>VLOOKUP($Z214,'oddspedia-matches'!$A:$AD,AI$2,0)</f>
        <v>#N/A</v>
      </c>
      <c r="AJ214" t="e">
        <f>VLOOKUP($Z214,'oddspedia-matches'!$A:$AD,AJ$2,0)</f>
        <v>#N/A</v>
      </c>
      <c r="AK214" t="e">
        <f>VLOOKUP($Z214,'oddspedia-matches'!$A:$AD,AK$2,0)</f>
        <v>#N/A</v>
      </c>
      <c r="AL214" t="e">
        <f>VLOOKUP($Z214,'oddspedia-matches'!$A:$AD,AL$2,0)</f>
        <v>#N/A</v>
      </c>
      <c r="AM214" t="e">
        <f>VLOOKUP($Z214,'oddspedia-matches'!$A:$AD,AM$2,0)</f>
        <v>#N/A</v>
      </c>
      <c r="AN214" t="e">
        <f>VLOOKUP($Z214,'oddspedia-matches'!$A:$AD,AN$2,0)</f>
        <v>#N/A</v>
      </c>
      <c r="AO214" t="e">
        <f>VLOOKUP($Z214,'oddspedia-matches'!$A:$AD,AO$2,0)</f>
        <v>#N/A</v>
      </c>
      <c r="AP214" t="e">
        <f>VLOOKUP($Z214,'oddspedia-matches'!$A:$AD,AP$2,0)</f>
        <v>#N/A</v>
      </c>
      <c r="AQ214" t="e">
        <f>VLOOKUP($Z214,'oddspedia-matches'!$A:$AD,AQ$2,0)</f>
        <v>#N/A</v>
      </c>
    </row>
    <row r="215" spans="2:43" x14ac:dyDescent="0.2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>
        <f>VLOOKUP(E215,'Transform table'!A:B,2,0)</f>
        <v>0</v>
      </c>
      <c r="Y215" t="e">
        <f>VLOOKUP(F215,'Transform table'!A:B,2,0)</f>
        <v>#N/A</v>
      </c>
      <c r="Z215" t="e">
        <f>C215&amp;X215&amp;Y215</f>
        <v>#N/A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x14ac:dyDescent="0.2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e">
        <f>VLOOKUP(F216,'Transform table'!A:B,2,0)</f>
        <v>#N/A</v>
      </c>
      <c r="Z216" t="e">
        <f>C216&amp;X216&amp;Y216</f>
        <v>#N/A</v>
      </c>
      <c r="AA216" t="e">
        <f>VLOOKUP($Z216,'oddspedia-matches'!$A:$AD,AA$2,0)</f>
        <v>#N/A</v>
      </c>
      <c r="AB216" t="e">
        <f>VLOOKUP($Z216,'oddspedia-matches'!$A:$AD,AB$2,0)</f>
        <v>#N/A</v>
      </c>
      <c r="AC216" t="e">
        <f>VLOOKUP($Z216,'oddspedia-matches'!$A:$AD,AC$2,0)</f>
        <v>#N/A</v>
      </c>
      <c r="AD216" t="e">
        <f>VLOOKUP($Z216,'oddspedia-matches'!$A:$AD,AD$2,0)</f>
        <v>#N/A</v>
      </c>
      <c r="AE216" t="e">
        <f>VLOOKUP($Z216,'oddspedia-matches'!$A:$AD,AE$2,0)</f>
        <v>#N/A</v>
      </c>
      <c r="AF216" t="e">
        <f>VLOOKUP($Z216,'oddspedia-matches'!$A:$AD,AF$2,0)</f>
        <v>#N/A</v>
      </c>
      <c r="AG216" t="e">
        <f>VLOOKUP($Z216,'oddspedia-matches'!$A:$AD,AG$2,0)</f>
        <v>#N/A</v>
      </c>
      <c r="AH216" t="e">
        <f>VLOOKUP($Z216,'oddspedia-matches'!$A:$AD,AH$2,0)</f>
        <v>#N/A</v>
      </c>
      <c r="AI216" t="e">
        <f>VLOOKUP($Z216,'oddspedia-matches'!$A:$AD,AI$2,0)</f>
        <v>#N/A</v>
      </c>
      <c r="AJ216" t="e">
        <f>VLOOKUP($Z216,'oddspedia-matches'!$A:$AD,AJ$2,0)</f>
        <v>#N/A</v>
      </c>
      <c r="AK216" t="e">
        <f>VLOOKUP($Z216,'oddspedia-matches'!$A:$AD,AK$2,0)</f>
        <v>#N/A</v>
      </c>
      <c r="AL216" t="e">
        <f>VLOOKUP($Z216,'oddspedia-matches'!$A:$AD,AL$2,0)</f>
        <v>#N/A</v>
      </c>
      <c r="AM216" t="e">
        <f>VLOOKUP($Z216,'oddspedia-matches'!$A:$AD,AM$2,0)</f>
        <v>#N/A</v>
      </c>
      <c r="AN216" t="e">
        <f>VLOOKUP($Z216,'oddspedia-matches'!$A:$AD,AN$2,0)</f>
        <v>#N/A</v>
      </c>
      <c r="AO216" t="e">
        <f>VLOOKUP($Z216,'oddspedia-matches'!$A:$AD,AO$2,0)</f>
        <v>#N/A</v>
      </c>
      <c r="AP216" t="e">
        <f>VLOOKUP($Z216,'oddspedia-matches'!$A:$AD,AP$2,0)</f>
        <v>#N/A</v>
      </c>
      <c r="AQ216" t="e">
        <f>VLOOKUP($Z216,'oddspedia-matches'!$A:$AD,AQ$2,0)</f>
        <v>#N/A</v>
      </c>
    </row>
    <row r="217" spans="2:43" x14ac:dyDescent="0.2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>
        <f>VLOOKUP(E217,'Transform table'!A:B,2,0)</f>
        <v>0</v>
      </c>
      <c r="Y217" t="e">
        <f>VLOOKUP(F217,'Transform table'!A:B,2,0)</f>
        <v>#N/A</v>
      </c>
      <c r="Z217" t="e">
        <f>C217&amp;X217&amp;Y217</f>
        <v>#N/A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x14ac:dyDescent="0.2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e">
        <f>VLOOKUP(F218,'Transform table'!A:B,2,0)</f>
        <v>#N/A</v>
      </c>
      <c r="Z218" t="e">
        <f>C218&amp;X218&amp;Y218</f>
        <v>#N/A</v>
      </c>
      <c r="AA218" t="e">
        <f>VLOOKUP($Z218,'oddspedia-matches'!$A:$AD,AA$2,0)</f>
        <v>#N/A</v>
      </c>
      <c r="AB218" t="e">
        <f>VLOOKUP($Z218,'oddspedia-matches'!$A:$AD,AB$2,0)</f>
        <v>#N/A</v>
      </c>
      <c r="AC218" t="e">
        <f>VLOOKUP($Z218,'oddspedia-matches'!$A:$AD,AC$2,0)</f>
        <v>#N/A</v>
      </c>
      <c r="AD218" t="e">
        <f>VLOOKUP($Z218,'oddspedia-matches'!$A:$AD,AD$2,0)</f>
        <v>#N/A</v>
      </c>
      <c r="AE218" t="e">
        <f>VLOOKUP($Z218,'oddspedia-matches'!$A:$AD,AE$2,0)</f>
        <v>#N/A</v>
      </c>
      <c r="AF218" t="e">
        <f>VLOOKUP($Z218,'oddspedia-matches'!$A:$AD,AF$2,0)</f>
        <v>#N/A</v>
      </c>
      <c r="AG218" t="e">
        <f>VLOOKUP($Z218,'oddspedia-matches'!$A:$AD,AG$2,0)</f>
        <v>#N/A</v>
      </c>
      <c r="AH218" t="e">
        <f>VLOOKUP($Z218,'oddspedia-matches'!$A:$AD,AH$2,0)</f>
        <v>#N/A</v>
      </c>
      <c r="AI218" t="e">
        <f>VLOOKUP($Z218,'oddspedia-matches'!$A:$AD,AI$2,0)</f>
        <v>#N/A</v>
      </c>
      <c r="AJ218" t="e">
        <f>VLOOKUP($Z218,'oddspedia-matches'!$A:$AD,AJ$2,0)</f>
        <v>#N/A</v>
      </c>
      <c r="AK218" t="e">
        <f>VLOOKUP($Z218,'oddspedia-matches'!$A:$AD,AK$2,0)</f>
        <v>#N/A</v>
      </c>
      <c r="AL218" t="e">
        <f>VLOOKUP($Z218,'oddspedia-matches'!$A:$AD,AL$2,0)</f>
        <v>#N/A</v>
      </c>
      <c r="AM218" t="e">
        <f>VLOOKUP($Z218,'oddspedia-matches'!$A:$AD,AM$2,0)</f>
        <v>#N/A</v>
      </c>
      <c r="AN218" t="e">
        <f>VLOOKUP($Z218,'oddspedia-matches'!$A:$AD,AN$2,0)</f>
        <v>#N/A</v>
      </c>
      <c r="AO218" t="e">
        <f>VLOOKUP($Z218,'oddspedia-matches'!$A:$AD,AO$2,0)</f>
        <v>#N/A</v>
      </c>
      <c r="AP218" t="e">
        <f>VLOOKUP($Z218,'oddspedia-matches'!$A:$AD,AP$2,0)</f>
        <v>#N/A</v>
      </c>
      <c r="AQ218" t="e">
        <f>VLOOKUP($Z218,'oddspedia-matches'!$A:$AD,AQ$2,0)</f>
        <v>#N/A</v>
      </c>
    </row>
    <row r="219" spans="2:43" x14ac:dyDescent="0.2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Cannes</v>
      </c>
      <c r="Y219" t="e">
        <f>VLOOKUP(F219,'Transform table'!A:B,2,0)</f>
        <v>#N/A</v>
      </c>
      <c r="Z219" t="e">
        <f>C219&amp;X219&amp;Y219</f>
        <v>#N/A</v>
      </c>
      <c r="AA219" t="e">
        <f>VLOOKUP($Z219,'oddspedia-matches'!$A:$AD,AA$2,0)</f>
        <v>#N/A</v>
      </c>
      <c r="AB219" t="e">
        <f>VLOOKUP($Z219,'oddspedia-matches'!$A:$AD,AB$2,0)</f>
        <v>#N/A</v>
      </c>
      <c r="AC219" t="e">
        <f>VLOOKUP($Z219,'oddspedia-matches'!$A:$AD,AC$2,0)</f>
        <v>#N/A</v>
      </c>
      <c r="AD219" t="e">
        <f>VLOOKUP($Z219,'oddspedia-matches'!$A:$AD,AD$2,0)</f>
        <v>#N/A</v>
      </c>
      <c r="AE219" t="e">
        <f>VLOOKUP($Z219,'oddspedia-matches'!$A:$AD,AE$2,0)</f>
        <v>#N/A</v>
      </c>
      <c r="AF219" t="e">
        <f>VLOOKUP($Z219,'oddspedia-matches'!$A:$AD,AF$2,0)</f>
        <v>#N/A</v>
      </c>
      <c r="AG219" t="e">
        <f>VLOOKUP($Z219,'oddspedia-matches'!$A:$AD,AG$2,0)</f>
        <v>#N/A</v>
      </c>
      <c r="AH219" t="e">
        <f>VLOOKUP($Z219,'oddspedia-matches'!$A:$AD,AH$2,0)</f>
        <v>#N/A</v>
      </c>
      <c r="AI219" t="e">
        <f>VLOOKUP($Z219,'oddspedia-matches'!$A:$AD,AI$2,0)</f>
        <v>#N/A</v>
      </c>
      <c r="AJ219" t="e">
        <f>VLOOKUP($Z219,'oddspedia-matches'!$A:$AD,AJ$2,0)</f>
        <v>#N/A</v>
      </c>
      <c r="AK219" t="e">
        <f>VLOOKUP($Z219,'oddspedia-matches'!$A:$AD,AK$2,0)</f>
        <v>#N/A</v>
      </c>
      <c r="AL219" t="e">
        <f>VLOOKUP($Z219,'oddspedia-matches'!$A:$AD,AL$2,0)</f>
        <v>#N/A</v>
      </c>
      <c r="AM219" t="e">
        <f>VLOOKUP($Z219,'oddspedia-matches'!$A:$AD,AM$2,0)</f>
        <v>#N/A</v>
      </c>
      <c r="AN219" t="e">
        <f>VLOOKUP($Z219,'oddspedia-matches'!$A:$AD,AN$2,0)</f>
        <v>#N/A</v>
      </c>
      <c r="AO219" t="e">
        <f>VLOOKUP($Z219,'oddspedia-matches'!$A:$AD,AO$2,0)</f>
        <v>#N/A</v>
      </c>
      <c r="AP219" t="e">
        <f>VLOOKUP($Z219,'oddspedia-matches'!$A:$AD,AP$2,0)</f>
        <v>#N/A</v>
      </c>
      <c r="AQ219" t="e">
        <f>VLOOKUP($Z219,'oddspedia-matches'!$A:$AD,AQ$2,0)</f>
        <v>#N/A</v>
      </c>
    </row>
    <row r="220" spans="2:43" x14ac:dyDescent="0.2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>
        <f>VLOOKUP(E220,'Transform table'!A:B,2,0)</f>
        <v>0</v>
      </c>
      <c r="Y220" t="e">
        <f>VLOOKUP(F220,'Transform table'!A:B,2,0)</f>
        <v>#N/A</v>
      </c>
      <c r="Z220" t="e">
        <f>C220&amp;X220&amp;Y220</f>
        <v>#N/A</v>
      </c>
      <c r="AA220" t="e">
        <f>VLOOKUP($Z220,'oddspedia-matches'!$A:$AD,AA$2,0)</f>
        <v>#N/A</v>
      </c>
      <c r="AB220" t="e">
        <f>VLOOKUP($Z220,'oddspedia-matches'!$A:$AD,AB$2,0)</f>
        <v>#N/A</v>
      </c>
      <c r="AC220" t="e">
        <f>VLOOKUP($Z220,'oddspedia-matches'!$A:$AD,AC$2,0)</f>
        <v>#N/A</v>
      </c>
      <c r="AD220" t="e">
        <f>VLOOKUP($Z220,'oddspedia-matches'!$A:$AD,AD$2,0)</f>
        <v>#N/A</v>
      </c>
      <c r="AE220" t="e">
        <f>VLOOKUP($Z220,'oddspedia-matches'!$A:$AD,AE$2,0)</f>
        <v>#N/A</v>
      </c>
      <c r="AF220" t="e">
        <f>VLOOKUP($Z220,'oddspedia-matches'!$A:$AD,AF$2,0)</f>
        <v>#N/A</v>
      </c>
      <c r="AG220" t="e">
        <f>VLOOKUP($Z220,'oddspedia-matches'!$A:$AD,AG$2,0)</f>
        <v>#N/A</v>
      </c>
      <c r="AH220" t="e">
        <f>VLOOKUP($Z220,'oddspedia-matches'!$A:$AD,AH$2,0)</f>
        <v>#N/A</v>
      </c>
      <c r="AI220" t="e">
        <f>VLOOKUP($Z220,'oddspedia-matches'!$A:$AD,AI$2,0)</f>
        <v>#N/A</v>
      </c>
      <c r="AJ220" t="e">
        <f>VLOOKUP($Z220,'oddspedia-matches'!$A:$AD,AJ$2,0)</f>
        <v>#N/A</v>
      </c>
      <c r="AK220" t="e">
        <f>VLOOKUP($Z220,'oddspedia-matches'!$A:$AD,AK$2,0)</f>
        <v>#N/A</v>
      </c>
      <c r="AL220" t="e">
        <f>VLOOKUP($Z220,'oddspedia-matches'!$A:$AD,AL$2,0)</f>
        <v>#N/A</v>
      </c>
      <c r="AM220" t="e">
        <f>VLOOKUP($Z220,'oddspedia-matches'!$A:$AD,AM$2,0)</f>
        <v>#N/A</v>
      </c>
      <c r="AN220" t="e">
        <f>VLOOKUP($Z220,'oddspedia-matches'!$A:$AD,AN$2,0)</f>
        <v>#N/A</v>
      </c>
      <c r="AO220" t="e">
        <f>VLOOKUP($Z220,'oddspedia-matches'!$A:$AD,AO$2,0)</f>
        <v>#N/A</v>
      </c>
      <c r="AP220" t="e">
        <f>VLOOKUP($Z220,'oddspedia-matches'!$A:$AD,AP$2,0)</f>
        <v>#N/A</v>
      </c>
      <c r="AQ220" t="e">
        <f>VLOOKUP($Z220,'oddspedia-matches'!$A:$AD,AQ$2,0)</f>
        <v>#N/A</v>
      </c>
    </row>
    <row r="221" spans="2:43" x14ac:dyDescent="0.2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tr">
        <f>VLOOKUP(E221,'Transform table'!A:B,2,0)</f>
        <v>Fenerbahce</v>
      </c>
      <c r="Y221" t="e">
        <f>VLOOKUP(F221,'Transform table'!A:B,2,0)</f>
        <v>#N/A</v>
      </c>
      <c r="Z221" t="e">
        <f>C221&amp;X221&amp;Y221</f>
        <v>#N/A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x14ac:dyDescent="0.2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>
        <f>VLOOKUP(E222,'Transform table'!A:B,2,0)</f>
        <v>0</v>
      </c>
      <c r="Y222" t="e">
        <f>VLOOKUP(F222,'Transform table'!A:B,2,0)</f>
        <v>#N/A</v>
      </c>
      <c r="Z222" t="e">
        <f>C222&amp;X222&amp;Y222</f>
        <v>#N/A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x14ac:dyDescent="0.2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str">
        <f>VLOOKUP(E223,'Transform table'!A:B,2,0)</f>
        <v>Juventud Unida San Miguel</v>
      </c>
      <c r="Y223" t="e">
        <f>VLOOKUP(F223,'Transform table'!A:B,2,0)</f>
        <v>#N/A</v>
      </c>
      <c r="Z223" t="e">
        <f>C223&amp;X223&amp;Y223</f>
        <v>#N/A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x14ac:dyDescent="0.2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e">
        <f>VLOOKUP(F224,'Transform table'!A:B,2,0)</f>
        <v>#N/A</v>
      </c>
      <c r="Z224" t="e">
        <f>C224&amp;X224&amp;Y224</f>
        <v>#N/A</v>
      </c>
      <c r="AA224" t="e">
        <f>VLOOKUP($Z224,'oddspedia-matches'!$A:$AD,AA$2,0)</f>
        <v>#N/A</v>
      </c>
      <c r="AB224" t="e">
        <f>VLOOKUP($Z224,'oddspedia-matches'!$A:$AD,AB$2,0)</f>
        <v>#N/A</v>
      </c>
      <c r="AC224" t="e">
        <f>VLOOKUP($Z224,'oddspedia-matches'!$A:$AD,AC$2,0)</f>
        <v>#N/A</v>
      </c>
      <c r="AD224" t="e">
        <f>VLOOKUP($Z224,'oddspedia-matches'!$A:$AD,AD$2,0)</f>
        <v>#N/A</v>
      </c>
      <c r="AE224" t="e">
        <f>VLOOKUP($Z224,'oddspedia-matches'!$A:$AD,AE$2,0)</f>
        <v>#N/A</v>
      </c>
      <c r="AF224" t="e">
        <f>VLOOKUP($Z224,'oddspedia-matches'!$A:$AD,AF$2,0)</f>
        <v>#N/A</v>
      </c>
      <c r="AG224" t="e">
        <f>VLOOKUP($Z224,'oddspedia-matches'!$A:$AD,AG$2,0)</f>
        <v>#N/A</v>
      </c>
      <c r="AH224" t="e">
        <f>VLOOKUP($Z224,'oddspedia-matches'!$A:$AD,AH$2,0)</f>
        <v>#N/A</v>
      </c>
      <c r="AI224" t="e">
        <f>VLOOKUP($Z224,'oddspedia-matches'!$A:$AD,AI$2,0)</f>
        <v>#N/A</v>
      </c>
      <c r="AJ224" t="e">
        <f>VLOOKUP($Z224,'oddspedia-matches'!$A:$AD,AJ$2,0)</f>
        <v>#N/A</v>
      </c>
      <c r="AK224" t="e">
        <f>VLOOKUP($Z224,'oddspedia-matches'!$A:$AD,AK$2,0)</f>
        <v>#N/A</v>
      </c>
      <c r="AL224" t="e">
        <f>VLOOKUP($Z224,'oddspedia-matches'!$A:$AD,AL$2,0)</f>
        <v>#N/A</v>
      </c>
      <c r="AM224" t="e">
        <f>VLOOKUP($Z224,'oddspedia-matches'!$A:$AD,AM$2,0)</f>
        <v>#N/A</v>
      </c>
      <c r="AN224" t="e">
        <f>VLOOKUP($Z224,'oddspedia-matches'!$A:$AD,AN$2,0)</f>
        <v>#N/A</v>
      </c>
      <c r="AO224" t="e">
        <f>VLOOKUP($Z224,'oddspedia-matches'!$A:$AD,AO$2,0)</f>
        <v>#N/A</v>
      </c>
      <c r="AP224" t="e">
        <f>VLOOKUP($Z224,'oddspedia-matches'!$A:$AD,AP$2,0)</f>
        <v>#N/A</v>
      </c>
      <c r="AQ224" t="e">
        <f>VLOOKUP($Z224,'oddspedia-matches'!$A:$AD,AQ$2,0)</f>
        <v>#N/A</v>
      </c>
    </row>
    <row r="225" spans="2:43" x14ac:dyDescent="0.2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Lugano</v>
      </c>
      <c r="Y225" t="e">
        <f>VLOOKUP(F225,'Transform table'!A:B,2,0)</f>
        <v>#N/A</v>
      </c>
      <c r="Z225" t="e">
        <f>C225&amp;X225&amp;Y225</f>
        <v>#N/A</v>
      </c>
      <c r="AA225" t="e">
        <f>VLOOKUP($Z225,'oddspedia-matches'!$A:$AD,AA$2,0)</f>
        <v>#N/A</v>
      </c>
      <c r="AB225" t="e">
        <f>VLOOKUP($Z225,'oddspedia-matches'!$A:$AD,AB$2,0)</f>
        <v>#N/A</v>
      </c>
      <c r="AC225" t="e">
        <f>VLOOKUP($Z225,'oddspedia-matches'!$A:$AD,AC$2,0)</f>
        <v>#N/A</v>
      </c>
      <c r="AD225" t="e">
        <f>VLOOKUP($Z225,'oddspedia-matches'!$A:$AD,AD$2,0)</f>
        <v>#N/A</v>
      </c>
      <c r="AE225" t="e">
        <f>VLOOKUP($Z225,'oddspedia-matches'!$A:$AD,AE$2,0)</f>
        <v>#N/A</v>
      </c>
      <c r="AF225" t="e">
        <f>VLOOKUP($Z225,'oddspedia-matches'!$A:$AD,AF$2,0)</f>
        <v>#N/A</v>
      </c>
      <c r="AG225" t="e">
        <f>VLOOKUP($Z225,'oddspedia-matches'!$A:$AD,AG$2,0)</f>
        <v>#N/A</v>
      </c>
      <c r="AH225" t="e">
        <f>VLOOKUP($Z225,'oddspedia-matches'!$A:$AD,AH$2,0)</f>
        <v>#N/A</v>
      </c>
      <c r="AI225" t="e">
        <f>VLOOKUP($Z225,'oddspedia-matches'!$A:$AD,AI$2,0)</f>
        <v>#N/A</v>
      </c>
      <c r="AJ225" t="e">
        <f>VLOOKUP($Z225,'oddspedia-matches'!$A:$AD,AJ$2,0)</f>
        <v>#N/A</v>
      </c>
      <c r="AK225" t="e">
        <f>VLOOKUP($Z225,'oddspedia-matches'!$A:$AD,AK$2,0)</f>
        <v>#N/A</v>
      </c>
      <c r="AL225" t="e">
        <f>VLOOKUP($Z225,'oddspedia-matches'!$A:$AD,AL$2,0)</f>
        <v>#N/A</v>
      </c>
      <c r="AM225" t="e">
        <f>VLOOKUP($Z225,'oddspedia-matches'!$A:$AD,AM$2,0)</f>
        <v>#N/A</v>
      </c>
      <c r="AN225" t="e">
        <f>VLOOKUP($Z225,'oddspedia-matches'!$A:$AD,AN$2,0)</f>
        <v>#N/A</v>
      </c>
      <c r="AO225" t="e">
        <f>VLOOKUP($Z225,'oddspedia-matches'!$A:$AD,AO$2,0)</f>
        <v>#N/A</v>
      </c>
      <c r="AP225" t="e">
        <f>VLOOKUP($Z225,'oddspedia-matches'!$A:$AD,AP$2,0)</f>
        <v>#N/A</v>
      </c>
      <c r="AQ225" t="e">
        <f>VLOOKUP($Z225,'oddspedia-matches'!$A:$AD,AQ$2,0)</f>
        <v>#N/A</v>
      </c>
    </row>
    <row r="226" spans="2:43" x14ac:dyDescent="0.2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>
        <f>VLOOKUP(E226,'Transform table'!A:B,2,0)</f>
        <v>0</v>
      </c>
      <c r="Y226" t="e">
        <f>VLOOKUP(F226,'Transform table'!A:B,2,0)</f>
        <v>#N/A</v>
      </c>
      <c r="Z226" t="e">
        <f>C226&amp;X226&amp;Y226</f>
        <v>#N/A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x14ac:dyDescent="0.2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str">
        <f>VLOOKUP(E227,'Transform table'!A:B,2,0)</f>
        <v>Sacachispas</v>
      </c>
      <c r="Y227" t="e">
        <f>VLOOKUP(F227,'Transform table'!A:B,2,0)</f>
        <v>#N/A</v>
      </c>
      <c r="Z227" t="e">
        <f>C227&amp;X227&amp;Y227</f>
        <v>#N/A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x14ac:dyDescent="0.2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>
        <f>VLOOKUP(E228,'Transform table'!A:B,2,0)</f>
        <v>0</v>
      </c>
      <c r="Y228" t="e">
        <f>VLOOKUP(F228,'Transform table'!A:B,2,0)</f>
        <v>#N/A</v>
      </c>
      <c r="Z228" t="e">
        <f>C228&amp;X228&amp;Y228</f>
        <v>#N/A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x14ac:dyDescent="0.2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Hapoel Beer Sheva</v>
      </c>
      <c r="Y229" t="e">
        <f>VLOOKUP(F229,'Transform table'!A:B,2,0)</f>
        <v>#N/A</v>
      </c>
      <c r="Z229" t="e">
        <f>C229&amp;X229&amp;Y229</f>
        <v>#N/A</v>
      </c>
      <c r="AA229" t="e">
        <f>VLOOKUP($Z229,'oddspedia-matches'!$A:$AD,AA$2,0)</f>
        <v>#N/A</v>
      </c>
      <c r="AB229" t="e">
        <f>VLOOKUP($Z229,'oddspedia-matches'!$A:$AD,AB$2,0)</f>
        <v>#N/A</v>
      </c>
      <c r="AC229" t="e">
        <f>VLOOKUP($Z229,'oddspedia-matches'!$A:$AD,AC$2,0)</f>
        <v>#N/A</v>
      </c>
      <c r="AD229" t="e">
        <f>VLOOKUP($Z229,'oddspedia-matches'!$A:$AD,AD$2,0)</f>
        <v>#N/A</v>
      </c>
      <c r="AE229" t="e">
        <f>VLOOKUP($Z229,'oddspedia-matches'!$A:$AD,AE$2,0)</f>
        <v>#N/A</v>
      </c>
      <c r="AF229" t="e">
        <f>VLOOKUP($Z229,'oddspedia-matches'!$A:$AD,AF$2,0)</f>
        <v>#N/A</v>
      </c>
      <c r="AG229" t="e">
        <f>VLOOKUP($Z229,'oddspedia-matches'!$A:$AD,AG$2,0)</f>
        <v>#N/A</v>
      </c>
      <c r="AH229" t="e">
        <f>VLOOKUP($Z229,'oddspedia-matches'!$A:$AD,AH$2,0)</f>
        <v>#N/A</v>
      </c>
      <c r="AI229" t="e">
        <f>VLOOKUP($Z229,'oddspedia-matches'!$A:$AD,AI$2,0)</f>
        <v>#N/A</v>
      </c>
      <c r="AJ229" t="e">
        <f>VLOOKUP($Z229,'oddspedia-matches'!$A:$AD,AJ$2,0)</f>
        <v>#N/A</v>
      </c>
      <c r="AK229" t="e">
        <f>VLOOKUP($Z229,'oddspedia-matches'!$A:$AD,AK$2,0)</f>
        <v>#N/A</v>
      </c>
      <c r="AL229" t="e">
        <f>VLOOKUP($Z229,'oddspedia-matches'!$A:$AD,AL$2,0)</f>
        <v>#N/A</v>
      </c>
      <c r="AM229" t="e">
        <f>VLOOKUP($Z229,'oddspedia-matches'!$A:$AD,AM$2,0)</f>
        <v>#N/A</v>
      </c>
      <c r="AN229" t="e">
        <f>VLOOKUP($Z229,'oddspedia-matches'!$A:$AD,AN$2,0)</f>
        <v>#N/A</v>
      </c>
      <c r="AO229" t="e">
        <f>VLOOKUP($Z229,'oddspedia-matches'!$A:$AD,AO$2,0)</f>
        <v>#N/A</v>
      </c>
      <c r="AP229" t="e">
        <f>VLOOKUP($Z229,'oddspedia-matches'!$A:$AD,AP$2,0)</f>
        <v>#N/A</v>
      </c>
      <c r="AQ229" t="e">
        <f>VLOOKUP($Z229,'oddspedia-matches'!$A:$AD,AQ$2,0)</f>
        <v>#N/A</v>
      </c>
    </row>
    <row r="230" spans="2:43" x14ac:dyDescent="0.2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Sporting Cristal</v>
      </c>
      <c r="Y230" t="e">
        <f>VLOOKUP(F230,'Transform table'!A:B,2,0)</f>
        <v>#N/A</v>
      </c>
      <c r="Z230" t="e">
        <f>C230&amp;X230&amp;Y230</f>
        <v>#N/A</v>
      </c>
      <c r="AA230" t="e">
        <f>VLOOKUP($Z230,'oddspedia-matches'!$A:$AD,AA$2,0)</f>
        <v>#N/A</v>
      </c>
      <c r="AB230" t="e">
        <f>VLOOKUP($Z230,'oddspedia-matches'!$A:$AD,AB$2,0)</f>
        <v>#N/A</v>
      </c>
      <c r="AC230" t="e">
        <f>VLOOKUP($Z230,'oddspedia-matches'!$A:$AD,AC$2,0)</f>
        <v>#N/A</v>
      </c>
      <c r="AD230" t="e">
        <f>VLOOKUP($Z230,'oddspedia-matches'!$A:$AD,AD$2,0)</f>
        <v>#N/A</v>
      </c>
      <c r="AE230" t="e">
        <f>VLOOKUP($Z230,'oddspedia-matches'!$A:$AD,AE$2,0)</f>
        <v>#N/A</v>
      </c>
      <c r="AF230" t="e">
        <f>VLOOKUP($Z230,'oddspedia-matches'!$A:$AD,AF$2,0)</f>
        <v>#N/A</v>
      </c>
      <c r="AG230" t="e">
        <f>VLOOKUP($Z230,'oddspedia-matches'!$A:$AD,AG$2,0)</f>
        <v>#N/A</v>
      </c>
      <c r="AH230" t="e">
        <f>VLOOKUP($Z230,'oddspedia-matches'!$A:$AD,AH$2,0)</f>
        <v>#N/A</v>
      </c>
      <c r="AI230" t="e">
        <f>VLOOKUP($Z230,'oddspedia-matches'!$A:$AD,AI$2,0)</f>
        <v>#N/A</v>
      </c>
      <c r="AJ230" t="e">
        <f>VLOOKUP($Z230,'oddspedia-matches'!$A:$AD,AJ$2,0)</f>
        <v>#N/A</v>
      </c>
      <c r="AK230" t="e">
        <f>VLOOKUP($Z230,'oddspedia-matches'!$A:$AD,AK$2,0)</f>
        <v>#N/A</v>
      </c>
      <c r="AL230" t="e">
        <f>VLOOKUP($Z230,'oddspedia-matches'!$A:$AD,AL$2,0)</f>
        <v>#N/A</v>
      </c>
      <c r="AM230" t="e">
        <f>VLOOKUP($Z230,'oddspedia-matches'!$A:$AD,AM$2,0)</f>
        <v>#N/A</v>
      </c>
      <c r="AN230" t="e">
        <f>VLOOKUP($Z230,'oddspedia-matches'!$A:$AD,AN$2,0)</f>
        <v>#N/A</v>
      </c>
      <c r="AO230" t="e">
        <f>VLOOKUP($Z230,'oddspedia-matches'!$A:$AD,AO$2,0)</f>
        <v>#N/A</v>
      </c>
      <c r="AP230" t="e">
        <f>VLOOKUP($Z230,'oddspedia-matches'!$A:$AD,AP$2,0)</f>
        <v>#N/A</v>
      </c>
      <c r="AQ230" t="e">
        <f>VLOOKUP($Z230,'oddspedia-matches'!$A:$AD,AQ$2,0)</f>
        <v>#N/A</v>
      </c>
    </row>
    <row r="231" spans="2:43" x14ac:dyDescent="0.2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Cerro</v>
      </c>
      <c r="Z231" t="str">
        <f>C231&amp;X231&amp;Y231</f>
        <v>25/07/2026Defensor SportingCerro</v>
      </c>
      <c r="AA231" t="e">
        <f>VLOOKUP($Z231,'oddspedia-matches'!$A:$AD,AA$2,0)</f>
        <v>#N/A</v>
      </c>
      <c r="AB231" t="e">
        <f>VLOOKUP($Z231,'oddspedia-matches'!$A:$AD,AB$2,0)</f>
        <v>#N/A</v>
      </c>
      <c r="AC231" t="e">
        <f>VLOOKUP($Z231,'oddspedia-matches'!$A:$AD,AC$2,0)</f>
        <v>#N/A</v>
      </c>
      <c r="AD231" t="e">
        <f>VLOOKUP($Z231,'oddspedia-matches'!$A:$AD,AD$2,0)</f>
        <v>#N/A</v>
      </c>
      <c r="AE231" t="e">
        <f>VLOOKUP($Z231,'oddspedia-matches'!$A:$AD,AE$2,0)</f>
        <v>#N/A</v>
      </c>
      <c r="AF231" t="e">
        <f>VLOOKUP($Z231,'oddspedia-matches'!$A:$AD,AF$2,0)</f>
        <v>#N/A</v>
      </c>
      <c r="AG231" t="e">
        <f>VLOOKUP($Z231,'oddspedia-matches'!$A:$AD,AG$2,0)</f>
        <v>#N/A</v>
      </c>
      <c r="AH231" t="e">
        <f>VLOOKUP($Z231,'oddspedia-matches'!$A:$AD,AH$2,0)</f>
        <v>#N/A</v>
      </c>
      <c r="AI231" t="e">
        <f>VLOOKUP($Z231,'oddspedia-matches'!$A:$AD,AI$2,0)</f>
        <v>#N/A</v>
      </c>
      <c r="AJ231" t="e">
        <f>VLOOKUP($Z231,'oddspedia-matches'!$A:$AD,AJ$2,0)</f>
        <v>#N/A</v>
      </c>
      <c r="AK231" t="e">
        <f>VLOOKUP($Z231,'oddspedia-matches'!$A:$AD,AK$2,0)</f>
        <v>#N/A</v>
      </c>
      <c r="AL231" t="e">
        <f>VLOOKUP($Z231,'oddspedia-matches'!$A:$AD,AL$2,0)</f>
        <v>#N/A</v>
      </c>
      <c r="AM231" t="e">
        <f>VLOOKUP($Z231,'oddspedia-matches'!$A:$AD,AM$2,0)</f>
        <v>#N/A</v>
      </c>
      <c r="AN231" t="e">
        <f>VLOOKUP($Z231,'oddspedia-matches'!$A:$AD,AN$2,0)</f>
        <v>#N/A</v>
      </c>
      <c r="AO231" t="e">
        <f>VLOOKUP($Z231,'oddspedia-matches'!$A:$AD,AO$2,0)</f>
        <v>#N/A</v>
      </c>
      <c r="AP231" t="e">
        <f>VLOOKUP($Z231,'oddspedia-matches'!$A:$AD,AP$2,0)</f>
        <v>#N/A</v>
      </c>
      <c r="AQ231" t="e">
        <f>VLOOKUP($Z231,'oddspedia-matches'!$A:$AD,AQ$2,0)</f>
        <v>#N/A</v>
      </c>
    </row>
    <row r="232" spans="2:43" x14ac:dyDescent="0.2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Loughgall FC</v>
      </c>
      <c r="Y232" t="e">
        <f>VLOOKUP(F232,'Transform table'!A:B,2,0)</f>
        <v>#N/A</v>
      </c>
      <c r="Z232" t="e">
        <f>C232&amp;X232&amp;Y232</f>
        <v>#N/A</v>
      </c>
      <c r="AA232" t="e">
        <f>VLOOKUP($Z232,'oddspedia-matches'!$A:$AD,AA$2,0)</f>
        <v>#N/A</v>
      </c>
      <c r="AB232" t="e">
        <f>VLOOKUP($Z232,'oddspedia-matches'!$A:$AD,AB$2,0)</f>
        <v>#N/A</v>
      </c>
      <c r="AC232" t="e">
        <f>VLOOKUP($Z232,'oddspedia-matches'!$A:$AD,AC$2,0)</f>
        <v>#N/A</v>
      </c>
      <c r="AD232" t="e">
        <f>VLOOKUP($Z232,'oddspedia-matches'!$A:$AD,AD$2,0)</f>
        <v>#N/A</v>
      </c>
      <c r="AE232" t="e">
        <f>VLOOKUP($Z232,'oddspedia-matches'!$A:$AD,AE$2,0)</f>
        <v>#N/A</v>
      </c>
      <c r="AF232" t="e">
        <f>VLOOKUP($Z232,'oddspedia-matches'!$A:$AD,AF$2,0)</f>
        <v>#N/A</v>
      </c>
      <c r="AG232" t="e">
        <f>VLOOKUP($Z232,'oddspedia-matches'!$A:$AD,AG$2,0)</f>
        <v>#N/A</v>
      </c>
      <c r="AH232" t="e">
        <f>VLOOKUP($Z232,'oddspedia-matches'!$A:$AD,AH$2,0)</f>
        <v>#N/A</v>
      </c>
      <c r="AI232" t="e">
        <f>VLOOKUP($Z232,'oddspedia-matches'!$A:$AD,AI$2,0)</f>
        <v>#N/A</v>
      </c>
      <c r="AJ232" t="e">
        <f>VLOOKUP($Z232,'oddspedia-matches'!$A:$AD,AJ$2,0)</f>
        <v>#N/A</v>
      </c>
      <c r="AK232" t="e">
        <f>VLOOKUP($Z232,'oddspedia-matches'!$A:$AD,AK$2,0)</f>
        <v>#N/A</v>
      </c>
      <c r="AL232" t="e">
        <f>VLOOKUP($Z232,'oddspedia-matches'!$A:$AD,AL$2,0)</f>
        <v>#N/A</v>
      </c>
      <c r="AM232" t="e">
        <f>VLOOKUP($Z232,'oddspedia-matches'!$A:$AD,AM$2,0)</f>
        <v>#N/A</v>
      </c>
      <c r="AN232" t="e">
        <f>VLOOKUP($Z232,'oddspedia-matches'!$A:$AD,AN$2,0)</f>
        <v>#N/A</v>
      </c>
      <c r="AO232" t="e">
        <f>VLOOKUP($Z232,'oddspedia-matches'!$A:$AD,AO$2,0)</f>
        <v>#N/A</v>
      </c>
      <c r="AP232" t="e">
        <f>VLOOKUP($Z232,'oddspedia-matches'!$A:$AD,AP$2,0)</f>
        <v>#N/A</v>
      </c>
      <c r="AQ232" t="e">
        <f>VLOOKUP($Z232,'oddspedia-matches'!$A:$AD,AQ$2,0)</f>
        <v>#N/A</v>
      </c>
    </row>
    <row r="233" spans="2:43" x14ac:dyDescent="0.2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Shelbourne</v>
      </c>
      <c r="Y233" t="e">
        <f>VLOOKUP(F233,'Transform table'!A:B,2,0)</f>
        <v>#N/A</v>
      </c>
      <c r="Z233" t="e">
        <f>C233&amp;X233&amp;Y233</f>
        <v>#N/A</v>
      </c>
      <c r="AA233" t="e">
        <f>VLOOKUP($Z233,'oddspedia-matches'!$A:$AD,AA$2,0)</f>
        <v>#N/A</v>
      </c>
      <c r="AB233" t="e">
        <f>VLOOKUP($Z233,'oddspedia-matches'!$A:$AD,AB$2,0)</f>
        <v>#N/A</v>
      </c>
      <c r="AC233" t="e">
        <f>VLOOKUP($Z233,'oddspedia-matches'!$A:$AD,AC$2,0)</f>
        <v>#N/A</v>
      </c>
      <c r="AD233" t="e">
        <f>VLOOKUP($Z233,'oddspedia-matches'!$A:$AD,AD$2,0)</f>
        <v>#N/A</v>
      </c>
      <c r="AE233" t="e">
        <f>VLOOKUP($Z233,'oddspedia-matches'!$A:$AD,AE$2,0)</f>
        <v>#N/A</v>
      </c>
      <c r="AF233" t="e">
        <f>VLOOKUP($Z233,'oddspedia-matches'!$A:$AD,AF$2,0)</f>
        <v>#N/A</v>
      </c>
      <c r="AG233" t="e">
        <f>VLOOKUP($Z233,'oddspedia-matches'!$A:$AD,AG$2,0)</f>
        <v>#N/A</v>
      </c>
      <c r="AH233" t="e">
        <f>VLOOKUP($Z233,'oddspedia-matches'!$A:$AD,AH$2,0)</f>
        <v>#N/A</v>
      </c>
      <c r="AI233" t="e">
        <f>VLOOKUP($Z233,'oddspedia-matches'!$A:$AD,AI$2,0)</f>
        <v>#N/A</v>
      </c>
      <c r="AJ233" t="e">
        <f>VLOOKUP($Z233,'oddspedia-matches'!$A:$AD,AJ$2,0)</f>
        <v>#N/A</v>
      </c>
      <c r="AK233" t="e">
        <f>VLOOKUP($Z233,'oddspedia-matches'!$A:$AD,AK$2,0)</f>
        <v>#N/A</v>
      </c>
      <c r="AL233" t="e">
        <f>VLOOKUP($Z233,'oddspedia-matches'!$A:$AD,AL$2,0)</f>
        <v>#N/A</v>
      </c>
      <c r="AM233" t="e">
        <f>VLOOKUP($Z233,'oddspedia-matches'!$A:$AD,AM$2,0)</f>
        <v>#N/A</v>
      </c>
      <c r="AN233" t="e">
        <f>VLOOKUP($Z233,'oddspedia-matches'!$A:$AD,AN$2,0)</f>
        <v>#N/A</v>
      </c>
      <c r="AO233" t="e">
        <f>VLOOKUP($Z233,'oddspedia-matches'!$A:$AD,AO$2,0)</f>
        <v>#N/A</v>
      </c>
      <c r="AP233" t="e">
        <f>VLOOKUP($Z233,'oddspedia-matches'!$A:$AD,AP$2,0)</f>
        <v>#N/A</v>
      </c>
      <c r="AQ233" t="e">
        <f>VLOOKUP($Z233,'oddspedia-matches'!$A:$AD,AQ$2,0)</f>
        <v>#N/A</v>
      </c>
    </row>
    <row r="234" spans="2:43" x14ac:dyDescent="0.2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Argentino</v>
      </c>
      <c r="Y234">
        <f>VLOOKUP(F234,'Transform table'!A:B,2,0)</f>
        <v>0</v>
      </c>
      <c r="Z234" t="str">
        <f>C234&amp;X234&amp;Y234</f>
        <v>25/07/2026Atletico Argentino0</v>
      </c>
      <c r="AA234" t="e">
        <f>VLOOKUP($Z234,'oddspedia-matches'!$A:$AD,AA$2,0)</f>
        <v>#N/A</v>
      </c>
      <c r="AB234" t="e">
        <f>VLOOKUP($Z234,'oddspedia-matches'!$A:$AD,AB$2,0)</f>
        <v>#N/A</v>
      </c>
      <c r="AC234" t="e">
        <f>VLOOKUP($Z234,'oddspedia-matches'!$A:$AD,AC$2,0)</f>
        <v>#N/A</v>
      </c>
      <c r="AD234" t="e">
        <f>VLOOKUP($Z234,'oddspedia-matches'!$A:$AD,AD$2,0)</f>
        <v>#N/A</v>
      </c>
      <c r="AE234" t="e">
        <f>VLOOKUP($Z234,'oddspedia-matches'!$A:$AD,AE$2,0)</f>
        <v>#N/A</v>
      </c>
      <c r="AF234" t="e">
        <f>VLOOKUP($Z234,'oddspedia-matches'!$A:$AD,AF$2,0)</f>
        <v>#N/A</v>
      </c>
      <c r="AG234" t="e">
        <f>VLOOKUP($Z234,'oddspedia-matches'!$A:$AD,AG$2,0)</f>
        <v>#N/A</v>
      </c>
      <c r="AH234" t="e">
        <f>VLOOKUP($Z234,'oddspedia-matches'!$A:$AD,AH$2,0)</f>
        <v>#N/A</v>
      </c>
      <c r="AI234" t="e">
        <f>VLOOKUP($Z234,'oddspedia-matches'!$A:$AD,AI$2,0)</f>
        <v>#N/A</v>
      </c>
      <c r="AJ234" t="e">
        <f>VLOOKUP($Z234,'oddspedia-matches'!$A:$AD,AJ$2,0)</f>
        <v>#N/A</v>
      </c>
      <c r="AK234" t="e">
        <f>VLOOKUP($Z234,'oddspedia-matches'!$A:$AD,AK$2,0)</f>
        <v>#N/A</v>
      </c>
      <c r="AL234" t="e">
        <f>VLOOKUP($Z234,'oddspedia-matches'!$A:$AD,AL$2,0)</f>
        <v>#N/A</v>
      </c>
      <c r="AM234" t="e">
        <f>VLOOKUP($Z234,'oddspedia-matches'!$A:$AD,AM$2,0)</f>
        <v>#N/A</v>
      </c>
      <c r="AN234" t="e">
        <f>VLOOKUP($Z234,'oddspedia-matches'!$A:$AD,AN$2,0)</f>
        <v>#N/A</v>
      </c>
      <c r="AO234" t="e">
        <f>VLOOKUP($Z234,'oddspedia-matches'!$A:$AD,AO$2,0)</f>
        <v>#N/A</v>
      </c>
      <c r="AP234" t="e">
        <f>VLOOKUP($Z234,'oddspedia-matches'!$A:$AD,AP$2,0)</f>
        <v>#N/A</v>
      </c>
      <c r="AQ234" t="e">
        <f>VLOOKUP($Z234,'oddspedia-matches'!$A:$AD,AQ$2,0)</f>
        <v>#N/A</v>
      </c>
    </row>
    <row r="235" spans="2:43" x14ac:dyDescent="0.2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>
        <f>VLOOKUP(E235,'Transform table'!A:B,2,0)</f>
        <v>0</v>
      </c>
      <c r="Y235" t="str">
        <f>VLOOKUP(F235,'Transform table'!A:B,2,0)</f>
        <v>SA Bulo Bulo</v>
      </c>
      <c r="Z235" t="str">
        <f>C235&amp;X235&amp;Y235</f>
        <v>25/07/20260SA Bulo Bulo</v>
      </c>
      <c r="AA235" t="e">
        <f>VLOOKUP($Z235,'oddspedia-matches'!$A:$AD,AA$2,0)</f>
        <v>#N/A</v>
      </c>
      <c r="AB235" t="e">
        <f>VLOOKUP($Z235,'oddspedia-matches'!$A:$AD,AB$2,0)</f>
        <v>#N/A</v>
      </c>
      <c r="AC235" t="e">
        <f>VLOOKUP($Z235,'oddspedia-matches'!$A:$AD,AC$2,0)</f>
        <v>#N/A</v>
      </c>
      <c r="AD235" t="e">
        <f>VLOOKUP($Z235,'oddspedia-matches'!$A:$AD,AD$2,0)</f>
        <v>#N/A</v>
      </c>
      <c r="AE235" t="e">
        <f>VLOOKUP($Z235,'oddspedia-matches'!$A:$AD,AE$2,0)</f>
        <v>#N/A</v>
      </c>
      <c r="AF235" t="e">
        <f>VLOOKUP($Z235,'oddspedia-matches'!$A:$AD,AF$2,0)</f>
        <v>#N/A</v>
      </c>
      <c r="AG235" t="e">
        <f>VLOOKUP($Z235,'oddspedia-matches'!$A:$AD,AG$2,0)</f>
        <v>#N/A</v>
      </c>
      <c r="AH235" t="e">
        <f>VLOOKUP($Z235,'oddspedia-matches'!$A:$AD,AH$2,0)</f>
        <v>#N/A</v>
      </c>
      <c r="AI235" t="e">
        <f>VLOOKUP($Z235,'oddspedia-matches'!$A:$AD,AI$2,0)</f>
        <v>#N/A</v>
      </c>
      <c r="AJ235" t="e">
        <f>VLOOKUP($Z235,'oddspedia-matches'!$A:$AD,AJ$2,0)</f>
        <v>#N/A</v>
      </c>
      <c r="AK235" t="e">
        <f>VLOOKUP($Z235,'oddspedia-matches'!$A:$AD,AK$2,0)</f>
        <v>#N/A</v>
      </c>
      <c r="AL235" t="e">
        <f>VLOOKUP($Z235,'oddspedia-matches'!$A:$AD,AL$2,0)</f>
        <v>#N/A</v>
      </c>
      <c r="AM235" t="e">
        <f>VLOOKUP($Z235,'oddspedia-matches'!$A:$AD,AM$2,0)</f>
        <v>#N/A</v>
      </c>
      <c r="AN235" t="e">
        <f>VLOOKUP($Z235,'oddspedia-matches'!$A:$AD,AN$2,0)</f>
        <v>#N/A</v>
      </c>
      <c r="AO235" t="e">
        <f>VLOOKUP($Z235,'oddspedia-matches'!$A:$AD,AO$2,0)</f>
        <v>#N/A</v>
      </c>
      <c r="AP235" t="e">
        <f>VLOOKUP($Z235,'oddspedia-matches'!$A:$AD,AP$2,0)</f>
        <v>#N/A</v>
      </c>
      <c r="AQ235" t="e">
        <f>VLOOKUP($Z235,'oddspedia-matches'!$A:$AD,AQ$2,0)</f>
        <v>#N/A</v>
      </c>
    </row>
    <row r="236" spans="2:43" x14ac:dyDescent="0.2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>
        <f>VLOOKUP(E236,'Transform table'!A:B,2,0)</f>
        <v>0</v>
      </c>
      <c r="Y236" t="e">
        <f>VLOOKUP(F236,'Transform table'!A:B,2,0)</f>
        <v>#N/A</v>
      </c>
      <c r="Z236" t="e">
        <f>C236&amp;X236&amp;Y236</f>
        <v>#N/A</v>
      </c>
      <c r="AA236" t="e">
        <f>VLOOKUP($Z236,'oddspedia-matches'!$A:$AD,AA$2,0)</f>
        <v>#N/A</v>
      </c>
      <c r="AB236" t="e">
        <f>VLOOKUP($Z236,'oddspedia-matches'!$A:$AD,AB$2,0)</f>
        <v>#N/A</v>
      </c>
      <c r="AC236" t="e">
        <f>VLOOKUP($Z236,'oddspedia-matches'!$A:$AD,AC$2,0)</f>
        <v>#N/A</v>
      </c>
      <c r="AD236" t="e">
        <f>VLOOKUP($Z236,'oddspedia-matches'!$A:$AD,AD$2,0)</f>
        <v>#N/A</v>
      </c>
      <c r="AE236" t="e">
        <f>VLOOKUP($Z236,'oddspedia-matches'!$A:$AD,AE$2,0)</f>
        <v>#N/A</v>
      </c>
      <c r="AF236" t="e">
        <f>VLOOKUP($Z236,'oddspedia-matches'!$A:$AD,AF$2,0)</f>
        <v>#N/A</v>
      </c>
      <c r="AG236" t="e">
        <f>VLOOKUP($Z236,'oddspedia-matches'!$A:$AD,AG$2,0)</f>
        <v>#N/A</v>
      </c>
      <c r="AH236" t="e">
        <f>VLOOKUP($Z236,'oddspedia-matches'!$A:$AD,AH$2,0)</f>
        <v>#N/A</v>
      </c>
      <c r="AI236" t="e">
        <f>VLOOKUP($Z236,'oddspedia-matches'!$A:$AD,AI$2,0)</f>
        <v>#N/A</v>
      </c>
      <c r="AJ236" t="e">
        <f>VLOOKUP($Z236,'oddspedia-matches'!$A:$AD,AJ$2,0)</f>
        <v>#N/A</v>
      </c>
      <c r="AK236" t="e">
        <f>VLOOKUP($Z236,'oddspedia-matches'!$A:$AD,AK$2,0)</f>
        <v>#N/A</v>
      </c>
      <c r="AL236" t="e">
        <f>VLOOKUP($Z236,'oddspedia-matches'!$A:$AD,AL$2,0)</f>
        <v>#N/A</v>
      </c>
      <c r="AM236" t="e">
        <f>VLOOKUP($Z236,'oddspedia-matches'!$A:$AD,AM$2,0)</f>
        <v>#N/A</v>
      </c>
      <c r="AN236" t="e">
        <f>VLOOKUP($Z236,'oddspedia-matches'!$A:$AD,AN$2,0)</f>
        <v>#N/A</v>
      </c>
      <c r="AO236" t="e">
        <f>VLOOKUP($Z236,'oddspedia-matches'!$A:$AD,AO$2,0)</f>
        <v>#N/A</v>
      </c>
      <c r="AP236" t="e">
        <f>VLOOKUP($Z236,'oddspedia-matches'!$A:$AD,AP$2,0)</f>
        <v>#N/A</v>
      </c>
      <c r="AQ236" t="e">
        <f>VLOOKUP($Z236,'oddspedia-matches'!$A:$AD,AQ$2,0)</f>
        <v>#N/A</v>
      </c>
    </row>
    <row r="237" spans="2:43" x14ac:dyDescent="0.2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RJ</v>
      </c>
      <c r="Y237" t="e">
        <f>VLOOKUP(F237,'Transform table'!A:B,2,0)</f>
        <v>#N/A</v>
      </c>
      <c r="Z237" t="e">
        <f>C237&amp;X237&amp;Y237</f>
        <v>#N/A</v>
      </c>
      <c r="AA237" t="e">
        <f>VLOOKUP($Z237,'oddspedia-matches'!$A:$AD,AA$2,0)</f>
        <v>#N/A</v>
      </c>
      <c r="AB237" t="e">
        <f>VLOOKUP($Z237,'oddspedia-matches'!$A:$AD,AB$2,0)</f>
        <v>#N/A</v>
      </c>
      <c r="AC237" t="e">
        <f>VLOOKUP($Z237,'oddspedia-matches'!$A:$AD,AC$2,0)</f>
        <v>#N/A</v>
      </c>
      <c r="AD237" t="e">
        <f>VLOOKUP($Z237,'oddspedia-matches'!$A:$AD,AD$2,0)</f>
        <v>#N/A</v>
      </c>
      <c r="AE237" t="e">
        <f>VLOOKUP($Z237,'oddspedia-matches'!$A:$AD,AE$2,0)</f>
        <v>#N/A</v>
      </c>
      <c r="AF237" t="e">
        <f>VLOOKUP($Z237,'oddspedia-matches'!$A:$AD,AF$2,0)</f>
        <v>#N/A</v>
      </c>
      <c r="AG237" t="e">
        <f>VLOOKUP($Z237,'oddspedia-matches'!$A:$AD,AG$2,0)</f>
        <v>#N/A</v>
      </c>
      <c r="AH237" t="e">
        <f>VLOOKUP($Z237,'oddspedia-matches'!$A:$AD,AH$2,0)</f>
        <v>#N/A</v>
      </c>
      <c r="AI237" t="e">
        <f>VLOOKUP($Z237,'oddspedia-matches'!$A:$AD,AI$2,0)</f>
        <v>#N/A</v>
      </c>
      <c r="AJ237" t="e">
        <f>VLOOKUP($Z237,'oddspedia-matches'!$A:$AD,AJ$2,0)</f>
        <v>#N/A</v>
      </c>
      <c r="AK237" t="e">
        <f>VLOOKUP($Z237,'oddspedia-matches'!$A:$AD,AK$2,0)</f>
        <v>#N/A</v>
      </c>
      <c r="AL237" t="e">
        <f>VLOOKUP($Z237,'oddspedia-matches'!$A:$AD,AL$2,0)</f>
        <v>#N/A</v>
      </c>
      <c r="AM237" t="e">
        <f>VLOOKUP($Z237,'oddspedia-matches'!$A:$AD,AM$2,0)</f>
        <v>#N/A</v>
      </c>
      <c r="AN237" t="e">
        <f>VLOOKUP($Z237,'oddspedia-matches'!$A:$AD,AN$2,0)</f>
        <v>#N/A</v>
      </c>
      <c r="AO237" t="e">
        <f>VLOOKUP($Z237,'oddspedia-matches'!$A:$AD,AO$2,0)</f>
        <v>#N/A</v>
      </c>
      <c r="AP237" t="e">
        <f>VLOOKUP($Z237,'oddspedia-matches'!$A:$AD,AP$2,0)</f>
        <v>#N/A</v>
      </c>
      <c r="AQ237" t="e">
        <f>VLOOKUP($Z237,'oddspedia-matches'!$A:$AD,AQ$2,0)</f>
        <v>#N/A</v>
      </c>
    </row>
    <row r="238" spans="2:43" x14ac:dyDescent="0.2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>
        <f>VLOOKUP(E238,'Transform table'!A:B,2,0)</f>
        <v>0</v>
      </c>
      <c r="Y238" t="e">
        <f>VLOOKUP(F238,'Transform table'!A:B,2,0)</f>
        <v>#N/A</v>
      </c>
      <c r="Z238" t="e">
        <f>C238&amp;X238&amp;Y238</f>
        <v>#N/A</v>
      </c>
      <c r="AA238" t="e">
        <f>VLOOKUP($Z238,'oddspedia-matches'!$A:$AD,AA$2,0)</f>
        <v>#N/A</v>
      </c>
      <c r="AB238" t="e">
        <f>VLOOKUP($Z238,'oddspedia-matches'!$A:$AD,AB$2,0)</f>
        <v>#N/A</v>
      </c>
      <c r="AC238" t="e">
        <f>VLOOKUP($Z238,'oddspedia-matches'!$A:$AD,AC$2,0)</f>
        <v>#N/A</v>
      </c>
      <c r="AD238" t="e">
        <f>VLOOKUP($Z238,'oddspedia-matches'!$A:$AD,AD$2,0)</f>
        <v>#N/A</v>
      </c>
      <c r="AE238" t="e">
        <f>VLOOKUP($Z238,'oddspedia-matches'!$A:$AD,AE$2,0)</f>
        <v>#N/A</v>
      </c>
      <c r="AF238" t="e">
        <f>VLOOKUP($Z238,'oddspedia-matches'!$A:$AD,AF$2,0)</f>
        <v>#N/A</v>
      </c>
      <c r="AG238" t="e">
        <f>VLOOKUP($Z238,'oddspedia-matches'!$A:$AD,AG$2,0)</f>
        <v>#N/A</v>
      </c>
      <c r="AH238" t="e">
        <f>VLOOKUP($Z238,'oddspedia-matches'!$A:$AD,AH$2,0)</f>
        <v>#N/A</v>
      </c>
      <c r="AI238" t="e">
        <f>VLOOKUP($Z238,'oddspedia-matches'!$A:$AD,AI$2,0)</f>
        <v>#N/A</v>
      </c>
      <c r="AJ238" t="e">
        <f>VLOOKUP($Z238,'oddspedia-matches'!$A:$AD,AJ$2,0)</f>
        <v>#N/A</v>
      </c>
      <c r="AK238" t="e">
        <f>VLOOKUP($Z238,'oddspedia-matches'!$A:$AD,AK$2,0)</f>
        <v>#N/A</v>
      </c>
      <c r="AL238" t="e">
        <f>VLOOKUP($Z238,'oddspedia-matches'!$A:$AD,AL$2,0)</f>
        <v>#N/A</v>
      </c>
      <c r="AM238" t="e">
        <f>VLOOKUP($Z238,'oddspedia-matches'!$A:$AD,AM$2,0)</f>
        <v>#N/A</v>
      </c>
      <c r="AN238" t="e">
        <f>VLOOKUP($Z238,'oddspedia-matches'!$A:$AD,AN$2,0)</f>
        <v>#N/A</v>
      </c>
      <c r="AO238" t="e">
        <f>VLOOKUP($Z238,'oddspedia-matches'!$A:$AD,AO$2,0)</f>
        <v>#N/A</v>
      </c>
      <c r="AP238" t="e">
        <f>VLOOKUP($Z238,'oddspedia-matches'!$A:$AD,AP$2,0)</f>
        <v>#N/A</v>
      </c>
      <c r="AQ238" t="e">
        <f>VLOOKUP($Z238,'oddspedia-matches'!$A:$AD,AQ$2,0)</f>
        <v>#N/A</v>
      </c>
    </row>
    <row r="239" spans="2:43" x14ac:dyDescent="0.2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>
        <f>VLOOKUP(E239,'Transform table'!A:B,2,0)</f>
        <v>0</v>
      </c>
      <c r="Y239" t="e">
        <f>VLOOKUP(F239,'Transform table'!A:B,2,0)</f>
        <v>#N/A</v>
      </c>
      <c r="Z239" t="e">
        <f>C239&amp;X239&amp;Y239</f>
        <v>#N/A</v>
      </c>
      <c r="AA239" t="e">
        <f>VLOOKUP($Z239,'oddspedia-matches'!$A:$AD,AA$2,0)</f>
        <v>#N/A</v>
      </c>
      <c r="AB239" t="e">
        <f>VLOOKUP($Z239,'oddspedia-matches'!$A:$AD,AB$2,0)</f>
        <v>#N/A</v>
      </c>
      <c r="AC239" t="e">
        <f>VLOOKUP($Z239,'oddspedia-matches'!$A:$AD,AC$2,0)</f>
        <v>#N/A</v>
      </c>
      <c r="AD239" t="e">
        <f>VLOOKUP($Z239,'oddspedia-matches'!$A:$AD,AD$2,0)</f>
        <v>#N/A</v>
      </c>
      <c r="AE239" t="e">
        <f>VLOOKUP($Z239,'oddspedia-matches'!$A:$AD,AE$2,0)</f>
        <v>#N/A</v>
      </c>
      <c r="AF239" t="e">
        <f>VLOOKUP($Z239,'oddspedia-matches'!$A:$AD,AF$2,0)</f>
        <v>#N/A</v>
      </c>
      <c r="AG239" t="e">
        <f>VLOOKUP($Z239,'oddspedia-matches'!$A:$AD,AG$2,0)</f>
        <v>#N/A</v>
      </c>
      <c r="AH239" t="e">
        <f>VLOOKUP($Z239,'oddspedia-matches'!$A:$AD,AH$2,0)</f>
        <v>#N/A</v>
      </c>
      <c r="AI239" t="e">
        <f>VLOOKUP($Z239,'oddspedia-matches'!$A:$AD,AI$2,0)</f>
        <v>#N/A</v>
      </c>
      <c r="AJ239" t="e">
        <f>VLOOKUP($Z239,'oddspedia-matches'!$A:$AD,AJ$2,0)</f>
        <v>#N/A</v>
      </c>
      <c r="AK239" t="e">
        <f>VLOOKUP($Z239,'oddspedia-matches'!$A:$AD,AK$2,0)</f>
        <v>#N/A</v>
      </c>
      <c r="AL239" t="e">
        <f>VLOOKUP($Z239,'oddspedia-matches'!$A:$AD,AL$2,0)</f>
        <v>#N/A</v>
      </c>
      <c r="AM239" t="e">
        <f>VLOOKUP($Z239,'oddspedia-matches'!$A:$AD,AM$2,0)</f>
        <v>#N/A</v>
      </c>
      <c r="AN239" t="e">
        <f>VLOOKUP($Z239,'oddspedia-matches'!$A:$AD,AN$2,0)</f>
        <v>#N/A</v>
      </c>
      <c r="AO239" t="e">
        <f>VLOOKUP($Z239,'oddspedia-matches'!$A:$AD,AO$2,0)</f>
        <v>#N/A</v>
      </c>
      <c r="AP239" t="e">
        <f>VLOOKUP($Z239,'oddspedia-matches'!$A:$AD,AP$2,0)</f>
        <v>#N/A</v>
      </c>
      <c r="AQ239" t="e">
        <f>VLOOKUP($Z239,'oddspedia-matches'!$A:$AD,AQ$2,0)</f>
        <v>#N/A</v>
      </c>
    </row>
    <row r="240" spans="2:43" x14ac:dyDescent="0.2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>
        <f>VLOOKUP(E240,'Transform table'!A:B,2,0)</f>
        <v>0</v>
      </c>
      <c r="Y240" t="e">
        <f>VLOOKUP(F240,'Transform table'!A:B,2,0)</f>
        <v>#N/A</v>
      </c>
      <c r="Z240" t="e">
        <f>C240&amp;X240&amp;Y240</f>
        <v>#N/A</v>
      </c>
      <c r="AA240" t="e">
        <f>VLOOKUP($Z240,'oddspedia-matches'!$A:$AD,AA$2,0)</f>
        <v>#N/A</v>
      </c>
      <c r="AB240" t="e">
        <f>VLOOKUP($Z240,'oddspedia-matches'!$A:$AD,AB$2,0)</f>
        <v>#N/A</v>
      </c>
      <c r="AC240" t="e">
        <f>VLOOKUP($Z240,'oddspedia-matches'!$A:$AD,AC$2,0)</f>
        <v>#N/A</v>
      </c>
      <c r="AD240" t="e">
        <f>VLOOKUP($Z240,'oddspedia-matches'!$A:$AD,AD$2,0)</f>
        <v>#N/A</v>
      </c>
      <c r="AE240" t="e">
        <f>VLOOKUP($Z240,'oddspedia-matches'!$A:$AD,AE$2,0)</f>
        <v>#N/A</v>
      </c>
      <c r="AF240" t="e">
        <f>VLOOKUP($Z240,'oddspedia-matches'!$A:$AD,AF$2,0)</f>
        <v>#N/A</v>
      </c>
      <c r="AG240" t="e">
        <f>VLOOKUP($Z240,'oddspedia-matches'!$A:$AD,AG$2,0)</f>
        <v>#N/A</v>
      </c>
      <c r="AH240" t="e">
        <f>VLOOKUP($Z240,'oddspedia-matches'!$A:$AD,AH$2,0)</f>
        <v>#N/A</v>
      </c>
      <c r="AI240" t="e">
        <f>VLOOKUP($Z240,'oddspedia-matches'!$A:$AD,AI$2,0)</f>
        <v>#N/A</v>
      </c>
      <c r="AJ240" t="e">
        <f>VLOOKUP($Z240,'oddspedia-matches'!$A:$AD,AJ$2,0)</f>
        <v>#N/A</v>
      </c>
      <c r="AK240" t="e">
        <f>VLOOKUP($Z240,'oddspedia-matches'!$A:$AD,AK$2,0)</f>
        <v>#N/A</v>
      </c>
      <c r="AL240" t="e">
        <f>VLOOKUP($Z240,'oddspedia-matches'!$A:$AD,AL$2,0)</f>
        <v>#N/A</v>
      </c>
      <c r="AM240" t="e">
        <f>VLOOKUP($Z240,'oddspedia-matches'!$A:$AD,AM$2,0)</f>
        <v>#N/A</v>
      </c>
      <c r="AN240" t="e">
        <f>VLOOKUP($Z240,'oddspedia-matches'!$A:$AD,AN$2,0)</f>
        <v>#N/A</v>
      </c>
      <c r="AO240" t="e">
        <f>VLOOKUP($Z240,'oddspedia-matches'!$A:$AD,AO$2,0)</f>
        <v>#N/A</v>
      </c>
      <c r="AP240" t="e">
        <f>VLOOKUP($Z240,'oddspedia-matches'!$A:$AD,AP$2,0)</f>
        <v>#N/A</v>
      </c>
      <c r="AQ240" t="e">
        <f>VLOOKUP($Z240,'oddspedia-matches'!$A:$AD,AQ$2,0)</f>
        <v>#N/A</v>
      </c>
    </row>
    <row r="241" spans="2:43" x14ac:dyDescent="0.2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 Women</v>
      </c>
      <c r="Y241" t="e">
        <f>VLOOKUP(F241,'Transform table'!A:B,2,0)</f>
        <v>#N/A</v>
      </c>
      <c r="Z241" t="e">
        <f>C241&amp;X241&amp;Y241</f>
        <v>#N/A</v>
      </c>
      <c r="AA241" t="e">
        <f>VLOOKUP($Z241,'oddspedia-matches'!$A:$AD,AA$2,0)</f>
        <v>#N/A</v>
      </c>
      <c r="AB241" t="e">
        <f>VLOOKUP($Z241,'oddspedia-matches'!$A:$AD,AB$2,0)</f>
        <v>#N/A</v>
      </c>
      <c r="AC241" t="e">
        <f>VLOOKUP($Z241,'oddspedia-matches'!$A:$AD,AC$2,0)</f>
        <v>#N/A</v>
      </c>
      <c r="AD241" t="e">
        <f>VLOOKUP($Z241,'oddspedia-matches'!$A:$AD,AD$2,0)</f>
        <v>#N/A</v>
      </c>
      <c r="AE241" t="e">
        <f>VLOOKUP($Z241,'oddspedia-matches'!$A:$AD,AE$2,0)</f>
        <v>#N/A</v>
      </c>
      <c r="AF241" t="e">
        <f>VLOOKUP($Z241,'oddspedia-matches'!$A:$AD,AF$2,0)</f>
        <v>#N/A</v>
      </c>
      <c r="AG241" t="e">
        <f>VLOOKUP($Z241,'oddspedia-matches'!$A:$AD,AG$2,0)</f>
        <v>#N/A</v>
      </c>
      <c r="AH241" t="e">
        <f>VLOOKUP($Z241,'oddspedia-matches'!$A:$AD,AH$2,0)</f>
        <v>#N/A</v>
      </c>
      <c r="AI241" t="e">
        <f>VLOOKUP($Z241,'oddspedia-matches'!$A:$AD,AI$2,0)</f>
        <v>#N/A</v>
      </c>
      <c r="AJ241" t="e">
        <f>VLOOKUP($Z241,'oddspedia-matches'!$A:$AD,AJ$2,0)</f>
        <v>#N/A</v>
      </c>
      <c r="AK241" t="e">
        <f>VLOOKUP($Z241,'oddspedia-matches'!$A:$AD,AK$2,0)</f>
        <v>#N/A</v>
      </c>
      <c r="AL241" t="e">
        <f>VLOOKUP($Z241,'oddspedia-matches'!$A:$AD,AL$2,0)</f>
        <v>#N/A</v>
      </c>
      <c r="AM241" t="e">
        <f>VLOOKUP($Z241,'oddspedia-matches'!$A:$AD,AM$2,0)</f>
        <v>#N/A</v>
      </c>
      <c r="AN241" t="e">
        <f>VLOOKUP($Z241,'oddspedia-matches'!$A:$AD,AN$2,0)</f>
        <v>#N/A</v>
      </c>
      <c r="AO241" t="e">
        <f>VLOOKUP($Z241,'oddspedia-matches'!$A:$AD,AO$2,0)</f>
        <v>#N/A</v>
      </c>
      <c r="AP241" t="e">
        <f>VLOOKUP($Z241,'oddspedia-matches'!$A:$AD,AP$2,0)</f>
        <v>#N/A</v>
      </c>
      <c r="AQ241" t="e">
        <f>VLOOKUP($Z241,'oddspedia-matches'!$A:$AD,AQ$2,0)</f>
        <v>#N/A</v>
      </c>
    </row>
    <row r="242" spans="2:43" x14ac:dyDescent="0.2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Colon de Santa Fe</v>
      </c>
      <c r="Z242" t="str">
        <f>C242&amp;X242&amp;Y242</f>
        <v>25/07/2026Club Atletico AcassusoColon de Santa Fe</v>
      </c>
      <c r="AA242" t="e">
        <f>VLOOKUP($Z242,'oddspedia-matches'!$A:$AD,AA$2,0)</f>
        <v>#N/A</v>
      </c>
      <c r="AB242" t="e">
        <f>VLOOKUP($Z242,'oddspedia-matches'!$A:$AD,AB$2,0)</f>
        <v>#N/A</v>
      </c>
      <c r="AC242" t="e">
        <f>VLOOKUP($Z242,'oddspedia-matches'!$A:$AD,AC$2,0)</f>
        <v>#N/A</v>
      </c>
      <c r="AD242" t="e">
        <f>VLOOKUP($Z242,'oddspedia-matches'!$A:$AD,AD$2,0)</f>
        <v>#N/A</v>
      </c>
      <c r="AE242" t="e">
        <f>VLOOKUP($Z242,'oddspedia-matches'!$A:$AD,AE$2,0)</f>
        <v>#N/A</v>
      </c>
      <c r="AF242" t="e">
        <f>VLOOKUP($Z242,'oddspedia-matches'!$A:$AD,AF$2,0)</f>
        <v>#N/A</v>
      </c>
      <c r="AG242" t="e">
        <f>VLOOKUP($Z242,'oddspedia-matches'!$A:$AD,AG$2,0)</f>
        <v>#N/A</v>
      </c>
      <c r="AH242" t="e">
        <f>VLOOKUP($Z242,'oddspedia-matches'!$A:$AD,AH$2,0)</f>
        <v>#N/A</v>
      </c>
      <c r="AI242" t="e">
        <f>VLOOKUP($Z242,'oddspedia-matches'!$A:$AD,AI$2,0)</f>
        <v>#N/A</v>
      </c>
      <c r="AJ242" t="e">
        <f>VLOOKUP($Z242,'oddspedia-matches'!$A:$AD,AJ$2,0)</f>
        <v>#N/A</v>
      </c>
      <c r="AK242" t="e">
        <f>VLOOKUP($Z242,'oddspedia-matches'!$A:$AD,AK$2,0)</f>
        <v>#N/A</v>
      </c>
      <c r="AL242" t="e">
        <f>VLOOKUP($Z242,'oddspedia-matches'!$A:$AD,AL$2,0)</f>
        <v>#N/A</v>
      </c>
      <c r="AM242" t="e">
        <f>VLOOKUP($Z242,'oddspedia-matches'!$A:$AD,AM$2,0)</f>
        <v>#N/A</v>
      </c>
      <c r="AN242" t="e">
        <f>VLOOKUP($Z242,'oddspedia-matches'!$A:$AD,AN$2,0)</f>
        <v>#N/A</v>
      </c>
      <c r="AO242" t="e">
        <f>VLOOKUP($Z242,'oddspedia-matches'!$A:$AD,AO$2,0)</f>
        <v>#N/A</v>
      </c>
      <c r="AP242" t="e">
        <f>VLOOKUP($Z242,'oddspedia-matches'!$A:$AD,AP$2,0)</f>
        <v>#N/A</v>
      </c>
      <c r="AQ242" t="e">
        <f>VLOOKUP($Z242,'oddspedia-matches'!$A:$AD,AQ$2,0)</f>
        <v>#N/A</v>
      </c>
    </row>
    <row r="243" spans="2:43" x14ac:dyDescent="0.2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>C243&amp;X243&amp;Y243</f>
        <v>25/07/2026Club AlmagroFerrocarril Midland</v>
      </c>
      <c r="AA243" t="e">
        <f>VLOOKUP($Z243,'oddspedia-matches'!$A:$AD,AA$2,0)</f>
        <v>#N/A</v>
      </c>
      <c r="AB243" t="e">
        <f>VLOOKUP($Z243,'oddspedia-matches'!$A:$AD,AB$2,0)</f>
        <v>#N/A</v>
      </c>
      <c r="AC243" t="e">
        <f>VLOOKUP($Z243,'oddspedia-matches'!$A:$AD,AC$2,0)</f>
        <v>#N/A</v>
      </c>
      <c r="AD243" t="e">
        <f>VLOOKUP($Z243,'oddspedia-matches'!$A:$AD,AD$2,0)</f>
        <v>#N/A</v>
      </c>
      <c r="AE243" t="e">
        <f>VLOOKUP($Z243,'oddspedia-matches'!$A:$AD,AE$2,0)</f>
        <v>#N/A</v>
      </c>
      <c r="AF243" t="e">
        <f>VLOOKUP($Z243,'oddspedia-matches'!$A:$AD,AF$2,0)</f>
        <v>#N/A</v>
      </c>
      <c r="AG243" t="e">
        <f>VLOOKUP($Z243,'oddspedia-matches'!$A:$AD,AG$2,0)</f>
        <v>#N/A</v>
      </c>
      <c r="AH243" t="e">
        <f>VLOOKUP($Z243,'oddspedia-matches'!$A:$AD,AH$2,0)</f>
        <v>#N/A</v>
      </c>
      <c r="AI243" t="e">
        <f>VLOOKUP($Z243,'oddspedia-matches'!$A:$AD,AI$2,0)</f>
        <v>#N/A</v>
      </c>
      <c r="AJ243" t="e">
        <f>VLOOKUP($Z243,'oddspedia-matches'!$A:$AD,AJ$2,0)</f>
        <v>#N/A</v>
      </c>
      <c r="AK243" t="e">
        <f>VLOOKUP($Z243,'oddspedia-matches'!$A:$AD,AK$2,0)</f>
        <v>#N/A</v>
      </c>
      <c r="AL243" t="e">
        <f>VLOOKUP($Z243,'oddspedia-matches'!$A:$AD,AL$2,0)</f>
        <v>#N/A</v>
      </c>
      <c r="AM243" t="e">
        <f>VLOOKUP($Z243,'oddspedia-matches'!$A:$AD,AM$2,0)</f>
        <v>#N/A</v>
      </c>
      <c r="AN243" t="e">
        <f>VLOOKUP($Z243,'oddspedia-matches'!$A:$AD,AN$2,0)</f>
        <v>#N/A</v>
      </c>
      <c r="AO243" t="e">
        <f>VLOOKUP($Z243,'oddspedia-matches'!$A:$AD,AO$2,0)</f>
        <v>#N/A</v>
      </c>
      <c r="AP243" t="e">
        <f>VLOOKUP($Z243,'oddspedia-matches'!$A:$AD,AP$2,0)</f>
        <v>#N/A</v>
      </c>
      <c r="AQ243" t="e">
        <f>VLOOKUP($Z243,'oddspedia-matches'!$A:$AD,AQ$2,0)</f>
        <v>#N/A</v>
      </c>
    </row>
    <row r="244" spans="2:43" x14ac:dyDescent="0.2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>C244&amp;X244&amp;Y244</f>
        <v>25/07/2026CA AtlantaClub Almagro</v>
      </c>
      <c r="AA244" t="e">
        <f>VLOOKUP($Z244,'oddspedia-matches'!$A:$AD,AA$2,0)</f>
        <v>#N/A</v>
      </c>
      <c r="AB244" t="e">
        <f>VLOOKUP($Z244,'oddspedia-matches'!$A:$AD,AB$2,0)</f>
        <v>#N/A</v>
      </c>
      <c r="AC244" t="e">
        <f>VLOOKUP($Z244,'oddspedia-matches'!$A:$AD,AC$2,0)</f>
        <v>#N/A</v>
      </c>
      <c r="AD244" t="e">
        <f>VLOOKUP($Z244,'oddspedia-matches'!$A:$AD,AD$2,0)</f>
        <v>#N/A</v>
      </c>
      <c r="AE244" t="e">
        <f>VLOOKUP($Z244,'oddspedia-matches'!$A:$AD,AE$2,0)</f>
        <v>#N/A</v>
      </c>
      <c r="AF244" t="e">
        <f>VLOOKUP($Z244,'oddspedia-matches'!$A:$AD,AF$2,0)</f>
        <v>#N/A</v>
      </c>
      <c r="AG244" t="e">
        <f>VLOOKUP($Z244,'oddspedia-matches'!$A:$AD,AG$2,0)</f>
        <v>#N/A</v>
      </c>
      <c r="AH244" t="e">
        <f>VLOOKUP($Z244,'oddspedia-matches'!$A:$AD,AH$2,0)</f>
        <v>#N/A</v>
      </c>
      <c r="AI244" t="e">
        <f>VLOOKUP($Z244,'oddspedia-matches'!$A:$AD,AI$2,0)</f>
        <v>#N/A</v>
      </c>
      <c r="AJ244" t="e">
        <f>VLOOKUP($Z244,'oddspedia-matches'!$A:$AD,AJ$2,0)</f>
        <v>#N/A</v>
      </c>
      <c r="AK244" t="e">
        <f>VLOOKUP($Z244,'oddspedia-matches'!$A:$AD,AK$2,0)</f>
        <v>#N/A</v>
      </c>
      <c r="AL244" t="e">
        <f>VLOOKUP($Z244,'oddspedia-matches'!$A:$AD,AL$2,0)</f>
        <v>#N/A</v>
      </c>
      <c r="AM244" t="e">
        <f>VLOOKUP($Z244,'oddspedia-matches'!$A:$AD,AM$2,0)</f>
        <v>#N/A</v>
      </c>
      <c r="AN244" t="e">
        <f>VLOOKUP($Z244,'oddspedia-matches'!$A:$AD,AN$2,0)</f>
        <v>#N/A</v>
      </c>
      <c r="AO244" t="e">
        <f>VLOOKUP($Z244,'oddspedia-matches'!$A:$AD,AO$2,0)</f>
        <v>#N/A</v>
      </c>
      <c r="AP244" t="e">
        <f>VLOOKUP($Z244,'oddspedia-matches'!$A:$AD,AP$2,0)</f>
        <v>#N/A</v>
      </c>
      <c r="AQ244" t="e">
        <f>VLOOKUP($Z244,'oddspedia-matches'!$A:$AD,AQ$2,0)</f>
        <v>#N/A</v>
      </c>
    </row>
    <row r="245" spans="2:43" x14ac:dyDescent="0.2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>
        <f>VLOOKUP(E245,'Transform table'!A:B,2,0)</f>
        <v>0</v>
      </c>
      <c r="Y245" t="str">
        <f>VLOOKUP(F245,'Transform table'!A:B,2,0)</f>
        <v>San Martin de Tucuman</v>
      </c>
      <c r="Z245" t="str">
        <f>C245&amp;X245&amp;Y245</f>
        <v>25/07/20260San Martin de Tucuman</v>
      </c>
      <c r="AA245" t="e">
        <f>VLOOKUP($Z245,'oddspedia-matches'!$A:$AD,AA$2,0)</f>
        <v>#N/A</v>
      </c>
      <c r="AB245" t="e">
        <f>VLOOKUP($Z245,'oddspedia-matches'!$A:$AD,AB$2,0)</f>
        <v>#N/A</v>
      </c>
      <c r="AC245" t="e">
        <f>VLOOKUP($Z245,'oddspedia-matches'!$A:$AD,AC$2,0)</f>
        <v>#N/A</v>
      </c>
      <c r="AD245" t="e">
        <f>VLOOKUP($Z245,'oddspedia-matches'!$A:$AD,AD$2,0)</f>
        <v>#N/A</v>
      </c>
      <c r="AE245" t="e">
        <f>VLOOKUP($Z245,'oddspedia-matches'!$A:$AD,AE$2,0)</f>
        <v>#N/A</v>
      </c>
      <c r="AF245" t="e">
        <f>VLOOKUP($Z245,'oddspedia-matches'!$A:$AD,AF$2,0)</f>
        <v>#N/A</v>
      </c>
      <c r="AG245" t="e">
        <f>VLOOKUP($Z245,'oddspedia-matches'!$A:$AD,AG$2,0)</f>
        <v>#N/A</v>
      </c>
      <c r="AH245" t="e">
        <f>VLOOKUP($Z245,'oddspedia-matches'!$A:$AD,AH$2,0)</f>
        <v>#N/A</v>
      </c>
      <c r="AI245" t="e">
        <f>VLOOKUP($Z245,'oddspedia-matches'!$A:$AD,AI$2,0)</f>
        <v>#N/A</v>
      </c>
      <c r="AJ245" t="e">
        <f>VLOOKUP($Z245,'oddspedia-matches'!$A:$AD,AJ$2,0)</f>
        <v>#N/A</v>
      </c>
      <c r="AK245" t="e">
        <f>VLOOKUP($Z245,'oddspedia-matches'!$A:$AD,AK$2,0)</f>
        <v>#N/A</v>
      </c>
      <c r="AL245" t="e">
        <f>VLOOKUP($Z245,'oddspedia-matches'!$A:$AD,AL$2,0)</f>
        <v>#N/A</v>
      </c>
      <c r="AM245" t="e">
        <f>VLOOKUP($Z245,'oddspedia-matches'!$A:$AD,AM$2,0)</f>
        <v>#N/A</v>
      </c>
      <c r="AN245" t="e">
        <f>VLOOKUP($Z245,'oddspedia-matches'!$A:$AD,AN$2,0)</f>
        <v>#N/A</v>
      </c>
      <c r="AO245" t="e">
        <f>VLOOKUP($Z245,'oddspedia-matches'!$A:$AD,AO$2,0)</f>
        <v>#N/A</v>
      </c>
      <c r="AP245" t="e">
        <f>VLOOKUP($Z245,'oddspedia-matches'!$A:$AD,AP$2,0)</f>
        <v>#N/A</v>
      </c>
      <c r="AQ245" t="e">
        <f>VLOOKUP($Z245,'oddspedia-matches'!$A:$AD,AQ$2,0)</f>
        <v>#N/A</v>
      </c>
    </row>
    <row r="246" spans="2:43" x14ac:dyDescent="0.2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Argentino</v>
      </c>
      <c r="Z246" t="str">
        <f>C246&amp;X246&amp;Y246</f>
        <v>25/07/2026San Martin de San JuanAtletico Argentino</v>
      </c>
      <c r="AA246" t="e">
        <f>VLOOKUP($Z246,'oddspedia-matches'!$A:$AD,AA$2,0)</f>
        <v>#N/A</v>
      </c>
      <c r="AB246" t="e">
        <f>VLOOKUP($Z246,'oddspedia-matches'!$A:$AD,AB$2,0)</f>
        <v>#N/A</v>
      </c>
      <c r="AC246" t="e">
        <f>VLOOKUP($Z246,'oddspedia-matches'!$A:$AD,AC$2,0)</f>
        <v>#N/A</v>
      </c>
      <c r="AD246" t="e">
        <f>VLOOKUP($Z246,'oddspedia-matches'!$A:$AD,AD$2,0)</f>
        <v>#N/A</v>
      </c>
      <c r="AE246" t="e">
        <f>VLOOKUP($Z246,'oddspedia-matches'!$A:$AD,AE$2,0)</f>
        <v>#N/A</v>
      </c>
      <c r="AF246" t="e">
        <f>VLOOKUP($Z246,'oddspedia-matches'!$A:$AD,AF$2,0)</f>
        <v>#N/A</v>
      </c>
      <c r="AG246" t="e">
        <f>VLOOKUP($Z246,'oddspedia-matches'!$A:$AD,AG$2,0)</f>
        <v>#N/A</v>
      </c>
      <c r="AH246" t="e">
        <f>VLOOKUP($Z246,'oddspedia-matches'!$A:$AD,AH$2,0)</f>
        <v>#N/A</v>
      </c>
      <c r="AI246" t="e">
        <f>VLOOKUP($Z246,'oddspedia-matches'!$A:$AD,AI$2,0)</f>
        <v>#N/A</v>
      </c>
      <c r="AJ246" t="e">
        <f>VLOOKUP($Z246,'oddspedia-matches'!$A:$AD,AJ$2,0)</f>
        <v>#N/A</v>
      </c>
      <c r="AK246" t="e">
        <f>VLOOKUP($Z246,'oddspedia-matches'!$A:$AD,AK$2,0)</f>
        <v>#N/A</v>
      </c>
      <c r="AL246" t="e">
        <f>VLOOKUP($Z246,'oddspedia-matches'!$A:$AD,AL$2,0)</f>
        <v>#N/A</v>
      </c>
      <c r="AM246" t="e">
        <f>VLOOKUP($Z246,'oddspedia-matches'!$A:$AD,AM$2,0)</f>
        <v>#N/A</v>
      </c>
      <c r="AN246" t="e">
        <f>VLOOKUP($Z246,'oddspedia-matches'!$A:$AD,AN$2,0)</f>
        <v>#N/A</v>
      </c>
      <c r="AO246" t="e">
        <f>VLOOKUP($Z246,'oddspedia-matches'!$A:$AD,AO$2,0)</f>
        <v>#N/A</v>
      </c>
      <c r="AP246" t="e">
        <f>VLOOKUP($Z246,'oddspedia-matches'!$A:$AD,AP$2,0)</f>
        <v>#N/A</v>
      </c>
      <c r="AQ246" t="e">
        <f>VLOOKUP($Z246,'oddspedia-matches'!$A:$AD,AQ$2,0)</f>
        <v>#N/A</v>
      </c>
    </row>
    <row r="247" spans="2:43" x14ac:dyDescent="0.2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>
        <f>VLOOKUP(E247,'Transform table'!A:B,2,0)</f>
        <v>0</v>
      </c>
      <c r="Y247" t="e">
        <f>VLOOKUP(F247,'Transform table'!A:B,2,0)</f>
        <v>#N/A</v>
      </c>
      <c r="Z247" t="e">
        <f>C247&amp;X247&amp;Y247</f>
        <v>#N/A</v>
      </c>
      <c r="AA247" t="e">
        <f>VLOOKUP($Z247,'oddspedia-matches'!$A:$AD,AA$2,0)</f>
        <v>#N/A</v>
      </c>
      <c r="AB247" t="e">
        <f>VLOOKUP($Z247,'oddspedia-matches'!$A:$AD,AB$2,0)</f>
        <v>#N/A</v>
      </c>
      <c r="AC247" t="e">
        <f>VLOOKUP($Z247,'oddspedia-matches'!$A:$AD,AC$2,0)</f>
        <v>#N/A</v>
      </c>
      <c r="AD247" t="e">
        <f>VLOOKUP($Z247,'oddspedia-matches'!$A:$AD,AD$2,0)</f>
        <v>#N/A</v>
      </c>
      <c r="AE247" t="e">
        <f>VLOOKUP($Z247,'oddspedia-matches'!$A:$AD,AE$2,0)</f>
        <v>#N/A</v>
      </c>
      <c r="AF247" t="e">
        <f>VLOOKUP($Z247,'oddspedia-matches'!$A:$AD,AF$2,0)</f>
        <v>#N/A</v>
      </c>
      <c r="AG247" t="e">
        <f>VLOOKUP($Z247,'oddspedia-matches'!$A:$AD,AG$2,0)</f>
        <v>#N/A</v>
      </c>
      <c r="AH247" t="e">
        <f>VLOOKUP($Z247,'oddspedia-matches'!$A:$AD,AH$2,0)</f>
        <v>#N/A</v>
      </c>
      <c r="AI247" t="e">
        <f>VLOOKUP($Z247,'oddspedia-matches'!$A:$AD,AI$2,0)</f>
        <v>#N/A</v>
      </c>
      <c r="AJ247" t="e">
        <f>VLOOKUP($Z247,'oddspedia-matches'!$A:$AD,AJ$2,0)</f>
        <v>#N/A</v>
      </c>
      <c r="AK247" t="e">
        <f>VLOOKUP($Z247,'oddspedia-matches'!$A:$AD,AK$2,0)</f>
        <v>#N/A</v>
      </c>
      <c r="AL247" t="e">
        <f>VLOOKUP($Z247,'oddspedia-matches'!$A:$AD,AL$2,0)</f>
        <v>#N/A</v>
      </c>
      <c r="AM247" t="e">
        <f>VLOOKUP($Z247,'oddspedia-matches'!$A:$AD,AM$2,0)</f>
        <v>#N/A</v>
      </c>
      <c r="AN247" t="e">
        <f>VLOOKUP($Z247,'oddspedia-matches'!$A:$AD,AN$2,0)</f>
        <v>#N/A</v>
      </c>
      <c r="AO247" t="e">
        <f>VLOOKUP($Z247,'oddspedia-matches'!$A:$AD,AO$2,0)</f>
        <v>#N/A</v>
      </c>
      <c r="AP247" t="e">
        <f>VLOOKUP($Z247,'oddspedia-matches'!$A:$AD,AP$2,0)</f>
        <v>#N/A</v>
      </c>
      <c r="AQ247" t="e">
        <f>VLOOKUP($Z247,'oddspedia-matches'!$A:$AD,AQ$2,0)</f>
        <v>#N/A</v>
      </c>
    </row>
    <row r="248" spans="2:43" x14ac:dyDescent="0.2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>
        <f>VLOOKUP(E248,'Transform table'!A:B,2,0)</f>
        <v>0</v>
      </c>
      <c r="Y248" t="e">
        <f>VLOOKUP(F248,'Transform table'!A:B,2,0)</f>
        <v>#N/A</v>
      </c>
      <c r="Z248" t="e">
        <f>C248&amp;X248&amp;Y248</f>
        <v>#N/A</v>
      </c>
      <c r="AA248" t="e">
        <f>VLOOKUP($Z248,'oddspedia-matches'!$A:$AD,AA$2,0)</f>
        <v>#N/A</v>
      </c>
      <c r="AB248" t="e">
        <f>VLOOKUP($Z248,'oddspedia-matches'!$A:$AD,AB$2,0)</f>
        <v>#N/A</v>
      </c>
      <c r="AC248" t="e">
        <f>VLOOKUP($Z248,'oddspedia-matches'!$A:$AD,AC$2,0)</f>
        <v>#N/A</v>
      </c>
      <c r="AD248" t="e">
        <f>VLOOKUP($Z248,'oddspedia-matches'!$A:$AD,AD$2,0)</f>
        <v>#N/A</v>
      </c>
      <c r="AE248" t="e">
        <f>VLOOKUP($Z248,'oddspedia-matches'!$A:$AD,AE$2,0)</f>
        <v>#N/A</v>
      </c>
      <c r="AF248" t="e">
        <f>VLOOKUP($Z248,'oddspedia-matches'!$A:$AD,AF$2,0)</f>
        <v>#N/A</v>
      </c>
      <c r="AG248" t="e">
        <f>VLOOKUP($Z248,'oddspedia-matches'!$A:$AD,AG$2,0)</f>
        <v>#N/A</v>
      </c>
      <c r="AH248" t="e">
        <f>VLOOKUP($Z248,'oddspedia-matches'!$A:$AD,AH$2,0)</f>
        <v>#N/A</v>
      </c>
      <c r="AI248" t="e">
        <f>VLOOKUP($Z248,'oddspedia-matches'!$A:$AD,AI$2,0)</f>
        <v>#N/A</v>
      </c>
      <c r="AJ248" t="e">
        <f>VLOOKUP($Z248,'oddspedia-matches'!$A:$AD,AJ$2,0)</f>
        <v>#N/A</v>
      </c>
      <c r="AK248" t="e">
        <f>VLOOKUP($Z248,'oddspedia-matches'!$A:$AD,AK$2,0)</f>
        <v>#N/A</v>
      </c>
      <c r="AL248" t="e">
        <f>VLOOKUP($Z248,'oddspedia-matches'!$A:$AD,AL$2,0)</f>
        <v>#N/A</v>
      </c>
      <c r="AM248" t="e">
        <f>VLOOKUP($Z248,'oddspedia-matches'!$A:$AD,AM$2,0)</f>
        <v>#N/A</v>
      </c>
      <c r="AN248" t="e">
        <f>VLOOKUP($Z248,'oddspedia-matches'!$A:$AD,AN$2,0)</f>
        <v>#N/A</v>
      </c>
      <c r="AO248" t="e">
        <f>VLOOKUP($Z248,'oddspedia-matches'!$A:$AD,AO$2,0)</f>
        <v>#N/A</v>
      </c>
      <c r="AP248" t="e">
        <f>VLOOKUP($Z248,'oddspedia-matches'!$A:$AD,AP$2,0)</f>
        <v>#N/A</v>
      </c>
      <c r="AQ248" t="e">
        <f>VLOOKUP($Z248,'oddspedia-matches'!$A:$AD,AQ$2,0)</f>
        <v>#N/A</v>
      </c>
    </row>
    <row r="249" spans="2:43" x14ac:dyDescent="0.2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>
        <f>VLOOKUP(E249,'Transform table'!A:B,2,0)</f>
        <v>0</v>
      </c>
      <c r="Y249" t="e">
        <f>VLOOKUP(F249,'Transform table'!A:B,2,0)</f>
        <v>#N/A</v>
      </c>
      <c r="Z249" t="e">
        <f>C249&amp;X249&amp;Y249</f>
        <v>#N/A</v>
      </c>
      <c r="AA249" t="e">
        <f>VLOOKUP($Z249,'oddspedia-matches'!$A:$AD,AA$2,0)</f>
        <v>#N/A</v>
      </c>
      <c r="AB249" t="e">
        <f>VLOOKUP($Z249,'oddspedia-matches'!$A:$AD,AB$2,0)</f>
        <v>#N/A</v>
      </c>
      <c r="AC249" t="e">
        <f>VLOOKUP($Z249,'oddspedia-matches'!$A:$AD,AC$2,0)</f>
        <v>#N/A</v>
      </c>
      <c r="AD249" t="e">
        <f>VLOOKUP($Z249,'oddspedia-matches'!$A:$AD,AD$2,0)</f>
        <v>#N/A</v>
      </c>
      <c r="AE249" t="e">
        <f>VLOOKUP($Z249,'oddspedia-matches'!$A:$AD,AE$2,0)</f>
        <v>#N/A</v>
      </c>
      <c r="AF249" t="e">
        <f>VLOOKUP($Z249,'oddspedia-matches'!$A:$AD,AF$2,0)</f>
        <v>#N/A</v>
      </c>
      <c r="AG249" t="e">
        <f>VLOOKUP($Z249,'oddspedia-matches'!$A:$AD,AG$2,0)</f>
        <v>#N/A</v>
      </c>
      <c r="AH249" t="e">
        <f>VLOOKUP($Z249,'oddspedia-matches'!$A:$AD,AH$2,0)</f>
        <v>#N/A</v>
      </c>
      <c r="AI249" t="e">
        <f>VLOOKUP($Z249,'oddspedia-matches'!$A:$AD,AI$2,0)</f>
        <v>#N/A</v>
      </c>
      <c r="AJ249" t="e">
        <f>VLOOKUP($Z249,'oddspedia-matches'!$A:$AD,AJ$2,0)</f>
        <v>#N/A</v>
      </c>
      <c r="AK249" t="e">
        <f>VLOOKUP($Z249,'oddspedia-matches'!$A:$AD,AK$2,0)</f>
        <v>#N/A</v>
      </c>
      <c r="AL249" t="e">
        <f>VLOOKUP($Z249,'oddspedia-matches'!$A:$AD,AL$2,0)</f>
        <v>#N/A</v>
      </c>
      <c r="AM249" t="e">
        <f>VLOOKUP($Z249,'oddspedia-matches'!$A:$AD,AM$2,0)</f>
        <v>#N/A</v>
      </c>
      <c r="AN249" t="e">
        <f>VLOOKUP($Z249,'oddspedia-matches'!$A:$AD,AN$2,0)</f>
        <v>#N/A</v>
      </c>
      <c r="AO249" t="e">
        <f>VLOOKUP($Z249,'oddspedia-matches'!$A:$AD,AO$2,0)</f>
        <v>#N/A</v>
      </c>
      <c r="AP249" t="e">
        <f>VLOOKUP($Z249,'oddspedia-matches'!$A:$AD,AP$2,0)</f>
        <v>#N/A</v>
      </c>
      <c r="AQ249" t="e">
        <f>VLOOKUP($Z249,'oddspedia-matches'!$A:$AD,AQ$2,0)</f>
        <v>#N/A</v>
      </c>
    </row>
    <row r="250" spans="2:43" x14ac:dyDescent="0.2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>
        <f>VLOOKUP(E250,'Transform table'!A:B,2,0)</f>
        <v>0</v>
      </c>
      <c r="Y250" t="e">
        <f>VLOOKUP(F250,'Transform table'!A:B,2,0)</f>
        <v>#N/A</v>
      </c>
      <c r="Z250" t="e">
        <f>C250&amp;X250&amp;Y250</f>
        <v>#N/A</v>
      </c>
      <c r="AA250" t="e">
        <f>VLOOKUP($Z250,'oddspedia-matches'!$A:$AD,AA$2,0)</f>
        <v>#N/A</v>
      </c>
      <c r="AB250" t="e">
        <f>VLOOKUP($Z250,'oddspedia-matches'!$A:$AD,AB$2,0)</f>
        <v>#N/A</v>
      </c>
      <c r="AC250" t="e">
        <f>VLOOKUP($Z250,'oddspedia-matches'!$A:$AD,AC$2,0)</f>
        <v>#N/A</v>
      </c>
      <c r="AD250" t="e">
        <f>VLOOKUP($Z250,'oddspedia-matches'!$A:$AD,AD$2,0)</f>
        <v>#N/A</v>
      </c>
      <c r="AE250" t="e">
        <f>VLOOKUP($Z250,'oddspedia-matches'!$A:$AD,AE$2,0)</f>
        <v>#N/A</v>
      </c>
      <c r="AF250" t="e">
        <f>VLOOKUP($Z250,'oddspedia-matches'!$A:$AD,AF$2,0)</f>
        <v>#N/A</v>
      </c>
      <c r="AG250" t="e">
        <f>VLOOKUP($Z250,'oddspedia-matches'!$A:$AD,AG$2,0)</f>
        <v>#N/A</v>
      </c>
      <c r="AH250" t="e">
        <f>VLOOKUP($Z250,'oddspedia-matches'!$A:$AD,AH$2,0)</f>
        <v>#N/A</v>
      </c>
      <c r="AI250" t="e">
        <f>VLOOKUP($Z250,'oddspedia-matches'!$A:$AD,AI$2,0)</f>
        <v>#N/A</v>
      </c>
      <c r="AJ250" t="e">
        <f>VLOOKUP($Z250,'oddspedia-matches'!$A:$AD,AJ$2,0)</f>
        <v>#N/A</v>
      </c>
      <c r="AK250" t="e">
        <f>VLOOKUP($Z250,'oddspedia-matches'!$A:$AD,AK$2,0)</f>
        <v>#N/A</v>
      </c>
      <c r="AL250" t="e">
        <f>VLOOKUP($Z250,'oddspedia-matches'!$A:$AD,AL$2,0)</f>
        <v>#N/A</v>
      </c>
      <c r="AM250" t="e">
        <f>VLOOKUP($Z250,'oddspedia-matches'!$A:$AD,AM$2,0)</f>
        <v>#N/A</v>
      </c>
      <c r="AN250" t="e">
        <f>VLOOKUP($Z250,'oddspedia-matches'!$A:$AD,AN$2,0)</f>
        <v>#N/A</v>
      </c>
      <c r="AO250" t="e">
        <f>VLOOKUP($Z250,'oddspedia-matches'!$A:$AD,AO$2,0)</f>
        <v>#N/A</v>
      </c>
      <c r="AP250" t="e">
        <f>VLOOKUP($Z250,'oddspedia-matches'!$A:$AD,AP$2,0)</f>
        <v>#N/A</v>
      </c>
      <c r="AQ250" t="e">
        <f>VLOOKUP($Z250,'oddspedia-matches'!$A:$AD,AQ$2,0)</f>
        <v>#N/A</v>
      </c>
    </row>
    <row r="251" spans="2:43" x14ac:dyDescent="0.2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>
        <f>VLOOKUP(E251,'Transform table'!A:B,2,0)</f>
        <v>0</v>
      </c>
      <c r="Y251" t="e">
        <f>VLOOKUP(F251,'Transform table'!A:B,2,0)</f>
        <v>#N/A</v>
      </c>
      <c r="Z251" t="e">
        <f>C251&amp;X251&amp;Y251</f>
        <v>#N/A</v>
      </c>
      <c r="AA251" t="e">
        <f>VLOOKUP($Z251,'oddspedia-matches'!$A:$AD,AA$2,0)</f>
        <v>#N/A</v>
      </c>
      <c r="AB251" t="e">
        <f>VLOOKUP($Z251,'oddspedia-matches'!$A:$AD,AB$2,0)</f>
        <v>#N/A</v>
      </c>
      <c r="AC251" t="e">
        <f>VLOOKUP($Z251,'oddspedia-matches'!$A:$AD,AC$2,0)</f>
        <v>#N/A</v>
      </c>
      <c r="AD251" t="e">
        <f>VLOOKUP($Z251,'oddspedia-matches'!$A:$AD,AD$2,0)</f>
        <v>#N/A</v>
      </c>
      <c r="AE251" t="e">
        <f>VLOOKUP($Z251,'oddspedia-matches'!$A:$AD,AE$2,0)</f>
        <v>#N/A</v>
      </c>
      <c r="AF251" t="e">
        <f>VLOOKUP($Z251,'oddspedia-matches'!$A:$AD,AF$2,0)</f>
        <v>#N/A</v>
      </c>
      <c r="AG251" t="e">
        <f>VLOOKUP($Z251,'oddspedia-matches'!$A:$AD,AG$2,0)</f>
        <v>#N/A</v>
      </c>
      <c r="AH251" t="e">
        <f>VLOOKUP($Z251,'oddspedia-matches'!$A:$AD,AH$2,0)</f>
        <v>#N/A</v>
      </c>
      <c r="AI251" t="e">
        <f>VLOOKUP($Z251,'oddspedia-matches'!$A:$AD,AI$2,0)</f>
        <v>#N/A</v>
      </c>
      <c r="AJ251" t="e">
        <f>VLOOKUP($Z251,'oddspedia-matches'!$A:$AD,AJ$2,0)</f>
        <v>#N/A</v>
      </c>
      <c r="AK251" t="e">
        <f>VLOOKUP($Z251,'oddspedia-matches'!$A:$AD,AK$2,0)</f>
        <v>#N/A</v>
      </c>
      <c r="AL251" t="e">
        <f>VLOOKUP($Z251,'oddspedia-matches'!$A:$AD,AL$2,0)</f>
        <v>#N/A</v>
      </c>
      <c r="AM251" t="e">
        <f>VLOOKUP($Z251,'oddspedia-matches'!$A:$AD,AM$2,0)</f>
        <v>#N/A</v>
      </c>
      <c r="AN251" t="e">
        <f>VLOOKUP($Z251,'oddspedia-matches'!$A:$AD,AN$2,0)</f>
        <v>#N/A</v>
      </c>
      <c r="AO251" t="e">
        <f>VLOOKUP($Z251,'oddspedia-matches'!$A:$AD,AO$2,0)</f>
        <v>#N/A</v>
      </c>
      <c r="AP251" t="e">
        <f>VLOOKUP($Z251,'oddspedia-matches'!$A:$AD,AP$2,0)</f>
        <v>#N/A</v>
      </c>
      <c r="AQ251" t="e">
        <f>VLOOKUP($Z251,'oddspedia-matches'!$A:$AD,AQ$2,0)</f>
        <v>#N/A</v>
      </c>
    </row>
    <row r="252" spans="2:43" x14ac:dyDescent="0.2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>
        <f>VLOOKUP(E252,'Transform table'!A:B,2,0)</f>
        <v>0</v>
      </c>
      <c r="Y252" t="e">
        <f>VLOOKUP(F252,'Transform table'!A:B,2,0)</f>
        <v>#N/A</v>
      </c>
      <c r="Z252" t="e">
        <f>C252&amp;X252&amp;Y252</f>
        <v>#N/A</v>
      </c>
      <c r="AA252" t="e">
        <f>VLOOKUP($Z252,'oddspedia-matches'!$A:$AD,AA$2,0)</f>
        <v>#N/A</v>
      </c>
      <c r="AB252" t="e">
        <f>VLOOKUP($Z252,'oddspedia-matches'!$A:$AD,AB$2,0)</f>
        <v>#N/A</v>
      </c>
      <c r="AC252" t="e">
        <f>VLOOKUP($Z252,'oddspedia-matches'!$A:$AD,AC$2,0)</f>
        <v>#N/A</v>
      </c>
      <c r="AD252" t="e">
        <f>VLOOKUP($Z252,'oddspedia-matches'!$A:$AD,AD$2,0)</f>
        <v>#N/A</v>
      </c>
      <c r="AE252" t="e">
        <f>VLOOKUP($Z252,'oddspedia-matches'!$A:$AD,AE$2,0)</f>
        <v>#N/A</v>
      </c>
      <c r="AF252" t="e">
        <f>VLOOKUP($Z252,'oddspedia-matches'!$A:$AD,AF$2,0)</f>
        <v>#N/A</v>
      </c>
      <c r="AG252" t="e">
        <f>VLOOKUP($Z252,'oddspedia-matches'!$A:$AD,AG$2,0)</f>
        <v>#N/A</v>
      </c>
      <c r="AH252" t="e">
        <f>VLOOKUP($Z252,'oddspedia-matches'!$A:$AD,AH$2,0)</f>
        <v>#N/A</v>
      </c>
      <c r="AI252" t="e">
        <f>VLOOKUP($Z252,'oddspedia-matches'!$A:$AD,AI$2,0)</f>
        <v>#N/A</v>
      </c>
      <c r="AJ252" t="e">
        <f>VLOOKUP($Z252,'oddspedia-matches'!$A:$AD,AJ$2,0)</f>
        <v>#N/A</v>
      </c>
      <c r="AK252" t="e">
        <f>VLOOKUP($Z252,'oddspedia-matches'!$A:$AD,AK$2,0)</f>
        <v>#N/A</v>
      </c>
      <c r="AL252" t="e">
        <f>VLOOKUP($Z252,'oddspedia-matches'!$A:$AD,AL$2,0)</f>
        <v>#N/A</v>
      </c>
      <c r="AM252" t="e">
        <f>VLOOKUP($Z252,'oddspedia-matches'!$A:$AD,AM$2,0)</f>
        <v>#N/A</v>
      </c>
      <c r="AN252" t="e">
        <f>VLOOKUP($Z252,'oddspedia-matches'!$A:$AD,AN$2,0)</f>
        <v>#N/A</v>
      </c>
      <c r="AO252" t="e">
        <f>VLOOKUP($Z252,'oddspedia-matches'!$A:$AD,AO$2,0)</f>
        <v>#N/A</v>
      </c>
      <c r="AP252" t="e">
        <f>VLOOKUP($Z252,'oddspedia-matches'!$A:$AD,AP$2,0)</f>
        <v>#N/A</v>
      </c>
      <c r="AQ252" t="e">
        <f>VLOOKUP($Z252,'oddspedia-matches'!$A:$AD,AQ$2,0)</f>
        <v>#N/A</v>
      </c>
    </row>
    <row r="253" spans="2:43" x14ac:dyDescent="0.2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>
        <f>VLOOKUP(E253,'Transform table'!A:B,2,0)</f>
        <v>0</v>
      </c>
      <c r="Y253" t="e">
        <f>VLOOKUP(F253,'Transform table'!A:B,2,0)</f>
        <v>#N/A</v>
      </c>
      <c r="Z253" t="e">
        <f>C253&amp;X253&amp;Y253</f>
        <v>#N/A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x14ac:dyDescent="0.2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>
        <f>VLOOKUP(E254,'Transform table'!A:B,2,0)</f>
        <v>0</v>
      </c>
      <c r="Y254" t="e">
        <f>VLOOKUP(F254,'Transform table'!A:B,2,0)</f>
        <v>#N/A</v>
      </c>
      <c r="Z254" t="e">
        <f>C254&amp;X254&amp;Y254</f>
        <v>#N/A</v>
      </c>
      <c r="AA254" t="e">
        <f>VLOOKUP($Z254,'oddspedia-matches'!$A:$AD,AA$2,0)</f>
        <v>#N/A</v>
      </c>
      <c r="AB254" t="e">
        <f>VLOOKUP($Z254,'oddspedia-matches'!$A:$AD,AB$2,0)</f>
        <v>#N/A</v>
      </c>
      <c r="AC254" t="e">
        <f>VLOOKUP($Z254,'oddspedia-matches'!$A:$AD,AC$2,0)</f>
        <v>#N/A</v>
      </c>
      <c r="AD254" t="e">
        <f>VLOOKUP($Z254,'oddspedia-matches'!$A:$AD,AD$2,0)</f>
        <v>#N/A</v>
      </c>
      <c r="AE254" t="e">
        <f>VLOOKUP($Z254,'oddspedia-matches'!$A:$AD,AE$2,0)</f>
        <v>#N/A</v>
      </c>
      <c r="AF254" t="e">
        <f>VLOOKUP($Z254,'oddspedia-matches'!$A:$AD,AF$2,0)</f>
        <v>#N/A</v>
      </c>
      <c r="AG254" t="e">
        <f>VLOOKUP($Z254,'oddspedia-matches'!$A:$AD,AG$2,0)</f>
        <v>#N/A</v>
      </c>
      <c r="AH254" t="e">
        <f>VLOOKUP($Z254,'oddspedia-matches'!$A:$AD,AH$2,0)</f>
        <v>#N/A</v>
      </c>
      <c r="AI254" t="e">
        <f>VLOOKUP($Z254,'oddspedia-matches'!$A:$AD,AI$2,0)</f>
        <v>#N/A</v>
      </c>
      <c r="AJ254" t="e">
        <f>VLOOKUP($Z254,'oddspedia-matches'!$A:$AD,AJ$2,0)</f>
        <v>#N/A</v>
      </c>
      <c r="AK254" t="e">
        <f>VLOOKUP($Z254,'oddspedia-matches'!$A:$AD,AK$2,0)</f>
        <v>#N/A</v>
      </c>
      <c r="AL254" t="e">
        <f>VLOOKUP($Z254,'oddspedia-matches'!$A:$AD,AL$2,0)</f>
        <v>#N/A</v>
      </c>
      <c r="AM254" t="e">
        <f>VLOOKUP($Z254,'oddspedia-matches'!$A:$AD,AM$2,0)</f>
        <v>#N/A</v>
      </c>
      <c r="AN254" t="e">
        <f>VLOOKUP($Z254,'oddspedia-matches'!$A:$AD,AN$2,0)</f>
        <v>#N/A</v>
      </c>
      <c r="AO254" t="e">
        <f>VLOOKUP($Z254,'oddspedia-matches'!$A:$AD,AO$2,0)</f>
        <v>#N/A</v>
      </c>
      <c r="AP254" t="e">
        <f>VLOOKUP($Z254,'oddspedia-matches'!$A:$AD,AP$2,0)</f>
        <v>#N/A</v>
      </c>
      <c r="AQ254" t="e">
        <f>VLOOKUP($Z254,'oddspedia-matches'!$A:$AD,AQ$2,0)</f>
        <v>#N/A</v>
      </c>
    </row>
    <row r="255" spans="2:43" x14ac:dyDescent="0.2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>
        <f>VLOOKUP(E255,'Transform table'!A:B,2,0)</f>
        <v>0</v>
      </c>
      <c r="Y255" t="e">
        <f>VLOOKUP(F255,'Transform table'!A:B,2,0)</f>
        <v>#N/A</v>
      </c>
      <c r="Z255" t="e">
        <f>C255&amp;X255&amp;Y255</f>
        <v>#N/A</v>
      </c>
      <c r="AA255" t="e">
        <f>VLOOKUP($Z255,'oddspedia-matches'!$A:$AD,AA$2,0)</f>
        <v>#N/A</v>
      </c>
      <c r="AB255" t="e">
        <f>VLOOKUP($Z255,'oddspedia-matches'!$A:$AD,AB$2,0)</f>
        <v>#N/A</v>
      </c>
      <c r="AC255" t="e">
        <f>VLOOKUP($Z255,'oddspedia-matches'!$A:$AD,AC$2,0)</f>
        <v>#N/A</v>
      </c>
      <c r="AD255" t="e">
        <f>VLOOKUP($Z255,'oddspedia-matches'!$A:$AD,AD$2,0)</f>
        <v>#N/A</v>
      </c>
      <c r="AE255" t="e">
        <f>VLOOKUP($Z255,'oddspedia-matches'!$A:$AD,AE$2,0)</f>
        <v>#N/A</v>
      </c>
      <c r="AF255" t="e">
        <f>VLOOKUP($Z255,'oddspedia-matches'!$A:$AD,AF$2,0)</f>
        <v>#N/A</v>
      </c>
      <c r="AG255" t="e">
        <f>VLOOKUP($Z255,'oddspedia-matches'!$A:$AD,AG$2,0)</f>
        <v>#N/A</v>
      </c>
      <c r="AH255" t="e">
        <f>VLOOKUP($Z255,'oddspedia-matches'!$A:$AD,AH$2,0)</f>
        <v>#N/A</v>
      </c>
      <c r="AI255" t="e">
        <f>VLOOKUP($Z255,'oddspedia-matches'!$A:$AD,AI$2,0)</f>
        <v>#N/A</v>
      </c>
      <c r="AJ255" t="e">
        <f>VLOOKUP($Z255,'oddspedia-matches'!$A:$AD,AJ$2,0)</f>
        <v>#N/A</v>
      </c>
      <c r="AK255" t="e">
        <f>VLOOKUP($Z255,'oddspedia-matches'!$A:$AD,AK$2,0)</f>
        <v>#N/A</v>
      </c>
      <c r="AL255" t="e">
        <f>VLOOKUP($Z255,'oddspedia-matches'!$A:$AD,AL$2,0)</f>
        <v>#N/A</v>
      </c>
      <c r="AM255" t="e">
        <f>VLOOKUP($Z255,'oddspedia-matches'!$A:$AD,AM$2,0)</f>
        <v>#N/A</v>
      </c>
      <c r="AN255" t="e">
        <f>VLOOKUP($Z255,'oddspedia-matches'!$A:$AD,AN$2,0)</f>
        <v>#N/A</v>
      </c>
      <c r="AO255" t="e">
        <f>VLOOKUP($Z255,'oddspedia-matches'!$A:$AD,AO$2,0)</f>
        <v>#N/A</v>
      </c>
      <c r="AP255" t="e">
        <f>VLOOKUP($Z255,'oddspedia-matches'!$A:$AD,AP$2,0)</f>
        <v>#N/A</v>
      </c>
      <c r="AQ255" t="e">
        <f>VLOOKUP($Z255,'oddspedia-matches'!$A:$AD,AQ$2,0)</f>
        <v>#N/A</v>
      </c>
    </row>
    <row r="256" spans="2:43" x14ac:dyDescent="0.2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>
        <f>VLOOKUP(E256,'Transform table'!A:B,2,0)</f>
        <v>0</v>
      </c>
      <c r="Y256" t="e">
        <f>VLOOKUP(F256,'Transform table'!A:B,2,0)</f>
        <v>#N/A</v>
      </c>
      <c r="Z256" t="e">
        <f>C256&amp;X256&amp;Y256</f>
        <v>#N/A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x14ac:dyDescent="0.2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>
        <f>VLOOKUP(E257,'Transform table'!A:B,2,0)</f>
        <v>0</v>
      </c>
      <c r="Y257" t="e">
        <f>VLOOKUP(F257,'Transform table'!A:B,2,0)</f>
        <v>#N/A</v>
      </c>
      <c r="Z257" t="e">
        <f>C257&amp;X257&amp;Y257</f>
        <v>#N/A</v>
      </c>
      <c r="AA257" t="e">
        <f>VLOOKUP($Z257,'oddspedia-matches'!$A:$AD,AA$2,0)</f>
        <v>#N/A</v>
      </c>
      <c r="AB257" t="e">
        <f>VLOOKUP($Z257,'oddspedia-matches'!$A:$AD,AB$2,0)</f>
        <v>#N/A</v>
      </c>
      <c r="AC257" t="e">
        <f>VLOOKUP($Z257,'oddspedia-matches'!$A:$AD,AC$2,0)</f>
        <v>#N/A</v>
      </c>
      <c r="AD257" t="e">
        <f>VLOOKUP($Z257,'oddspedia-matches'!$A:$AD,AD$2,0)</f>
        <v>#N/A</v>
      </c>
      <c r="AE257" t="e">
        <f>VLOOKUP($Z257,'oddspedia-matches'!$A:$AD,AE$2,0)</f>
        <v>#N/A</v>
      </c>
      <c r="AF257" t="e">
        <f>VLOOKUP($Z257,'oddspedia-matches'!$A:$AD,AF$2,0)</f>
        <v>#N/A</v>
      </c>
      <c r="AG257" t="e">
        <f>VLOOKUP($Z257,'oddspedia-matches'!$A:$AD,AG$2,0)</f>
        <v>#N/A</v>
      </c>
      <c r="AH257" t="e">
        <f>VLOOKUP($Z257,'oddspedia-matches'!$A:$AD,AH$2,0)</f>
        <v>#N/A</v>
      </c>
      <c r="AI257" t="e">
        <f>VLOOKUP($Z257,'oddspedia-matches'!$A:$AD,AI$2,0)</f>
        <v>#N/A</v>
      </c>
      <c r="AJ257" t="e">
        <f>VLOOKUP($Z257,'oddspedia-matches'!$A:$AD,AJ$2,0)</f>
        <v>#N/A</v>
      </c>
      <c r="AK257" t="e">
        <f>VLOOKUP($Z257,'oddspedia-matches'!$A:$AD,AK$2,0)</f>
        <v>#N/A</v>
      </c>
      <c r="AL257" t="e">
        <f>VLOOKUP($Z257,'oddspedia-matches'!$A:$AD,AL$2,0)</f>
        <v>#N/A</v>
      </c>
      <c r="AM257" t="e">
        <f>VLOOKUP($Z257,'oddspedia-matches'!$A:$AD,AM$2,0)</f>
        <v>#N/A</v>
      </c>
      <c r="AN257" t="e">
        <f>VLOOKUP($Z257,'oddspedia-matches'!$A:$AD,AN$2,0)</f>
        <v>#N/A</v>
      </c>
      <c r="AO257" t="e">
        <f>VLOOKUP($Z257,'oddspedia-matches'!$A:$AD,AO$2,0)</f>
        <v>#N/A</v>
      </c>
      <c r="AP257" t="e">
        <f>VLOOKUP($Z257,'oddspedia-matches'!$A:$AD,AP$2,0)</f>
        <v>#N/A</v>
      </c>
      <c r="AQ257" t="e">
        <f>VLOOKUP($Z257,'oddspedia-matches'!$A:$AD,AQ$2,0)</f>
        <v>#N/A</v>
      </c>
    </row>
    <row r="258" spans="2:43" x14ac:dyDescent="0.2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Ferrocarril Midland</v>
      </c>
      <c r="Y258" t="e">
        <f>VLOOKUP(F258,'Transform table'!A:B,2,0)</f>
        <v>#N/A</v>
      </c>
      <c r="Z258" t="e">
        <f>C258&amp;X258&amp;Y258</f>
        <v>#N/A</v>
      </c>
      <c r="AA258" t="e">
        <f>VLOOKUP($Z258,'oddspedia-matches'!$A:$AD,AA$2,0)</f>
        <v>#N/A</v>
      </c>
      <c r="AB258" t="e">
        <f>VLOOKUP($Z258,'oddspedia-matches'!$A:$AD,AB$2,0)</f>
        <v>#N/A</v>
      </c>
      <c r="AC258" t="e">
        <f>VLOOKUP($Z258,'oddspedia-matches'!$A:$AD,AC$2,0)</f>
        <v>#N/A</v>
      </c>
      <c r="AD258" t="e">
        <f>VLOOKUP($Z258,'oddspedia-matches'!$A:$AD,AD$2,0)</f>
        <v>#N/A</v>
      </c>
      <c r="AE258" t="e">
        <f>VLOOKUP($Z258,'oddspedia-matches'!$A:$AD,AE$2,0)</f>
        <v>#N/A</v>
      </c>
      <c r="AF258" t="e">
        <f>VLOOKUP($Z258,'oddspedia-matches'!$A:$AD,AF$2,0)</f>
        <v>#N/A</v>
      </c>
      <c r="AG258" t="e">
        <f>VLOOKUP($Z258,'oddspedia-matches'!$A:$AD,AG$2,0)</f>
        <v>#N/A</v>
      </c>
      <c r="AH258" t="e">
        <f>VLOOKUP($Z258,'oddspedia-matches'!$A:$AD,AH$2,0)</f>
        <v>#N/A</v>
      </c>
      <c r="AI258" t="e">
        <f>VLOOKUP($Z258,'oddspedia-matches'!$A:$AD,AI$2,0)</f>
        <v>#N/A</v>
      </c>
      <c r="AJ258" t="e">
        <f>VLOOKUP($Z258,'oddspedia-matches'!$A:$AD,AJ$2,0)</f>
        <v>#N/A</v>
      </c>
      <c r="AK258" t="e">
        <f>VLOOKUP($Z258,'oddspedia-matches'!$A:$AD,AK$2,0)</f>
        <v>#N/A</v>
      </c>
      <c r="AL258" t="e">
        <f>VLOOKUP($Z258,'oddspedia-matches'!$A:$AD,AL$2,0)</f>
        <v>#N/A</v>
      </c>
      <c r="AM258" t="e">
        <f>VLOOKUP($Z258,'oddspedia-matches'!$A:$AD,AM$2,0)</f>
        <v>#N/A</v>
      </c>
      <c r="AN258" t="e">
        <f>VLOOKUP($Z258,'oddspedia-matches'!$A:$AD,AN$2,0)</f>
        <v>#N/A</v>
      </c>
      <c r="AO258" t="e">
        <f>VLOOKUP($Z258,'oddspedia-matches'!$A:$AD,AO$2,0)</f>
        <v>#N/A</v>
      </c>
      <c r="AP258" t="e">
        <f>VLOOKUP($Z258,'oddspedia-matches'!$A:$AD,AP$2,0)</f>
        <v>#N/A</v>
      </c>
      <c r="AQ258" t="e">
        <f>VLOOKUP($Z258,'oddspedia-matches'!$A:$AD,AQ$2,0)</f>
        <v>#N/A</v>
      </c>
    </row>
    <row r="259" spans="2:43" x14ac:dyDescent="0.2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>
        <f>VLOOKUP(E259,'Transform table'!A:B,2,0)</f>
        <v>0</v>
      </c>
      <c r="Y259" t="e">
        <f>VLOOKUP(F259,'Transform table'!A:B,2,0)</f>
        <v>#N/A</v>
      </c>
      <c r="Z259" t="e">
        <f>C259&amp;X259&amp;Y259</f>
        <v>#N/A</v>
      </c>
      <c r="AA259" t="e">
        <f>VLOOKUP($Z259,'oddspedia-matches'!$A:$AD,AA$2,0)</f>
        <v>#N/A</v>
      </c>
      <c r="AB259" t="e">
        <f>VLOOKUP($Z259,'oddspedia-matches'!$A:$AD,AB$2,0)</f>
        <v>#N/A</v>
      </c>
      <c r="AC259" t="e">
        <f>VLOOKUP($Z259,'oddspedia-matches'!$A:$AD,AC$2,0)</f>
        <v>#N/A</v>
      </c>
      <c r="AD259" t="e">
        <f>VLOOKUP($Z259,'oddspedia-matches'!$A:$AD,AD$2,0)</f>
        <v>#N/A</v>
      </c>
      <c r="AE259" t="e">
        <f>VLOOKUP($Z259,'oddspedia-matches'!$A:$AD,AE$2,0)</f>
        <v>#N/A</v>
      </c>
      <c r="AF259" t="e">
        <f>VLOOKUP($Z259,'oddspedia-matches'!$A:$AD,AF$2,0)</f>
        <v>#N/A</v>
      </c>
      <c r="AG259" t="e">
        <f>VLOOKUP($Z259,'oddspedia-matches'!$A:$AD,AG$2,0)</f>
        <v>#N/A</v>
      </c>
      <c r="AH259" t="e">
        <f>VLOOKUP($Z259,'oddspedia-matches'!$A:$AD,AH$2,0)</f>
        <v>#N/A</v>
      </c>
      <c r="AI259" t="e">
        <f>VLOOKUP($Z259,'oddspedia-matches'!$A:$AD,AI$2,0)</f>
        <v>#N/A</v>
      </c>
      <c r="AJ259" t="e">
        <f>VLOOKUP($Z259,'oddspedia-matches'!$A:$AD,AJ$2,0)</f>
        <v>#N/A</v>
      </c>
      <c r="AK259" t="e">
        <f>VLOOKUP($Z259,'oddspedia-matches'!$A:$AD,AK$2,0)</f>
        <v>#N/A</v>
      </c>
      <c r="AL259" t="e">
        <f>VLOOKUP($Z259,'oddspedia-matches'!$A:$AD,AL$2,0)</f>
        <v>#N/A</v>
      </c>
      <c r="AM259" t="e">
        <f>VLOOKUP($Z259,'oddspedia-matches'!$A:$AD,AM$2,0)</f>
        <v>#N/A</v>
      </c>
      <c r="AN259" t="e">
        <f>VLOOKUP($Z259,'oddspedia-matches'!$A:$AD,AN$2,0)</f>
        <v>#N/A</v>
      </c>
      <c r="AO259" t="e">
        <f>VLOOKUP($Z259,'oddspedia-matches'!$A:$AD,AO$2,0)</f>
        <v>#N/A</v>
      </c>
      <c r="AP259" t="e">
        <f>VLOOKUP($Z259,'oddspedia-matches'!$A:$AD,AP$2,0)</f>
        <v>#N/A</v>
      </c>
      <c r="AQ259" t="e">
        <f>VLOOKUP($Z259,'oddspedia-matches'!$A:$AD,AQ$2,0)</f>
        <v>#N/A</v>
      </c>
    </row>
    <row r="260" spans="2:43" x14ac:dyDescent="0.2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>
        <f>VLOOKUP(E260,'Transform table'!A:B,2,0)</f>
        <v>0</v>
      </c>
      <c r="Y260" t="e">
        <f>VLOOKUP(F260,'Transform table'!A:B,2,0)</f>
        <v>#N/A</v>
      </c>
      <c r="Z260" t="e">
        <f>C260&amp;X260&amp;Y260</f>
        <v>#N/A</v>
      </c>
      <c r="AA260" t="e">
        <f>VLOOKUP($Z260,'oddspedia-matches'!$A:$AD,AA$2,0)</f>
        <v>#N/A</v>
      </c>
      <c r="AB260" t="e">
        <f>VLOOKUP($Z260,'oddspedia-matches'!$A:$AD,AB$2,0)</f>
        <v>#N/A</v>
      </c>
      <c r="AC260" t="e">
        <f>VLOOKUP($Z260,'oddspedia-matches'!$A:$AD,AC$2,0)</f>
        <v>#N/A</v>
      </c>
      <c r="AD260" t="e">
        <f>VLOOKUP($Z260,'oddspedia-matches'!$A:$AD,AD$2,0)</f>
        <v>#N/A</v>
      </c>
      <c r="AE260" t="e">
        <f>VLOOKUP($Z260,'oddspedia-matches'!$A:$AD,AE$2,0)</f>
        <v>#N/A</v>
      </c>
      <c r="AF260" t="e">
        <f>VLOOKUP($Z260,'oddspedia-matches'!$A:$AD,AF$2,0)</f>
        <v>#N/A</v>
      </c>
      <c r="AG260" t="e">
        <f>VLOOKUP($Z260,'oddspedia-matches'!$A:$AD,AG$2,0)</f>
        <v>#N/A</v>
      </c>
      <c r="AH260" t="e">
        <f>VLOOKUP($Z260,'oddspedia-matches'!$A:$AD,AH$2,0)</f>
        <v>#N/A</v>
      </c>
      <c r="AI260" t="e">
        <f>VLOOKUP($Z260,'oddspedia-matches'!$A:$AD,AI$2,0)</f>
        <v>#N/A</v>
      </c>
      <c r="AJ260" t="e">
        <f>VLOOKUP($Z260,'oddspedia-matches'!$A:$AD,AJ$2,0)</f>
        <v>#N/A</v>
      </c>
      <c r="AK260" t="e">
        <f>VLOOKUP($Z260,'oddspedia-matches'!$A:$AD,AK$2,0)</f>
        <v>#N/A</v>
      </c>
      <c r="AL260" t="e">
        <f>VLOOKUP($Z260,'oddspedia-matches'!$A:$AD,AL$2,0)</f>
        <v>#N/A</v>
      </c>
      <c r="AM260" t="e">
        <f>VLOOKUP($Z260,'oddspedia-matches'!$A:$AD,AM$2,0)</f>
        <v>#N/A</v>
      </c>
      <c r="AN260" t="e">
        <f>VLOOKUP($Z260,'oddspedia-matches'!$A:$AD,AN$2,0)</f>
        <v>#N/A</v>
      </c>
      <c r="AO260" t="e">
        <f>VLOOKUP($Z260,'oddspedia-matches'!$A:$AD,AO$2,0)</f>
        <v>#N/A</v>
      </c>
      <c r="AP260" t="e">
        <f>VLOOKUP($Z260,'oddspedia-matches'!$A:$AD,AP$2,0)</f>
        <v>#N/A</v>
      </c>
      <c r="AQ260" t="e">
        <f>VLOOKUP($Z260,'oddspedia-matches'!$A:$AD,AQ$2,0)</f>
        <v>#N/A</v>
      </c>
    </row>
    <row r="261" spans="2:43" x14ac:dyDescent="0.2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Boca Juniors</v>
      </c>
      <c r="Y261" t="e">
        <f>VLOOKUP(F261,'Transform table'!A:B,2,0)</f>
        <v>#N/A</v>
      </c>
      <c r="Z261" t="e">
        <f>C261&amp;X261&amp;Y261</f>
        <v>#N/A</v>
      </c>
      <c r="AA261" t="e">
        <f>VLOOKUP($Z261,'oddspedia-matches'!$A:$AD,AA$2,0)</f>
        <v>#N/A</v>
      </c>
      <c r="AB261" t="e">
        <f>VLOOKUP($Z261,'oddspedia-matches'!$A:$AD,AB$2,0)</f>
        <v>#N/A</v>
      </c>
      <c r="AC261" t="e">
        <f>VLOOKUP($Z261,'oddspedia-matches'!$A:$AD,AC$2,0)</f>
        <v>#N/A</v>
      </c>
      <c r="AD261" t="e">
        <f>VLOOKUP($Z261,'oddspedia-matches'!$A:$AD,AD$2,0)</f>
        <v>#N/A</v>
      </c>
      <c r="AE261" t="e">
        <f>VLOOKUP($Z261,'oddspedia-matches'!$A:$AD,AE$2,0)</f>
        <v>#N/A</v>
      </c>
      <c r="AF261" t="e">
        <f>VLOOKUP($Z261,'oddspedia-matches'!$A:$AD,AF$2,0)</f>
        <v>#N/A</v>
      </c>
      <c r="AG261" t="e">
        <f>VLOOKUP($Z261,'oddspedia-matches'!$A:$AD,AG$2,0)</f>
        <v>#N/A</v>
      </c>
      <c r="AH261" t="e">
        <f>VLOOKUP($Z261,'oddspedia-matches'!$A:$AD,AH$2,0)</f>
        <v>#N/A</v>
      </c>
      <c r="AI261" t="e">
        <f>VLOOKUP($Z261,'oddspedia-matches'!$A:$AD,AI$2,0)</f>
        <v>#N/A</v>
      </c>
      <c r="AJ261" t="e">
        <f>VLOOKUP($Z261,'oddspedia-matches'!$A:$AD,AJ$2,0)</f>
        <v>#N/A</v>
      </c>
      <c r="AK261" t="e">
        <f>VLOOKUP($Z261,'oddspedia-matches'!$A:$AD,AK$2,0)</f>
        <v>#N/A</v>
      </c>
      <c r="AL261" t="e">
        <f>VLOOKUP($Z261,'oddspedia-matches'!$A:$AD,AL$2,0)</f>
        <v>#N/A</v>
      </c>
      <c r="AM261" t="e">
        <f>VLOOKUP($Z261,'oddspedia-matches'!$A:$AD,AM$2,0)</f>
        <v>#N/A</v>
      </c>
      <c r="AN261" t="e">
        <f>VLOOKUP($Z261,'oddspedia-matches'!$A:$AD,AN$2,0)</f>
        <v>#N/A</v>
      </c>
      <c r="AO261" t="e">
        <f>VLOOKUP($Z261,'oddspedia-matches'!$A:$AD,AO$2,0)</f>
        <v>#N/A</v>
      </c>
      <c r="AP261" t="e">
        <f>VLOOKUP($Z261,'oddspedia-matches'!$A:$AD,AP$2,0)</f>
        <v>#N/A</v>
      </c>
      <c r="AQ261" t="e">
        <f>VLOOKUP($Z261,'oddspedia-matches'!$A:$AD,AQ$2,0)</f>
        <v>#N/A</v>
      </c>
    </row>
    <row r="262" spans="2:43" x14ac:dyDescent="0.2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e">
        <f>VLOOKUP(F262,'Transform table'!A:B,2,0)</f>
        <v>#N/A</v>
      </c>
      <c r="Z262" t="e">
        <f>C262&amp;X262&amp;Y262</f>
        <v>#N/A</v>
      </c>
      <c r="AA262" t="e">
        <f>VLOOKUP($Z262,'oddspedia-matches'!$A:$AD,AA$2,0)</f>
        <v>#N/A</v>
      </c>
      <c r="AB262" t="e">
        <f>VLOOKUP($Z262,'oddspedia-matches'!$A:$AD,AB$2,0)</f>
        <v>#N/A</v>
      </c>
      <c r="AC262" t="e">
        <f>VLOOKUP($Z262,'oddspedia-matches'!$A:$AD,AC$2,0)</f>
        <v>#N/A</v>
      </c>
      <c r="AD262" t="e">
        <f>VLOOKUP($Z262,'oddspedia-matches'!$A:$AD,AD$2,0)</f>
        <v>#N/A</v>
      </c>
      <c r="AE262" t="e">
        <f>VLOOKUP($Z262,'oddspedia-matches'!$A:$AD,AE$2,0)</f>
        <v>#N/A</v>
      </c>
      <c r="AF262" t="e">
        <f>VLOOKUP($Z262,'oddspedia-matches'!$A:$AD,AF$2,0)</f>
        <v>#N/A</v>
      </c>
      <c r="AG262" t="e">
        <f>VLOOKUP($Z262,'oddspedia-matches'!$A:$AD,AG$2,0)</f>
        <v>#N/A</v>
      </c>
      <c r="AH262" t="e">
        <f>VLOOKUP($Z262,'oddspedia-matches'!$A:$AD,AH$2,0)</f>
        <v>#N/A</v>
      </c>
      <c r="AI262" t="e">
        <f>VLOOKUP($Z262,'oddspedia-matches'!$A:$AD,AI$2,0)</f>
        <v>#N/A</v>
      </c>
      <c r="AJ262" t="e">
        <f>VLOOKUP($Z262,'oddspedia-matches'!$A:$AD,AJ$2,0)</f>
        <v>#N/A</v>
      </c>
      <c r="AK262" t="e">
        <f>VLOOKUP($Z262,'oddspedia-matches'!$A:$AD,AK$2,0)</f>
        <v>#N/A</v>
      </c>
      <c r="AL262" t="e">
        <f>VLOOKUP($Z262,'oddspedia-matches'!$A:$AD,AL$2,0)</f>
        <v>#N/A</v>
      </c>
      <c r="AM262" t="e">
        <f>VLOOKUP($Z262,'oddspedia-matches'!$A:$AD,AM$2,0)</f>
        <v>#N/A</v>
      </c>
      <c r="AN262" t="e">
        <f>VLOOKUP($Z262,'oddspedia-matches'!$A:$AD,AN$2,0)</f>
        <v>#N/A</v>
      </c>
      <c r="AO262" t="e">
        <f>VLOOKUP($Z262,'oddspedia-matches'!$A:$AD,AO$2,0)</f>
        <v>#N/A</v>
      </c>
      <c r="AP262" t="e">
        <f>VLOOKUP($Z262,'oddspedia-matches'!$A:$AD,AP$2,0)</f>
        <v>#N/A</v>
      </c>
      <c r="AQ262" t="e">
        <f>VLOOKUP($Z262,'oddspedia-matches'!$A:$AD,AQ$2,0)</f>
        <v>#N/A</v>
      </c>
    </row>
    <row r="263" spans="2:43" x14ac:dyDescent="0.2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e">
        <f>VLOOKUP(F263,'Transform table'!A:B,2,0)</f>
        <v>#N/A</v>
      </c>
      <c r="Z263" t="e">
        <f>C263&amp;X263&amp;Y263</f>
        <v>#N/A</v>
      </c>
      <c r="AA263" t="e">
        <f>VLOOKUP($Z263,'oddspedia-matches'!$A:$AD,AA$2,0)</f>
        <v>#N/A</v>
      </c>
      <c r="AB263" t="e">
        <f>VLOOKUP($Z263,'oddspedia-matches'!$A:$AD,AB$2,0)</f>
        <v>#N/A</v>
      </c>
      <c r="AC263" t="e">
        <f>VLOOKUP($Z263,'oddspedia-matches'!$A:$AD,AC$2,0)</f>
        <v>#N/A</v>
      </c>
      <c r="AD263" t="e">
        <f>VLOOKUP($Z263,'oddspedia-matches'!$A:$AD,AD$2,0)</f>
        <v>#N/A</v>
      </c>
      <c r="AE263" t="e">
        <f>VLOOKUP($Z263,'oddspedia-matches'!$A:$AD,AE$2,0)</f>
        <v>#N/A</v>
      </c>
      <c r="AF263" t="e">
        <f>VLOOKUP($Z263,'oddspedia-matches'!$A:$AD,AF$2,0)</f>
        <v>#N/A</v>
      </c>
      <c r="AG263" t="e">
        <f>VLOOKUP($Z263,'oddspedia-matches'!$A:$AD,AG$2,0)</f>
        <v>#N/A</v>
      </c>
      <c r="AH263" t="e">
        <f>VLOOKUP($Z263,'oddspedia-matches'!$A:$AD,AH$2,0)</f>
        <v>#N/A</v>
      </c>
      <c r="AI263" t="e">
        <f>VLOOKUP($Z263,'oddspedia-matches'!$A:$AD,AI$2,0)</f>
        <v>#N/A</v>
      </c>
      <c r="AJ263" t="e">
        <f>VLOOKUP($Z263,'oddspedia-matches'!$A:$AD,AJ$2,0)</f>
        <v>#N/A</v>
      </c>
      <c r="AK263" t="e">
        <f>VLOOKUP($Z263,'oddspedia-matches'!$A:$AD,AK$2,0)</f>
        <v>#N/A</v>
      </c>
      <c r="AL263" t="e">
        <f>VLOOKUP($Z263,'oddspedia-matches'!$A:$AD,AL$2,0)</f>
        <v>#N/A</v>
      </c>
      <c r="AM263" t="e">
        <f>VLOOKUP($Z263,'oddspedia-matches'!$A:$AD,AM$2,0)</f>
        <v>#N/A</v>
      </c>
      <c r="AN263" t="e">
        <f>VLOOKUP($Z263,'oddspedia-matches'!$A:$AD,AN$2,0)</f>
        <v>#N/A</v>
      </c>
      <c r="AO263" t="e">
        <f>VLOOKUP($Z263,'oddspedia-matches'!$A:$AD,AO$2,0)</f>
        <v>#N/A</v>
      </c>
      <c r="AP263" t="e">
        <f>VLOOKUP($Z263,'oddspedia-matches'!$A:$AD,AP$2,0)</f>
        <v>#N/A</v>
      </c>
      <c r="AQ263" t="e">
        <f>VLOOKUP($Z263,'oddspedia-matches'!$A:$AD,AQ$2,0)</f>
        <v>#N/A</v>
      </c>
    </row>
    <row r="264" spans="2:43" x14ac:dyDescent="0.2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Danubio</v>
      </c>
      <c r="Y264" t="e">
        <f>VLOOKUP(F264,'Transform table'!A:B,2,0)</f>
        <v>#N/A</v>
      </c>
      <c r="Z264" t="e">
        <f>C264&amp;X264&amp;Y264</f>
        <v>#N/A</v>
      </c>
      <c r="AA264" t="e">
        <f>VLOOKUP($Z264,'oddspedia-matches'!$A:$AD,AA$2,0)</f>
        <v>#N/A</v>
      </c>
      <c r="AB264" t="e">
        <f>VLOOKUP($Z264,'oddspedia-matches'!$A:$AD,AB$2,0)</f>
        <v>#N/A</v>
      </c>
      <c r="AC264" t="e">
        <f>VLOOKUP($Z264,'oddspedia-matches'!$A:$AD,AC$2,0)</f>
        <v>#N/A</v>
      </c>
      <c r="AD264" t="e">
        <f>VLOOKUP($Z264,'oddspedia-matches'!$A:$AD,AD$2,0)</f>
        <v>#N/A</v>
      </c>
      <c r="AE264" t="e">
        <f>VLOOKUP($Z264,'oddspedia-matches'!$A:$AD,AE$2,0)</f>
        <v>#N/A</v>
      </c>
      <c r="AF264" t="e">
        <f>VLOOKUP($Z264,'oddspedia-matches'!$A:$AD,AF$2,0)</f>
        <v>#N/A</v>
      </c>
      <c r="AG264" t="e">
        <f>VLOOKUP($Z264,'oddspedia-matches'!$A:$AD,AG$2,0)</f>
        <v>#N/A</v>
      </c>
      <c r="AH264" t="e">
        <f>VLOOKUP($Z264,'oddspedia-matches'!$A:$AD,AH$2,0)</f>
        <v>#N/A</v>
      </c>
      <c r="AI264" t="e">
        <f>VLOOKUP($Z264,'oddspedia-matches'!$A:$AD,AI$2,0)</f>
        <v>#N/A</v>
      </c>
      <c r="AJ264" t="e">
        <f>VLOOKUP($Z264,'oddspedia-matches'!$A:$AD,AJ$2,0)</f>
        <v>#N/A</v>
      </c>
      <c r="AK264" t="e">
        <f>VLOOKUP($Z264,'oddspedia-matches'!$A:$AD,AK$2,0)</f>
        <v>#N/A</v>
      </c>
      <c r="AL264" t="e">
        <f>VLOOKUP($Z264,'oddspedia-matches'!$A:$AD,AL$2,0)</f>
        <v>#N/A</v>
      </c>
      <c r="AM264" t="e">
        <f>VLOOKUP($Z264,'oddspedia-matches'!$A:$AD,AM$2,0)</f>
        <v>#N/A</v>
      </c>
      <c r="AN264" t="e">
        <f>VLOOKUP($Z264,'oddspedia-matches'!$A:$AD,AN$2,0)</f>
        <v>#N/A</v>
      </c>
      <c r="AO264" t="e">
        <f>VLOOKUP($Z264,'oddspedia-matches'!$A:$AD,AO$2,0)</f>
        <v>#N/A</v>
      </c>
      <c r="AP264" t="e">
        <f>VLOOKUP($Z264,'oddspedia-matches'!$A:$AD,AP$2,0)</f>
        <v>#N/A</v>
      </c>
      <c r="AQ264" t="e">
        <f>VLOOKUP($Z264,'oddspedia-matches'!$A:$AD,AQ$2,0)</f>
        <v>#N/A</v>
      </c>
    </row>
    <row r="265" spans="2:43" x14ac:dyDescent="0.2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e">
        <f>VLOOKUP(F265,'Transform table'!A:B,2,0)</f>
        <v>#N/A</v>
      </c>
      <c r="Z265" t="e">
        <f>C265&amp;X265&amp;Y265</f>
        <v>#N/A</v>
      </c>
      <c r="AA265" t="e">
        <f>VLOOKUP($Z265,'oddspedia-matches'!$A:$AD,AA$2,0)</f>
        <v>#N/A</v>
      </c>
      <c r="AB265" t="e">
        <f>VLOOKUP($Z265,'oddspedia-matches'!$A:$AD,AB$2,0)</f>
        <v>#N/A</v>
      </c>
      <c r="AC265" t="e">
        <f>VLOOKUP($Z265,'oddspedia-matches'!$A:$AD,AC$2,0)</f>
        <v>#N/A</v>
      </c>
      <c r="AD265" t="e">
        <f>VLOOKUP($Z265,'oddspedia-matches'!$A:$AD,AD$2,0)</f>
        <v>#N/A</v>
      </c>
      <c r="AE265" t="e">
        <f>VLOOKUP($Z265,'oddspedia-matches'!$A:$AD,AE$2,0)</f>
        <v>#N/A</v>
      </c>
      <c r="AF265" t="e">
        <f>VLOOKUP($Z265,'oddspedia-matches'!$A:$AD,AF$2,0)</f>
        <v>#N/A</v>
      </c>
      <c r="AG265" t="e">
        <f>VLOOKUP($Z265,'oddspedia-matches'!$A:$AD,AG$2,0)</f>
        <v>#N/A</v>
      </c>
      <c r="AH265" t="e">
        <f>VLOOKUP($Z265,'oddspedia-matches'!$A:$AD,AH$2,0)</f>
        <v>#N/A</v>
      </c>
      <c r="AI265" t="e">
        <f>VLOOKUP($Z265,'oddspedia-matches'!$A:$AD,AI$2,0)</f>
        <v>#N/A</v>
      </c>
      <c r="AJ265" t="e">
        <f>VLOOKUP($Z265,'oddspedia-matches'!$A:$AD,AJ$2,0)</f>
        <v>#N/A</v>
      </c>
      <c r="AK265" t="e">
        <f>VLOOKUP($Z265,'oddspedia-matches'!$A:$AD,AK$2,0)</f>
        <v>#N/A</v>
      </c>
      <c r="AL265" t="e">
        <f>VLOOKUP($Z265,'oddspedia-matches'!$A:$AD,AL$2,0)</f>
        <v>#N/A</v>
      </c>
      <c r="AM265" t="e">
        <f>VLOOKUP($Z265,'oddspedia-matches'!$A:$AD,AM$2,0)</f>
        <v>#N/A</v>
      </c>
      <c r="AN265" t="e">
        <f>VLOOKUP($Z265,'oddspedia-matches'!$A:$AD,AN$2,0)</f>
        <v>#N/A</v>
      </c>
      <c r="AO265" t="e">
        <f>VLOOKUP($Z265,'oddspedia-matches'!$A:$AD,AO$2,0)</f>
        <v>#N/A</v>
      </c>
      <c r="AP265" t="e">
        <f>VLOOKUP($Z265,'oddspedia-matches'!$A:$AD,AP$2,0)</f>
        <v>#N/A</v>
      </c>
      <c r="AQ265" t="e">
        <f>VLOOKUP($Z265,'oddspedia-matches'!$A:$AD,AQ$2,0)</f>
        <v>#N/A</v>
      </c>
    </row>
    <row r="266" spans="2:43" x14ac:dyDescent="0.2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>
        <f>VLOOKUP(E266,'Transform table'!A:B,2,0)</f>
        <v>0</v>
      </c>
      <c r="Y266" t="str">
        <f>VLOOKUP(F266,'Transform table'!A:B,2,0)</f>
        <v>Real Oruro</v>
      </c>
      <c r="Z266" t="str">
        <f>C266&amp;X266&amp;Y266</f>
        <v>25/07/20260Real Oruro</v>
      </c>
      <c r="AA266" t="e">
        <f>VLOOKUP($Z266,'oddspedia-matches'!$A:$AD,AA$2,0)</f>
        <v>#N/A</v>
      </c>
      <c r="AB266" t="e">
        <f>VLOOKUP($Z266,'oddspedia-matches'!$A:$AD,AB$2,0)</f>
        <v>#N/A</v>
      </c>
      <c r="AC266" t="e">
        <f>VLOOKUP($Z266,'oddspedia-matches'!$A:$AD,AC$2,0)</f>
        <v>#N/A</v>
      </c>
      <c r="AD266" t="e">
        <f>VLOOKUP($Z266,'oddspedia-matches'!$A:$AD,AD$2,0)</f>
        <v>#N/A</v>
      </c>
      <c r="AE266" t="e">
        <f>VLOOKUP($Z266,'oddspedia-matches'!$A:$AD,AE$2,0)</f>
        <v>#N/A</v>
      </c>
      <c r="AF266" t="e">
        <f>VLOOKUP($Z266,'oddspedia-matches'!$A:$AD,AF$2,0)</f>
        <v>#N/A</v>
      </c>
      <c r="AG266" t="e">
        <f>VLOOKUP($Z266,'oddspedia-matches'!$A:$AD,AG$2,0)</f>
        <v>#N/A</v>
      </c>
      <c r="AH266" t="e">
        <f>VLOOKUP($Z266,'oddspedia-matches'!$A:$AD,AH$2,0)</f>
        <v>#N/A</v>
      </c>
      <c r="AI266" t="e">
        <f>VLOOKUP($Z266,'oddspedia-matches'!$A:$AD,AI$2,0)</f>
        <v>#N/A</v>
      </c>
      <c r="AJ266" t="e">
        <f>VLOOKUP($Z266,'oddspedia-matches'!$A:$AD,AJ$2,0)</f>
        <v>#N/A</v>
      </c>
      <c r="AK266" t="e">
        <f>VLOOKUP($Z266,'oddspedia-matches'!$A:$AD,AK$2,0)</f>
        <v>#N/A</v>
      </c>
      <c r="AL266" t="e">
        <f>VLOOKUP($Z266,'oddspedia-matches'!$A:$AD,AL$2,0)</f>
        <v>#N/A</v>
      </c>
      <c r="AM266" t="e">
        <f>VLOOKUP($Z266,'oddspedia-matches'!$A:$AD,AM$2,0)</f>
        <v>#N/A</v>
      </c>
      <c r="AN266" t="e">
        <f>VLOOKUP($Z266,'oddspedia-matches'!$A:$AD,AN$2,0)</f>
        <v>#N/A</v>
      </c>
      <c r="AO266" t="e">
        <f>VLOOKUP($Z266,'oddspedia-matches'!$A:$AD,AO$2,0)</f>
        <v>#N/A</v>
      </c>
      <c r="AP266" t="e">
        <f>VLOOKUP($Z266,'oddspedia-matches'!$A:$AD,AP$2,0)</f>
        <v>#N/A</v>
      </c>
      <c r="AQ266" t="e">
        <f>VLOOKUP($Z266,'oddspedia-matches'!$A:$AD,AQ$2,0)</f>
        <v>#N/A</v>
      </c>
    </row>
    <row r="267" spans="2:43" x14ac:dyDescent="0.2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>C267&amp;X267&amp;Y267</f>
        <v>25/07/2026Athletico ParanaenseInternacional</v>
      </c>
      <c r="AA267" t="e">
        <f>VLOOKUP($Z267,'oddspedia-matches'!$A:$AD,AA$2,0)</f>
        <v>#N/A</v>
      </c>
      <c r="AB267" t="e">
        <f>VLOOKUP($Z267,'oddspedia-matches'!$A:$AD,AB$2,0)</f>
        <v>#N/A</v>
      </c>
      <c r="AC267" t="e">
        <f>VLOOKUP($Z267,'oddspedia-matches'!$A:$AD,AC$2,0)</f>
        <v>#N/A</v>
      </c>
      <c r="AD267" t="e">
        <f>VLOOKUP($Z267,'oddspedia-matches'!$A:$AD,AD$2,0)</f>
        <v>#N/A</v>
      </c>
      <c r="AE267" t="e">
        <f>VLOOKUP($Z267,'oddspedia-matches'!$A:$AD,AE$2,0)</f>
        <v>#N/A</v>
      </c>
      <c r="AF267" t="e">
        <f>VLOOKUP($Z267,'oddspedia-matches'!$A:$AD,AF$2,0)</f>
        <v>#N/A</v>
      </c>
      <c r="AG267" t="e">
        <f>VLOOKUP($Z267,'oddspedia-matches'!$A:$AD,AG$2,0)</f>
        <v>#N/A</v>
      </c>
      <c r="AH267" t="e">
        <f>VLOOKUP($Z267,'oddspedia-matches'!$A:$AD,AH$2,0)</f>
        <v>#N/A</v>
      </c>
      <c r="AI267" t="e">
        <f>VLOOKUP($Z267,'oddspedia-matches'!$A:$AD,AI$2,0)</f>
        <v>#N/A</v>
      </c>
      <c r="AJ267" t="e">
        <f>VLOOKUP($Z267,'oddspedia-matches'!$A:$AD,AJ$2,0)</f>
        <v>#N/A</v>
      </c>
      <c r="AK267" t="e">
        <f>VLOOKUP($Z267,'oddspedia-matches'!$A:$AD,AK$2,0)</f>
        <v>#N/A</v>
      </c>
      <c r="AL267" t="e">
        <f>VLOOKUP($Z267,'oddspedia-matches'!$A:$AD,AL$2,0)</f>
        <v>#N/A</v>
      </c>
      <c r="AM267" t="e">
        <f>VLOOKUP($Z267,'oddspedia-matches'!$A:$AD,AM$2,0)</f>
        <v>#N/A</v>
      </c>
      <c r="AN267" t="e">
        <f>VLOOKUP($Z267,'oddspedia-matches'!$A:$AD,AN$2,0)</f>
        <v>#N/A</v>
      </c>
      <c r="AO267" t="e">
        <f>VLOOKUP($Z267,'oddspedia-matches'!$A:$AD,AO$2,0)</f>
        <v>#N/A</v>
      </c>
      <c r="AP267" t="e">
        <f>VLOOKUP($Z267,'oddspedia-matches'!$A:$AD,AP$2,0)</f>
        <v>#N/A</v>
      </c>
      <c r="AQ267" t="e">
        <f>VLOOKUP($Z267,'oddspedia-matches'!$A:$AD,AQ$2,0)</f>
        <v>#N/A</v>
      </c>
    </row>
    <row r="268" spans="2:43" x14ac:dyDescent="0.2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>C268&amp;X268&amp;Y268</f>
        <v>25/07/2026SantosChapecoense</v>
      </c>
      <c r="AA268" t="e">
        <f>VLOOKUP($Z268,'oddspedia-matches'!$A:$AD,AA$2,0)</f>
        <v>#N/A</v>
      </c>
      <c r="AB268" t="e">
        <f>VLOOKUP($Z268,'oddspedia-matches'!$A:$AD,AB$2,0)</f>
        <v>#N/A</v>
      </c>
      <c r="AC268" t="e">
        <f>VLOOKUP($Z268,'oddspedia-matches'!$A:$AD,AC$2,0)</f>
        <v>#N/A</v>
      </c>
      <c r="AD268" t="e">
        <f>VLOOKUP($Z268,'oddspedia-matches'!$A:$AD,AD$2,0)</f>
        <v>#N/A</v>
      </c>
      <c r="AE268" t="e">
        <f>VLOOKUP($Z268,'oddspedia-matches'!$A:$AD,AE$2,0)</f>
        <v>#N/A</v>
      </c>
      <c r="AF268" t="e">
        <f>VLOOKUP($Z268,'oddspedia-matches'!$A:$AD,AF$2,0)</f>
        <v>#N/A</v>
      </c>
      <c r="AG268" t="e">
        <f>VLOOKUP($Z268,'oddspedia-matches'!$A:$AD,AG$2,0)</f>
        <v>#N/A</v>
      </c>
      <c r="AH268" t="e">
        <f>VLOOKUP($Z268,'oddspedia-matches'!$A:$AD,AH$2,0)</f>
        <v>#N/A</v>
      </c>
      <c r="AI268" t="e">
        <f>VLOOKUP($Z268,'oddspedia-matches'!$A:$AD,AI$2,0)</f>
        <v>#N/A</v>
      </c>
      <c r="AJ268" t="e">
        <f>VLOOKUP($Z268,'oddspedia-matches'!$A:$AD,AJ$2,0)</f>
        <v>#N/A</v>
      </c>
      <c r="AK268" t="e">
        <f>VLOOKUP($Z268,'oddspedia-matches'!$A:$AD,AK$2,0)</f>
        <v>#N/A</v>
      </c>
      <c r="AL268" t="e">
        <f>VLOOKUP($Z268,'oddspedia-matches'!$A:$AD,AL$2,0)</f>
        <v>#N/A</v>
      </c>
      <c r="AM268" t="e">
        <f>VLOOKUP($Z268,'oddspedia-matches'!$A:$AD,AM$2,0)</f>
        <v>#N/A</v>
      </c>
      <c r="AN268" t="e">
        <f>VLOOKUP($Z268,'oddspedia-matches'!$A:$AD,AN$2,0)</f>
        <v>#N/A</v>
      </c>
      <c r="AO268" t="e">
        <f>VLOOKUP($Z268,'oddspedia-matches'!$A:$AD,AO$2,0)</f>
        <v>#N/A</v>
      </c>
      <c r="AP268" t="e">
        <f>VLOOKUP($Z268,'oddspedia-matches'!$A:$AD,AP$2,0)</f>
        <v>#N/A</v>
      </c>
      <c r="AQ268" t="e">
        <f>VLOOKUP($Z268,'oddspedia-matches'!$A:$AD,AQ$2,0)</f>
        <v>#N/A</v>
      </c>
    </row>
    <row r="269" spans="2:43" x14ac:dyDescent="0.2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>
        <f>VLOOKUP(E269,'Transform table'!A:B,2,0)</f>
        <v>0</v>
      </c>
      <c r="Y269" t="e">
        <f>VLOOKUP(F269,'Transform table'!A:B,2,0)</f>
        <v>#N/A</v>
      </c>
      <c r="Z269" t="e">
        <f>C269&amp;X269&amp;Y269</f>
        <v>#N/A</v>
      </c>
      <c r="AA269" t="e">
        <f>VLOOKUP($Z269,'oddspedia-matches'!$A:$AD,AA$2,0)</f>
        <v>#N/A</v>
      </c>
      <c r="AB269" t="e">
        <f>VLOOKUP($Z269,'oddspedia-matches'!$A:$AD,AB$2,0)</f>
        <v>#N/A</v>
      </c>
      <c r="AC269" t="e">
        <f>VLOOKUP($Z269,'oddspedia-matches'!$A:$AD,AC$2,0)</f>
        <v>#N/A</v>
      </c>
      <c r="AD269" t="e">
        <f>VLOOKUP($Z269,'oddspedia-matches'!$A:$AD,AD$2,0)</f>
        <v>#N/A</v>
      </c>
      <c r="AE269" t="e">
        <f>VLOOKUP($Z269,'oddspedia-matches'!$A:$AD,AE$2,0)</f>
        <v>#N/A</v>
      </c>
      <c r="AF269" t="e">
        <f>VLOOKUP($Z269,'oddspedia-matches'!$A:$AD,AF$2,0)</f>
        <v>#N/A</v>
      </c>
      <c r="AG269" t="e">
        <f>VLOOKUP($Z269,'oddspedia-matches'!$A:$AD,AG$2,0)</f>
        <v>#N/A</v>
      </c>
      <c r="AH269" t="e">
        <f>VLOOKUP($Z269,'oddspedia-matches'!$A:$AD,AH$2,0)</f>
        <v>#N/A</v>
      </c>
      <c r="AI269" t="e">
        <f>VLOOKUP($Z269,'oddspedia-matches'!$A:$AD,AI$2,0)</f>
        <v>#N/A</v>
      </c>
      <c r="AJ269" t="e">
        <f>VLOOKUP($Z269,'oddspedia-matches'!$A:$AD,AJ$2,0)</f>
        <v>#N/A</v>
      </c>
      <c r="AK269" t="e">
        <f>VLOOKUP($Z269,'oddspedia-matches'!$A:$AD,AK$2,0)</f>
        <v>#N/A</v>
      </c>
      <c r="AL269" t="e">
        <f>VLOOKUP($Z269,'oddspedia-matches'!$A:$AD,AL$2,0)</f>
        <v>#N/A</v>
      </c>
      <c r="AM269" t="e">
        <f>VLOOKUP($Z269,'oddspedia-matches'!$A:$AD,AM$2,0)</f>
        <v>#N/A</v>
      </c>
      <c r="AN269" t="e">
        <f>VLOOKUP($Z269,'oddspedia-matches'!$A:$AD,AN$2,0)</f>
        <v>#N/A</v>
      </c>
      <c r="AO269" t="e">
        <f>VLOOKUP($Z269,'oddspedia-matches'!$A:$AD,AO$2,0)</f>
        <v>#N/A</v>
      </c>
      <c r="AP269" t="e">
        <f>VLOOKUP($Z269,'oddspedia-matches'!$A:$AD,AP$2,0)</f>
        <v>#N/A</v>
      </c>
      <c r="AQ269" t="e">
        <f>VLOOKUP($Z269,'oddspedia-matches'!$A:$AD,AQ$2,0)</f>
        <v>#N/A</v>
      </c>
    </row>
    <row r="270" spans="2:43" x14ac:dyDescent="0.2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Hapoel Petah Tikva</v>
      </c>
      <c r="Y270" t="e">
        <f>VLOOKUP(F270,'Transform table'!A:B,2,0)</f>
        <v>#N/A</v>
      </c>
      <c r="Z270" t="e">
        <f>C270&amp;X270&amp;Y270</f>
        <v>#N/A</v>
      </c>
      <c r="AA270" t="e">
        <f>VLOOKUP($Z270,'oddspedia-matches'!$A:$AD,AA$2,0)</f>
        <v>#N/A</v>
      </c>
      <c r="AB270" t="e">
        <f>VLOOKUP($Z270,'oddspedia-matches'!$A:$AD,AB$2,0)</f>
        <v>#N/A</v>
      </c>
      <c r="AC270" t="e">
        <f>VLOOKUP($Z270,'oddspedia-matches'!$A:$AD,AC$2,0)</f>
        <v>#N/A</v>
      </c>
      <c r="AD270" t="e">
        <f>VLOOKUP($Z270,'oddspedia-matches'!$A:$AD,AD$2,0)</f>
        <v>#N/A</v>
      </c>
      <c r="AE270" t="e">
        <f>VLOOKUP($Z270,'oddspedia-matches'!$A:$AD,AE$2,0)</f>
        <v>#N/A</v>
      </c>
      <c r="AF270" t="e">
        <f>VLOOKUP($Z270,'oddspedia-matches'!$A:$AD,AF$2,0)</f>
        <v>#N/A</v>
      </c>
      <c r="AG270" t="e">
        <f>VLOOKUP($Z270,'oddspedia-matches'!$A:$AD,AG$2,0)</f>
        <v>#N/A</v>
      </c>
      <c r="AH270" t="e">
        <f>VLOOKUP($Z270,'oddspedia-matches'!$A:$AD,AH$2,0)</f>
        <v>#N/A</v>
      </c>
      <c r="AI270" t="e">
        <f>VLOOKUP($Z270,'oddspedia-matches'!$A:$AD,AI$2,0)</f>
        <v>#N/A</v>
      </c>
      <c r="AJ270" t="e">
        <f>VLOOKUP($Z270,'oddspedia-matches'!$A:$AD,AJ$2,0)</f>
        <v>#N/A</v>
      </c>
      <c r="AK270" t="e">
        <f>VLOOKUP($Z270,'oddspedia-matches'!$A:$AD,AK$2,0)</f>
        <v>#N/A</v>
      </c>
      <c r="AL270" t="e">
        <f>VLOOKUP($Z270,'oddspedia-matches'!$A:$AD,AL$2,0)</f>
        <v>#N/A</v>
      </c>
      <c r="AM270" t="e">
        <f>VLOOKUP($Z270,'oddspedia-matches'!$A:$AD,AM$2,0)</f>
        <v>#N/A</v>
      </c>
      <c r="AN270" t="e">
        <f>VLOOKUP($Z270,'oddspedia-matches'!$A:$AD,AN$2,0)</f>
        <v>#N/A</v>
      </c>
      <c r="AO270" t="e">
        <f>VLOOKUP($Z270,'oddspedia-matches'!$A:$AD,AO$2,0)</f>
        <v>#N/A</v>
      </c>
      <c r="AP270" t="e">
        <f>VLOOKUP($Z270,'oddspedia-matches'!$A:$AD,AP$2,0)</f>
        <v>#N/A</v>
      </c>
      <c r="AQ270" t="e">
        <f>VLOOKUP($Z270,'oddspedia-matches'!$A:$AD,AQ$2,0)</f>
        <v>#N/A</v>
      </c>
    </row>
    <row r="271" spans="2:43" x14ac:dyDescent="0.2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Club Bolivar</v>
      </c>
      <c r="Y271" t="e">
        <f>VLOOKUP(F271,'Transform table'!A:B,2,0)</f>
        <v>#N/A</v>
      </c>
      <c r="Z271" t="e">
        <f>C271&amp;X271&amp;Y271</f>
        <v>#N/A</v>
      </c>
      <c r="AA271" t="e">
        <f>VLOOKUP($Z271,'oddspedia-matches'!$A:$AD,AA$2,0)</f>
        <v>#N/A</v>
      </c>
      <c r="AB271" t="e">
        <f>VLOOKUP($Z271,'oddspedia-matches'!$A:$AD,AB$2,0)</f>
        <v>#N/A</v>
      </c>
      <c r="AC271" t="e">
        <f>VLOOKUP($Z271,'oddspedia-matches'!$A:$AD,AC$2,0)</f>
        <v>#N/A</v>
      </c>
      <c r="AD271" t="e">
        <f>VLOOKUP($Z271,'oddspedia-matches'!$A:$AD,AD$2,0)</f>
        <v>#N/A</v>
      </c>
      <c r="AE271" t="e">
        <f>VLOOKUP($Z271,'oddspedia-matches'!$A:$AD,AE$2,0)</f>
        <v>#N/A</v>
      </c>
      <c r="AF271" t="e">
        <f>VLOOKUP($Z271,'oddspedia-matches'!$A:$AD,AF$2,0)</f>
        <v>#N/A</v>
      </c>
      <c r="AG271" t="e">
        <f>VLOOKUP($Z271,'oddspedia-matches'!$A:$AD,AG$2,0)</f>
        <v>#N/A</v>
      </c>
      <c r="AH271" t="e">
        <f>VLOOKUP($Z271,'oddspedia-matches'!$A:$AD,AH$2,0)</f>
        <v>#N/A</v>
      </c>
      <c r="AI271" t="e">
        <f>VLOOKUP($Z271,'oddspedia-matches'!$A:$AD,AI$2,0)</f>
        <v>#N/A</v>
      </c>
      <c r="AJ271" t="e">
        <f>VLOOKUP($Z271,'oddspedia-matches'!$A:$AD,AJ$2,0)</f>
        <v>#N/A</v>
      </c>
      <c r="AK271" t="e">
        <f>VLOOKUP($Z271,'oddspedia-matches'!$A:$AD,AK$2,0)</f>
        <v>#N/A</v>
      </c>
      <c r="AL271" t="e">
        <f>VLOOKUP($Z271,'oddspedia-matches'!$A:$AD,AL$2,0)</f>
        <v>#N/A</v>
      </c>
      <c r="AM271" t="e">
        <f>VLOOKUP($Z271,'oddspedia-matches'!$A:$AD,AM$2,0)</f>
        <v>#N/A</v>
      </c>
      <c r="AN271" t="e">
        <f>VLOOKUP($Z271,'oddspedia-matches'!$A:$AD,AN$2,0)</f>
        <v>#N/A</v>
      </c>
      <c r="AO271" t="e">
        <f>VLOOKUP($Z271,'oddspedia-matches'!$A:$AD,AO$2,0)</f>
        <v>#N/A</v>
      </c>
      <c r="AP271" t="e">
        <f>VLOOKUP($Z271,'oddspedia-matches'!$A:$AD,AP$2,0)</f>
        <v>#N/A</v>
      </c>
      <c r="AQ271" t="e">
        <f>VLOOKUP($Z271,'oddspedia-matches'!$A:$AD,AQ$2,0)</f>
        <v>#N/A</v>
      </c>
    </row>
    <row r="272" spans="2:43" x14ac:dyDescent="0.2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Sportivo Iteno</v>
      </c>
      <c r="Y272" t="str">
        <f>VLOOKUP(F272,'Transform table'!A:B,2,0)</f>
        <v>Nacional De Football</v>
      </c>
      <c r="Z272" t="str">
        <f>C272&amp;X272&amp;Y272</f>
        <v>25/07/2026Sportivo ItenoNacional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x14ac:dyDescent="0.2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e">
        <f>VLOOKUP(F273,'Transform table'!A:B,2,0)</f>
        <v>#N/A</v>
      </c>
      <c r="Z273" t="e">
        <f>C273&amp;X273&amp;Y273</f>
        <v>#N/A</v>
      </c>
      <c r="AA273" t="e">
        <f>VLOOKUP($Z273,'oddspedia-matches'!$A:$AD,AA$2,0)</f>
        <v>#N/A</v>
      </c>
      <c r="AB273" t="e">
        <f>VLOOKUP($Z273,'oddspedia-matches'!$A:$AD,AB$2,0)</f>
        <v>#N/A</v>
      </c>
      <c r="AC273" t="e">
        <f>VLOOKUP($Z273,'oddspedia-matches'!$A:$AD,AC$2,0)</f>
        <v>#N/A</v>
      </c>
      <c r="AD273" t="e">
        <f>VLOOKUP($Z273,'oddspedia-matches'!$A:$AD,AD$2,0)</f>
        <v>#N/A</v>
      </c>
      <c r="AE273" t="e">
        <f>VLOOKUP($Z273,'oddspedia-matches'!$A:$AD,AE$2,0)</f>
        <v>#N/A</v>
      </c>
      <c r="AF273" t="e">
        <f>VLOOKUP($Z273,'oddspedia-matches'!$A:$AD,AF$2,0)</f>
        <v>#N/A</v>
      </c>
      <c r="AG273" t="e">
        <f>VLOOKUP($Z273,'oddspedia-matches'!$A:$AD,AG$2,0)</f>
        <v>#N/A</v>
      </c>
      <c r="AH273" t="e">
        <f>VLOOKUP($Z273,'oddspedia-matches'!$A:$AD,AH$2,0)</f>
        <v>#N/A</v>
      </c>
      <c r="AI273" t="e">
        <f>VLOOKUP($Z273,'oddspedia-matches'!$A:$AD,AI$2,0)</f>
        <v>#N/A</v>
      </c>
      <c r="AJ273" t="e">
        <f>VLOOKUP($Z273,'oddspedia-matches'!$A:$AD,AJ$2,0)</f>
        <v>#N/A</v>
      </c>
      <c r="AK273" t="e">
        <f>VLOOKUP($Z273,'oddspedia-matches'!$A:$AD,AK$2,0)</f>
        <v>#N/A</v>
      </c>
      <c r="AL273" t="e">
        <f>VLOOKUP($Z273,'oddspedia-matches'!$A:$AD,AL$2,0)</f>
        <v>#N/A</v>
      </c>
      <c r="AM273" t="e">
        <f>VLOOKUP($Z273,'oddspedia-matches'!$A:$AD,AM$2,0)</f>
        <v>#N/A</v>
      </c>
      <c r="AN273" t="e">
        <f>VLOOKUP($Z273,'oddspedia-matches'!$A:$AD,AN$2,0)</f>
        <v>#N/A</v>
      </c>
      <c r="AO273" t="e">
        <f>VLOOKUP($Z273,'oddspedia-matches'!$A:$AD,AO$2,0)</f>
        <v>#N/A</v>
      </c>
      <c r="AP273" t="e">
        <f>VLOOKUP($Z273,'oddspedia-matches'!$A:$AD,AP$2,0)</f>
        <v>#N/A</v>
      </c>
      <c r="AQ273" t="e">
        <f>VLOOKUP($Z273,'oddspedia-matches'!$A:$AD,AQ$2,0)</f>
        <v>#N/A</v>
      </c>
    </row>
    <row r="274" spans="2:43" x14ac:dyDescent="0.2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e">
        <f>VLOOKUP(F274,'Transform table'!A:B,2,0)</f>
        <v>#N/A</v>
      </c>
      <c r="Z274" t="e">
        <f>C274&amp;X274&amp;Y274</f>
        <v>#N/A</v>
      </c>
      <c r="AA274" t="e">
        <f>VLOOKUP($Z274,'oddspedia-matches'!$A:$AD,AA$2,0)</f>
        <v>#N/A</v>
      </c>
      <c r="AB274" t="e">
        <f>VLOOKUP($Z274,'oddspedia-matches'!$A:$AD,AB$2,0)</f>
        <v>#N/A</v>
      </c>
      <c r="AC274" t="e">
        <f>VLOOKUP($Z274,'oddspedia-matches'!$A:$AD,AC$2,0)</f>
        <v>#N/A</v>
      </c>
      <c r="AD274" t="e">
        <f>VLOOKUP($Z274,'oddspedia-matches'!$A:$AD,AD$2,0)</f>
        <v>#N/A</v>
      </c>
      <c r="AE274" t="e">
        <f>VLOOKUP($Z274,'oddspedia-matches'!$A:$AD,AE$2,0)</f>
        <v>#N/A</v>
      </c>
      <c r="AF274" t="e">
        <f>VLOOKUP($Z274,'oddspedia-matches'!$A:$AD,AF$2,0)</f>
        <v>#N/A</v>
      </c>
      <c r="AG274" t="e">
        <f>VLOOKUP($Z274,'oddspedia-matches'!$A:$AD,AG$2,0)</f>
        <v>#N/A</v>
      </c>
      <c r="AH274" t="e">
        <f>VLOOKUP($Z274,'oddspedia-matches'!$A:$AD,AH$2,0)</f>
        <v>#N/A</v>
      </c>
      <c r="AI274" t="e">
        <f>VLOOKUP($Z274,'oddspedia-matches'!$A:$AD,AI$2,0)</f>
        <v>#N/A</v>
      </c>
      <c r="AJ274" t="e">
        <f>VLOOKUP($Z274,'oddspedia-matches'!$A:$AD,AJ$2,0)</f>
        <v>#N/A</v>
      </c>
      <c r="AK274" t="e">
        <f>VLOOKUP($Z274,'oddspedia-matches'!$A:$AD,AK$2,0)</f>
        <v>#N/A</v>
      </c>
      <c r="AL274" t="e">
        <f>VLOOKUP($Z274,'oddspedia-matches'!$A:$AD,AL$2,0)</f>
        <v>#N/A</v>
      </c>
      <c r="AM274" t="e">
        <f>VLOOKUP($Z274,'oddspedia-matches'!$A:$AD,AM$2,0)</f>
        <v>#N/A</v>
      </c>
      <c r="AN274" t="e">
        <f>VLOOKUP($Z274,'oddspedia-matches'!$A:$AD,AN$2,0)</f>
        <v>#N/A</v>
      </c>
      <c r="AO274" t="e">
        <f>VLOOKUP($Z274,'oddspedia-matches'!$A:$AD,AO$2,0)</f>
        <v>#N/A</v>
      </c>
      <c r="AP274" t="e">
        <f>VLOOKUP($Z274,'oddspedia-matches'!$A:$AD,AP$2,0)</f>
        <v>#N/A</v>
      </c>
      <c r="AQ274" t="e">
        <f>VLOOKUP($Z274,'oddspedia-matches'!$A:$AD,AQ$2,0)</f>
        <v>#N/A</v>
      </c>
    </row>
    <row r="275" spans="2:43" x14ac:dyDescent="0.2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Rangers</v>
      </c>
      <c r="Y275" t="e">
        <f>VLOOKUP(F275,'Transform table'!A:B,2,0)</f>
        <v>#N/A</v>
      </c>
      <c r="Z275" t="e">
        <f>C275&amp;X275&amp;Y275</f>
        <v>#N/A</v>
      </c>
      <c r="AA275" t="e">
        <f>VLOOKUP($Z275,'oddspedia-matches'!$A:$AD,AA$2,0)</f>
        <v>#N/A</v>
      </c>
      <c r="AB275" t="e">
        <f>VLOOKUP($Z275,'oddspedia-matches'!$A:$AD,AB$2,0)</f>
        <v>#N/A</v>
      </c>
      <c r="AC275" t="e">
        <f>VLOOKUP($Z275,'oddspedia-matches'!$A:$AD,AC$2,0)</f>
        <v>#N/A</v>
      </c>
      <c r="AD275" t="e">
        <f>VLOOKUP($Z275,'oddspedia-matches'!$A:$AD,AD$2,0)</f>
        <v>#N/A</v>
      </c>
      <c r="AE275" t="e">
        <f>VLOOKUP($Z275,'oddspedia-matches'!$A:$AD,AE$2,0)</f>
        <v>#N/A</v>
      </c>
      <c r="AF275" t="e">
        <f>VLOOKUP($Z275,'oddspedia-matches'!$A:$AD,AF$2,0)</f>
        <v>#N/A</v>
      </c>
      <c r="AG275" t="e">
        <f>VLOOKUP($Z275,'oddspedia-matches'!$A:$AD,AG$2,0)</f>
        <v>#N/A</v>
      </c>
      <c r="AH275" t="e">
        <f>VLOOKUP($Z275,'oddspedia-matches'!$A:$AD,AH$2,0)</f>
        <v>#N/A</v>
      </c>
      <c r="AI275" t="e">
        <f>VLOOKUP($Z275,'oddspedia-matches'!$A:$AD,AI$2,0)</f>
        <v>#N/A</v>
      </c>
      <c r="AJ275" t="e">
        <f>VLOOKUP($Z275,'oddspedia-matches'!$A:$AD,AJ$2,0)</f>
        <v>#N/A</v>
      </c>
      <c r="AK275" t="e">
        <f>VLOOKUP($Z275,'oddspedia-matches'!$A:$AD,AK$2,0)</f>
        <v>#N/A</v>
      </c>
      <c r="AL275" t="e">
        <f>VLOOKUP($Z275,'oddspedia-matches'!$A:$AD,AL$2,0)</f>
        <v>#N/A</v>
      </c>
      <c r="AM275" t="e">
        <f>VLOOKUP($Z275,'oddspedia-matches'!$A:$AD,AM$2,0)</f>
        <v>#N/A</v>
      </c>
      <c r="AN275" t="e">
        <f>VLOOKUP($Z275,'oddspedia-matches'!$A:$AD,AN$2,0)</f>
        <v>#N/A</v>
      </c>
      <c r="AO275" t="e">
        <f>VLOOKUP($Z275,'oddspedia-matches'!$A:$AD,AO$2,0)</f>
        <v>#N/A</v>
      </c>
      <c r="AP275" t="e">
        <f>VLOOKUP($Z275,'oddspedia-matches'!$A:$AD,AP$2,0)</f>
        <v>#N/A</v>
      </c>
      <c r="AQ275" t="e">
        <f>VLOOKUP($Z275,'oddspedia-matches'!$A:$AD,AQ$2,0)</f>
        <v>#N/A</v>
      </c>
    </row>
    <row r="276" spans="2:43" x14ac:dyDescent="0.2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>C276&amp;X276&amp;Y276</f>
        <v>25/07/2026New York Red BullsCharlotte FC</v>
      </c>
      <c r="AA276" t="e">
        <f>VLOOKUP($Z276,'oddspedia-matches'!$A:$AD,AA$2,0)</f>
        <v>#N/A</v>
      </c>
      <c r="AB276" t="e">
        <f>VLOOKUP($Z276,'oddspedia-matches'!$A:$AD,AB$2,0)</f>
        <v>#N/A</v>
      </c>
      <c r="AC276" t="e">
        <f>VLOOKUP($Z276,'oddspedia-matches'!$A:$AD,AC$2,0)</f>
        <v>#N/A</v>
      </c>
      <c r="AD276" t="e">
        <f>VLOOKUP($Z276,'oddspedia-matches'!$A:$AD,AD$2,0)</f>
        <v>#N/A</v>
      </c>
      <c r="AE276" t="e">
        <f>VLOOKUP($Z276,'oddspedia-matches'!$A:$AD,AE$2,0)</f>
        <v>#N/A</v>
      </c>
      <c r="AF276" t="e">
        <f>VLOOKUP($Z276,'oddspedia-matches'!$A:$AD,AF$2,0)</f>
        <v>#N/A</v>
      </c>
      <c r="AG276" t="e">
        <f>VLOOKUP($Z276,'oddspedia-matches'!$A:$AD,AG$2,0)</f>
        <v>#N/A</v>
      </c>
      <c r="AH276" t="e">
        <f>VLOOKUP($Z276,'oddspedia-matches'!$A:$AD,AH$2,0)</f>
        <v>#N/A</v>
      </c>
      <c r="AI276" t="e">
        <f>VLOOKUP($Z276,'oddspedia-matches'!$A:$AD,AI$2,0)</f>
        <v>#N/A</v>
      </c>
      <c r="AJ276" t="e">
        <f>VLOOKUP($Z276,'oddspedia-matches'!$A:$AD,AJ$2,0)</f>
        <v>#N/A</v>
      </c>
      <c r="AK276" t="e">
        <f>VLOOKUP($Z276,'oddspedia-matches'!$A:$AD,AK$2,0)</f>
        <v>#N/A</v>
      </c>
      <c r="AL276" t="e">
        <f>VLOOKUP($Z276,'oddspedia-matches'!$A:$AD,AL$2,0)</f>
        <v>#N/A</v>
      </c>
      <c r="AM276" t="e">
        <f>VLOOKUP($Z276,'oddspedia-matches'!$A:$AD,AM$2,0)</f>
        <v>#N/A</v>
      </c>
      <c r="AN276" t="e">
        <f>VLOOKUP($Z276,'oddspedia-matches'!$A:$AD,AN$2,0)</f>
        <v>#N/A</v>
      </c>
      <c r="AO276" t="e">
        <f>VLOOKUP($Z276,'oddspedia-matches'!$A:$AD,AO$2,0)</f>
        <v>#N/A</v>
      </c>
      <c r="AP276" t="e">
        <f>VLOOKUP($Z276,'oddspedia-matches'!$A:$AD,AP$2,0)</f>
        <v>#N/A</v>
      </c>
      <c r="AQ276" t="e">
        <f>VLOOKUP($Z276,'oddspedia-matches'!$A:$AD,AQ$2,0)</f>
        <v>#N/A</v>
      </c>
    </row>
    <row r="277" spans="2:43" x14ac:dyDescent="0.2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Sporting CP</v>
      </c>
      <c r="Y277" t="e">
        <f>VLOOKUP(F277,'Transform table'!A:B,2,0)</f>
        <v>#N/A</v>
      </c>
      <c r="Z277" t="e">
        <f>C277&amp;X277&amp;Y277</f>
        <v>#N/A</v>
      </c>
      <c r="AA277" t="e">
        <f>VLOOKUP($Z277,'oddspedia-matches'!$A:$AD,AA$2,0)</f>
        <v>#N/A</v>
      </c>
      <c r="AB277" t="e">
        <f>VLOOKUP($Z277,'oddspedia-matches'!$A:$AD,AB$2,0)</f>
        <v>#N/A</v>
      </c>
      <c r="AC277" t="e">
        <f>VLOOKUP($Z277,'oddspedia-matches'!$A:$AD,AC$2,0)</f>
        <v>#N/A</v>
      </c>
      <c r="AD277" t="e">
        <f>VLOOKUP($Z277,'oddspedia-matches'!$A:$AD,AD$2,0)</f>
        <v>#N/A</v>
      </c>
      <c r="AE277" t="e">
        <f>VLOOKUP($Z277,'oddspedia-matches'!$A:$AD,AE$2,0)</f>
        <v>#N/A</v>
      </c>
      <c r="AF277" t="e">
        <f>VLOOKUP($Z277,'oddspedia-matches'!$A:$AD,AF$2,0)</f>
        <v>#N/A</v>
      </c>
      <c r="AG277" t="e">
        <f>VLOOKUP($Z277,'oddspedia-matches'!$A:$AD,AG$2,0)</f>
        <v>#N/A</v>
      </c>
      <c r="AH277" t="e">
        <f>VLOOKUP($Z277,'oddspedia-matches'!$A:$AD,AH$2,0)</f>
        <v>#N/A</v>
      </c>
      <c r="AI277" t="e">
        <f>VLOOKUP($Z277,'oddspedia-matches'!$A:$AD,AI$2,0)</f>
        <v>#N/A</v>
      </c>
      <c r="AJ277" t="e">
        <f>VLOOKUP($Z277,'oddspedia-matches'!$A:$AD,AJ$2,0)</f>
        <v>#N/A</v>
      </c>
      <c r="AK277" t="e">
        <f>VLOOKUP($Z277,'oddspedia-matches'!$A:$AD,AK$2,0)</f>
        <v>#N/A</v>
      </c>
      <c r="AL277" t="e">
        <f>VLOOKUP($Z277,'oddspedia-matches'!$A:$AD,AL$2,0)</f>
        <v>#N/A</v>
      </c>
      <c r="AM277" t="e">
        <f>VLOOKUP($Z277,'oddspedia-matches'!$A:$AD,AM$2,0)</f>
        <v>#N/A</v>
      </c>
      <c r="AN277" t="e">
        <f>VLOOKUP($Z277,'oddspedia-matches'!$A:$AD,AN$2,0)</f>
        <v>#N/A</v>
      </c>
      <c r="AO277" t="e">
        <f>VLOOKUP($Z277,'oddspedia-matches'!$A:$AD,AO$2,0)</f>
        <v>#N/A</v>
      </c>
      <c r="AP277" t="e">
        <f>VLOOKUP($Z277,'oddspedia-matches'!$A:$AD,AP$2,0)</f>
        <v>#N/A</v>
      </c>
      <c r="AQ277" t="e">
        <f>VLOOKUP($Z277,'oddspedia-matches'!$A:$AD,AQ$2,0)</f>
        <v>#N/A</v>
      </c>
    </row>
    <row r="278" spans="2:43" x14ac:dyDescent="0.2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>C278&amp;X278&amp;Y278</f>
        <v>25/07/2026Columbus CrewFC Cincinnati</v>
      </c>
      <c r="AA278" t="e">
        <f>VLOOKUP($Z278,'oddspedia-matches'!$A:$AD,AA$2,0)</f>
        <v>#N/A</v>
      </c>
      <c r="AB278" t="e">
        <f>VLOOKUP($Z278,'oddspedia-matches'!$A:$AD,AB$2,0)</f>
        <v>#N/A</v>
      </c>
      <c r="AC278" t="e">
        <f>VLOOKUP($Z278,'oddspedia-matches'!$A:$AD,AC$2,0)</f>
        <v>#N/A</v>
      </c>
      <c r="AD278" t="e">
        <f>VLOOKUP($Z278,'oddspedia-matches'!$A:$AD,AD$2,0)</f>
        <v>#N/A</v>
      </c>
      <c r="AE278" t="e">
        <f>VLOOKUP($Z278,'oddspedia-matches'!$A:$AD,AE$2,0)</f>
        <v>#N/A</v>
      </c>
      <c r="AF278" t="e">
        <f>VLOOKUP($Z278,'oddspedia-matches'!$A:$AD,AF$2,0)</f>
        <v>#N/A</v>
      </c>
      <c r="AG278" t="e">
        <f>VLOOKUP($Z278,'oddspedia-matches'!$A:$AD,AG$2,0)</f>
        <v>#N/A</v>
      </c>
      <c r="AH278" t="e">
        <f>VLOOKUP($Z278,'oddspedia-matches'!$A:$AD,AH$2,0)</f>
        <v>#N/A</v>
      </c>
      <c r="AI278" t="e">
        <f>VLOOKUP($Z278,'oddspedia-matches'!$A:$AD,AI$2,0)</f>
        <v>#N/A</v>
      </c>
      <c r="AJ278" t="e">
        <f>VLOOKUP($Z278,'oddspedia-matches'!$A:$AD,AJ$2,0)</f>
        <v>#N/A</v>
      </c>
      <c r="AK278" t="e">
        <f>VLOOKUP($Z278,'oddspedia-matches'!$A:$AD,AK$2,0)</f>
        <v>#N/A</v>
      </c>
      <c r="AL278" t="e">
        <f>VLOOKUP($Z278,'oddspedia-matches'!$A:$AD,AL$2,0)</f>
        <v>#N/A</v>
      </c>
      <c r="AM278" t="e">
        <f>VLOOKUP($Z278,'oddspedia-matches'!$A:$AD,AM$2,0)</f>
        <v>#N/A</v>
      </c>
      <c r="AN278" t="e">
        <f>VLOOKUP($Z278,'oddspedia-matches'!$A:$AD,AN$2,0)</f>
        <v>#N/A</v>
      </c>
      <c r="AO278" t="e">
        <f>VLOOKUP($Z278,'oddspedia-matches'!$A:$AD,AO$2,0)</f>
        <v>#N/A</v>
      </c>
      <c r="AP278" t="e">
        <f>VLOOKUP($Z278,'oddspedia-matches'!$A:$AD,AP$2,0)</f>
        <v>#N/A</v>
      </c>
      <c r="AQ278" t="e">
        <f>VLOOKUP($Z278,'oddspedia-matches'!$A:$AD,AQ$2,0)</f>
        <v>#N/A</v>
      </c>
    </row>
    <row r="279" spans="2:43" x14ac:dyDescent="0.2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>
        <f>VLOOKUP(E279,'Transform table'!A:B,2,0)</f>
        <v>0</v>
      </c>
      <c r="Y279" t="e">
        <f>VLOOKUP(F279,'Transform table'!A:B,2,0)</f>
        <v>#N/A</v>
      </c>
      <c r="Z279" t="e">
        <f>C279&amp;X279&amp;Y279</f>
        <v>#N/A</v>
      </c>
      <c r="AA279" t="e">
        <f>VLOOKUP($Z279,'oddspedia-matches'!$A:$AD,AA$2,0)</f>
        <v>#N/A</v>
      </c>
      <c r="AB279" t="e">
        <f>VLOOKUP($Z279,'oddspedia-matches'!$A:$AD,AB$2,0)</f>
        <v>#N/A</v>
      </c>
      <c r="AC279" t="e">
        <f>VLOOKUP($Z279,'oddspedia-matches'!$A:$AD,AC$2,0)</f>
        <v>#N/A</v>
      </c>
      <c r="AD279" t="e">
        <f>VLOOKUP($Z279,'oddspedia-matches'!$A:$AD,AD$2,0)</f>
        <v>#N/A</v>
      </c>
      <c r="AE279" t="e">
        <f>VLOOKUP($Z279,'oddspedia-matches'!$A:$AD,AE$2,0)</f>
        <v>#N/A</v>
      </c>
      <c r="AF279" t="e">
        <f>VLOOKUP($Z279,'oddspedia-matches'!$A:$AD,AF$2,0)</f>
        <v>#N/A</v>
      </c>
      <c r="AG279" t="e">
        <f>VLOOKUP($Z279,'oddspedia-matches'!$A:$AD,AG$2,0)</f>
        <v>#N/A</v>
      </c>
      <c r="AH279" t="e">
        <f>VLOOKUP($Z279,'oddspedia-matches'!$A:$AD,AH$2,0)</f>
        <v>#N/A</v>
      </c>
      <c r="AI279" t="e">
        <f>VLOOKUP($Z279,'oddspedia-matches'!$A:$AD,AI$2,0)</f>
        <v>#N/A</v>
      </c>
      <c r="AJ279" t="e">
        <f>VLOOKUP($Z279,'oddspedia-matches'!$A:$AD,AJ$2,0)</f>
        <v>#N/A</v>
      </c>
      <c r="AK279" t="e">
        <f>VLOOKUP($Z279,'oddspedia-matches'!$A:$AD,AK$2,0)</f>
        <v>#N/A</v>
      </c>
      <c r="AL279" t="e">
        <f>VLOOKUP($Z279,'oddspedia-matches'!$A:$AD,AL$2,0)</f>
        <v>#N/A</v>
      </c>
      <c r="AM279" t="e">
        <f>VLOOKUP($Z279,'oddspedia-matches'!$A:$AD,AM$2,0)</f>
        <v>#N/A</v>
      </c>
      <c r="AN279" t="e">
        <f>VLOOKUP($Z279,'oddspedia-matches'!$A:$AD,AN$2,0)</f>
        <v>#N/A</v>
      </c>
      <c r="AO279" t="e">
        <f>VLOOKUP($Z279,'oddspedia-matches'!$A:$AD,AO$2,0)</f>
        <v>#N/A</v>
      </c>
      <c r="AP279" t="e">
        <f>VLOOKUP($Z279,'oddspedia-matches'!$A:$AD,AP$2,0)</f>
        <v>#N/A</v>
      </c>
      <c r="AQ279" t="e">
        <f>VLOOKUP($Z279,'oddspedia-matches'!$A:$AD,AQ$2,0)</f>
        <v>#N/A</v>
      </c>
    </row>
    <row r="280" spans="2:43" x14ac:dyDescent="0.2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>
        <f>VLOOKUP(E280,'Transform table'!A:B,2,0)</f>
        <v>0</v>
      </c>
      <c r="Y280" t="e">
        <f>VLOOKUP(F280,'Transform table'!A:B,2,0)</f>
        <v>#N/A</v>
      </c>
      <c r="Z280" t="e">
        <f>C280&amp;X280&amp;Y280</f>
        <v>#N/A</v>
      </c>
      <c r="AA280" t="e">
        <f>VLOOKUP($Z280,'oddspedia-matches'!$A:$AD,AA$2,0)</f>
        <v>#N/A</v>
      </c>
      <c r="AB280" t="e">
        <f>VLOOKUP($Z280,'oddspedia-matches'!$A:$AD,AB$2,0)</f>
        <v>#N/A</v>
      </c>
      <c r="AC280" t="e">
        <f>VLOOKUP($Z280,'oddspedia-matches'!$A:$AD,AC$2,0)</f>
        <v>#N/A</v>
      </c>
      <c r="AD280" t="e">
        <f>VLOOKUP($Z280,'oddspedia-matches'!$A:$AD,AD$2,0)</f>
        <v>#N/A</v>
      </c>
      <c r="AE280" t="e">
        <f>VLOOKUP($Z280,'oddspedia-matches'!$A:$AD,AE$2,0)</f>
        <v>#N/A</v>
      </c>
      <c r="AF280" t="e">
        <f>VLOOKUP($Z280,'oddspedia-matches'!$A:$AD,AF$2,0)</f>
        <v>#N/A</v>
      </c>
      <c r="AG280" t="e">
        <f>VLOOKUP($Z280,'oddspedia-matches'!$A:$AD,AG$2,0)</f>
        <v>#N/A</v>
      </c>
      <c r="AH280" t="e">
        <f>VLOOKUP($Z280,'oddspedia-matches'!$A:$AD,AH$2,0)</f>
        <v>#N/A</v>
      </c>
      <c r="AI280" t="e">
        <f>VLOOKUP($Z280,'oddspedia-matches'!$A:$AD,AI$2,0)</f>
        <v>#N/A</v>
      </c>
      <c r="AJ280" t="e">
        <f>VLOOKUP($Z280,'oddspedia-matches'!$A:$AD,AJ$2,0)</f>
        <v>#N/A</v>
      </c>
      <c r="AK280" t="e">
        <f>VLOOKUP($Z280,'oddspedia-matches'!$A:$AD,AK$2,0)</f>
        <v>#N/A</v>
      </c>
      <c r="AL280" t="e">
        <f>VLOOKUP($Z280,'oddspedia-matches'!$A:$AD,AL$2,0)</f>
        <v>#N/A</v>
      </c>
      <c r="AM280" t="e">
        <f>VLOOKUP($Z280,'oddspedia-matches'!$A:$AD,AM$2,0)</f>
        <v>#N/A</v>
      </c>
      <c r="AN280" t="e">
        <f>VLOOKUP($Z280,'oddspedia-matches'!$A:$AD,AN$2,0)</f>
        <v>#N/A</v>
      </c>
      <c r="AO280" t="e">
        <f>VLOOKUP($Z280,'oddspedia-matches'!$A:$AD,AO$2,0)</f>
        <v>#N/A</v>
      </c>
      <c r="AP280" t="e">
        <f>VLOOKUP($Z280,'oddspedia-matches'!$A:$AD,AP$2,0)</f>
        <v>#N/A</v>
      </c>
      <c r="AQ280" t="e">
        <f>VLOOKUP($Z280,'oddspedia-matches'!$A:$AD,AQ$2,0)</f>
        <v>#N/A</v>
      </c>
    </row>
    <row r="281" spans="2:43" x14ac:dyDescent="0.2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>
        <f>VLOOKUP(E281,'Transform table'!A:B,2,0)</f>
        <v>0</v>
      </c>
      <c r="Y281" t="e">
        <f>VLOOKUP(F281,'Transform table'!A:B,2,0)</f>
        <v>#N/A</v>
      </c>
      <c r="Z281" t="e">
        <f>C281&amp;X281&amp;Y281</f>
        <v>#N/A</v>
      </c>
      <c r="AA281" t="e">
        <f>VLOOKUP($Z281,'oddspedia-matches'!$A:$AD,AA$2,0)</f>
        <v>#N/A</v>
      </c>
      <c r="AB281" t="e">
        <f>VLOOKUP($Z281,'oddspedia-matches'!$A:$AD,AB$2,0)</f>
        <v>#N/A</v>
      </c>
      <c r="AC281" t="e">
        <f>VLOOKUP($Z281,'oddspedia-matches'!$A:$AD,AC$2,0)</f>
        <v>#N/A</v>
      </c>
      <c r="AD281" t="e">
        <f>VLOOKUP($Z281,'oddspedia-matches'!$A:$AD,AD$2,0)</f>
        <v>#N/A</v>
      </c>
      <c r="AE281" t="e">
        <f>VLOOKUP($Z281,'oddspedia-matches'!$A:$AD,AE$2,0)</f>
        <v>#N/A</v>
      </c>
      <c r="AF281" t="e">
        <f>VLOOKUP($Z281,'oddspedia-matches'!$A:$AD,AF$2,0)</f>
        <v>#N/A</v>
      </c>
      <c r="AG281" t="e">
        <f>VLOOKUP($Z281,'oddspedia-matches'!$A:$AD,AG$2,0)</f>
        <v>#N/A</v>
      </c>
      <c r="AH281" t="e">
        <f>VLOOKUP($Z281,'oddspedia-matches'!$A:$AD,AH$2,0)</f>
        <v>#N/A</v>
      </c>
      <c r="AI281" t="e">
        <f>VLOOKUP($Z281,'oddspedia-matches'!$A:$AD,AI$2,0)</f>
        <v>#N/A</v>
      </c>
      <c r="AJ281" t="e">
        <f>VLOOKUP($Z281,'oddspedia-matches'!$A:$AD,AJ$2,0)</f>
        <v>#N/A</v>
      </c>
      <c r="AK281" t="e">
        <f>VLOOKUP($Z281,'oddspedia-matches'!$A:$AD,AK$2,0)</f>
        <v>#N/A</v>
      </c>
      <c r="AL281" t="e">
        <f>VLOOKUP($Z281,'oddspedia-matches'!$A:$AD,AL$2,0)</f>
        <v>#N/A</v>
      </c>
      <c r="AM281" t="e">
        <f>VLOOKUP($Z281,'oddspedia-matches'!$A:$AD,AM$2,0)</f>
        <v>#N/A</v>
      </c>
      <c r="AN281" t="e">
        <f>VLOOKUP($Z281,'oddspedia-matches'!$A:$AD,AN$2,0)</f>
        <v>#N/A</v>
      </c>
      <c r="AO281" t="e">
        <f>VLOOKUP($Z281,'oddspedia-matches'!$A:$AD,AO$2,0)</f>
        <v>#N/A</v>
      </c>
      <c r="AP281" t="e">
        <f>VLOOKUP($Z281,'oddspedia-matches'!$A:$AD,AP$2,0)</f>
        <v>#N/A</v>
      </c>
      <c r="AQ281" t="e">
        <f>VLOOKUP($Z281,'oddspedia-matches'!$A:$AD,AQ$2,0)</f>
        <v>#N/A</v>
      </c>
    </row>
    <row r="282" spans="2:43" x14ac:dyDescent="0.2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e">
        <f>VLOOKUP(F282,'Transform table'!A:B,2,0)</f>
        <v>#N/A</v>
      </c>
      <c r="Z282" t="e">
        <f>C282&amp;X282&amp;Y282</f>
        <v>#N/A</v>
      </c>
      <c r="AA282" t="e">
        <f>VLOOKUP($Z282,'oddspedia-matches'!$A:$AD,AA$2,0)</f>
        <v>#N/A</v>
      </c>
      <c r="AB282" t="e">
        <f>VLOOKUP($Z282,'oddspedia-matches'!$A:$AD,AB$2,0)</f>
        <v>#N/A</v>
      </c>
      <c r="AC282" t="e">
        <f>VLOOKUP($Z282,'oddspedia-matches'!$A:$AD,AC$2,0)</f>
        <v>#N/A</v>
      </c>
      <c r="AD282" t="e">
        <f>VLOOKUP($Z282,'oddspedia-matches'!$A:$AD,AD$2,0)</f>
        <v>#N/A</v>
      </c>
      <c r="AE282" t="e">
        <f>VLOOKUP($Z282,'oddspedia-matches'!$A:$AD,AE$2,0)</f>
        <v>#N/A</v>
      </c>
      <c r="AF282" t="e">
        <f>VLOOKUP($Z282,'oddspedia-matches'!$A:$AD,AF$2,0)</f>
        <v>#N/A</v>
      </c>
      <c r="AG282" t="e">
        <f>VLOOKUP($Z282,'oddspedia-matches'!$A:$AD,AG$2,0)</f>
        <v>#N/A</v>
      </c>
      <c r="AH282" t="e">
        <f>VLOOKUP($Z282,'oddspedia-matches'!$A:$AD,AH$2,0)</f>
        <v>#N/A</v>
      </c>
      <c r="AI282" t="e">
        <f>VLOOKUP($Z282,'oddspedia-matches'!$A:$AD,AI$2,0)</f>
        <v>#N/A</v>
      </c>
      <c r="AJ282" t="e">
        <f>VLOOKUP($Z282,'oddspedia-matches'!$A:$AD,AJ$2,0)</f>
        <v>#N/A</v>
      </c>
      <c r="AK282" t="e">
        <f>VLOOKUP($Z282,'oddspedia-matches'!$A:$AD,AK$2,0)</f>
        <v>#N/A</v>
      </c>
      <c r="AL282" t="e">
        <f>VLOOKUP($Z282,'oddspedia-matches'!$A:$AD,AL$2,0)</f>
        <v>#N/A</v>
      </c>
      <c r="AM282" t="e">
        <f>VLOOKUP($Z282,'oddspedia-matches'!$A:$AD,AM$2,0)</f>
        <v>#N/A</v>
      </c>
      <c r="AN282" t="e">
        <f>VLOOKUP($Z282,'oddspedia-matches'!$A:$AD,AN$2,0)</f>
        <v>#N/A</v>
      </c>
      <c r="AO282" t="e">
        <f>VLOOKUP($Z282,'oddspedia-matches'!$A:$AD,AO$2,0)</f>
        <v>#N/A</v>
      </c>
      <c r="AP282" t="e">
        <f>VLOOKUP($Z282,'oddspedia-matches'!$A:$AD,AP$2,0)</f>
        <v>#N/A</v>
      </c>
      <c r="AQ282" t="e">
        <f>VLOOKUP($Z282,'oddspedia-matches'!$A:$AD,AQ$2,0)</f>
        <v>#N/A</v>
      </c>
    </row>
    <row r="283" spans="2:43" x14ac:dyDescent="0.2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>
        <f>VLOOKUP(E283,'Transform table'!A:B,2,0)</f>
        <v>0</v>
      </c>
      <c r="Y283" t="e">
        <f>VLOOKUP(F283,'Transform table'!A:B,2,0)</f>
        <v>#N/A</v>
      </c>
      <c r="Z283" t="e">
        <f>C283&amp;X283&amp;Y283</f>
        <v>#N/A</v>
      </c>
      <c r="AA283" t="e">
        <f>VLOOKUP($Z283,'oddspedia-matches'!$A:$AD,AA$2,0)</f>
        <v>#N/A</v>
      </c>
      <c r="AB283" t="e">
        <f>VLOOKUP($Z283,'oddspedia-matches'!$A:$AD,AB$2,0)</f>
        <v>#N/A</v>
      </c>
      <c r="AC283" t="e">
        <f>VLOOKUP($Z283,'oddspedia-matches'!$A:$AD,AC$2,0)</f>
        <v>#N/A</v>
      </c>
      <c r="AD283" t="e">
        <f>VLOOKUP($Z283,'oddspedia-matches'!$A:$AD,AD$2,0)</f>
        <v>#N/A</v>
      </c>
      <c r="AE283" t="e">
        <f>VLOOKUP($Z283,'oddspedia-matches'!$A:$AD,AE$2,0)</f>
        <v>#N/A</v>
      </c>
      <c r="AF283" t="e">
        <f>VLOOKUP($Z283,'oddspedia-matches'!$A:$AD,AF$2,0)</f>
        <v>#N/A</v>
      </c>
      <c r="AG283" t="e">
        <f>VLOOKUP($Z283,'oddspedia-matches'!$A:$AD,AG$2,0)</f>
        <v>#N/A</v>
      </c>
      <c r="AH283" t="e">
        <f>VLOOKUP($Z283,'oddspedia-matches'!$A:$AD,AH$2,0)</f>
        <v>#N/A</v>
      </c>
      <c r="AI283" t="e">
        <f>VLOOKUP($Z283,'oddspedia-matches'!$A:$AD,AI$2,0)</f>
        <v>#N/A</v>
      </c>
      <c r="AJ283" t="e">
        <f>VLOOKUP($Z283,'oddspedia-matches'!$A:$AD,AJ$2,0)</f>
        <v>#N/A</v>
      </c>
      <c r="AK283" t="e">
        <f>VLOOKUP($Z283,'oddspedia-matches'!$A:$AD,AK$2,0)</f>
        <v>#N/A</v>
      </c>
      <c r="AL283" t="e">
        <f>VLOOKUP($Z283,'oddspedia-matches'!$A:$AD,AL$2,0)</f>
        <v>#N/A</v>
      </c>
      <c r="AM283" t="e">
        <f>VLOOKUP($Z283,'oddspedia-matches'!$A:$AD,AM$2,0)</f>
        <v>#N/A</v>
      </c>
      <c r="AN283" t="e">
        <f>VLOOKUP($Z283,'oddspedia-matches'!$A:$AD,AN$2,0)</f>
        <v>#N/A</v>
      </c>
      <c r="AO283" t="e">
        <f>VLOOKUP($Z283,'oddspedia-matches'!$A:$AD,AO$2,0)</f>
        <v>#N/A</v>
      </c>
      <c r="AP283" t="e">
        <f>VLOOKUP($Z283,'oddspedia-matches'!$A:$AD,AP$2,0)</f>
        <v>#N/A</v>
      </c>
      <c r="AQ283" t="e">
        <f>VLOOKUP($Z283,'oddspedia-matches'!$A:$AD,AQ$2,0)</f>
        <v>#N/A</v>
      </c>
    </row>
    <row r="284" spans="2:43" x14ac:dyDescent="0.2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>
        <f>VLOOKUP(E284,'Transform table'!A:B,2,0)</f>
        <v>0</v>
      </c>
      <c r="Y284" t="e">
        <f>VLOOKUP(F284,'Transform table'!A:B,2,0)</f>
        <v>#N/A</v>
      </c>
      <c r="Z284" t="e">
        <f>C284&amp;X284&amp;Y284</f>
        <v>#N/A</v>
      </c>
      <c r="AA284" t="e">
        <f>VLOOKUP($Z284,'oddspedia-matches'!$A:$AD,AA$2,0)</f>
        <v>#N/A</v>
      </c>
      <c r="AB284" t="e">
        <f>VLOOKUP($Z284,'oddspedia-matches'!$A:$AD,AB$2,0)</f>
        <v>#N/A</v>
      </c>
      <c r="AC284" t="e">
        <f>VLOOKUP($Z284,'oddspedia-matches'!$A:$AD,AC$2,0)</f>
        <v>#N/A</v>
      </c>
      <c r="AD284" t="e">
        <f>VLOOKUP($Z284,'oddspedia-matches'!$A:$AD,AD$2,0)</f>
        <v>#N/A</v>
      </c>
      <c r="AE284" t="e">
        <f>VLOOKUP($Z284,'oddspedia-matches'!$A:$AD,AE$2,0)</f>
        <v>#N/A</v>
      </c>
      <c r="AF284" t="e">
        <f>VLOOKUP($Z284,'oddspedia-matches'!$A:$AD,AF$2,0)</f>
        <v>#N/A</v>
      </c>
      <c r="AG284" t="e">
        <f>VLOOKUP($Z284,'oddspedia-matches'!$A:$AD,AG$2,0)</f>
        <v>#N/A</v>
      </c>
      <c r="AH284" t="e">
        <f>VLOOKUP($Z284,'oddspedia-matches'!$A:$AD,AH$2,0)</f>
        <v>#N/A</v>
      </c>
      <c r="AI284" t="e">
        <f>VLOOKUP($Z284,'oddspedia-matches'!$A:$AD,AI$2,0)</f>
        <v>#N/A</v>
      </c>
      <c r="AJ284" t="e">
        <f>VLOOKUP($Z284,'oddspedia-matches'!$A:$AD,AJ$2,0)</f>
        <v>#N/A</v>
      </c>
      <c r="AK284" t="e">
        <f>VLOOKUP($Z284,'oddspedia-matches'!$A:$AD,AK$2,0)</f>
        <v>#N/A</v>
      </c>
      <c r="AL284" t="e">
        <f>VLOOKUP($Z284,'oddspedia-matches'!$A:$AD,AL$2,0)</f>
        <v>#N/A</v>
      </c>
      <c r="AM284" t="e">
        <f>VLOOKUP($Z284,'oddspedia-matches'!$A:$AD,AM$2,0)</f>
        <v>#N/A</v>
      </c>
      <c r="AN284" t="e">
        <f>VLOOKUP($Z284,'oddspedia-matches'!$A:$AD,AN$2,0)</f>
        <v>#N/A</v>
      </c>
      <c r="AO284" t="e">
        <f>VLOOKUP($Z284,'oddspedia-matches'!$A:$AD,AO$2,0)</f>
        <v>#N/A</v>
      </c>
      <c r="AP284" t="e">
        <f>VLOOKUP($Z284,'oddspedia-matches'!$A:$AD,AP$2,0)</f>
        <v>#N/A</v>
      </c>
      <c r="AQ284" t="e">
        <f>VLOOKUP($Z284,'oddspedia-matches'!$A:$AD,AQ$2,0)</f>
        <v>#N/A</v>
      </c>
    </row>
    <row r="285" spans="2:43" x14ac:dyDescent="0.2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Lazio U20</v>
      </c>
      <c r="Y285" t="e">
        <f>VLOOKUP(F285,'Transform table'!A:B,2,0)</f>
        <v>#N/A</v>
      </c>
      <c r="Z285" t="e">
        <f>C285&amp;X285&amp;Y285</f>
        <v>#N/A</v>
      </c>
      <c r="AA285" t="e">
        <f>VLOOKUP($Z285,'oddspedia-matches'!$A:$AD,AA$2,0)</f>
        <v>#N/A</v>
      </c>
      <c r="AB285" t="e">
        <f>VLOOKUP($Z285,'oddspedia-matches'!$A:$AD,AB$2,0)</f>
        <v>#N/A</v>
      </c>
      <c r="AC285" t="e">
        <f>VLOOKUP($Z285,'oddspedia-matches'!$A:$AD,AC$2,0)</f>
        <v>#N/A</v>
      </c>
      <c r="AD285" t="e">
        <f>VLOOKUP($Z285,'oddspedia-matches'!$A:$AD,AD$2,0)</f>
        <v>#N/A</v>
      </c>
      <c r="AE285" t="e">
        <f>VLOOKUP($Z285,'oddspedia-matches'!$A:$AD,AE$2,0)</f>
        <v>#N/A</v>
      </c>
      <c r="AF285" t="e">
        <f>VLOOKUP($Z285,'oddspedia-matches'!$A:$AD,AF$2,0)</f>
        <v>#N/A</v>
      </c>
      <c r="AG285" t="e">
        <f>VLOOKUP($Z285,'oddspedia-matches'!$A:$AD,AG$2,0)</f>
        <v>#N/A</v>
      </c>
      <c r="AH285" t="e">
        <f>VLOOKUP($Z285,'oddspedia-matches'!$A:$AD,AH$2,0)</f>
        <v>#N/A</v>
      </c>
      <c r="AI285" t="e">
        <f>VLOOKUP($Z285,'oddspedia-matches'!$A:$AD,AI$2,0)</f>
        <v>#N/A</v>
      </c>
      <c r="AJ285" t="e">
        <f>VLOOKUP($Z285,'oddspedia-matches'!$A:$AD,AJ$2,0)</f>
        <v>#N/A</v>
      </c>
      <c r="AK285" t="e">
        <f>VLOOKUP($Z285,'oddspedia-matches'!$A:$AD,AK$2,0)</f>
        <v>#N/A</v>
      </c>
      <c r="AL285" t="e">
        <f>VLOOKUP($Z285,'oddspedia-matches'!$A:$AD,AL$2,0)</f>
        <v>#N/A</v>
      </c>
      <c r="AM285" t="e">
        <f>VLOOKUP($Z285,'oddspedia-matches'!$A:$AD,AM$2,0)</f>
        <v>#N/A</v>
      </c>
      <c r="AN285" t="e">
        <f>VLOOKUP($Z285,'oddspedia-matches'!$A:$AD,AN$2,0)</f>
        <v>#N/A</v>
      </c>
      <c r="AO285" t="e">
        <f>VLOOKUP($Z285,'oddspedia-matches'!$A:$AD,AO$2,0)</f>
        <v>#N/A</v>
      </c>
      <c r="AP285" t="e">
        <f>VLOOKUP($Z285,'oddspedia-matches'!$A:$AD,AP$2,0)</f>
        <v>#N/A</v>
      </c>
      <c r="AQ285" t="e">
        <f>VLOOKUP($Z285,'oddspedia-matches'!$A:$AD,AQ$2,0)</f>
        <v>#N/A</v>
      </c>
    </row>
    <row r="286" spans="2:43" x14ac:dyDescent="0.2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Millwall</v>
      </c>
      <c r="Y286" t="e">
        <f>VLOOKUP(F286,'Transform table'!A:B,2,0)</f>
        <v>#N/A</v>
      </c>
      <c r="Z286" t="e">
        <f>C286&amp;X286&amp;Y286</f>
        <v>#N/A</v>
      </c>
      <c r="AA286" t="e">
        <f>VLOOKUP($Z286,'oddspedia-matches'!$A:$AD,AA$2,0)</f>
        <v>#N/A</v>
      </c>
      <c r="AB286" t="e">
        <f>VLOOKUP($Z286,'oddspedia-matches'!$A:$AD,AB$2,0)</f>
        <v>#N/A</v>
      </c>
      <c r="AC286" t="e">
        <f>VLOOKUP($Z286,'oddspedia-matches'!$A:$AD,AC$2,0)</f>
        <v>#N/A</v>
      </c>
      <c r="AD286" t="e">
        <f>VLOOKUP($Z286,'oddspedia-matches'!$A:$AD,AD$2,0)</f>
        <v>#N/A</v>
      </c>
      <c r="AE286" t="e">
        <f>VLOOKUP($Z286,'oddspedia-matches'!$A:$AD,AE$2,0)</f>
        <v>#N/A</v>
      </c>
      <c r="AF286" t="e">
        <f>VLOOKUP($Z286,'oddspedia-matches'!$A:$AD,AF$2,0)</f>
        <v>#N/A</v>
      </c>
      <c r="AG286" t="e">
        <f>VLOOKUP($Z286,'oddspedia-matches'!$A:$AD,AG$2,0)</f>
        <v>#N/A</v>
      </c>
      <c r="AH286" t="e">
        <f>VLOOKUP($Z286,'oddspedia-matches'!$A:$AD,AH$2,0)</f>
        <v>#N/A</v>
      </c>
      <c r="AI286" t="e">
        <f>VLOOKUP($Z286,'oddspedia-matches'!$A:$AD,AI$2,0)</f>
        <v>#N/A</v>
      </c>
      <c r="AJ286" t="e">
        <f>VLOOKUP($Z286,'oddspedia-matches'!$A:$AD,AJ$2,0)</f>
        <v>#N/A</v>
      </c>
      <c r="AK286" t="e">
        <f>VLOOKUP($Z286,'oddspedia-matches'!$A:$AD,AK$2,0)</f>
        <v>#N/A</v>
      </c>
      <c r="AL286" t="e">
        <f>VLOOKUP($Z286,'oddspedia-matches'!$A:$AD,AL$2,0)</f>
        <v>#N/A</v>
      </c>
      <c r="AM286" t="e">
        <f>VLOOKUP($Z286,'oddspedia-matches'!$A:$AD,AM$2,0)</f>
        <v>#N/A</v>
      </c>
      <c r="AN286" t="e">
        <f>VLOOKUP($Z286,'oddspedia-matches'!$A:$AD,AN$2,0)</f>
        <v>#N/A</v>
      </c>
      <c r="AO286" t="e">
        <f>VLOOKUP($Z286,'oddspedia-matches'!$A:$AD,AO$2,0)</f>
        <v>#N/A</v>
      </c>
      <c r="AP286" t="e">
        <f>VLOOKUP($Z286,'oddspedia-matches'!$A:$AD,AP$2,0)</f>
        <v>#N/A</v>
      </c>
      <c r="AQ286" t="e">
        <f>VLOOKUP($Z286,'oddspedia-matches'!$A:$AD,AQ$2,0)</f>
        <v>#N/A</v>
      </c>
    </row>
    <row r="287" spans="2:43" x14ac:dyDescent="0.2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e">
        <f>VLOOKUP(F287,'Transform table'!A:B,2,0)</f>
        <v>#N/A</v>
      </c>
      <c r="Z287" t="e">
        <f>C287&amp;X287&amp;Y287</f>
        <v>#N/A</v>
      </c>
      <c r="AA287" t="e">
        <f>VLOOKUP($Z287,'oddspedia-matches'!$A:$AD,AA$2,0)</f>
        <v>#N/A</v>
      </c>
      <c r="AB287" t="e">
        <f>VLOOKUP($Z287,'oddspedia-matches'!$A:$AD,AB$2,0)</f>
        <v>#N/A</v>
      </c>
      <c r="AC287" t="e">
        <f>VLOOKUP($Z287,'oddspedia-matches'!$A:$AD,AC$2,0)</f>
        <v>#N/A</v>
      </c>
      <c r="AD287" t="e">
        <f>VLOOKUP($Z287,'oddspedia-matches'!$A:$AD,AD$2,0)</f>
        <v>#N/A</v>
      </c>
      <c r="AE287" t="e">
        <f>VLOOKUP($Z287,'oddspedia-matches'!$A:$AD,AE$2,0)</f>
        <v>#N/A</v>
      </c>
      <c r="AF287" t="e">
        <f>VLOOKUP($Z287,'oddspedia-matches'!$A:$AD,AF$2,0)</f>
        <v>#N/A</v>
      </c>
      <c r="AG287" t="e">
        <f>VLOOKUP($Z287,'oddspedia-matches'!$A:$AD,AG$2,0)</f>
        <v>#N/A</v>
      </c>
      <c r="AH287" t="e">
        <f>VLOOKUP($Z287,'oddspedia-matches'!$A:$AD,AH$2,0)</f>
        <v>#N/A</v>
      </c>
      <c r="AI287" t="e">
        <f>VLOOKUP($Z287,'oddspedia-matches'!$A:$AD,AI$2,0)</f>
        <v>#N/A</v>
      </c>
      <c r="AJ287" t="e">
        <f>VLOOKUP($Z287,'oddspedia-matches'!$A:$AD,AJ$2,0)</f>
        <v>#N/A</v>
      </c>
      <c r="AK287" t="e">
        <f>VLOOKUP($Z287,'oddspedia-matches'!$A:$AD,AK$2,0)</f>
        <v>#N/A</v>
      </c>
      <c r="AL287" t="e">
        <f>VLOOKUP($Z287,'oddspedia-matches'!$A:$AD,AL$2,0)</f>
        <v>#N/A</v>
      </c>
      <c r="AM287" t="e">
        <f>VLOOKUP($Z287,'oddspedia-matches'!$A:$AD,AM$2,0)</f>
        <v>#N/A</v>
      </c>
      <c r="AN287" t="e">
        <f>VLOOKUP($Z287,'oddspedia-matches'!$A:$AD,AN$2,0)</f>
        <v>#N/A</v>
      </c>
      <c r="AO287" t="e">
        <f>VLOOKUP($Z287,'oddspedia-matches'!$A:$AD,AO$2,0)</f>
        <v>#N/A</v>
      </c>
      <c r="AP287" t="e">
        <f>VLOOKUP($Z287,'oddspedia-matches'!$A:$AD,AP$2,0)</f>
        <v>#N/A</v>
      </c>
      <c r="AQ287" t="e">
        <f>VLOOKUP($Z287,'oddspedia-matches'!$A:$AD,AQ$2,0)</f>
        <v>#N/A</v>
      </c>
    </row>
    <row r="288" spans="2:43" x14ac:dyDescent="0.2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e">
        <f>VLOOKUP(F288,'Transform table'!A:B,2,0)</f>
        <v>#N/A</v>
      </c>
      <c r="Z288" t="e">
        <f>C288&amp;X288&amp;Y288</f>
        <v>#N/A</v>
      </c>
      <c r="AA288" t="e">
        <f>VLOOKUP($Z288,'oddspedia-matches'!$A:$AD,AA$2,0)</f>
        <v>#N/A</v>
      </c>
      <c r="AB288" t="e">
        <f>VLOOKUP($Z288,'oddspedia-matches'!$A:$AD,AB$2,0)</f>
        <v>#N/A</v>
      </c>
      <c r="AC288" t="e">
        <f>VLOOKUP($Z288,'oddspedia-matches'!$A:$AD,AC$2,0)</f>
        <v>#N/A</v>
      </c>
      <c r="AD288" t="e">
        <f>VLOOKUP($Z288,'oddspedia-matches'!$A:$AD,AD$2,0)</f>
        <v>#N/A</v>
      </c>
      <c r="AE288" t="e">
        <f>VLOOKUP($Z288,'oddspedia-matches'!$A:$AD,AE$2,0)</f>
        <v>#N/A</v>
      </c>
      <c r="AF288" t="e">
        <f>VLOOKUP($Z288,'oddspedia-matches'!$A:$AD,AF$2,0)</f>
        <v>#N/A</v>
      </c>
      <c r="AG288" t="e">
        <f>VLOOKUP($Z288,'oddspedia-matches'!$A:$AD,AG$2,0)</f>
        <v>#N/A</v>
      </c>
      <c r="AH288" t="e">
        <f>VLOOKUP($Z288,'oddspedia-matches'!$A:$AD,AH$2,0)</f>
        <v>#N/A</v>
      </c>
      <c r="AI288" t="e">
        <f>VLOOKUP($Z288,'oddspedia-matches'!$A:$AD,AI$2,0)</f>
        <v>#N/A</v>
      </c>
      <c r="AJ288" t="e">
        <f>VLOOKUP($Z288,'oddspedia-matches'!$A:$AD,AJ$2,0)</f>
        <v>#N/A</v>
      </c>
      <c r="AK288" t="e">
        <f>VLOOKUP($Z288,'oddspedia-matches'!$A:$AD,AK$2,0)</f>
        <v>#N/A</v>
      </c>
      <c r="AL288" t="e">
        <f>VLOOKUP($Z288,'oddspedia-matches'!$A:$AD,AL$2,0)</f>
        <v>#N/A</v>
      </c>
      <c r="AM288" t="e">
        <f>VLOOKUP($Z288,'oddspedia-matches'!$A:$AD,AM$2,0)</f>
        <v>#N/A</v>
      </c>
      <c r="AN288" t="e">
        <f>VLOOKUP($Z288,'oddspedia-matches'!$A:$AD,AN$2,0)</f>
        <v>#N/A</v>
      </c>
      <c r="AO288" t="e">
        <f>VLOOKUP($Z288,'oddspedia-matches'!$A:$AD,AO$2,0)</f>
        <v>#N/A</v>
      </c>
      <c r="AP288" t="e">
        <f>VLOOKUP($Z288,'oddspedia-matches'!$A:$AD,AP$2,0)</f>
        <v>#N/A</v>
      </c>
      <c r="AQ288" t="e">
        <f>VLOOKUP($Z288,'oddspedia-matches'!$A:$AD,AQ$2,0)</f>
        <v>#N/A</v>
      </c>
    </row>
    <row r="289" spans="2:43" x14ac:dyDescent="0.2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>
        <f>VLOOKUP(E289,'Transform table'!A:B,2,0)</f>
        <v>0</v>
      </c>
      <c r="Y289" t="e">
        <f>VLOOKUP(F289,'Transform table'!A:B,2,0)</f>
        <v>#N/A</v>
      </c>
      <c r="Z289" t="e">
        <f>C289&amp;X289&amp;Y289</f>
        <v>#N/A</v>
      </c>
      <c r="AA289" t="e">
        <f>VLOOKUP($Z289,'oddspedia-matches'!$A:$AD,AA$2,0)</f>
        <v>#N/A</v>
      </c>
      <c r="AB289" t="e">
        <f>VLOOKUP($Z289,'oddspedia-matches'!$A:$AD,AB$2,0)</f>
        <v>#N/A</v>
      </c>
      <c r="AC289" t="e">
        <f>VLOOKUP($Z289,'oddspedia-matches'!$A:$AD,AC$2,0)</f>
        <v>#N/A</v>
      </c>
      <c r="AD289" t="e">
        <f>VLOOKUP($Z289,'oddspedia-matches'!$A:$AD,AD$2,0)</f>
        <v>#N/A</v>
      </c>
      <c r="AE289" t="e">
        <f>VLOOKUP($Z289,'oddspedia-matches'!$A:$AD,AE$2,0)</f>
        <v>#N/A</v>
      </c>
      <c r="AF289" t="e">
        <f>VLOOKUP($Z289,'oddspedia-matches'!$A:$AD,AF$2,0)</f>
        <v>#N/A</v>
      </c>
      <c r="AG289" t="e">
        <f>VLOOKUP($Z289,'oddspedia-matches'!$A:$AD,AG$2,0)</f>
        <v>#N/A</v>
      </c>
      <c r="AH289" t="e">
        <f>VLOOKUP($Z289,'oddspedia-matches'!$A:$AD,AH$2,0)</f>
        <v>#N/A</v>
      </c>
      <c r="AI289" t="e">
        <f>VLOOKUP($Z289,'oddspedia-matches'!$A:$AD,AI$2,0)</f>
        <v>#N/A</v>
      </c>
      <c r="AJ289" t="e">
        <f>VLOOKUP($Z289,'oddspedia-matches'!$A:$AD,AJ$2,0)</f>
        <v>#N/A</v>
      </c>
      <c r="AK289" t="e">
        <f>VLOOKUP($Z289,'oddspedia-matches'!$A:$AD,AK$2,0)</f>
        <v>#N/A</v>
      </c>
      <c r="AL289" t="e">
        <f>VLOOKUP($Z289,'oddspedia-matches'!$A:$AD,AL$2,0)</f>
        <v>#N/A</v>
      </c>
      <c r="AM289" t="e">
        <f>VLOOKUP($Z289,'oddspedia-matches'!$A:$AD,AM$2,0)</f>
        <v>#N/A</v>
      </c>
      <c r="AN289" t="e">
        <f>VLOOKUP($Z289,'oddspedia-matches'!$A:$AD,AN$2,0)</f>
        <v>#N/A</v>
      </c>
      <c r="AO289" t="e">
        <f>VLOOKUP($Z289,'oddspedia-matches'!$A:$AD,AO$2,0)</f>
        <v>#N/A</v>
      </c>
      <c r="AP289" t="e">
        <f>VLOOKUP($Z289,'oddspedia-matches'!$A:$AD,AP$2,0)</f>
        <v>#N/A</v>
      </c>
      <c r="AQ289" t="e">
        <f>VLOOKUP($Z289,'oddspedia-matches'!$A:$AD,AQ$2,0)</f>
        <v>#N/A</v>
      </c>
    </row>
    <row r="290" spans="2:43" x14ac:dyDescent="0.2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>C290&amp;X290&amp;Y290</f>
        <v>25/07/2026Montreal ImpactInter Miami CF</v>
      </c>
      <c r="AA290" t="e">
        <f>VLOOKUP($Z290,'oddspedia-matches'!$A:$AD,AA$2,0)</f>
        <v>#N/A</v>
      </c>
      <c r="AB290" t="e">
        <f>VLOOKUP($Z290,'oddspedia-matches'!$A:$AD,AB$2,0)</f>
        <v>#N/A</v>
      </c>
      <c r="AC290" t="e">
        <f>VLOOKUP($Z290,'oddspedia-matches'!$A:$AD,AC$2,0)</f>
        <v>#N/A</v>
      </c>
      <c r="AD290" t="e">
        <f>VLOOKUP($Z290,'oddspedia-matches'!$A:$AD,AD$2,0)</f>
        <v>#N/A</v>
      </c>
      <c r="AE290" t="e">
        <f>VLOOKUP($Z290,'oddspedia-matches'!$A:$AD,AE$2,0)</f>
        <v>#N/A</v>
      </c>
      <c r="AF290" t="e">
        <f>VLOOKUP($Z290,'oddspedia-matches'!$A:$AD,AF$2,0)</f>
        <v>#N/A</v>
      </c>
      <c r="AG290" t="e">
        <f>VLOOKUP($Z290,'oddspedia-matches'!$A:$AD,AG$2,0)</f>
        <v>#N/A</v>
      </c>
      <c r="AH290" t="e">
        <f>VLOOKUP($Z290,'oddspedia-matches'!$A:$AD,AH$2,0)</f>
        <v>#N/A</v>
      </c>
      <c r="AI290" t="e">
        <f>VLOOKUP($Z290,'oddspedia-matches'!$A:$AD,AI$2,0)</f>
        <v>#N/A</v>
      </c>
      <c r="AJ290" t="e">
        <f>VLOOKUP($Z290,'oddspedia-matches'!$A:$AD,AJ$2,0)</f>
        <v>#N/A</v>
      </c>
      <c r="AK290" t="e">
        <f>VLOOKUP($Z290,'oddspedia-matches'!$A:$AD,AK$2,0)</f>
        <v>#N/A</v>
      </c>
      <c r="AL290" t="e">
        <f>VLOOKUP($Z290,'oddspedia-matches'!$A:$AD,AL$2,0)</f>
        <v>#N/A</v>
      </c>
      <c r="AM290" t="e">
        <f>VLOOKUP($Z290,'oddspedia-matches'!$A:$AD,AM$2,0)</f>
        <v>#N/A</v>
      </c>
      <c r="AN290" t="e">
        <f>VLOOKUP($Z290,'oddspedia-matches'!$A:$AD,AN$2,0)</f>
        <v>#N/A</v>
      </c>
      <c r="AO290" t="e">
        <f>VLOOKUP($Z290,'oddspedia-matches'!$A:$AD,AO$2,0)</f>
        <v>#N/A</v>
      </c>
      <c r="AP290" t="e">
        <f>VLOOKUP($Z290,'oddspedia-matches'!$A:$AD,AP$2,0)</f>
        <v>#N/A</v>
      </c>
      <c r="AQ290" t="e">
        <f>VLOOKUP($Z290,'oddspedia-matches'!$A:$AD,AQ$2,0)</f>
        <v>#N/A</v>
      </c>
    </row>
    <row r="291" spans="2:43" x14ac:dyDescent="0.2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>C291&amp;X291&amp;Y291</f>
        <v>25/07/2026DC UnitedToronto FC</v>
      </c>
      <c r="AA291" t="e">
        <f>VLOOKUP($Z291,'oddspedia-matches'!$A:$AD,AA$2,0)</f>
        <v>#N/A</v>
      </c>
      <c r="AB291" t="e">
        <f>VLOOKUP($Z291,'oddspedia-matches'!$A:$AD,AB$2,0)</f>
        <v>#N/A</v>
      </c>
      <c r="AC291" t="e">
        <f>VLOOKUP($Z291,'oddspedia-matches'!$A:$AD,AC$2,0)</f>
        <v>#N/A</v>
      </c>
      <c r="AD291" t="e">
        <f>VLOOKUP($Z291,'oddspedia-matches'!$A:$AD,AD$2,0)</f>
        <v>#N/A</v>
      </c>
      <c r="AE291" t="e">
        <f>VLOOKUP($Z291,'oddspedia-matches'!$A:$AD,AE$2,0)</f>
        <v>#N/A</v>
      </c>
      <c r="AF291" t="e">
        <f>VLOOKUP($Z291,'oddspedia-matches'!$A:$AD,AF$2,0)</f>
        <v>#N/A</v>
      </c>
      <c r="AG291" t="e">
        <f>VLOOKUP($Z291,'oddspedia-matches'!$A:$AD,AG$2,0)</f>
        <v>#N/A</v>
      </c>
      <c r="AH291" t="e">
        <f>VLOOKUP($Z291,'oddspedia-matches'!$A:$AD,AH$2,0)</f>
        <v>#N/A</v>
      </c>
      <c r="AI291" t="e">
        <f>VLOOKUP($Z291,'oddspedia-matches'!$A:$AD,AI$2,0)</f>
        <v>#N/A</v>
      </c>
      <c r="AJ291" t="e">
        <f>VLOOKUP($Z291,'oddspedia-matches'!$A:$AD,AJ$2,0)</f>
        <v>#N/A</v>
      </c>
      <c r="AK291" t="e">
        <f>VLOOKUP($Z291,'oddspedia-matches'!$A:$AD,AK$2,0)</f>
        <v>#N/A</v>
      </c>
      <c r="AL291" t="e">
        <f>VLOOKUP($Z291,'oddspedia-matches'!$A:$AD,AL$2,0)</f>
        <v>#N/A</v>
      </c>
      <c r="AM291" t="e">
        <f>VLOOKUP($Z291,'oddspedia-matches'!$A:$AD,AM$2,0)</f>
        <v>#N/A</v>
      </c>
      <c r="AN291" t="e">
        <f>VLOOKUP($Z291,'oddspedia-matches'!$A:$AD,AN$2,0)</f>
        <v>#N/A</v>
      </c>
      <c r="AO291" t="e">
        <f>VLOOKUP($Z291,'oddspedia-matches'!$A:$AD,AO$2,0)</f>
        <v>#N/A</v>
      </c>
      <c r="AP291" t="e">
        <f>VLOOKUP($Z291,'oddspedia-matches'!$A:$AD,AP$2,0)</f>
        <v>#N/A</v>
      </c>
      <c r="AQ291" t="e">
        <f>VLOOKUP($Z291,'oddspedia-matches'!$A:$AD,AQ$2,0)</f>
        <v>#N/A</v>
      </c>
    </row>
    <row r="292" spans="2:43" x14ac:dyDescent="0.2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>C292&amp;X292&amp;Y292</f>
        <v>25/07/2026New England RevolutionAtlanta United</v>
      </c>
      <c r="AA292" t="e">
        <f>VLOOKUP($Z292,'oddspedia-matches'!$A:$AD,AA$2,0)</f>
        <v>#N/A</v>
      </c>
      <c r="AB292" t="e">
        <f>VLOOKUP($Z292,'oddspedia-matches'!$A:$AD,AB$2,0)</f>
        <v>#N/A</v>
      </c>
      <c r="AC292" t="e">
        <f>VLOOKUP($Z292,'oddspedia-matches'!$A:$AD,AC$2,0)</f>
        <v>#N/A</v>
      </c>
      <c r="AD292" t="e">
        <f>VLOOKUP($Z292,'oddspedia-matches'!$A:$AD,AD$2,0)</f>
        <v>#N/A</v>
      </c>
      <c r="AE292" t="e">
        <f>VLOOKUP($Z292,'oddspedia-matches'!$A:$AD,AE$2,0)</f>
        <v>#N/A</v>
      </c>
      <c r="AF292" t="e">
        <f>VLOOKUP($Z292,'oddspedia-matches'!$A:$AD,AF$2,0)</f>
        <v>#N/A</v>
      </c>
      <c r="AG292" t="e">
        <f>VLOOKUP($Z292,'oddspedia-matches'!$A:$AD,AG$2,0)</f>
        <v>#N/A</v>
      </c>
      <c r="AH292" t="e">
        <f>VLOOKUP($Z292,'oddspedia-matches'!$A:$AD,AH$2,0)</f>
        <v>#N/A</v>
      </c>
      <c r="AI292" t="e">
        <f>VLOOKUP($Z292,'oddspedia-matches'!$A:$AD,AI$2,0)</f>
        <v>#N/A</v>
      </c>
      <c r="AJ292" t="e">
        <f>VLOOKUP($Z292,'oddspedia-matches'!$A:$AD,AJ$2,0)</f>
        <v>#N/A</v>
      </c>
      <c r="AK292" t="e">
        <f>VLOOKUP($Z292,'oddspedia-matches'!$A:$AD,AK$2,0)</f>
        <v>#N/A</v>
      </c>
      <c r="AL292" t="e">
        <f>VLOOKUP($Z292,'oddspedia-matches'!$A:$AD,AL$2,0)</f>
        <v>#N/A</v>
      </c>
      <c r="AM292" t="e">
        <f>VLOOKUP($Z292,'oddspedia-matches'!$A:$AD,AM$2,0)</f>
        <v>#N/A</v>
      </c>
      <c r="AN292" t="e">
        <f>VLOOKUP($Z292,'oddspedia-matches'!$A:$AD,AN$2,0)</f>
        <v>#N/A</v>
      </c>
      <c r="AO292" t="e">
        <f>VLOOKUP($Z292,'oddspedia-matches'!$A:$AD,AO$2,0)</f>
        <v>#N/A</v>
      </c>
      <c r="AP292" t="e">
        <f>VLOOKUP($Z292,'oddspedia-matches'!$A:$AD,AP$2,0)</f>
        <v>#N/A</v>
      </c>
      <c r="AQ292" t="e">
        <f>VLOOKUP($Z292,'oddspedia-matches'!$A:$AD,AQ$2,0)</f>
        <v>#N/A</v>
      </c>
    </row>
    <row r="293" spans="2:43" x14ac:dyDescent="0.2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>C293&amp;X293&amp;Y293</f>
        <v>25/07/2026New York CityChicago Fire</v>
      </c>
      <c r="AA293" t="e">
        <f>VLOOKUP($Z293,'oddspedia-matches'!$A:$AD,AA$2,0)</f>
        <v>#N/A</v>
      </c>
      <c r="AB293" t="e">
        <f>VLOOKUP($Z293,'oddspedia-matches'!$A:$AD,AB$2,0)</f>
        <v>#N/A</v>
      </c>
      <c r="AC293" t="e">
        <f>VLOOKUP($Z293,'oddspedia-matches'!$A:$AD,AC$2,0)</f>
        <v>#N/A</v>
      </c>
      <c r="AD293" t="e">
        <f>VLOOKUP($Z293,'oddspedia-matches'!$A:$AD,AD$2,0)</f>
        <v>#N/A</v>
      </c>
      <c r="AE293" t="e">
        <f>VLOOKUP($Z293,'oddspedia-matches'!$A:$AD,AE$2,0)</f>
        <v>#N/A</v>
      </c>
      <c r="AF293" t="e">
        <f>VLOOKUP($Z293,'oddspedia-matches'!$A:$AD,AF$2,0)</f>
        <v>#N/A</v>
      </c>
      <c r="AG293" t="e">
        <f>VLOOKUP($Z293,'oddspedia-matches'!$A:$AD,AG$2,0)</f>
        <v>#N/A</v>
      </c>
      <c r="AH293" t="e">
        <f>VLOOKUP($Z293,'oddspedia-matches'!$A:$AD,AH$2,0)</f>
        <v>#N/A</v>
      </c>
      <c r="AI293" t="e">
        <f>VLOOKUP($Z293,'oddspedia-matches'!$A:$AD,AI$2,0)</f>
        <v>#N/A</v>
      </c>
      <c r="AJ293" t="e">
        <f>VLOOKUP($Z293,'oddspedia-matches'!$A:$AD,AJ$2,0)</f>
        <v>#N/A</v>
      </c>
      <c r="AK293" t="e">
        <f>VLOOKUP($Z293,'oddspedia-matches'!$A:$AD,AK$2,0)</f>
        <v>#N/A</v>
      </c>
      <c r="AL293" t="e">
        <f>VLOOKUP($Z293,'oddspedia-matches'!$A:$AD,AL$2,0)</f>
        <v>#N/A</v>
      </c>
      <c r="AM293" t="e">
        <f>VLOOKUP($Z293,'oddspedia-matches'!$A:$AD,AM$2,0)</f>
        <v>#N/A</v>
      </c>
      <c r="AN293" t="e">
        <f>VLOOKUP($Z293,'oddspedia-matches'!$A:$AD,AN$2,0)</f>
        <v>#N/A</v>
      </c>
      <c r="AO293" t="e">
        <f>VLOOKUP($Z293,'oddspedia-matches'!$A:$AD,AO$2,0)</f>
        <v>#N/A</v>
      </c>
      <c r="AP293" t="e">
        <f>VLOOKUP($Z293,'oddspedia-matches'!$A:$AD,AP$2,0)</f>
        <v>#N/A</v>
      </c>
      <c r="AQ293" t="e">
        <f>VLOOKUP($Z293,'oddspedia-matches'!$A:$AD,AQ$2,0)</f>
        <v>#N/A</v>
      </c>
    </row>
    <row r="294" spans="2:43" x14ac:dyDescent="0.2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>C294&amp;X294&amp;Y294</f>
        <v>25/07/2026Orlando CityNashville FC</v>
      </c>
      <c r="AA294" t="e">
        <f>VLOOKUP($Z294,'oddspedia-matches'!$A:$AD,AA$2,0)</f>
        <v>#N/A</v>
      </c>
      <c r="AB294" t="e">
        <f>VLOOKUP($Z294,'oddspedia-matches'!$A:$AD,AB$2,0)</f>
        <v>#N/A</v>
      </c>
      <c r="AC294" t="e">
        <f>VLOOKUP($Z294,'oddspedia-matches'!$A:$AD,AC$2,0)</f>
        <v>#N/A</v>
      </c>
      <c r="AD294" t="e">
        <f>VLOOKUP($Z294,'oddspedia-matches'!$A:$AD,AD$2,0)</f>
        <v>#N/A</v>
      </c>
      <c r="AE294" t="e">
        <f>VLOOKUP($Z294,'oddspedia-matches'!$A:$AD,AE$2,0)</f>
        <v>#N/A</v>
      </c>
      <c r="AF294" t="e">
        <f>VLOOKUP($Z294,'oddspedia-matches'!$A:$AD,AF$2,0)</f>
        <v>#N/A</v>
      </c>
      <c r="AG294" t="e">
        <f>VLOOKUP($Z294,'oddspedia-matches'!$A:$AD,AG$2,0)</f>
        <v>#N/A</v>
      </c>
      <c r="AH294" t="e">
        <f>VLOOKUP($Z294,'oddspedia-matches'!$A:$AD,AH$2,0)</f>
        <v>#N/A</v>
      </c>
      <c r="AI294" t="e">
        <f>VLOOKUP($Z294,'oddspedia-matches'!$A:$AD,AI$2,0)</f>
        <v>#N/A</v>
      </c>
      <c r="AJ294" t="e">
        <f>VLOOKUP($Z294,'oddspedia-matches'!$A:$AD,AJ$2,0)</f>
        <v>#N/A</v>
      </c>
      <c r="AK294" t="e">
        <f>VLOOKUP($Z294,'oddspedia-matches'!$A:$AD,AK$2,0)</f>
        <v>#N/A</v>
      </c>
      <c r="AL294" t="e">
        <f>VLOOKUP($Z294,'oddspedia-matches'!$A:$AD,AL$2,0)</f>
        <v>#N/A</v>
      </c>
      <c r="AM294" t="e">
        <f>VLOOKUP($Z294,'oddspedia-matches'!$A:$AD,AM$2,0)</f>
        <v>#N/A</v>
      </c>
      <c r="AN294" t="e">
        <f>VLOOKUP($Z294,'oddspedia-matches'!$A:$AD,AN$2,0)</f>
        <v>#N/A</v>
      </c>
      <c r="AO294" t="e">
        <f>VLOOKUP($Z294,'oddspedia-matches'!$A:$AD,AO$2,0)</f>
        <v>#N/A</v>
      </c>
      <c r="AP294" t="e">
        <f>VLOOKUP($Z294,'oddspedia-matches'!$A:$AD,AP$2,0)</f>
        <v>#N/A</v>
      </c>
      <c r="AQ294" t="e">
        <f>VLOOKUP($Z294,'oddspedia-matches'!$A:$AD,AQ$2,0)</f>
        <v>#N/A</v>
      </c>
    </row>
    <row r="295" spans="2:43" x14ac:dyDescent="0.2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>C295&amp;X295&amp;Y295</f>
        <v>25/07/2026Philadelphia UnionSeattle Sounders FC</v>
      </c>
      <c r="AA295" t="e">
        <f>VLOOKUP($Z295,'oddspedia-matches'!$A:$AD,AA$2,0)</f>
        <v>#N/A</v>
      </c>
      <c r="AB295" t="e">
        <f>VLOOKUP($Z295,'oddspedia-matches'!$A:$AD,AB$2,0)</f>
        <v>#N/A</v>
      </c>
      <c r="AC295" t="e">
        <f>VLOOKUP($Z295,'oddspedia-matches'!$A:$AD,AC$2,0)</f>
        <v>#N/A</v>
      </c>
      <c r="AD295" t="e">
        <f>VLOOKUP($Z295,'oddspedia-matches'!$A:$AD,AD$2,0)</f>
        <v>#N/A</v>
      </c>
      <c r="AE295" t="e">
        <f>VLOOKUP($Z295,'oddspedia-matches'!$A:$AD,AE$2,0)</f>
        <v>#N/A</v>
      </c>
      <c r="AF295" t="e">
        <f>VLOOKUP($Z295,'oddspedia-matches'!$A:$AD,AF$2,0)</f>
        <v>#N/A</v>
      </c>
      <c r="AG295" t="e">
        <f>VLOOKUP($Z295,'oddspedia-matches'!$A:$AD,AG$2,0)</f>
        <v>#N/A</v>
      </c>
      <c r="AH295" t="e">
        <f>VLOOKUP($Z295,'oddspedia-matches'!$A:$AD,AH$2,0)</f>
        <v>#N/A</v>
      </c>
      <c r="AI295" t="e">
        <f>VLOOKUP($Z295,'oddspedia-matches'!$A:$AD,AI$2,0)</f>
        <v>#N/A</v>
      </c>
      <c r="AJ295" t="e">
        <f>VLOOKUP($Z295,'oddspedia-matches'!$A:$AD,AJ$2,0)</f>
        <v>#N/A</v>
      </c>
      <c r="AK295" t="e">
        <f>VLOOKUP($Z295,'oddspedia-matches'!$A:$AD,AK$2,0)</f>
        <v>#N/A</v>
      </c>
      <c r="AL295" t="e">
        <f>VLOOKUP($Z295,'oddspedia-matches'!$A:$AD,AL$2,0)</f>
        <v>#N/A</v>
      </c>
      <c r="AM295" t="e">
        <f>VLOOKUP($Z295,'oddspedia-matches'!$A:$AD,AM$2,0)</f>
        <v>#N/A</v>
      </c>
      <c r="AN295" t="e">
        <f>VLOOKUP($Z295,'oddspedia-matches'!$A:$AD,AN$2,0)</f>
        <v>#N/A</v>
      </c>
      <c r="AO295" t="e">
        <f>VLOOKUP($Z295,'oddspedia-matches'!$A:$AD,AO$2,0)</f>
        <v>#N/A</v>
      </c>
      <c r="AP295" t="e">
        <f>VLOOKUP($Z295,'oddspedia-matches'!$A:$AD,AP$2,0)</f>
        <v>#N/A</v>
      </c>
      <c r="AQ295" t="e">
        <f>VLOOKUP($Z295,'oddspedia-matches'!$A:$AD,AQ$2,0)</f>
        <v>#N/A</v>
      </c>
    </row>
    <row r="296" spans="2:43" x14ac:dyDescent="0.2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e">
        <f>VLOOKUP(F296,'Transform table'!A:B,2,0)</f>
        <v>#N/A</v>
      </c>
      <c r="Z296" t="e">
        <f>C296&amp;X296&amp;Y296</f>
        <v>#N/A</v>
      </c>
      <c r="AA296" t="e">
        <f>VLOOKUP($Z296,'oddspedia-matches'!$A:$AD,AA$2,0)</f>
        <v>#N/A</v>
      </c>
      <c r="AB296" t="e">
        <f>VLOOKUP($Z296,'oddspedia-matches'!$A:$AD,AB$2,0)</f>
        <v>#N/A</v>
      </c>
      <c r="AC296" t="e">
        <f>VLOOKUP($Z296,'oddspedia-matches'!$A:$AD,AC$2,0)</f>
        <v>#N/A</v>
      </c>
      <c r="AD296" t="e">
        <f>VLOOKUP($Z296,'oddspedia-matches'!$A:$AD,AD$2,0)</f>
        <v>#N/A</v>
      </c>
      <c r="AE296" t="e">
        <f>VLOOKUP($Z296,'oddspedia-matches'!$A:$AD,AE$2,0)</f>
        <v>#N/A</v>
      </c>
      <c r="AF296" t="e">
        <f>VLOOKUP($Z296,'oddspedia-matches'!$A:$AD,AF$2,0)</f>
        <v>#N/A</v>
      </c>
      <c r="AG296" t="e">
        <f>VLOOKUP($Z296,'oddspedia-matches'!$A:$AD,AG$2,0)</f>
        <v>#N/A</v>
      </c>
      <c r="AH296" t="e">
        <f>VLOOKUP($Z296,'oddspedia-matches'!$A:$AD,AH$2,0)</f>
        <v>#N/A</v>
      </c>
      <c r="AI296" t="e">
        <f>VLOOKUP($Z296,'oddspedia-matches'!$A:$AD,AI$2,0)</f>
        <v>#N/A</v>
      </c>
      <c r="AJ296" t="e">
        <f>VLOOKUP($Z296,'oddspedia-matches'!$A:$AD,AJ$2,0)</f>
        <v>#N/A</v>
      </c>
      <c r="AK296" t="e">
        <f>VLOOKUP($Z296,'oddspedia-matches'!$A:$AD,AK$2,0)</f>
        <v>#N/A</v>
      </c>
      <c r="AL296" t="e">
        <f>VLOOKUP($Z296,'oddspedia-matches'!$A:$AD,AL$2,0)</f>
        <v>#N/A</v>
      </c>
      <c r="AM296" t="e">
        <f>VLOOKUP($Z296,'oddspedia-matches'!$A:$AD,AM$2,0)</f>
        <v>#N/A</v>
      </c>
      <c r="AN296" t="e">
        <f>VLOOKUP($Z296,'oddspedia-matches'!$A:$AD,AN$2,0)</f>
        <v>#N/A</v>
      </c>
      <c r="AO296" t="e">
        <f>VLOOKUP($Z296,'oddspedia-matches'!$A:$AD,AO$2,0)</f>
        <v>#N/A</v>
      </c>
      <c r="AP296" t="e">
        <f>VLOOKUP($Z296,'oddspedia-matches'!$A:$AD,AP$2,0)</f>
        <v>#N/A</v>
      </c>
      <c r="AQ296" t="e">
        <f>VLOOKUP($Z296,'oddspedia-matches'!$A:$AD,AQ$2,0)</f>
        <v>#N/A</v>
      </c>
    </row>
    <row r="297" spans="2:43" x14ac:dyDescent="0.2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Universidad Central de Venezuela</v>
      </c>
      <c r="Y297" t="e">
        <f>VLOOKUP(F297,'Transform table'!A:B,2,0)</f>
        <v>#N/A</v>
      </c>
      <c r="Z297" t="e">
        <f>C297&amp;X297&amp;Y297</f>
        <v>#N/A</v>
      </c>
      <c r="AA297" t="e">
        <f>VLOOKUP($Z297,'oddspedia-matches'!$A:$AD,AA$2,0)</f>
        <v>#N/A</v>
      </c>
      <c r="AB297" t="e">
        <f>VLOOKUP($Z297,'oddspedia-matches'!$A:$AD,AB$2,0)</f>
        <v>#N/A</v>
      </c>
      <c r="AC297" t="e">
        <f>VLOOKUP($Z297,'oddspedia-matches'!$A:$AD,AC$2,0)</f>
        <v>#N/A</v>
      </c>
      <c r="AD297" t="e">
        <f>VLOOKUP($Z297,'oddspedia-matches'!$A:$AD,AD$2,0)</f>
        <v>#N/A</v>
      </c>
      <c r="AE297" t="e">
        <f>VLOOKUP($Z297,'oddspedia-matches'!$A:$AD,AE$2,0)</f>
        <v>#N/A</v>
      </c>
      <c r="AF297" t="e">
        <f>VLOOKUP($Z297,'oddspedia-matches'!$A:$AD,AF$2,0)</f>
        <v>#N/A</v>
      </c>
      <c r="AG297" t="e">
        <f>VLOOKUP($Z297,'oddspedia-matches'!$A:$AD,AG$2,0)</f>
        <v>#N/A</v>
      </c>
      <c r="AH297" t="e">
        <f>VLOOKUP($Z297,'oddspedia-matches'!$A:$AD,AH$2,0)</f>
        <v>#N/A</v>
      </c>
      <c r="AI297" t="e">
        <f>VLOOKUP($Z297,'oddspedia-matches'!$A:$AD,AI$2,0)</f>
        <v>#N/A</v>
      </c>
      <c r="AJ297" t="e">
        <f>VLOOKUP($Z297,'oddspedia-matches'!$A:$AD,AJ$2,0)</f>
        <v>#N/A</v>
      </c>
      <c r="AK297" t="e">
        <f>VLOOKUP($Z297,'oddspedia-matches'!$A:$AD,AK$2,0)</f>
        <v>#N/A</v>
      </c>
      <c r="AL297" t="e">
        <f>VLOOKUP($Z297,'oddspedia-matches'!$A:$AD,AL$2,0)</f>
        <v>#N/A</v>
      </c>
      <c r="AM297" t="e">
        <f>VLOOKUP($Z297,'oddspedia-matches'!$A:$AD,AM$2,0)</f>
        <v>#N/A</v>
      </c>
      <c r="AN297" t="e">
        <f>VLOOKUP($Z297,'oddspedia-matches'!$A:$AD,AN$2,0)</f>
        <v>#N/A</v>
      </c>
      <c r="AO297" t="e">
        <f>VLOOKUP($Z297,'oddspedia-matches'!$A:$AD,AO$2,0)</f>
        <v>#N/A</v>
      </c>
      <c r="AP297" t="e">
        <f>VLOOKUP($Z297,'oddspedia-matches'!$A:$AD,AP$2,0)</f>
        <v>#N/A</v>
      </c>
      <c r="AQ297" t="e">
        <f>VLOOKUP($Z297,'oddspedia-matches'!$A:$AD,AQ$2,0)</f>
        <v>#N/A</v>
      </c>
    </row>
    <row r="298" spans="2:43" x14ac:dyDescent="0.2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e">
        <f>VLOOKUP(F298,'Transform table'!A:B,2,0)</f>
        <v>#N/A</v>
      </c>
      <c r="Z298" t="e">
        <f>C298&amp;X298&amp;Y298</f>
        <v>#N/A</v>
      </c>
      <c r="AA298" t="e">
        <f>VLOOKUP($Z298,'oddspedia-matches'!$A:$AD,AA$2,0)</f>
        <v>#N/A</v>
      </c>
      <c r="AB298" t="e">
        <f>VLOOKUP($Z298,'oddspedia-matches'!$A:$AD,AB$2,0)</f>
        <v>#N/A</v>
      </c>
      <c r="AC298" t="e">
        <f>VLOOKUP($Z298,'oddspedia-matches'!$A:$AD,AC$2,0)</f>
        <v>#N/A</v>
      </c>
      <c r="AD298" t="e">
        <f>VLOOKUP($Z298,'oddspedia-matches'!$A:$AD,AD$2,0)</f>
        <v>#N/A</v>
      </c>
      <c r="AE298" t="e">
        <f>VLOOKUP($Z298,'oddspedia-matches'!$A:$AD,AE$2,0)</f>
        <v>#N/A</v>
      </c>
      <c r="AF298" t="e">
        <f>VLOOKUP($Z298,'oddspedia-matches'!$A:$AD,AF$2,0)</f>
        <v>#N/A</v>
      </c>
      <c r="AG298" t="e">
        <f>VLOOKUP($Z298,'oddspedia-matches'!$A:$AD,AG$2,0)</f>
        <v>#N/A</v>
      </c>
      <c r="AH298" t="e">
        <f>VLOOKUP($Z298,'oddspedia-matches'!$A:$AD,AH$2,0)</f>
        <v>#N/A</v>
      </c>
      <c r="AI298" t="e">
        <f>VLOOKUP($Z298,'oddspedia-matches'!$A:$AD,AI$2,0)</f>
        <v>#N/A</v>
      </c>
      <c r="AJ298" t="e">
        <f>VLOOKUP($Z298,'oddspedia-matches'!$A:$AD,AJ$2,0)</f>
        <v>#N/A</v>
      </c>
      <c r="AK298" t="e">
        <f>VLOOKUP($Z298,'oddspedia-matches'!$A:$AD,AK$2,0)</f>
        <v>#N/A</v>
      </c>
      <c r="AL298" t="e">
        <f>VLOOKUP($Z298,'oddspedia-matches'!$A:$AD,AL$2,0)</f>
        <v>#N/A</v>
      </c>
      <c r="AM298" t="e">
        <f>VLOOKUP($Z298,'oddspedia-matches'!$A:$AD,AM$2,0)</f>
        <v>#N/A</v>
      </c>
      <c r="AN298" t="e">
        <f>VLOOKUP($Z298,'oddspedia-matches'!$A:$AD,AN$2,0)</f>
        <v>#N/A</v>
      </c>
      <c r="AO298" t="e">
        <f>VLOOKUP($Z298,'oddspedia-matches'!$A:$AD,AO$2,0)</f>
        <v>#N/A</v>
      </c>
      <c r="AP298" t="e">
        <f>VLOOKUP($Z298,'oddspedia-matches'!$A:$AD,AP$2,0)</f>
        <v>#N/A</v>
      </c>
      <c r="AQ298" t="e">
        <f>VLOOKUP($Z298,'oddspedia-matches'!$A:$AD,AQ$2,0)</f>
        <v>#N/A</v>
      </c>
    </row>
    <row r="299" spans="2:43" x14ac:dyDescent="0.2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>C299&amp;X299&amp;Y299</f>
        <v>25/07/2026Tecnico UniversitarioManta FC</v>
      </c>
      <c r="AA299" t="e">
        <f>VLOOKUP($Z299,'oddspedia-matches'!$A:$AD,AA$2,0)</f>
        <v>#N/A</v>
      </c>
      <c r="AB299" t="e">
        <f>VLOOKUP($Z299,'oddspedia-matches'!$A:$AD,AB$2,0)</f>
        <v>#N/A</v>
      </c>
      <c r="AC299" t="e">
        <f>VLOOKUP($Z299,'oddspedia-matches'!$A:$AD,AC$2,0)</f>
        <v>#N/A</v>
      </c>
      <c r="AD299" t="e">
        <f>VLOOKUP($Z299,'oddspedia-matches'!$A:$AD,AD$2,0)</f>
        <v>#N/A</v>
      </c>
      <c r="AE299" t="e">
        <f>VLOOKUP($Z299,'oddspedia-matches'!$A:$AD,AE$2,0)</f>
        <v>#N/A</v>
      </c>
      <c r="AF299" t="e">
        <f>VLOOKUP($Z299,'oddspedia-matches'!$A:$AD,AF$2,0)</f>
        <v>#N/A</v>
      </c>
      <c r="AG299" t="e">
        <f>VLOOKUP($Z299,'oddspedia-matches'!$A:$AD,AG$2,0)</f>
        <v>#N/A</v>
      </c>
      <c r="AH299" t="e">
        <f>VLOOKUP($Z299,'oddspedia-matches'!$A:$AD,AH$2,0)</f>
        <v>#N/A</v>
      </c>
      <c r="AI299" t="e">
        <f>VLOOKUP($Z299,'oddspedia-matches'!$A:$AD,AI$2,0)</f>
        <v>#N/A</v>
      </c>
      <c r="AJ299" t="e">
        <f>VLOOKUP($Z299,'oddspedia-matches'!$A:$AD,AJ$2,0)</f>
        <v>#N/A</v>
      </c>
      <c r="AK299" t="e">
        <f>VLOOKUP($Z299,'oddspedia-matches'!$A:$AD,AK$2,0)</f>
        <v>#N/A</v>
      </c>
      <c r="AL299" t="e">
        <f>VLOOKUP($Z299,'oddspedia-matches'!$A:$AD,AL$2,0)</f>
        <v>#N/A</v>
      </c>
      <c r="AM299" t="e">
        <f>VLOOKUP($Z299,'oddspedia-matches'!$A:$AD,AM$2,0)</f>
        <v>#N/A</v>
      </c>
      <c r="AN299" t="e">
        <f>VLOOKUP($Z299,'oddspedia-matches'!$A:$AD,AN$2,0)</f>
        <v>#N/A</v>
      </c>
      <c r="AO299" t="e">
        <f>VLOOKUP($Z299,'oddspedia-matches'!$A:$AD,AO$2,0)</f>
        <v>#N/A</v>
      </c>
      <c r="AP299" t="e">
        <f>VLOOKUP($Z299,'oddspedia-matches'!$A:$AD,AP$2,0)</f>
        <v>#N/A</v>
      </c>
      <c r="AQ299" t="e">
        <f>VLOOKUP($Z299,'oddspedia-matches'!$A:$AD,AQ$2,0)</f>
        <v>#N/A</v>
      </c>
    </row>
    <row r="300" spans="2:43" x14ac:dyDescent="0.2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e">
        <f>VLOOKUP(F300,'Transform table'!A:B,2,0)</f>
        <v>#N/A</v>
      </c>
      <c r="Z300" t="e">
        <f>C300&amp;X300&amp;Y300</f>
        <v>#N/A</v>
      </c>
      <c r="AA300" t="e">
        <f>VLOOKUP($Z300,'oddspedia-matches'!$A:$AD,AA$2,0)</f>
        <v>#N/A</v>
      </c>
      <c r="AB300" t="e">
        <f>VLOOKUP($Z300,'oddspedia-matches'!$A:$AD,AB$2,0)</f>
        <v>#N/A</v>
      </c>
      <c r="AC300" t="e">
        <f>VLOOKUP($Z300,'oddspedia-matches'!$A:$AD,AC$2,0)</f>
        <v>#N/A</v>
      </c>
      <c r="AD300" t="e">
        <f>VLOOKUP($Z300,'oddspedia-matches'!$A:$AD,AD$2,0)</f>
        <v>#N/A</v>
      </c>
      <c r="AE300" t="e">
        <f>VLOOKUP($Z300,'oddspedia-matches'!$A:$AD,AE$2,0)</f>
        <v>#N/A</v>
      </c>
      <c r="AF300" t="e">
        <f>VLOOKUP($Z300,'oddspedia-matches'!$A:$AD,AF$2,0)</f>
        <v>#N/A</v>
      </c>
      <c r="AG300" t="e">
        <f>VLOOKUP($Z300,'oddspedia-matches'!$A:$AD,AG$2,0)</f>
        <v>#N/A</v>
      </c>
      <c r="AH300" t="e">
        <f>VLOOKUP($Z300,'oddspedia-matches'!$A:$AD,AH$2,0)</f>
        <v>#N/A</v>
      </c>
      <c r="AI300" t="e">
        <f>VLOOKUP($Z300,'oddspedia-matches'!$A:$AD,AI$2,0)</f>
        <v>#N/A</v>
      </c>
      <c r="AJ300" t="e">
        <f>VLOOKUP($Z300,'oddspedia-matches'!$A:$AD,AJ$2,0)</f>
        <v>#N/A</v>
      </c>
      <c r="AK300" t="e">
        <f>VLOOKUP($Z300,'oddspedia-matches'!$A:$AD,AK$2,0)</f>
        <v>#N/A</v>
      </c>
      <c r="AL300" t="e">
        <f>VLOOKUP($Z300,'oddspedia-matches'!$A:$AD,AL$2,0)</f>
        <v>#N/A</v>
      </c>
      <c r="AM300" t="e">
        <f>VLOOKUP($Z300,'oddspedia-matches'!$A:$AD,AM$2,0)</f>
        <v>#N/A</v>
      </c>
      <c r="AN300" t="e">
        <f>VLOOKUP($Z300,'oddspedia-matches'!$A:$AD,AN$2,0)</f>
        <v>#N/A</v>
      </c>
      <c r="AO300" t="e">
        <f>VLOOKUP($Z300,'oddspedia-matches'!$A:$AD,AO$2,0)</f>
        <v>#N/A</v>
      </c>
      <c r="AP300" t="e">
        <f>VLOOKUP($Z300,'oddspedia-matches'!$A:$AD,AP$2,0)</f>
        <v>#N/A</v>
      </c>
      <c r="AQ300" t="e">
        <f>VLOOKUP($Z300,'oddspedia-matches'!$A:$AD,AQ$2,0)</f>
        <v>#N/A</v>
      </c>
    </row>
    <row r="301" spans="2:43" x14ac:dyDescent="0.2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>C301&amp;X301&amp;Y301</f>
        <v>25/07/2026Houston DynamoAustin FC</v>
      </c>
      <c r="AA301" t="e">
        <f>VLOOKUP($Z301,'oddspedia-matches'!$A:$AD,AA$2,0)</f>
        <v>#N/A</v>
      </c>
      <c r="AB301" t="e">
        <f>VLOOKUP($Z301,'oddspedia-matches'!$A:$AD,AB$2,0)</f>
        <v>#N/A</v>
      </c>
      <c r="AC301" t="e">
        <f>VLOOKUP($Z301,'oddspedia-matches'!$A:$AD,AC$2,0)</f>
        <v>#N/A</v>
      </c>
      <c r="AD301" t="e">
        <f>VLOOKUP($Z301,'oddspedia-matches'!$A:$AD,AD$2,0)</f>
        <v>#N/A</v>
      </c>
      <c r="AE301" t="e">
        <f>VLOOKUP($Z301,'oddspedia-matches'!$A:$AD,AE$2,0)</f>
        <v>#N/A</v>
      </c>
      <c r="AF301" t="e">
        <f>VLOOKUP($Z301,'oddspedia-matches'!$A:$AD,AF$2,0)</f>
        <v>#N/A</v>
      </c>
      <c r="AG301" t="e">
        <f>VLOOKUP($Z301,'oddspedia-matches'!$A:$AD,AG$2,0)</f>
        <v>#N/A</v>
      </c>
      <c r="AH301" t="e">
        <f>VLOOKUP($Z301,'oddspedia-matches'!$A:$AD,AH$2,0)</f>
        <v>#N/A</v>
      </c>
      <c r="AI301" t="e">
        <f>VLOOKUP($Z301,'oddspedia-matches'!$A:$AD,AI$2,0)</f>
        <v>#N/A</v>
      </c>
      <c r="AJ301" t="e">
        <f>VLOOKUP($Z301,'oddspedia-matches'!$A:$AD,AJ$2,0)</f>
        <v>#N/A</v>
      </c>
      <c r="AK301" t="e">
        <f>VLOOKUP($Z301,'oddspedia-matches'!$A:$AD,AK$2,0)</f>
        <v>#N/A</v>
      </c>
      <c r="AL301" t="e">
        <f>VLOOKUP($Z301,'oddspedia-matches'!$A:$AD,AL$2,0)</f>
        <v>#N/A</v>
      </c>
      <c r="AM301" t="e">
        <f>VLOOKUP($Z301,'oddspedia-matches'!$A:$AD,AM$2,0)</f>
        <v>#N/A</v>
      </c>
      <c r="AN301" t="e">
        <f>VLOOKUP($Z301,'oddspedia-matches'!$A:$AD,AN$2,0)</f>
        <v>#N/A</v>
      </c>
      <c r="AO301" t="e">
        <f>VLOOKUP($Z301,'oddspedia-matches'!$A:$AD,AO$2,0)</f>
        <v>#N/A</v>
      </c>
      <c r="AP301" t="e">
        <f>VLOOKUP($Z301,'oddspedia-matches'!$A:$AD,AP$2,0)</f>
        <v>#N/A</v>
      </c>
      <c r="AQ301" t="e">
        <f>VLOOKUP($Z301,'oddspedia-matches'!$A:$AD,AQ$2,0)</f>
        <v>#N/A</v>
      </c>
    </row>
    <row r="302" spans="2:43" x14ac:dyDescent="0.2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>C302&amp;X302&amp;Y302</f>
        <v>25/07/2026Minnesota UnitedVancouver Whitecaps</v>
      </c>
      <c r="AA302" t="e">
        <f>VLOOKUP($Z302,'oddspedia-matches'!$A:$AD,AA$2,0)</f>
        <v>#N/A</v>
      </c>
      <c r="AB302" t="e">
        <f>VLOOKUP($Z302,'oddspedia-matches'!$A:$AD,AB$2,0)</f>
        <v>#N/A</v>
      </c>
      <c r="AC302" t="e">
        <f>VLOOKUP($Z302,'oddspedia-matches'!$A:$AD,AC$2,0)</f>
        <v>#N/A</v>
      </c>
      <c r="AD302" t="e">
        <f>VLOOKUP($Z302,'oddspedia-matches'!$A:$AD,AD$2,0)</f>
        <v>#N/A</v>
      </c>
      <c r="AE302" t="e">
        <f>VLOOKUP($Z302,'oddspedia-matches'!$A:$AD,AE$2,0)</f>
        <v>#N/A</v>
      </c>
      <c r="AF302" t="e">
        <f>VLOOKUP($Z302,'oddspedia-matches'!$A:$AD,AF$2,0)</f>
        <v>#N/A</v>
      </c>
      <c r="AG302" t="e">
        <f>VLOOKUP($Z302,'oddspedia-matches'!$A:$AD,AG$2,0)</f>
        <v>#N/A</v>
      </c>
      <c r="AH302" t="e">
        <f>VLOOKUP($Z302,'oddspedia-matches'!$A:$AD,AH$2,0)</f>
        <v>#N/A</v>
      </c>
      <c r="AI302" t="e">
        <f>VLOOKUP($Z302,'oddspedia-matches'!$A:$AD,AI$2,0)</f>
        <v>#N/A</v>
      </c>
      <c r="AJ302" t="e">
        <f>VLOOKUP($Z302,'oddspedia-matches'!$A:$AD,AJ$2,0)</f>
        <v>#N/A</v>
      </c>
      <c r="AK302" t="e">
        <f>VLOOKUP($Z302,'oddspedia-matches'!$A:$AD,AK$2,0)</f>
        <v>#N/A</v>
      </c>
      <c r="AL302" t="e">
        <f>VLOOKUP($Z302,'oddspedia-matches'!$A:$AD,AL$2,0)</f>
        <v>#N/A</v>
      </c>
      <c r="AM302" t="e">
        <f>VLOOKUP($Z302,'oddspedia-matches'!$A:$AD,AM$2,0)</f>
        <v>#N/A</v>
      </c>
      <c r="AN302" t="e">
        <f>VLOOKUP($Z302,'oddspedia-matches'!$A:$AD,AN$2,0)</f>
        <v>#N/A</v>
      </c>
      <c r="AO302" t="e">
        <f>VLOOKUP($Z302,'oddspedia-matches'!$A:$AD,AO$2,0)</f>
        <v>#N/A</v>
      </c>
      <c r="AP302" t="e">
        <f>VLOOKUP($Z302,'oddspedia-matches'!$A:$AD,AP$2,0)</f>
        <v>#N/A</v>
      </c>
      <c r="AQ302" t="e">
        <f>VLOOKUP($Z302,'oddspedia-matches'!$A:$AD,AQ$2,0)</f>
        <v>#N/A</v>
      </c>
    </row>
    <row r="303" spans="2:43" x14ac:dyDescent="0.2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>C303&amp;X303&amp;Y303</f>
        <v>25/07/2026Saint Louis CityColorado Rapids</v>
      </c>
      <c r="AA303" t="e">
        <f>VLOOKUP($Z303,'oddspedia-matches'!$A:$AD,AA$2,0)</f>
        <v>#N/A</v>
      </c>
      <c r="AB303" t="e">
        <f>VLOOKUP($Z303,'oddspedia-matches'!$A:$AD,AB$2,0)</f>
        <v>#N/A</v>
      </c>
      <c r="AC303" t="e">
        <f>VLOOKUP($Z303,'oddspedia-matches'!$A:$AD,AC$2,0)</f>
        <v>#N/A</v>
      </c>
      <c r="AD303" t="e">
        <f>VLOOKUP($Z303,'oddspedia-matches'!$A:$AD,AD$2,0)</f>
        <v>#N/A</v>
      </c>
      <c r="AE303" t="e">
        <f>VLOOKUP($Z303,'oddspedia-matches'!$A:$AD,AE$2,0)</f>
        <v>#N/A</v>
      </c>
      <c r="AF303" t="e">
        <f>VLOOKUP($Z303,'oddspedia-matches'!$A:$AD,AF$2,0)</f>
        <v>#N/A</v>
      </c>
      <c r="AG303" t="e">
        <f>VLOOKUP($Z303,'oddspedia-matches'!$A:$AD,AG$2,0)</f>
        <v>#N/A</v>
      </c>
      <c r="AH303" t="e">
        <f>VLOOKUP($Z303,'oddspedia-matches'!$A:$AD,AH$2,0)</f>
        <v>#N/A</v>
      </c>
      <c r="AI303" t="e">
        <f>VLOOKUP($Z303,'oddspedia-matches'!$A:$AD,AI$2,0)</f>
        <v>#N/A</v>
      </c>
      <c r="AJ303" t="e">
        <f>VLOOKUP($Z303,'oddspedia-matches'!$A:$AD,AJ$2,0)</f>
        <v>#N/A</v>
      </c>
      <c r="AK303" t="e">
        <f>VLOOKUP($Z303,'oddspedia-matches'!$A:$AD,AK$2,0)</f>
        <v>#N/A</v>
      </c>
      <c r="AL303" t="e">
        <f>VLOOKUP($Z303,'oddspedia-matches'!$A:$AD,AL$2,0)</f>
        <v>#N/A</v>
      </c>
      <c r="AM303" t="e">
        <f>VLOOKUP($Z303,'oddspedia-matches'!$A:$AD,AM$2,0)</f>
        <v>#N/A</v>
      </c>
      <c r="AN303" t="e">
        <f>VLOOKUP($Z303,'oddspedia-matches'!$A:$AD,AN$2,0)</f>
        <v>#N/A</v>
      </c>
      <c r="AO303" t="e">
        <f>VLOOKUP($Z303,'oddspedia-matches'!$A:$AD,AO$2,0)</f>
        <v>#N/A</v>
      </c>
      <c r="AP303" t="e">
        <f>VLOOKUP($Z303,'oddspedia-matches'!$A:$AD,AP$2,0)</f>
        <v>#N/A</v>
      </c>
      <c r="AQ303" t="e">
        <f>VLOOKUP($Z303,'oddspedia-matches'!$A:$AD,AQ$2,0)</f>
        <v>#N/A</v>
      </c>
    </row>
    <row r="304" spans="2:43" x14ac:dyDescent="0.2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>
        <f>VLOOKUP(E304,'Transform table'!A:B,2,0)</f>
        <v>0</v>
      </c>
      <c r="Y304" t="str">
        <f>VLOOKUP(F304,'Transform table'!A:B,2,0)</f>
        <v>Lexington SC</v>
      </c>
      <c r="Z304" t="str">
        <f>C304&amp;X304&amp;Y304</f>
        <v>25/07/20260Lexington SC</v>
      </c>
      <c r="AA304" t="e">
        <f>VLOOKUP($Z304,'oddspedia-matches'!$A:$AD,AA$2,0)</f>
        <v>#N/A</v>
      </c>
      <c r="AB304" t="e">
        <f>VLOOKUP($Z304,'oddspedia-matches'!$A:$AD,AB$2,0)</f>
        <v>#N/A</v>
      </c>
      <c r="AC304" t="e">
        <f>VLOOKUP($Z304,'oddspedia-matches'!$A:$AD,AC$2,0)</f>
        <v>#N/A</v>
      </c>
      <c r="AD304" t="e">
        <f>VLOOKUP($Z304,'oddspedia-matches'!$A:$AD,AD$2,0)</f>
        <v>#N/A</v>
      </c>
      <c r="AE304" t="e">
        <f>VLOOKUP($Z304,'oddspedia-matches'!$A:$AD,AE$2,0)</f>
        <v>#N/A</v>
      </c>
      <c r="AF304" t="e">
        <f>VLOOKUP($Z304,'oddspedia-matches'!$A:$AD,AF$2,0)</f>
        <v>#N/A</v>
      </c>
      <c r="AG304" t="e">
        <f>VLOOKUP($Z304,'oddspedia-matches'!$A:$AD,AG$2,0)</f>
        <v>#N/A</v>
      </c>
      <c r="AH304" t="e">
        <f>VLOOKUP($Z304,'oddspedia-matches'!$A:$AD,AH$2,0)</f>
        <v>#N/A</v>
      </c>
      <c r="AI304" t="e">
        <f>VLOOKUP($Z304,'oddspedia-matches'!$A:$AD,AI$2,0)</f>
        <v>#N/A</v>
      </c>
      <c r="AJ304" t="e">
        <f>VLOOKUP($Z304,'oddspedia-matches'!$A:$AD,AJ$2,0)</f>
        <v>#N/A</v>
      </c>
      <c r="AK304" t="e">
        <f>VLOOKUP($Z304,'oddspedia-matches'!$A:$AD,AK$2,0)</f>
        <v>#N/A</v>
      </c>
      <c r="AL304" t="e">
        <f>VLOOKUP($Z304,'oddspedia-matches'!$A:$AD,AL$2,0)</f>
        <v>#N/A</v>
      </c>
      <c r="AM304" t="e">
        <f>VLOOKUP($Z304,'oddspedia-matches'!$A:$AD,AM$2,0)</f>
        <v>#N/A</v>
      </c>
      <c r="AN304" t="e">
        <f>VLOOKUP($Z304,'oddspedia-matches'!$A:$AD,AN$2,0)</f>
        <v>#N/A</v>
      </c>
      <c r="AO304" t="e">
        <f>VLOOKUP($Z304,'oddspedia-matches'!$A:$AD,AO$2,0)</f>
        <v>#N/A</v>
      </c>
      <c r="AP304" t="e">
        <f>VLOOKUP($Z304,'oddspedia-matches'!$A:$AD,AP$2,0)</f>
        <v>#N/A</v>
      </c>
      <c r="AQ304" t="e">
        <f>VLOOKUP($Z304,'oddspedia-matches'!$A:$AD,AQ$2,0)</f>
        <v>#N/A</v>
      </c>
    </row>
    <row r="305" spans="2:43" x14ac:dyDescent="0.2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Northampton</v>
      </c>
      <c r="Y305" t="str">
        <f>VLOOKUP(F305,'Transform table'!A:B,2,0)</f>
        <v>Seattle Sounders FC</v>
      </c>
      <c r="Z305" t="str">
        <f>C305&amp;X305&amp;Y305</f>
        <v>25/07/2026NorthamptonSeattle Sounders FC</v>
      </c>
      <c r="AA305" t="e">
        <f>VLOOKUP($Z305,'oddspedia-matches'!$A:$AD,AA$2,0)</f>
        <v>#N/A</v>
      </c>
      <c r="AB305" t="e">
        <f>VLOOKUP($Z305,'oddspedia-matches'!$A:$AD,AB$2,0)</f>
        <v>#N/A</v>
      </c>
      <c r="AC305" t="e">
        <f>VLOOKUP($Z305,'oddspedia-matches'!$A:$AD,AC$2,0)</f>
        <v>#N/A</v>
      </c>
      <c r="AD305" t="e">
        <f>VLOOKUP($Z305,'oddspedia-matches'!$A:$AD,AD$2,0)</f>
        <v>#N/A</v>
      </c>
      <c r="AE305" t="e">
        <f>VLOOKUP($Z305,'oddspedia-matches'!$A:$AD,AE$2,0)</f>
        <v>#N/A</v>
      </c>
      <c r="AF305" t="e">
        <f>VLOOKUP($Z305,'oddspedia-matches'!$A:$AD,AF$2,0)</f>
        <v>#N/A</v>
      </c>
      <c r="AG305" t="e">
        <f>VLOOKUP($Z305,'oddspedia-matches'!$A:$AD,AG$2,0)</f>
        <v>#N/A</v>
      </c>
      <c r="AH305" t="e">
        <f>VLOOKUP($Z305,'oddspedia-matches'!$A:$AD,AH$2,0)</f>
        <v>#N/A</v>
      </c>
      <c r="AI305" t="e">
        <f>VLOOKUP($Z305,'oddspedia-matches'!$A:$AD,AI$2,0)</f>
        <v>#N/A</v>
      </c>
      <c r="AJ305" t="e">
        <f>VLOOKUP($Z305,'oddspedia-matches'!$A:$AD,AJ$2,0)</f>
        <v>#N/A</v>
      </c>
      <c r="AK305" t="e">
        <f>VLOOKUP($Z305,'oddspedia-matches'!$A:$AD,AK$2,0)</f>
        <v>#N/A</v>
      </c>
      <c r="AL305" t="e">
        <f>VLOOKUP($Z305,'oddspedia-matches'!$A:$AD,AL$2,0)</f>
        <v>#N/A</v>
      </c>
      <c r="AM305" t="e">
        <f>VLOOKUP($Z305,'oddspedia-matches'!$A:$AD,AM$2,0)</f>
        <v>#N/A</v>
      </c>
      <c r="AN305" t="e">
        <f>VLOOKUP($Z305,'oddspedia-matches'!$A:$AD,AN$2,0)</f>
        <v>#N/A</v>
      </c>
      <c r="AO305" t="e">
        <f>VLOOKUP($Z305,'oddspedia-matches'!$A:$AD,AO$2,0)</f>
        <v>#N/A</v>
      </c>
      <c r="AP305" t="e">
        <f>VLOOKUP($Z305,'oddspedia-matches'!$A:$AD,AP$2,0)</f>
        <v>#N/A</v>
      </c>
      <c r="AQ305" t="e">
        <f>VLOOKUP($Z305,'oddspedia-matches'!$A:$AD,AQ$2,0)</f>
        <v>#N/A</v>
      </c>
    </row>
    <row r="306" spans="2:43" x14ac:dyDescent="0.2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e">
        <f>VLOOKUP(F306,'Transform table'!A:B,2,0)</f>
        <v>#N/A</v>
      </c>
      <c r="Z306" t="e">
        <f>C306&amp;X306&amp;Y306</f>
        <v>#N/A</v>
      </c>
      <c r="AA306" t="e">
        <f>VLOOKUP($Z306,'oddspedia-matches'!$A:$AD,AA$2,0)</f>
        <v>#N/A</v>
      </c>
      <c r="AB306" t="e">
        <f>VLOOKUP($Z306,'oddspedia-matches'!$A:$AD,AB$2,0)</f>
        <v>#N/A</v>
      </c>
      <c r="AC306" t="e">
        <f>VLOOKUP($Z306,'oddspedia-matches'!$A:$AD,AC$2,0)</f>
        <v>#N/A</v>
      </c>
      <c r="AD306" t="e">
        <f>VLOOKUP($Z306,'oddspedia-matches'!$A:$AD,AD$2,0)</f>
        <v>#N/A</v>
      </c>
      <c r="AE306" t="e">
        <f>VLOOKUP($Z306,'oddspedia-matches'!$A:$AD,AE$2,0)</f>
        <v>#N/A</v>
      </c>
      <c r="AF306" t="e">
        <f>VLOOKUP($Z306,'oddspedia-matches'!$A:$AD,AF$2,0)</f>
        <v>#N/A</v>
      </c>
      <c r="AG306" t="e">
        <f>VLOOKUP($Z306,'oddspedia-matches'!$A:$AD,AG$2,0)</f>
        <v>#N/A</v>
      </c>
      <c r="AH306" t="e">
        <f>VLOOKUP($Z306,'oddspedia-matches'!$A:$AD,AH$2,0)</f>
        <v>#N/A</v>
      </c>
      <c r="AI306" t="e">
        <f>VLOOKUP($Z306,'oddspedia-matches'!$A:$AD,AI$2,0)</f>
        <v>#N/A</v>
      </c>
      <c r="AJ306" t="e">
        <f>VLOOKUP($Z306,'oddspedia-matches'!$A:$AD,AJ$2,0)</f>
        <v>#N/A</v>
      </c>
      <c r="AK306" t="e">
        <f>VLOOKUP($Z306,'oddspedia-matches'!$A:$AD,AK$2,0)</f>
        <v>#N/A</v>
      </c>
      <c r="AL306" t="e">
        <f>VLOOKUP($Z306,'oddspedia-matches'!$A:$AD,AL$2,0)</f>
        <v>#N/A</v>
      </c>
      <c r="AM306" t="e">
        <f>VLOOKUP($Z306,'oddspedia-matches'!$A:$AD,AM$2,0)</f>
        <v>#N/A</v>
      </c>
      <c r="AN306" t="e">
        <f>VLOOKUP($Z306,'oddspedia-matches'!$A:$AD,AN$2,0)</f>
        <v>#N/A</v>
      </c>
      <c r="AO306" t="e">
        <f>VLOOKUP($Z306,'oddspedia-matches'!$A:$AD,AO$2,0)</f>
        <v>#N/A</v>
      </c>
      <c r="AP306" t="e">
        <f>VLOOKUP($Z306,'oddspedia-matches'!$A:$AD,AP$2,0)</f>
        <v>#N/A</v>
      </c>
      <c r="AQ306" t="e">
        <f>VLOOKUP($Z306,'oddspedia-matches'!$A:$AD,AQ$2,0)</f>
        <v>#N/A</v>
      </c>
    </row>
    <row r="307" spans="2:43" x14ac:dyDescent="0.2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>
        <f>VLOOKUP(E307,'Transform table'!A:B,2,0)</f>
        <v>0</v>
      </c>
      <c r="Y307" t="e">
        <f>VLOOKUP(F307,'Transform table'!A:B,2,0)</f>
        <v>#N/A</v>
      </c>
      <c r="Z307" t="e">
        <f>C307&amp;X307&amp;Y307</f>
        <v>#N/A</v>
      </c>
      <c r="AA307" t="e">
        <f>VLOOKUP($Z307,'oddspedia-matches'!$A:$AD,AA$2,0)</f>
        <v>#N/A</v>
      </c>
      <c r="AB307" t="e">
        <f>VLOOKUP($Z307,'oddspedia-matches'!$A:$AD,AB$2,0)</f>
        <v>#N/A</v>
      </c>
      <c r="AC307" t="e">
        <f>VLOOKUP($Z307,'oddspedia-matches'!$A:$AD,AC$2,0)</f>
        <v>#N/A</v>
      </c>
      <c r="AD307" t="e">
        <f>VLOOKUP($Z307,'oddspedia-matches'!$A:$AD,AD$2,0)</f>
        <v>#N/A</v>
      </c>
      <c r="AE307" t="e">
        <f>VLOOKUP($Z307,'oddspedia-matches'!$A:$AD,AE$2,0)</f>
        <v>#N/A</v>
      </c>
      <c r="AF307" t="e">
        <f>VLOOKUP($Z307,'oddspedia-matches'!$A:$AD,AF$2,0)</f>
        <v>#N/A</v>
      </c>
      <c r="AG307" t="e">
        <f>VLOOKUP($Z307,'oddspedia-matches'!$A:$AD,AG$2,0)</f>
        <v>#N/A</v>
      </c>
      <c r="AH307" t="e">
        <f>VLOOKUP($Z307,'oddspedia-matches'!$A:$AD,AH$2,0)</f>
        <v>#N/A</v>
      </c>
      <c r="AI307" t="e">
        <f>VLOOKUP($Z307,'oddspedia-matches'!$A:$AD,AI$2,0)</f>
        <v>#N/A</v>
      </c>
      <c r="AJ307" t="e">
        <f>VLOOKUP($Z307,'oddspedia-matches'!$A:$AD,AJ$2,0)</f>
        <v>#N/A</v>
      </c>
      <c r="AK307" t="e">
        <f>VLOOKUP($Z307,'oddspedia-matches'!$A:$AD,AK$2,0)</f>
        <v>#N/A</v>
      </c>
      <c r="AL307" t="e">
        <f>VLOOKUP($Z307,'oddspedia-matches'!$A:$AD,AL$2,0)</f>
        <v>#N/A</v>
      </c>
      <c r="AM307" t="e">
        <f>VLOOKUP($Z307,'oddspedia-matches'!$A:$AD,AM$2,0)</f>
        <v>#N/A</v>
      </c>
      <c r="AN307" t="e">
        <f>VLOOKUP($Z307,'oddspedia-matches'!$A:$AD,AN$2,0)</f>
        <v>#N/A</v>
      </c>
      <c r="AO307" t="e">
        <f>VLOOKUP($Z307,'oddspedia-matches'!$A:$AD,AO$2,0)</f>
        <v>#N/A</v>
      </c>
      <c r="AP307" t="e">
        <f>VLOOKUP($Z307,'oddspedia-matches'!$A:$AD,AP$2,0)</f>
        <v>#N/A</v>
      </c>
      <c r="AQ307" t="e">
        <f>VLOOKUP($Z307,'oddspedia-matches'!$A:$AD,AQ$2,0)</f>
        <v>#N/A</v>
      </c>
    </row>
    <row r="308" spans="2:43" x14ac:dyDescent="0.2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Cienciano</v>
      </c>
      <c r="Y308" t="e">
        <f>VLOOKUP(F308,'Transform table'!A:B,2,0)</f>
        <v>#N/A</v>
      </c>
      <c r="Z308" t="e">
        <f>C308&amp;X308&amp;Y308</f>
        <v>#N/A</v>
      </c>
      <c r="AA308" t="e">
        <f>VLOOKUP($Z308,'oddspedia-matches'!$A:$AD,AA$2,0)</f>
        <v>#N/A</v>
      </c>
      <c r="AB308" t="e">
        <f>VLOOKUP($Z308,'oddspedia-matches'!$A:$AD,AB$2,0)</f>
        <v>#N/A</v>
      </c>
      <c r="AC308" t="e">
        <f>VLOOKUP($Z308,'oddspedia-matches'!$A:$AD,AC$2,0)</f>
        <v>#N/A</v>
      </c>
      <c r="AD308" t="e">
        <f>VLOOKUP($Z308,'oddspedia-matches'!$A:$AD,AD$2,0)</f>
        <v>#N/A</v>
      </c>
      <c r="AE308" t="e">
        <f>VLOOKUP($Z308,'oddspedia-matches'!$A:$AD,AE$2,0)</f>
        <v>#N/A</v>
      </c>
      <c r="AF308" t="e">
        <f>VLOOKUP($Z308,'oddspedia-matches'!$A:$AD,AF$2,0)</f>
        <v>#N/A</v>
      </c>
      <c r="AG308" t="e">
        <f>VLOOKUP($Z308,'oddspedia-matches'!$A:$AD,AG$2,0)</f>
        <v>#N/A</v>
      </c>
      <c r="AH308" t="e">
        <f>VLOOKUP($Z308,'oddspedia-matches'!$A:$AD,AH$2,0)</f>
        <v>#N/A</v>
      </c>
      <c r="AI308" t="e">
        <f>VLOOKUP($Z308,'oddspedia-matches'!$A:$AD,AI$2,0)</f>
        <v>#N/A</v>
      </c>
      <c r="AJ308" t="e">
        <f>VLOOKUP($Z308,'oddspedia-matches'!$A:$AD,AJ$2,0)</f>
        <v>#N/A</v>
      </c>
      <c r="AK308" t="e">
        <f>VLOOKUP($Z308,'oddspedia-matches'!$A:$AD,AK$2,0)</f>
        <v>#N/A</v>
      </c>
      <c r="AL308" t="e">
        <f>VLOOKUP($Z308,'oddspedia-matches'!$A:$AD,AL$2,0)</f>
        <v>#N/A</v>
      </c>
      <c r="AM308" t="e">
        <f>VLOOKUP($Z308,'oddspedia-matches'!$A:$AD,AM$2,0)</f>
        <v>#N/A</v>
      </c>
      <c r="AN308" t="e">
        <f>VLOOKUP($Z308,'oddspedia-matches'!$A:$AD,AN$2,0)</f>
        <v>#N/A</v>
      </c>
      <c r="AO308" t="e">
        <f>VLOOKUP($Z308,'oddspedia-matches'!$A:$AD,AO$2,0)</f>
        <v>#N/A</v>
      </c>
      <c r="AP308" t="e">
        <f>VLOOKUP($Z308,'oddspedia-matches'!$A:$AD,AP$2,0)</f>
        <v>#N/A</v>
      </c>
      <c r="AQ308" t="e">
        <f>VLOOKUP($Z308,'oddspedia-matches'!$A:$AD,AQ$2,0)</f>
        <v>#N/A</v>
      </c>
    </row>
    <row r="309" spans="2:43" x14ac:dyDescent="0.2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e">
        <f>VLOOKUP(F309,'Transform table'!A:B,2,0)</f>
        <v>#N/A</v>
      </c>
      <c r="Z309" t="e">
        <f>C309&amp;X309&amp;Y309</f>
        <v>#N/A</v>
      </c>
      <c r="AA309" t="e">
        <f>VLOOKUP($Z309,'oddspedia-matches'!$A:$AD,AA$2,0)</f>
        <v>#N/A</v>
      </c>
      <c r="AB309" t="e">
        <f>VLOOKUP($Z309,'oddspedia-matches'!$A:$AD,AB$2,0)</f>
        <v>#N/A</v>
      </c>
      <c r="AC309" t="e">
        <f>VLOOKUP($Z309,'oddspedia-matches'!$A:$AD,AC$2,0)</f>
        <v>#N/A</v>
      </c>
      <c r="AD309" t="e">
        <f>VLOOKUP($Z309,'oddspedia-matches'!$A:$AD,AD$2,0)</f>
        <v>#N/A</v>
      </c>
      <c r="AE309" t="e">
        <f>VLOOKUP($Z309,'oddspedia-matches'!$A:$AD,AE$2,0)</f>
        <v>#N/A</v>
      </c>
      <c r="AF309" t="e">
        <f>VLOOKUP($Z309,'oddspedia-matches'!$A:$AD,AF$2,0)</f>
        <v>#N/A</v>
      </c>
      <c r="AG309" t="e">
        <f>VLOOKUP($Z309,'oddspedia-matches'!$A:$AD,AG$2,0)</f>
        <v>#N/A</v>
      </c>
      <c r="AH309" t="e">
        <f>VLOOKUP($Z309,'oddspedia-matches'!$A:$AD,AH$2,0)</f>
        <v>#N/A</v>
      </c>
      <c r="AI309" t="e">
        <f>VLOOKUP($Z309,'oddspedia-matches'!$A:$AD,AI$2,0)</f>
        <v>#N/A</v>
      </c>
      <c r="AJ309" t="e">
        <f>VLOOKUP($Z309,'oddspedia-matches'!$A:$AD,AJ$2,0)</f>
        <v>#N/A</v>
      </c>
      <c r="AK309" t="e">
        <f>VLOOKUP($Z309,'oddspedia-matches'!$A:$AD,AK$2,0)</f>
        <v>#N/A</v>
      </c>
      <c r="AL309" t="e">
        <f>VLOOKUP($Z309,'oddspedia-matches'!$A:$AD,AL$2,0)</f>
        <v>#N/A</v>
      </c>
      <c r="AM309" t="e">
        <f>VLOOKUP($Z309,'oddspedia-matches'!$A:$AD,AM$2,0)</f>
        <v>#N/A</v>
      </c>
      <c r="AN309" t="e">
        <f>VLOOKUP($Z309,'oddspedia-matches'!$A:$AD,AN$2,0)</f>
        <v>#N/A</v>
      </c>
      <c r="AO309" t="e">
        <f>VLOOKUP($Z309,'oddspedia-matches'!$A:$AD,AO$2,0)</f>
        <v>#N/A</v>
      </c>
      <c r="AP309" t="e">
        <f>VLOOKUP($Z309,'oddspedia-matches'!$A:$AD,AP$2,0)</f>
        <v>#N/A</v>
      </c>
      <c r="AQ309" t="e">
        <f>VLOOKUP($Z309,'oddspedia-matches'!$A:$AD,AQ$2,0)</f>
        <v>#N/A</v>
      </c>
    </row>
    <row r="310" spans="2:43" x14ac:dyDescent="0.2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>C310&amp;X310&amp;Y310</f>
        <v>25/07/2026San Diego FCDallas</v>
      </c>
      <c r="AA310" t="e">
        <f>VLOOKUP($Z310,'oddspedia-matches'!$A:$AD,AA$2,0)</f>
        <v>#N/A</v>
      </c>
      <c r="AB310" t="e">
        <f>VLOOKUP($Z310,'oddspedia-matches'!$A:$AD,AB$2,0)</f>
        <v>#N/A</v>
      </c>
      <c r="AC310" t="e">
        <f>VLOOKUP($Z310,'oddspedia-matches'!$A:$AD,AC$2,0)</f>
        <v>#N/A</v>
      </c>
      <c r="AD310" t="e">
        <f>VLOOKUP($Z310,'oddspedia-matches'!$A:$AD,AD$2,0)</f>
        <v>#N/A</v>
      </c>
      <c r="AE310" t="e">
        <f>VLOOKUP($Z310,'oddspedia-matches'!$A:$AD,AE$2,0)</f>
        <v>#N/A</v>
      </c>
      <c r="AF310" t="e">
        <f>VLOOKUP($Z310,'oddspedia-matches'!$A:$AD,AF$2,0)</f>
        <v>#N/A</v>
      </c>
      <c r="AG310" t="e">
        <f>VLOOKUP($Z310,'oddspedia-matches'!$A:$AD,AG$2,0)</f>
        <v>#N/A</v>
      </c>
      <c r="AH310" t="e">
        <f>VLOOKUP($Z310,'oddspedia-matches'!$A:$AD,AH$2,0)</f>
        <v>#N/A</v>
      </c>
      <c r="AI310" t="e">
        <f>VLOOKUP($Z310,'oddspedia-matches'!$A:$AD,AI$2,0)</f>
        <v>#N/A</v>
      </c>
      <c r="AJ310" t="e">
        <f>VLOOKUP($Z310,'oddspedia-matches'!$A:$AD,AJ$2,0)</f>
        <v>#N/A</v>
      </c>
      <c r="AK310" t="e">
        <f>VLOOKUP($Z310,'oddspedia-matches'!$A:$AD,AK$2,0)</f>
        <v>#N/A</v>
      </c>
      <c r="AL310" t="e">
        <f>VLOOKUP($Z310,'oddspedia-matches'!$A:$AD,AL$2,0)</f>
        <v>#N/A</v>
      </c>
      <c r="AM310" t="e">
        <f>VLOOKUP($Z310,'oddspedia-matches'!$A:$AD,AM$2,0)</f>
        <v>#N/A</v>
      </c>
      <c r="AN310" t="e">
        <f>VLOOKUP($Z310,'oddspedia-matches'!$A:$AD,AN$2,0)</f>
        <v>#N/A</v>
      </c>
      <c r="AO310" t="e">
        <f>VLOOKUP($Z310,'oddspedia-matches'!$A:$AD,AO$2,0)</f>
        <v>#N/A</v>
      </c>
      <c r="AP310" t="e">
        <f>VLOOKUP($Z310,'oddspedia-matches'!$A:$AD,AP$2,0)</f>
        <v>#N/A</v>
      </c>
      <c r="AQ310" t="e">
        <f>VLOOKUP($Z310,'oddspedia-matches'!$A:$AD,AQ$2,0)</f>
        <v>#N/A</v>
      </c>
    </row>
    <row r="311" spans="2:43" x14ac:dyDescent="0.2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Universidad Central de Venezuela</v>
      </c>
      <c r="Y311" t="e">
        <f>VLOOKUP(F311,'Transform table'!A:B,2,0)</f>
        <v>#N/A</v>
      </c>
      <c r="Z311" t="e">
        <f>C311&amp;X311&amp;Y311</f>
        <v>#N/A</v>
      </c>
      <c r="AA311" t="e">
        <f>VLOOKUP($Z311,'oddspedia-matches'!$A:$AD,AA$2,0)</f>
        <v>#N/A</v>
      </c>
      <c r="AB311" t="e">
        <f>VLOOKUP($Z311,'oddspedia-matches'!$A:$AD,AB$2,0)</f>
        <v>#N/A</v>
      </c>
      <c r="AC311" t="e">
        <f>VLOOKUP($Z311,'oddspedia-matches'!$A:$AD,AC$2,0)</f>
        <v>#N/A</v>
      </c>
      <c r="AD311" t="e">
        <f>VLOOKUP($Z311,'oddspedia-matches'!$A:$AD,AD$2,0)</f>
        <v>#N/A</v>
      </c>
      <c r="AE311" t="e">
        <f>VLOOKUP($Z311,'oddspedia-matches'!$A:$AD,AE$2,0)</f>
        <v>#N/A</v>
      </c>
      <c r="AF311" t="e">
        <f>VLOOKUP($Z311,'oddspedia-matches'!$A:$AD,AF$2,0)</f>
        <v>#N/A</v>
      </c>
      <c r="AG311" t="e">
        <f>VLOOKUP($Z311,'oddspedia-matches'!$A:$AD,AG$2,0)</f>
        <v>#N/A</v>
      </c>
      <c r="AH311" t="e">
        <f>VLOOKUP($Z311,'oddspedia-matches'!$A:$AD,AH$2,0)</f>
        <v>#N/A</v>
      </c>
      <c r="AI311" t="e">
        <f>VLOOKUP($Z311,'oddspedia-matches'!$A:$AD,AI$2,0)</f>
        <v>#N/A</v>
      </c>
      <c r="AJ311" t="e">
        <f>VLOOKUP($Z311,'oddspedia-matches'!$A:$AD,AJ$2,0)</f>
        <v>#N/A</v>
      </c>
      <c r="AK311" t="e">
        <f>VLOOKUP($Z311,'oddspedia-matches'!$A:$AD,AK$2,0)</f>
        <v>#N/A</v>
      </c>
      <c r="AL311" t="e">
        <f>VLOOKUP($Z311,'oddspedia-matches'!$A:$AD,AL$2,0)</f>
        <v>#N/A</v>
      </c>
      <c r="AM311" t="e">
        <f>VLOOKUP($Z311,'oddspedia-matches'!$A:$AD,AM$2,0)</f>
        <v>#N/A</v>
      </c>
      <c r="AN311" t="e">
        <f>VLOOKUP($Z311,'oddspedia-matches'!$A:$AD,AN$2,0)</f>
        <v>#N/A</v>
      </c>
      <c r="AO311" t="e">
        <f>VLOOKUP($Z311,'oddspedia-matches'!$A:$AD,AO$2,0)</f>
        <v>#N/A</v>
      </c>
      <c r="AP311" t="e">
        <f>VLOOKUP($Z311,'oddspedia-matches'!$A:$AD,AP$2,0)</f>
        <v>#N/A</v>
      </c>
      <c r="AQ311" t="e">
        <f>VLOOKUP($Z311,'oddspedia-matches'!$A:$AD,AQ$2,0)</f>
        <v>#N/A</v>
      </c>
    </row>
    <row r="312" spans="2:43" x14ac:dyDescent="0.2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Monterrey not found</v>
      </c>
      <c r="Y312" t="e">
        <f>VLOOKUP(F312,'Transform table'!A:B,2,0)</f>
        <v>#N/A</v>
      </c>
      <c r="Z312" t="e">
        <f>C312&amp;X312&amp;Y312</f>
        <v>#N/A</v>
      </c>
      <c r="AA312" t="e">
        <f>VLOOKUP($Z312,'oddspedia-matches'!$A:$AD,AA$2,0)</f>
        <v>#N/A</v>
      </c>
      <c r="AB312" t="e">
        <f>VLOOKUP($Z312,'oddspedia-matches'!$A:$AD,AB$2,0)</f>
        <v>#N/A</v>
      </c>
      <c r="AC312" t="e">
        <f>VLOOKUP($Z312,'oddspedia-matches'!$A:$AD,AC$2,0)</f>
        <v>#N/A</v>
      </c>
      <c r="AD312" t="e">
        <f>VLOOKUP($Z312,'oddspedia-matches'!$A:$AD,AD$2,0)</f>
        <v>#N/A</v>
      </c>
      <c r="AE312" t="e">
        <f>VLOOKUP($Z312,'oddspedia-matches'!$A:$AD,AE$2,0)</f>
        <v>#N/A</v>
      </c>
      <c r="AF312" t="e">
        <f>VLOOKUP($Z312,'oddspedia-matches'!$A:$AD,AF$2,0)</f>
        <v>#N/A</v>
      </c>
      <c r="AG312" t="e">
        <f>VLOOKUP($Z312,'oddspedia-matches'!$A:$AD,AG$2,0)</f>
        <v>#N/A</v>
      </c>
      <c r="AH312" t="e">
        <f>VLOOKUP($Z312,'oddspedia-matches'!$A:$AD,AH$2,0)</f>
        <v>#N/A</v>
      </c>
      <c r="AI312" t="e">
        <f>VLOOKUP($Z312,'oddspedia-matches'!$A:$AD,AI$2,0)</f>
        <v>#N/A</v>
      </c>
      <c r="AJ312" t="e">
        <f>VLOOKUP($Z312,'oddspedia-matches'!$A:$AD,AJ$2,0)</f>
        <v>#N/A</v>
      </c>
      <c r="AK312" t="e">
        <f>VLOOKUP($Z312,'oddspedia-matches'!$A:$AD,AK$2,0)</f>
        <v>#N/A</v>
      </c>
      <c r="AL312" t="e">
        <f>VLOOKUP($Z312,'oddspedia-matches'!$A:$AD,AL$2,0)</f>
        <v>#N/A</v>
      </c>
      <c r="AM312" t="e">
        <f>VLOOKUP($Z312,'oddspedia-matches'!$A:$AD,AM$2,0)</f>
        <v>#N/A</v>
      </c>
      <c r="AN312" t="e">
        <f>VLOOKUP($Z312,'oddspedia-matches'!$A:$AD,AN$2,0)</f>
        <v>#N/A</v>
      </c>
      <c r="AO312" t="e">
        <f>VLOOKUP($Z312,'oddspedia-matches'!$A:$AD,AO$2,0)</f>
        <v>#N/A</v>
      </c>
      <c r="AP312" t="e">
        <f>VLOOKUP($Z312,'oddspedia-matches'!$A:$AD,AP$2,0)</f>
        <v>#N/A</v>
      </c>
      <c r="AQ312" t="e">
        <f>VLOOKUP($Z312,'oddspedia-matches'!$A:$AD,AQ$2,0)</f>
        <v>#N/A</v>
      </c>
    </row>
    <row r="313" spans="2:43" x14ac:dyDescent="0.2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e">
        <f>VLOOKUP(F313,'Transform table'!A:B,2,0)</f>
        <v>#N/A</v>
      </c>
      <c r="Z313" t="e">
        <f>C313&amp;X313&amp;Y313</f>
        <v>#N/A</v>
      </c>
      <c r="AA313" t="e">
        <f>VLOOKUP($Z313,'oddspedia-matches'!$A:$AD,AA$2,0)</f>
        <v>#N/A</v>
      </c>
      <c r="AB313" t="e">
        <f>VLOOKUP($Z313,'oddspedia-matches'!$A:$AD,AB$2,0)</f>
        <v>#N/A</v>
      </c>
      <c r="AC313" t="e">
        <f>VLOOKUP($Z313,'oddspedia-matches'!$A:$AD,AC$2,0)</f>
        <v>#N/A</v>
      </c>
      <c r="AD313" t="e">
        <f>VLOOKUP($Z313,'oddspedia-matches'!$A:$AD,AD$2,0)</f>
        <v>#N/A</v>
      </c>
      <c r="AE313" t="e">
        <f>VLOOKUP($Z313,'oddspedia-matches'!$A:$AD,AE$2,0)</f>
        <v>#N/A</v>
      </c>
      <c r="AF313" t="e">
        <f>VLOOKUP($Z313,'oddspedia-matches'!$A:$AD,AF$2,0)</f>
        <v>#N/A</v>
      </c>
      <c r="AG313" t="e">
        <f>VLOOKUP($Z313,'oddspedia-matches'!$A:$AD,AG$2,0)</f>
        <v>#N/A</v>
      </c>
      <c r="AH313" t="e">
        <f>VLOOKUP($Z313,'oddspedia-matches'!$A:$AD,AH$2,0)</f>
        <v>#N/A</v>
      </c>
      <c r="AI313" t="e">
        <f>VLOOKUP($Z313,'oddspedia-matches'!$A:$AD,AI$2,0)</f>
        <v>#N/A</v>
      </c>
      <c r="AJ313" t="e">
        <f>VLOOKUP($Z313,'oddspedia-matches'!$A:$AD,AJ$2,0)</f>
        <v>#N/A</v>
      </c>
      <c r="AK313" t="e">
        <f>VLOOKUP($Z313,'oddspedia-matches'!$A:$AD,AK$2,0)</f>
        <v>#N/A</v>
      </c>
      <c r="AL313" t="e">
        <f>VLOOKUP($Z313,'oddspedia-matches'!$A:$AD,AL$2,0)</f>
        <v>#N/A</v>
      </c>
      <c r="AM313" t="e">
        <f>VLOOKUP($Z313,'oddspedia-matches'!$A:$AD,AM$2,0)</f>
        <v>#N/A</v>
      </c>
      <c r="AN313" t="e">
        <f>VLOOKUP($Z313,'oddspedia-matches'!$A:$AD,AN$2,0)</f>
        <v>#N/A</v>
      </c>
      <c r="AO313" t="e">
        <f>VLOOKUP($Z313,'oddspedia-matches'!$A:$AD,AO$2,0)</f>
        <v>#N/A</v>
      </c>
      <c r="AP313" t="e">
        <f>VLOOKUP($Z313,'oddspedia-matches'!$A:$AD,AP$2,0)</f>
        <v>#N/A</v>
      </c>
      <c r="AQ313" t="e">
        <f>VLOOKUP($Z313,'oddspedia-matches'!$A:$AD,AQ$2,0)</f>
        <v>#N/A</v>
      </c>
    </row>
    <row r="314" spans="2:43" x14ac:dyDescent="0.2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>C314&amp;X314&amp;Y314</f>
        <v>25/07/2026Los Angeles FCSporting Kansas City</v>
      </c>
      <c r="AA314" t="e">
        <f>VLOOKUP($Z314,'oddspedia-matches'!$A:$AD,AA$2,0)</f>
        <v>#N/A</v>
      </c>
      <c r="AB314" t="e">
        <f>VLOOKUP($Z314,'oddspedia-matches'!$A:$AD,AB$2,0)</f>
        <v>#N/A</v>
      </c>
      <c r="AC314" t="e">
        <f>VLOOKUP($Z314,'oddspedia-matches'!$A:$AD,AC$2,0)</f>
        <v>#N/A</v>
      </c>
      <c r="AD314" t="e">
        <f>VLOOKUP($Z314,'oddspedia-matches'!$A:$AD,AD$2,0)</f>
        <v>#N/A</v>
      </c>
      <c r="AE314" t="e">
        <f>VLOOKUP($Z314,'oddspedia-matches'!$A:$AD,AE$2,0)</f>
        <v>#N/A</v>
      </c>
      <c r="AF314" t="e">
        <f>VLOOKUP($Z314,'oddspedia-matches'!$A:$AD,AF$2,0)</f>
        <v>#N/A</v>
      </c>
      <c r="AG314" t="e">
        <f>VLOOKUP($Z314,'oddspedia-matches'!$A:$AD,AG$2,0)</f>
        <v>#N/A</v>
      </c>
      <c r="AH314" t="e">
        <f>VLOOKUP($Z314,'oddspedia-matches'!$A:$AD,AH$2,0)</f>
        <v>#N/A</v>
      </c>
      <c r="AI314" t="e">
        <f>VLOOKUP($Z314,'oddspedia-matches'!$A:$AD,AI$2,0)</f>
        <v>#N/A</v>
      </c>
      <c r="AJ314" t="e">
        <f>VLOOKUP($Z314,'oddspedia-matches'!$A:$AD,AJ$2,0)</f>
        <v>#N/A</v>
      </c>
      <c r="AK314" t="e">
        <f>VLOOKUP($Z314,'oddspedia-matches'!$A:$AD,AK$2,0)</f>
        <v>#N/A</v>
      </c>
      <c r="AL314" t="e">
        <f>VLOOKUP($Z314,'oddspedia-matches'!$A:$AD,AL$2,0)</f>
        <v>#N/A</v>
      </c>
      <c r="AM314" t="e">
        <f>VLOOKUP($Z314,'oddspedia-matches'!$A:$AD,AM$2,0)</f>
        <v>#N/A</v>
      </c>
      <c r="AN314" t="e">
        <f>VLOOKUP($Z314,'oddspedia-matches'!$A:$AD,AN$2,0)</f>
        <v>#N/A</v>
      </c>
      <c r="AO314" t="e">
        <f>VLOOKUP($Z314,'oddspedia-matches'!$A:$AD,AO$2,0)</f>
        <v>#N/A</v>
      </c>
      <c r="AP314" t="e">
        <f>VLOOKUP($Z314,'oddspedia-matches'!$A:$AD,AP$2,0)</f>
        <v>#N/A</v>
      </c>
      <c r="AQ314" t="e">
        <f>VLOOKUP($Z314,'oddspedia-matches'!$A:$AD,AQ$2,0)</f>
        <v>#N/A</v>
      </c>
    </row>
    <row r="315" spans="2:43" x14ac:dyDescent="0.2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>C315&amp;X315&amp;Y315</f>
        <v>25/07/2026Portland TimbersReal Salt Lake</v>
      </c>
      <c r="AA315" t="e">
        <f>VLOOKUP($Z315,'oddspedia-matches'!$A:$AD,AA$2,0)</f>
        <v>#N/A</v>
      </c>
      <c r="AB315" t="e">
        <f>VLOOKUP($Z315,'oddspedia-matches'!$A:$AD,AB$2,0)</f>
        <v>#N/A</v>
      </c>
      <c r="AC315" t="e">
        <f>VLOOKUP($Z315,'oddspedia-matches'!$A:$AD,AC$2,0)</f>
        <v>#N/A</v>
      </c>
      <c r="AD315" t="e">
        <f>VLOOKUP($Z315,'oddspedia-matches'!$A:$AD,AD$2,0)</f>
        <v>#N/A</v>
      </c>
      <c r="AE315" t="e">
        <f>VLOOKUP($Z315,'oddspedia-matches'!$A:$AD,AE$2,0)</f>
        <v>#N/A</v>
      </c>
      <c r="AF315" t="e">
        <f>VLOOKUP($Z315,'oddspedia-matches'!$A:$AD,AF$2,0)</f>
        <v>#N/A</v>
      </c>
      <c r="AG315" t="e">
        <f>VLOOKUP($Z315,'oddspedia-matches'!$A:$AD,AG$2,0)</f>
        <v>#N/A</v>
      </c>
      <c r="AH315" t="e">
        <f>VLOOKUP($Z315,'oddspedia-matches'!$A:$AD,AH$2,0)</f>
        <v>#N/A</v>
      </c>
      <c r="AI315" t="e">
        <f>VLOOKUP($Z315,'oddspedia-matches'!$A:$AD,AI$2,0)</f>
        <v>#N/A</v>
      </c>
      <c r="AJ315" t="e">
        <f>VLOOKUP($Z315,'oddspedia-matches'!$A:$AD,AJ$2,0)</f>
        <v>#N/A</v>
      </c>
      <c r="AK315" t="e">
        <f>VLOOKUP($Z315,'oddspedia-matches'!$A:$AD,AK$2,0)</f>
        <v>#N/A</v>
      </c>
      <c r="AL315" t="e">
        <f>VLOOKUP($Z315,'oddspedia-matches'!$A:$AD,AL$2,0)</f>
        <v>#N/A</v>
      </c>
      <c r="AM315" t="e">
        <f>VLOOKUP($Z315,'oddspedia-matches'!$A:$AD,AM$2,0)</f>
        <v>#N/A</v>
      </c>
      <c r="AN315" t="e">
        <f>VLOOKUP($Z315,'oddspedia-matches'!$A:$AD,AN$2,0)</f>
        <v>#N/A</v>
      </c>
      <c r="AO315" t="e">
        <f>VLOOKUP($Z315,'oddspedia-matches'!$A:$AD,AO$2,0)</f>
        <v>#N/A</v>
      </c>
      <c r="AP315" t="e">
        <f>VLOOKUP($Z315,'oddspedia-matches'!$A:$AD,AP$2,0)</f>
        <v>#N/A</v>
      </c>
      <c r="AQ315" t="e">
        <f>VLOOKUP($Z315,'oddspedia-matches'!$A:$AD,AQ$2,0)</f>
        <v>#N/A</v>
      </c>
    </row>
    <row r="316" spans="2:43" x14ac:dyDescent="0.2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>C316&amp;X316&amp;Y316</f>
        <v>25/07/2026San Jose EarthquakesLA Galaxy</v>
      </c>
      <c r="AA316" t="e">
        <f>VLOOKUP($Z316,'oddspedia-matches'!$A:$AD,AA$2,0)</f>
        <v>#N/A</v>
      </c>
      <c r="AB316" t="e">
        <f>VLOOKUP($Z316,'oddspedia-matches'!$A:$AD,AB$2,0)</f>
        <v>#N/A</v>
      </c>
      <c r="AC316" t="e">
        <f>VLOOKUP($Z316,'oddspedia-matches'!$A:$AD,AC$2,0)</f>
        <v>#N/A</v>
      </c>
      <c r="AD316" t="e">
        <f>VLOOKUP($Z316,'oddspedia-matches'!$A:$AD,AD$2,0)</f>
        <v>#N/A</v>
      </c>
      <c r="AE316" t="e">
        <f>VLOOKUP($Z316,'oddspedia-matches'!$A:$AD,AE$2,0)</f>
        <v>#N/A</v>
      </c>
      <c r="AF316" t="e">
        <f>VLOOKUP($Z316,'oddspedia-matches'!$A:$AD,AF$2,0)</f>
        <v>#N/A</v>
      </c>
      <c r="AG316" t="e">
        <f>VLOOKUP($Z316,'oddspedia-matches'!$A:$AD,AG$2,0)</f>
        <v>#N/A</v>
      </c>
      <c r="AH316" t="e">
        <f>VLOOKUP($Z316,'oddspedia-matches'!$A:$AD,AH$2,0)</f>
        <v>#N/A</v>
      </c>
      <c r="AI316" t="e">
        <f>VLOOKUP($Z316,'oddspedia-matches'!$A:$AD,AI$2,0)</f>
        <v>#N/A</v>
      </c>
      <c r="AJ316" t="e">
        <f>VLOOKUP($Z316,'oddspedia-matches'!$A:$AD,AJ$2,0)</f>
        <v>#N/A</v>
      </c>
      <c r="AK316" t="e">
        <f>VLOOKUP($Z316,'oddspedia-matches'!$A:$AD,AK$2,0)</f>
        <v>#N/A</v>
      </c>
      <c r="AL316" t="e">
        <f>VLOOKUP($Z316,'oddspedia-matches'!$A:$AD,AL$2,0)</f>
        <v>#N/A</v>
      </c>
      <c r="AM316" t="e">
        <f>VLOOKUP($Z316,'oddspedia-matches'!$A:$AD,AM$2,0)</f>
        <v>#N/A</v>
      </c>
      <c r="AN316" t="e">
        <f>VLOOKUP($Z316,'oddspedia-matches'!$A:$AD,AN$2,0)</f>
        <v>#N/A</v>
      </c>
      <c r="AO316" t="e">
        <f>VLOOKUP($Z316,'oddspedia-matches'!$A:$AD,AO$2,0)</f>
        <v>#N/A</v>
      </c>
      <c r="AP316" t="e">
        <f>VLOOKUP($Z316,'oddspedia-matches'!$A:$AD,AP$2,0)</f>
        <v>#N/A</v>
      </c>
      <c r="AQ316" t="e">
        <f>VLOOKUP($Z316,'oddspedia-matches'!$A:$AD,AQ$2,0)</f>
        <v>#N/A</v>
      </c>
    </row>
    <row r="317" spans="2:43" x14ac:dyDescent="0.2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not found</v>
      </c>
      <c r="Y317" t="e">
        <f>VLOOKUP(F317,'Transform table'!A:B,2,0)</f>
        <v>#N/A</v>
      </c>
      <c r="Z317" t="e">
        <f>C317&amp;X317&amp;Y317</f>
        <v>#N/A</v>
      </c>
      <c r="AA317" t="e">
        <f>VLOOKUP($Z317,'oddspedia-matches'!$A:$AD,AA$2,0)</f>
        <v>#N/A</v>
      </c>
      <c r="AB317" t="e">
        <f>VLOOKUP($Z317,'oddspedia-matches'!$A:$AD,AB$2,0)</f>
        <v>#N/A</v>
      </c>
      <c r="AC317" t="e">
        <f>VLOOKUP($Z317,'oddspedia-matches'!$A:$AD,AC$2,0)</f>
        <v>#N/A</v>
      </c>
      <c r="AD317" t="e">
        <f>VLOOKUP($Z317,'oddspedia-matches'!$A:$AD,AD$2,0)</f>
        <v>#N/A</v>
      </c>
      <c r="AE317" t="e">
        <f>VLOOKUP($Z317,'oddspedia-matches'!$A:$AD,AE$2,0)</f>
        <v>#N/A</v>
      </c>
      <c r="AF317" t="e">
        <f>VLOOKUP($Z317,'oddspedia-matches'!$A:$AD,AF$2,0)</f>
        <v>#N/A</v>
      </c>
      <c r="AG317" t="e">
        <f>VLOOKUP($Z317,'oddspedia-matches'!$A:$AD,AG$2,0)</f>
        <v>#N/A</v>
      </c>
      <c r="AH317" t="e">
        <f>VLOOKUP($Z317,'oddspedia-matches'!$A:$AD,AH$2,0)</f>
        <v>#N/A</v>
      </c>
      <c r="AI317" t="e">
        <f>VLOOKUP($Z317,'oddspedia-matches'!$A:$AD,AI$2,0)</f>
        <v>#N/A</v>
      </c>
      <c r="AJ317" t="e">
        <f>VLOOKUP($Z317,'oddspedia-matches'!$A:$AD,AJ$2,0)</f>
        <v>#N/A</v>
      </c>
      <c r="AK317" t="e">
        <f>VLOOKUP($Z317,'oddspedia-matches'!$A:$AD,AK$2,0)</f>
        <v>#N/A</v>
      </c>
      <c r="AL317" t="e">
        <f>VLOOKUP($Z317,'oddspedia-matches'!$A:$AD,AL$2,0)</f>
        <v>#N/A</v>
      </c>
      <c r="AM317" t="e">
        <f>VLOOKUP($Z317,'oddspedia-matches'!$A:$AD,AM$2,0)</f>
        <v>#N/A</v>
      </c>
      <c r="AN317" t="e">
        <f>VLOOKUP($Z317,'oddspedia-matches'!$A:$AD,AN$2,0)</f>
        <v>#N/A</v>
      </c>
      <c r="AO317" t="e">
        <f>VLOOKUP($Z317,'oddspedia-matches'!$A:$AD,AO$2,0)</f>
        <v>#N/A</v>
      </c>
      <c r="AP317" t="e">
        <f>VLOOKUP($Z317,'oddspedia-matches'!$A:$AD,AP$2,0)</f>
        <v>#N/A</v>
      </c>
      <c r="AQ317" t="e">
        <f>VLOOKUP($Z317,'oddspedia-matches'!$A:$AD,AQ$2,0)</f>
        <v>#N/A</v>
      </c>
    </row>
    <row r="318" spans="2:43" x14ac:dyDescent="0.2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Hamilton Olympic</v>
      </c>
      <c r="Z318" t="str">
        <f>C318&amp;X318&amp;Y318</f>
        <v>26/07/2026Edgeworth Eagles ReservesHamilton Olympic</v>
      </c>
      <c r="AA318" t="e">
        <f>VLOOKUP($Z318,'oddspedia-matches'!$A:$AD,AA$2,0)</f>
        <v>#N/A</v>
      </c>
      <c r="AB318" t="e">
        <f>VLOOKUP($Z318,'oddspedia-matches'!$A:$AD,AB$2,0)</f>
        <v>#N/A</v>
      </c>
      <c r="AC318" t="e">
        <f>VLOOKUP($Z318,'oddspedia-matches'!$A:$AD,AC$2,0)</f>
        <v>#N/A</v>
      </c>
      <c r="AD318" t="e">
        <f>VLOOKUP($Z318,'oddspedia-matches'!$A:$AD,AD$2,0)</f>
        <v>#N/A</v>
      </c>
      <c r="AE318" t="e">
        <f>VLOOKUP($Z318,'oddspedia-matches'!$A:$AD,AE$2,0)</f>
        <v>#N/A</v>
      </c>
      <c r="AF318" t="e">
        <f>VLOOKUP($Z318,'oddspedia-matches'!$A:$AD,AF$2,0)</f>
        <v>#N/A</v>
      </c>
      <c r="AG318" t="e">
        <f>VLOOKUP($Z318,'oddspedia-matches'!$A:$AD,AG$2,0)</f>
        <v>#N/A</v>
      </c>
      <c r="AH318" t="e">
        <f>VLOOKUP($Z318,'oddspedia-matches'!$A:$AD,AH$2,0)</f>
        <v>#N/A</v>
      </c>
      <c r="AI318" t="e">
        <f>VLOOKUP($Z318,'oddspedia-matches'!$A:$AD,AI$2,0)</f>
        <v>#N/A</v>
      </c>
      <c r="AJ318" t="e">
        <f>VLOOKUP($Z318,'oddspedia-matches'!$A:$AD,AJ$2,0)</f>
        <v>#N/A</v>
      </c>
      <c r="AK318" t="e">
        <f>VLOOKUP($Z318,'oddspedia-matches'!$A:$AD,AK$2,0)</f>
        <v>#N/A</v>
      </c>
      <c r="AL318" t="e">
        <f>VLOOKUP($Z318,'oddspedia-matches'!$A:$AD,AL$2,0)</f>
        <v>#N/A</v>
      </c>
      <c r="AM318" t="e">
        <f>VLOOKUP($Z318,'oddspedia-matches'!$A:$AD,AM$2,0)</f>
        <v>#N/A</v>
      </c>
      <c r="AN318" t="e">
        <f>VLOOKUP($Z318,'oddspedia-matches'!$A:$AD,AN$2,0)</f>
        <v>#N/A</v>
      </c>
      <c r="AO318" t="e">
        <f>VLOOKUP($Z318,'oddspedia-matches'!$A:$AD,AO$2,0)</f>
        <v>#N/A</v>
      </c>
      <c r="AP318" t="e">
        <f>VLOOKUP($Z318,'oddspedia-matches'!$A:$AD,AP$2,0)</f>
        <v>#N/A</v>
      </c>
      <c r="AQ318" t="e">
        <f>VLOOKUP($Z318,'oddspedia-matches'!$A:$AD,AQ$2,0)</f>
        <v>#N/A</v>
      </c>
    </row>
    <row r="319" spans="2:43" x14ac:dyDescent="0.2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>C319&amp;X319&amp;Y319</f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x14ac:dyDescent="0.2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Club Atletico Tigre</v>
      </c>
      <c r="Y320" t="e">
        <f>VLOOKUP(F320,'Transform table'!A:B,2,0)</f>
        <v>#N/A</v>
      </c>
      <c r="Z320" t="e">
        <f>C320&amp;X320&amp;Y320</f>
        <v>#N/A</v>
      </c>
      <c r="AA320" t="e">
        <f>VLOOKUP($Z320,'oddspedia-matches'!$A:$AD,AA$2,0)</f>
        <v>#N/A</v>
      </c>
      <c r="AB320" t="e">
        <f>VLOOKUP($Z320,'oddspedia-matches'!$A:$AD,AB$2,0)</f>
        <v>#N/A</v>
      </c>
      <c r="AC320" t="e">
        <f>VLOOKUP($Z320,'oddspedia-matches'!$A:$AD,AC$2,0)</f>
        <v>#N/A</v>
      </c>
      <c r="AD320" t="e">
        <f>VLOOKUP($Z320,'oddspedia-matches'!$A:$AD,AD$2,0)</f>
        <v>#N/A</v>
      </c>
      <c r="AE320" t="e">
        <f>VLOOKUP($Z320,'oddspedia-matches'!$A:$AD,AE$2,0)</f>
        <v>#N/A</v>
      </c>
      <c r="AF320" t="e">
        <f>VLOOKUP($Z320,'oddspedia-matches'!$A:$AD,AF$2,0)</f>
        <v>#N/A</v>
      </c>
      <c r="AG320" t="e">
        <f>VLOOKUP($Z320,'oddspedia-matches'!$A:$AD,AG$2,0)</f>
        <v>#N/A</v>
      </c>
      <c r="AH320" t="e">
        <f>VLOOKUP($Z320,'oddspedia-matches'!$A:$AD,AH$2,0)</f>
        <v>#N/A</v>
      </c>
      <c r="AI320" t="e">
        <f>VLOOKUP($Z320,'oddspedia-matches'!$A:$AD,AI$2,0)</f>
        <v>#N/A</v>
      </c>
      <c r="AJ320" t="e">
        <f>VLOOKUP($Z320,'oddspedia-matches'!$A:$AD,AJ$2,0)</f>
        <v>#N/A</v>
      </c>
      <c r="AK320" t="e">
        <f>VLOOKUP($Z320,'oddspedia-matches'!$A:$AD,AK$2,0)</f>
        <v>#N/A</v>
      </c>
      <c r="AL320" t="e">
        <f>VLOOKUP($Z320,'oddspedia-matches'!$A:$AD,AL$2,0)</f>
        <v>#N/A</v>
      </c>
      <c r="AM320" t="e">
        <f>VLOOKUP($Z320,'oddspedia-matches'!$A:$AD,AM$2,0)</f>
        <v>#N/A</v>
      </c>
      <c r="AN320" t="e">
        <f>VLOOKUP($Z320,'oddspedia-matches'!$A:$AD,AN$2,0)</f>
        <v>#N/A</v>
      </c>
      <c r="AO320" t="e">
        <f>VLOOKUP($Z320,'oddspedia-matches'!$A:$AD,AO$2,0)</f>
        <v>#N/A</v>
      </c>
      <c r="AP320" t="e">
        <f>VLOOKUP($Z320,'oddspedia-matches'!$A:$AD,AP$2,0)</f>
        <v>#N/A</v>
      </c>
      <c r="AQ320" t="e">
        <f>VLOOKUP($Z320,'oddspedia-matches'!$A:$AD,AQ$2,0)</f>
        <v>#N/A</v>
      </c>
    </row>
    <row r="321" spans="2:43" x14ac:dyDescent="0.2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not found</v>
      </c>
      <c r="Y321" t="e">
        <f>VLOOKUP(F321,'Transform table'!A:B,2,0)</f>
        <v>#N/A</v>
      </c>
      <c r="Z321" t="e">
        <f>C321&amp;X321&amp;Y321</f>
        <v>#N/A</v>
      </c>
      <c r="AA321" t="e">
        <f>VLOOKUP($Z321,'oddspedia-matches'!$A:$AD,AA$2,0)</f>
        <v>#N/A</v>
      </c>
      <c r="AB321" t="e">
        <f>VLOOKUP($Z321,'oddspedia-matches'!$A:$AD,AB$2,0)</f>
        <v>#N/A</v>
      </c>
      <c r="AC321" t="e">
        <f>VLOOKUP($Z321,'oddspedia-matches'!$A:$AD,AC$2,0)</f>
        <v>#N/A</v>
      </c>
      <c r="AD321" t="e">
        <f>VLOOKUP($Z321,'oddspedia-matches'!$A:$AD,AD$2,0)</f>
        <v>#N/A</v>
      </c>
      <c r="AE321" t="e">
        <f>VLOOKUP($Z321,'oddspedia-matches'!$A:$AD,AE$2,0)</f>
        <v>#N/A</v>
      </c>
      <c r="AF321" t="e">
        <f>VLOOKUP($Z321,'oddspedia-matches'!$A:$AD,AF$2,0)</f>
        <v>#N/A</v>
      </c>
      <c r="AG321" t="e">
        <f>VLOOKUP($Z321,'oddspedia-matches'!$A:$AD,AG$2,0)</f>
        <v>#N/A</v>
      </c>
      <c r="AH321" t="e">
        <f>VLOOKUP($Z321,'oddspedia-matches'!$A:$AD,AH$2,0)</f>
        <v>#N/A</v>
      </c>
      <c r="AI321" t="e">
        <f>VLOOKUP($Z321,'oddspedia-matches'!$A:$AD,AI$2,0)</f>
        <v>#N/A</v>
      </c>
      <c r="AJ321" t="e">
        <f>VLOOKUP($Z321,'oddspedia-matches'!$A:$AD,AJ$2,0)</f>
        <v>#N/A</v>
      </c>
      <c r="AK321" t="e">
        <f>VLOOKUP($Z321,'oddspedia-matches'!$A:$AD,AK$2,0)</f>
        <v>#N/A</v>
      </c>
      <c r="AL321" t="e">
        <f>VLOOKUP($Z321,'oddspedia-matches'!$A:$AD,AL$2,0)</f>
        <v>#N/A</v>
      </c>
      <c r="AM321" t="e">
        <f>VLOOKUP($Z321,'oddspedia-matches'!$A:$AD,AM$2,0)</f>
        <v>#N/A</v>
      </c>
      <c r="AN321" t="e">
        <f>VLOOKUP($Z321,'oddspedia-matches'!$A:$AD,AN$2,0)</f>
        <v>#N/A</v>
      </c>
      <c r="AO321" t="e">
        <f>VLOOKUP($Z321,'oddspedia-matches'!$A:$AD,AO$2,0)</f>
        <v>#N/A</v>
      </c>
      <c r="AP321" t="e">
        <f>VLOOKUP($Z321,'oddspedia-matches'!$A:$AD,AP$2,0)</f>
        <v>#N/A</v>
      </c>
      <c r="AQ321" t="e">
        <f>VLOOKUP($Z321,'oddspedia-matches'!$A:$AD,AQ$2,0)</f>
        <v>#N/A</v>
      </c>
    </row>
    <row r="322" spans="2:43" x14ac:dyDescent="0.2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Wolves</v>
      </c>
      <c r="Y322" t="e">
        <f>VLOOKUP(F322,'Transform table'!A:B,2,0)</f>
        <v>#N/A</v>
      </c>
      <c r="Z322" t="e">
        <f>C322&amp;X322&amp;Y322</f>
        <v>#N/A</v>
      </c>
      <c r="AA322" t="e">
        <f>VLOOKUP($Z322,'oddspedia-matches'!$A:$AD,AA$2,0)</f>
        <v>#N/A</v>
      </c>
      <c r="AB322" t="e">
        <f>VLOOKUP($Z322,'oddspedia-matches'!$A:$AD,AB$2,0)</f>
        <v>#N/A</v>
      </c>
      <c r="AC322" t="e">
        <f>VLOOKUP($Z322,'oddspedia-matches'!$A:$AD,AC$2,0)</f>
        <v>#N/A</v>
      </c>
      <c r="AD322" t="e">
        <f>VLOOKUP($Z322,'oddspedia-matches'!$A:$AD,AD$2,0)</f>
        <v>#N/A</v>
      </c>
      <c r="AE322" t="e">
        <f>VLOOKUP($Z322,'oddspedia-matches'!$A:$AD,AE$2,0)</f>
        <v>#N/A</v>
      </c>
      <c r="AF322" t="e">
        <f>VLOOKUP($Z322,'oddspedia-matches'!$A:$AD,AF$2,0)</f>
        <v>#N/A</v>
      </c>
      <c r="AG322" t="e">
        <f>VLOOKUP($Z322,'oddspedia-matches'!$A:$AD,AG$2,0)</f>
        <v>#N/A</v>
      </c>
      <c r="AH322" t="e">
        <f>VLOOKUP($Z322,'oddspedia-matches'!$A:$AD,AH$2,0)</f>
        <v>#N/A</v>
      </c>
      <c r="AI322" t="e">
        <f>VLOOKUP($Z322,'oddspedia-matches'!$A:$AD,AI$2,0)</f>
        <v>#N/A</v>
      </c>
      <c r="AJ322" t="e">
        <f>VLOOKUP($Z322,'oddspedia-matches'!$A:$AD,AJ$2,0)</f>
        <v>#N/A</v>
      </c>
      <c r="AK322" t="e">
        <f>VLOOKUP($Z322,'oddspedia-matches'!$A:$AD,AK$2,0)</f>
        <v>#N/A</v>
      </c>
      <c r="AL322" t="e">
        <f>VLOOKUP($Z322,'oddspedia-matches'!$A:$AD,AL$2,0)</f>
        <v>#N/A</v>
      </c>
      <c r="AM322" t="e">
        <f>VLOOKUP($Z322,'oddspedia-matches'!$A:$AD,AM$2,0)</f>
        <v>#N/A</v>
      </c>
      <c r="AN322" t="e">
        <f>VLOOKUP($Z322,'oddspedia-matches'!$A:$AD,AN$2,0)</f>
        <v>#N/A</v>
      </c>
      <c r="AO322" t="e">
        <f>VLOOKUP($Z322,'oddspedia-matches'!$A:$AD,AO$2,0)</f>
        <v>#N/A</v>
      </c>
      <c r="AP322" t="e">
        <f>VLOOKUP($Z322,'oddspedia-matches'!$A:$AD,AP$2,0)</f>
        <v>#N/A</v>
      </c>
      <c r="AQ322" t="e">
        <f>VLOOKUP($Z322,'oddspedia-matches'!$A:$AD,AQ$2,0)</f>
        <v>#N/A</v>
      </c>
    </row>
    <row r="323" spans="2:43" x14ac:dyDescent="0.2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 Reserves</v>
      </c>
      <c r="Y323" t="str">
        <f>VLOOKUP(F323,'Transform table'!A:B,2,0)</f>
        <v>Belmont Swansea United SC</v>
      </c>
      <c r="Z323" t="str">
        <f>C323&amp;X323&amp;Y323</f>
        <v>26/07/2026Kahibah FC ReservesBelmont Swansea United SC</v>
      </c>
      <c r="AA323" t="e">
        <f>VLOOKUP($Z323,'oddspedia-matches'!$A:$AD,AA$2,0)</f>
        <v>#N/A</v>
      </c>
      <c r="AB323" t="e">
        <f>VLOOKUP($Z323,'oddspedia-matches'!$A:$AD,AB$2,0)</f>
        <v>#N/A</v>
      </c>
      <c r="AC323" t="e">
        <f>VLOOKUP($Z323,'oddspedia-matches'!$A:$AD,AC$2,0)</f>
        <v>#N/A</v>
      </c>
      <c r="AD323" t="e">
        <f>VLOOKUP($Z323,'oddspedia-matches'!$A:$AD,AD$2,0)</f>
        <v>#N/A</v>
      </c>
      <c r="AE323" t="e">
        <f>VLOOKUP($Z323,'oddspedia-matches'!$A:$AD,AE$2,0)</f>
        <v>#N/A</v>
      </c>
      <c r="AF323" t="e">
        <f>VLOOKUP($Z323,'oddspedia-matches'!$A:$AD,AF$2,0)</f>
        <v>#N/A</v>
      </c>
      <c r="AG323" t="e">
        <f>VLOOKUP($Z323,'oddspedia-matches'!$A:$AD,AG$2,0)</f>
        <v>#N/A</v>
      </c>
      <c r="AH323" t="e">
        <f>VLOOKUP($Z323,'oddspedia-matches'!$A:$AD,AH$2,0)</f>
        <v>#N/A</v>
      </c>
      <c r="AI323" t="e">
        <f>VLOOKUP($Z323,'oddspedia-matches'!$A:$AD,AI$2,0)</f>
        <v>#N/A</v>
      </c>
      <c r="AJ323" t="e">
        <f>VLOOKUP($Z323,'oddspedia-matches'!$A:$AD,AJ$2,0)</f>
        <v>#N/A</v>
      </c>
      <c r="AK323" t="e">
        <f>VLOOKUP($Z323,'oddspedia-matches'!$A:$AD,AK$2,0)</f>
        <v>#N/A</v>
      </c>
      <c r="AL323" t="e">
        <f>VLOOKUP($Z323,'oddspedia-matches'!$A:$AD,AL$2,0)</f>
        <v>#N/A</v>
      </c>
      <c r="AM323" t="e">
        <f>VLOOKUP($Z323,'oddspedia-matches'!$A:$AD,AM$2,0)</f>
        <v>#N/A</v>
      </c>
      <c r="AN323" t="e">
        <f>VLOOKUP($Z323,'oddspedia-matches'!$A:$AD,AN$2,0)</f>
        <v>#N/A</v>
      </c>
      <c r="AO323" t="e">
        <f>VLOOKUP($Z323,'oddspedia-matches'!$A:$AD,AO$2,0)</f>
        <v>#N/A</v>
      </c>
      <c r="AP323" t="e">
        <f>VLOOKUP($Z323,'oddspedia-matches'!$A:$AD,AP$2,0)</f>
        <v>#N/A</v>
      </c>
      <c r="AQ323" t="e">
        <f>VLOOKUP($Z323,'oddspedia-matches'!$A:$AD,AQ$2,0)</f>
        <v>#N/A</v>
      </c>
    </row>
    <row r="324" spans="2:43" x14ac:dyDescent="0.2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 U23</v>
      </c>
      <c r="Y324" t="e">
        <f>VLOOKUP(F324,'Transform table'!A:B,2,0)</f>
        <v>#N/A</v>
      </c>
      <c r="Z324" t="e">
        <f>C324&amp;X324&amp;Y324</f>
        <v>#N/A</v>
      </c>
      <c r="AA324" t="e">
        <f>VLOOKUP($Z324,'oddspedia-matches'!$A:$AD,AA$2,0)</f>
        <v>#N/A</v>
      </c>
      <c r="AB324" t="e">
        <f>VLOOKUP($Z324,'oddspedia-matches'!$A:$AD,AB$2,0)</f>
        <v>#N/A</v>
      </c>
      <c r="AC324" t="e">
        <f>VLOOKUP($Z324,'oddspedia-matches'!$A:$AD,AC$2,0)</f>
        <v>#N/A</v>
      </c>
      <c r="AD324" t="e">
        <f>VLOOKUP($Z324,'oddspedia-matches'!$A:$AD,AD$2,0)</f>
        <v>#N/A</v>
      </c>
      <c r="AE324" t="e">
        <f>VLOOKUP($Z324,'oddspedia-matches'!$A:$AD,AE$2,0)</f>
        <v>#N/A</v>
      </c>
      <c r="AF324" t="e">
        <f>VLOOKUP($Z324,'oddspedia-matches'!$A:$AD,AF$2,0)</f>
        <v>#N/A</v>
      </c>
      <c r="AG324" t="e">
        <f>VLOOKUP($Z324,'oddspedia-matches'!$A:$AD,AG$2,0)</f>
        <v>#N/A</v>
      </c>
      <c r="AH324" t="e">
        <f>VLOOKUP($Z324,'oddspedia-matches'!$A:$AD,AH$2,0)</f>
        <v>#N/A</v>
      </c>
      <c r="AI324" t="e">
        <f>VLOOKUP($Z324,'oddspedia-matches'!$A:$AD,AI$2,0)</f>
        <v>#N/A</v>
      </c>
      <c r="AJ324" t="e">
        <f>VLOOKUP($Z324,'oddspedia-matches'!$A:$AD,AJ$2,0)</f>
        <v>#N/A</v>
      </c>
      <c r="AK324" t="e">
        <f>VLOOKUP($Z324,'oddspedia-matches'!$A:$AD,AK$2,0)</f>
        <v>#N/A</v>
      </c>
      <c r="AL324" t="e">
        <f>VLOOKUP($Z324,'oddspedia-matches'!$A:$AD,AL$2,0)</f>
        <v>#N/A</v>
      </c>
      <c r="AM324" t="e">
        <f>VLOOKUP($Z324,'oddspedia-matches'!$A:$AD,AM$2,0)</f>
        <v>#N/A</v>
      </c>
      <c r="AN324" t="e">
        <f>VLOOKUP($Z324,'oddspedia-matches'!$A:$AD,AN$2,0)</f>
        <v>#N/A</v>
      </c>
      <c r="AO324" t="e">
        <f>VLOOKUP($Z324,'oddspedia-matches'!$A:$AD,AO$2,0)</f>
        <v>#N/A</v>
      </c>
      <c r="AP324" t="e">
        <f>VLOOKUP($Z324,'oddspedia-matches'!$A:$AD,AP$2,0)</f>
        <v>#N/A</v>
      </c>
      <c r="AQ324" t="e">
        <f>VLOOKUP($Z324,'oddspedia-matches'!$A:$AD,AQ$2,0)</f>
        <v>#N/A</v>
      </c>
    </row>
    <row r="325" spans="2:43" x14ac:dyDescent="0.2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f>VLOOKUP(E325,'Transform table'!A:B,2,0)</f>
        <v>0</v>
      </c>
      <c r="Y325" t="e">
        <f>VLOOKUP(F325,'Transform table'!A:B,2,0)</f>
        <v>#N/A</v>
      </c>
      <c r="Z325" t="e">
        <f>C325&amp;X325&amp;Y325</f>
        <v>#N/A</v>
      </c>
      <c r="AA325" t="e">
        <f>VLOOKUP($Z325,'oddspedia-matches'!$A:$AD,AA$2,0)</f>
        <v>#N/A</v>
      </c>
      <c r="AB325" t="e">
        <f>VLOOKUP($Z325,'oddspedia-matches'!$A:$AD,AB$2,0)</f>
        <v>#N/A</v>
      </c>
      <c r="AC325" t="e">
        <f>VLOOKUP($Z325,'oddspedia-matches'!$A:$AD,AC$2,0)</f>
        <v>#N/A</v>
      </c>
      <c r="AD325" t="e">
        <f>VLOOKUP($Z325,'oddspedia-matches'!$A:$AD,AD$2,0)</f>
        <v>#N/A</v>
      </c>
      <c r="AE325" t="e">
        <f>VLOOKUP($Z325,'oddspedia-matches'!$A:$AD,AE$2,0)</f>
        <v>#N/A</v>
      </c>
      <c r="AF325" t="e">
        <f>VLOOKUP($Z325,'oddspedia-matches'!$A:$AD,AF$2,0)</f>
        <v>#N/A</v>
      </c>
      <c r="AG325" t="e">
        <f>VLOOKUP($Z325,'oddspedia-matches'!$A:$AD,AG$2,0)</f>
        <v>#N/A</v>
      </c>
      <c r="AH325" t="e">
        <f>VLOOKUP($Z325,'oddspedia-matches'!$A:$AD,AH$2,0)</f>
        <v>#N/A</v>
      </c>
      <c r="AI325" t="e">
        <f>VLOOKUP($Z325,'oddspedia-matches'!$A:$AD,AI$2,0)</f>
        <v>#N/A</v>
      </c>
      <c r="AJ325" t="e">
        <f>VLOOKUP($Z325,'oddspedia-matches'!$A:$AD,AJ$2,0)</f>
        <v>#N/A</v>
      </c>
      <c r="AK325" t="e">
        <f>VLOOKUP($Z325,'oddspedia-matches'!$A:$AD,AK$2,0)</f>
        <v>#N/A</v>
      </c>
      <c r="AL325" t="e">
        <f>VLOOKUP($Z325,'oddspedia-matches'!$A:$AD,AL$2,0)</f>
        <v>#N/A</v>
      </c>
      <c r="AM325" t="e">
        <f>VLOOKUP($Z325,'oddspedia-matches'!$A:$AD,AM$2,0)</f>
        <v>#N/A</v>
      </c>
      <c r="AN325" t="e">
        <f>VLOOKUP($Z325,'oddspedia-matches'!$A:$AD,AN$2,0)</f>
        <v>#N/A</v>
      </c>
      <c r="AO325" t="e">
        <f>VLOOKUP($Z325,'oddspedia-matches'!$A:$AD,AO$2,0)</f>
        <v>#N/A</v>
      </c>
      <c r="AP325" t="e">
        <f>VLOOKUP($Z325,'oddspedia-matches'!$A:$AD,AP$2,0)</f>
        <v>#N/A</v>
      </c>
      <c r="AQ325" t="e">
        <f>VLOOKUP($Z325,'oddspedia-matches'!$A:$AD,AQ$2,0)</f>
        <v>#N/A</v>
      </c>
    </row>
    <row r="326" spans="2:43" x14ac:dyDescent="0.2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>
        <f>VLOOKUP(E326,'Transform table'!A:B,2,0)</f>
        <v>0</v>
      </c>
      <c r="Y326" t="e">
        <f>VLOOKUP(F326,'Transform table'!A:B,2,0)</f>
        <v>#N/A</v>
      </c>
      <c r="Z326" t="e">
        <f>C326&amp;X326&amp;Y326</f>
        <v>#N/A</v>
      </c>
      <c r="AA326" t="e">
        <f>VLOOKUP($Z326,'oddspedia-matches'!$A:$AD,AA$2,0)</f>
        <v>#N/A</v>
      </c>
      <c r="AB326" t="e">
        <f>VLOOKUP($Z326,'oddspedia-matches'!$A:$AD,AB$2,0)</f>
        <v>#N/A</v>
      </c>
      <c r="AC326" t="e">
        <f>VLOOKUP($Z326,'oddspedia-matches'!$A:$AD,AC$2,0)</f>
        <v>#N/A</v>
      </c>
      <c r="AD326" t="e">
        <f>VLOOKUP($Z326,'oddspedia-matches'!$A:$AD,AD$2,0)</f>
        <v>#N/A</v>
      </c>
      <c r="AE326" t="e">
        <f>VLOOKUP($Z326,'oddspedia-matches'!$A:$AD,AE$2,0)</f>
        <v>#N/A</v>
      </c>
      <c r="AF326" t="e">
        <f>VLOOKUP($Z326,'oddspedia-matches'!$A:$AD,AF$2,0)</f>
        <v>#N/A</v>
      </c>
      <c r="AG326" t="e">
        <f>VLOOKUP($Z326,'oddspedia-matches'!$A:$AD,AG$2,0)</f>
        <v>#N/A</v>
      </c>
      <c r="AH326" t="e">
        <f>VLOOKUP($Z326,'oddspedia-matches'!$A:$AD,AH$2,0)</f>
        <v>#N/A</v>
      </c>
      <c r="AI326" t="e">
        <f>VLOOKUP($Z326,'oddspedia-matches'!$A:$AD,AI$2,0)</f>
        <v>#N/A</v>
      </c>
      <c r="AJ326" t="e">
        <f>VLOOKUP($Z326,'oddspedia-matches'!$A:$AD,AJ$2,0)</f>
        <v>#N/A</v>
      </c>
      <c r="AK326" t="e">
        <f>VLOOKUP($Z326,'oddspedia-matches'!$A:$AD,AK$2,0)</f>
        <v>#N/A</v>
      </c>
      <c r="AL326" t="e">
        <f>VLOOKUP($Z326,'oddspedia-matches'!$A:$AD,AL$2,0)</f>
        <v>#N/A</v>
      </c>
      <c r="AM326" t="e">
        <f>VLOOKUP($Z326,'oddspedia-matches'!$A:$AD,AM$2,0)</f>
        <v>#N/A</v>
      </c>
      <c r="AN326" t="e">
        <f>VLOOKUP($Z326,'oddspedia-matches'!$A:$AD,AN$2,0)</f>
        <v>#N/A</v>
      </c>
      <c r="AO326" t="e">
        <f>VLOOKUP($Z326,'oddspedia-matches'!$A:$AD,AO$2,0)</f>
        <v>#N/A</v>
      </c>
      <c r="AP326" t="e">
        <f>VLOOKUP($Z326,'oddspedia-matches'!$A:$AD,AP$2,0)</f>
        <v>#N/A</v>
      </c>
      <c r="AQ326" t="e">
        <f>VLOOKUP($Z326,'oddspedia-matches'!$A:$AD,AQ$2,0)</f>
        <v>#N/A</v>
      </c>
    </row>
    <row r="327" spans="2:43" x14ac:dyDescent="0.2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Greenland Shenhua</v>
      </c>
      <c r="Y327" t="e">
        <f>VLOOKUP(F327,'Transform table'!A:B,2,0)</f>
        <v>#N/A</v>
      </c>
      <c r="Z327" t="e">
        <f>C327&amp;X327&amp;Y327</f>
        <v>#N/A</v>
      </c>
      <c r="AA327" t="e">
        <f>VLOOKUP($Z327,'oddspedia-matches'!$A:$AD,AA$2,0)</f>
        <v>#N/A</v>
      </c>
      <c r="AB327" t="e">
        <f>VLOOKUP($Z327,'oddspedia-matches'!$A:$AD,AB$2,0)</f>
        <v>#N/A</v>
      </c>
      <c r="AC327" t="e">
        <f>VLOOKUP($Z327,'oddspedia-matches'!$A:$AD,AC$2,0)</f>
        <v>#N/A</v>
      </c>
      <c r="AD327" t="e">
        <f>VLOOKUP($Z327,'oddspedia-matches'!$A:$AD,AD$2,0)</f>
        <v>#N/A</v>
      </c>
      <c r="AE327" t="e">
        <f>VLOOKUP($Z327,'oddspedia-matches'!$A:$AD,AE$2,0)</f>
        <v>#N/A</v>
      </c>
      <c r="AF327" t="e">
        <f>VLOOKUP($Z327,'oddspedia-matches'!$A:$AD,AF$2,0)</f>
        <v>#N/A</v>
      </c>
      <c r="AG327" t="e">
        <f>VLOOKUP($Z327,'oddspedia-matches'!$A:$AD,AG$2,0)</f>
        <v>#N/A</v>
      </c>
      <c r="AH327" t="e">
        <f>VLOOKUP($Z327,'oddspedia-matches'!$A:$AD,AH$2,0)</f>
        <v>#N/A</v>
      </c>
      <c r="AI327" t="e">
        <f>VLOOKUP($Z327,'oddspedia-matches'!$A:$AD,AI$2,0)</f>
        <v>#N/A</v>
      </c>
      <c r="AJ327" t="e">
        <f>VLOOKUP($Z327,'oddspedia-matches'!$A:$AD,AJ$2,0)</f>
        <v>#N/A</v>
      </c>
      <c r="AK327" t="e">
        <f>VLOOKUP($Z327,'oddspedia-matches'!$A:$AD,AK$2,0)</f>
        <v>#N/A</v>
      </c>
      <c r="AL327" t="e">
        <f>VLOOKUP($Z327,'oddspedia-matches'!$A:$AD,AL$2,0)</f>
        <v>#N/A</v>
      </c>
      <c r="AM327" t="e">
        <f>VLOOKUP($Z327,'oddspedia-matches'!$A:$AD,AM$2,0)</f>
        <v>#N/A</v>
      </c>
      <c r="AN327" t="e">
        <f>VLOOKUP($Z327,'oddspedia-matches'!$A:$AD,AN$2,0)</f>
        <v>#N/A</v>
      </c>
      <c r="AO327" t="e">
        <f>VLOOKUP($Z327,'oddspedia-matches'!$A:$AD,AO$2,0)</f>
        <v>#N/A</v>
      </c>
      <c r="AP327" t="e">
        <f>VLOOKUP($Z327,'oddspedia-matches'!$A:$AD,AP$2,0)</f>
        <v>#N/A</v>
      </c>
      <c r="AQ327" t="e">
        <f>VLOOKUP($Z327,'oddspedia-matches'!$A:$AD,AQ$2,0)</f>
        <v>#N/A</v>
      </c>
    </row>
    <row r="328" spans="2:43" x14ac:dyDescent="0.2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>
        <f>VLOOKUP(E328,'Transform table'!A:B,2,0)</f>
        <v>0</v>
      </c>
      <c r="Y328" t="e">
        <f>VLOOKUP(F328,'Transform table'!A:B,2,0)</f>
        <v>#N/A</v>
      </c>
      <c r="Z328" t="e">
        <f>C328&amp;X328&amp;Y328</f>
        <v>#N/A</v>
      </c>
      <c r="AA328" t="e">
        <f>VLOOKUP($Z328,'oddspedia-matches'!$A:$AD,AA$2,0)</f>
        <v>#N/A</v>
      </c>
      <c r="AB328" t="e">
        <f>VLOOKUP($Z328,'oddspedia-matches'!$A:$AD,AB$2,0)</f>
        <v>#N/A</v>
      </c>
      <c r="AC328" t="e">
        <f>VLOOKUP($Z328,'oddspedia-matches'!$A:$AD,AC$2,0)</f>
        <v>#N/A</v>
      </c>
      <c r="AD328" t="e">
        <f>VLOOKUP($Z328,'oddspedia-matches'!$A:$AD,AD$2,0)</f>
        <v>#N/A</v>
      </c>
      <c r="AE328" t="e">
        <f>VLOOKUP($Z328,'oddspedia-matches'!$A:$AD,AE$2,0)</f>
        <v>#N/A</v>
      </c>
      <c r="AF328" t="e">
        <f>VLOOKUP($Z328,'oddspedia-matches'!$A:$AD,AF$2,0)</f>
        <v>#N/A</v>
      </c>
      <c r="AG328" t="e">
        <f>VLOOKUP($Z328,'oddspedia-matches'!$A:$AD,AG$2,0)</f>
        <v>#N/A</v>
      </c>
      <c r="AH328" t="e">
        <f>VLOOKUP($Z328,'oddspedia-matches'!$A:$AD,AH$2,0)</f>
        <v>#N/A</v>
      </c>
      <c r="AI328" t="e">
        <f>VLOOKUP($Z328,'oddspedia-matches'!$A:$AD,AI$2,0)</f>
        <v>#N/A</v>
      </c>
      <c r="AJ328" t="e">
        <f>VLOOKUP($Z328,'oddspedia-matches'!$A:$AD,AJ$2,0)</f>
        <v>#N/A</v>
      </c>
      <c r="AK328" t="e">
        <f>VLOOKUP($Z328,'oddspedia-matches'!$A:$AD,AK$2,0)</f>
        <v>#N/A</v>
      </c>
      <c r="AL328" t="e">
        <f>VLOOKUP($Z328,'oddspedia-matches'!$A:$AD,AL$2,0)</f>
        <v>#N/A</v>
      </c>
      <c r="AM328" t="e">
        <f>VLOOKUP($Z328,'oddspedia-matches'!$A:$AD,AM$2,0)</f>
        <v>#N/A</v>
      </c>
      <c r="AN328" t="e">
        <f>VLOOKUP($Z328,'oddspedia-matches'!$A:$AD,AN$2,0)</f>
        <v>#N/A</v>
      </c>
      <c r="AO328" t="e">
        <f>VLOOKUP($Z328,'oddspedia-matches'!$A:$AD,AO$2,0)</f>
        <v>#N/A</v>
      </c>
      <c r="AP328" t="e">
        <f>VLOOKUP($Z328,'oddspedia-matches'!$A:$AD,AP$2,0)</f>
        <v>#N/A</v>
      </c>
      <c r="AQ328" t="e">
        <f>VLOOKUP($Z328,'oddspedia-matches'!$A:$AD,AQ$2,0)</f>
        <v>#N/A</v>
      </c>
    </row>
    <row r="329" spans="2:43" x14ac:dyDescent="0.2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f>VLOOKUP(E329,'Transform table'!A:B,2,0)</f>
        <v>0</v>
      </c>
      <c r="Y329" t="e">
        <f>VLOOKUP(F329,'Transform table'!A:B,2,0)</f>
        <v>#N/A</v>
      </c>
      <c r="Z329" t="e">
        <f>C329&amp;X329&amp;Y329</f>
        <v>#N/A</v>
      </c>
      <c r="AA329" t="e">
        <f>VLOOKUP($Z329,'oddspedia-matches'!$A:$AD,AA$2,0)</f>
        <v>#N/A</v>
      </c>
      <c r="AB329" t="e">
        <f>VLOOKUP($Z329,'oddspedia-matches'!$A:$AD,AB$2,0)</f>
        <v>#N/A</v>
      </c>
      <c r="AC329" t="e">
        <f>VLOOKUP($Z329,'oddspedia-matches'!$A:$AD,AC$2,0)</f>
        <v>#N/A</v>
      </c>
      <c r="AD329" t="e">
        <f>VLOOKUP($Z329,'oddspedia-matches'!$A:$AD,AD$2,0)</f>
        <v>#N/A</v>
      </c>
      <c r="AE329" t="e">
        <f>VLOOKUP($Z329,'oddspedia-matches'!$A:$AD,AE$2,0)</f>
        <v>#N/A</v>
      </c>
      <c r="AF329" t="e">
        <f>VLOOKUP($Z329,'oddspedia-matches'!$A:$AD,AF$2,0)</f>
        <v>#N/A</v>
      </c>
      <c r="AG329" t="e">
        <f>VLOOKUP($Z329,'oddspedia-matches'!$A:$AD,AG$2,0)</f>
        <v>#N/A</v>
      </c>
      <c r="AH329" t="e">
        <f>VLOOKUP($Z329,'oddspedia-matches'!$A:$AD,AH$2,0)</f>
        <v>#N/A</v>
      </c>
      <c r="AI329" t="e">
        <f>VLOOKUP($Z329,'oddspedia-matches'!$A:$AD,AI$2,0)</f>
        <v>#N/A</v>
      </c>
      <c r="AJ329" t="e">
        <f>VLOOKUP($Z329,'oddspedia-matches'!$A:$AD,AJ$2,0)</f>
        <v>#N/A</v>
      </c>
      <c r="AK329" t="e">
        <f>VLOOKUP($Z329,'oddspedia-matches'!$A:$AD,AK$2,0)</f>
        <v>#N/A</v>
      </c>
      <c r="AL329" t="e">
        <f>VLOOKUP($Z329,'oddspedia-matches'!$A:$AD,AL$2,0)</f>
        <v>#N/A</v>
      </c>
      <c r="AM329" t="e">
        <f>VLOOKUP($Z329,'oddspedia-matches'!$A:$AD,AM$2,0)</f>
        <v>#N/A</v>
      </c>
      <c r="AN329" t="e">
        <f>VLOOKUP($Z329,'oddspedia-matches'!$A:$AD,AN$2,0)</f>
        <v>#N/A</v>
      </c>
      <c r="AO329" t="e">
        <f>VLOOKUP($Z329,'oddspedia-matches'!$A:$AD,AO$2,0)</f>
        <v>#N/A</v>
      </c>
      <c r="AP329" t="e">
        <f>VLOOKUP($Z329,'oddspedia-matches'!$A:$AD,AP$2,0)</f>
        <v>#N/A</v>
      </c>
      <c r="AQ329" t="e">
        <f>VLOOKUP($Z329,'oddspedia-matches'!$A:$AD,AQ$2,0)</f>
        <v>#N/A</v>
      </c>
    </row>
    <row r="330" spans="2:43" x14ac:dyDescent="0.2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>C330&amp;X330&amp;Y330</f>
        <v>26/07/2026AnyangGangwon</v>
      </c>
      <c r="AA330" t="e">
        <f>VLOOKUP($Z330,'oddspedia-matches'!$A:$AD,AA$2,0)</f>
        <v>#N/A</v>
      </c>
      <c r="AB330" t="e">
        <f>VLOOKUP($Z330,'oddspedia-matches'!$A:$AD,AB$2,0)</f>
        <v>#N/A</v>
      </c>
      <c r="AC330" t="e">
        <f>VLOOKUP($Z330,'oddspedia-matches'!$A:$AD,AC$2,0)</f>
        <v>#N/A</v>
      </c>
      <c r="AD330" t="e">
        <f>VLOOKUP($Z330,'oddspedia-matches'!$A:$AD,AD$2,0)</f>
        <v>#N/A</v>
      </c>
      <c r="AE330" t="e">
        <f>VLOOKUP($Z330,'oddspedia-matches'!$A:$AD,AE$2,0)</f>
        <v>#N/A</v>
      </c>
      <c r="AF330" t="e">
        <f>VLOOKUP($Z330,'oddspedia-matches'!$A:$AD,AF$2,0)</f>
        <v>#N/A</v>
      </c>
      <c r="AG330" t="e">
        <f>VLOOKUP($Z330,'oddspedia-matches'!$A:$AD,AG$2,0)</f>
        <v>#N/A</v>
      </c>
      <c r="AH330" t="e">
        <f>VLOOKUP($Z330,'oddspedia-matches'!$A:$AD,AH$2,0)</f>
        <v>#N/A</v>
      </c>
      <c r="AI330" t="e">
        <f>VLOOKUP($Z330,'oddspedia-matches'!$A:$AD,AI$2,0)</f>
        <v>#N/A</v>
      </c>
      <c r="AJ330" t="e">
        <f>VLOOKUP($Z330,'oddspedia-matches'!$A:$AD,AJ$2,0)</f>
        <v>#N/A</v>
      </c>
      <c r="AK330" t="e">
        <f>VLOOKUP($Z330,'oddspedia-matches'!$A:$AD,AK$2,0)</f>
        <v>#N/A</v>
      </c>
      <c r="AL330" t="e">
        <f>VLOOKUP($Z330,'oddspedia-matches'!$A:$AD,AL$2,0)</f>
        <v>#N/A</v>
      </c>
      <c r="AM330" t="e">
        <f>VLOOKUP($Z330,'oddspedia-matches'!$A:$AD,AM$2,0)</f>
        <v>#N/A</v>
      </c>
      <c r="AN330" t="e">
        <f>VLOOKUP($Z330,'oddspedia-matches'!$A:$AD,AN$2,0)</f>
        <v>#N/A</v>
      </c>
      <c r="AO330" t="e">
        <f>VLOOKUP($Z330,'oddspedia-matches'!$A:$AD,AO$2,0)</f>
        <v>#N/A</v>
      </c>
      <c r="AP330" t="e">
        <f>VLOOKUP($Z330,'oddspedia-matches'!$A:$AD,AP$2,0)</f>
        <v>#N/A</v>
      </c>
      <c r="AQ330" t="e">
        <f>VLOOKUP($Z330,'oddspedia-matches'!$A:$AD,AQ$2,0)</f>
        <v>#N/A</v>
      </c>
    </row>
    <row r="331" spans="2:43" x14ac:dyDescent="0.2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>C331&amp;X331&amp;Y331</f>
        <v>26/07/2026FC SeoulUlsan Hyundai</v>
      </c>
      <c r="AA331" t="e">
        <f>VLOOKUP($Z331,'oddspedia-matches'!$A:$AD,AA$2,0)</f>
        <v>#N/A</v>
      </c>
      <c r="AB331" t="e">
        <f>VLOOKUP($Z331,'oddspedia-matches'!$A:$AD,AB$2,0)</f>
        <v>#N/A</v>
      </c>
      <c r="AC331" t="e">
        <f>VLOOKUP($Z331,'oddspedia-matches'!$A:$AD,AC$2,0)</f>
        <v>#N/A</v>
      </c>
      <c r="AD331" t="e">
        <f>VLOOKUP($Z331,'oddspedia-matches'!$A:$AD,AD$2,0)</f>
        <v>#N/A</v>
      </c>
      <c r="AE331" t="e">
        <f>VLOOKUP($Z331,'oddspedia-matches'!$A:$AD,AE$2,0)</f>
        <v>#N/A</v>
      </c>
      <c r="AF331" t="e">
        <f>VLOOKUP($Z331,'oddspedia-matches'!$A:$AD,AF$2,0)</f>
        <v>#N/A</v>
      </c>
      <c r="AG331" t="e">
        <f>VLOOKUP($Z331,'oddspedia-matches'!$A:$AD,AG$2,0)</f>
        <v>#N/A</v>
      </c>
      <c r="AH331" t="e">
        <f>VLOOKUP($Z331,'oddspedia-matches'!$A:$AD,AH$2,0)</f>
        <v>#N/A</v>
      </c>
      <c r="AI331" t="e">
        <f>VLOOKUP($Z331,'oddspedia-matches'!$A:$AD,AI$2,0)</f>
        <v>#N/A</v>
      </c>
      <c r="AJ331" t="e">
        <f>VLOOKUP($Z331,'oddspedia-matches'!$A:$AD,AJ$2,0)</f>
        <v>#N/A</v>
      </c>
      <c r="AK331" t="e">
        <f>VLOOKUP($Z331,'oddspedia-matches'!$A:$AD,AK$2,0)</f>
        <v>#N/A</v>
      </c>
      <c r="AL331" t="e">
        <f>VLOOKUP($Z331,'oddspedia-matches'!$A:$AD,AL$2,0)</f>
        <v>#N/A</v>
      </c>
      <c r="AM331" t="e">
        <f>VLOOKUP($Z331,'oddspedia-matches'!$A:$AD,AM$2,0)</f>
        <v>#N/A</v>
      </c>
      <c r="AN331" t="e">
        <f>VLOOKUP($Z331,'oddspedia-matches'!$A:$AD,AN$2,0)</f>
        <v>#N/A</v>
      </c>
      <c r="AO331" t="e">
        <f>VLOOKUP($Z331,'oddspedia-matches'!$A:$AD,AO$2,0)</f>
        <v>#N/A</v>
      </c>
      <c r="AP331" t="e">
        <f>VLOOKUP($Z331,'oddspedia-matches'!$A:$AD,AP$2,0)</f>
        <v>#N/A</v>
      </c>
      <c r="AQ331" t="e">
        <f>VLOOKUP($Z331,'oddspedia-matches'!$A:$AD,AQ$2,0)</f>
        <v>#N/A</v>
      </c>
    </row>
    <row r="332" spans="2:43" x14ac:dyDescent="0.2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>C332&amp;X332&amp;Y332</f>
        <v>26/07/2026GwangjuJeju United</v>
      </c>
      <c r="AA332" t="e">
        <f>VLOOKUP($Z332,'oddspedia-matches'!$A:$AD,AA$2,0)</f>
        <v>#N/A</v>
      </c>
      <c r="AB332" t="e">
        <f>VLOOKUP($Z332,'oddspedia-matches'!$A:$AD,AB$2,0)</f>
        <v>#N/A</v>
      </c>
      <c r="AC332" t="e">
        <f>VLOOKUP($Z332,'oddspedia-matches'!$A:$AD,AC$2,0)</f>
        <v>#N/A</v>
      </c>
      <c r="AD332" t="e">
        <f>VLOOKUP($Z332,'oddspedia-matches'!$A:$AD,AD$2,0)</f>
        <v>#N/A</v>
      </c>
      <c r="AE332" t="e">
        <f>VLOOKUP($Z332,'oddspedia-matches'!$A:$AD,AE$2,0)</f>
        <v>#N/A</v>
      </c>
      <c r="AF332" t="e">
        <f>VLOOKUP($Z332,'oddspedia-matches'!$A:$AD,AF$2,0)</f>
        <v>#N/A</v>
      </c>
      <c r="AG332" t="e">
        <f>VLOOKUP($Z332,'oddspedia-matches'!$A:$AD,AG$2,0)</f>
        <v>#N/A</v>
      </c>
      <c r="AH332" t="e">
        <f>VLOOKUP($Z332,'oddspedia-matches'!$A:$AD,AH$2,0)</f>
        <v>#N/A</v>
      </c>
      <c r="AI332" t="e">
        <f>VLOOKUP($Z332,'oddspedia-matches'!$A:$AD,AI$2,0)</f>
        <v>#N/A</v>
      </c>
      <c r="AJ332" t="e">
        <f>VLOOKUP($Z332,'oddspedia-matches'!$A:$AD,AJ$2,0)</f>
        <v>#N/A</v>
      </c>
      <c r="AK332" t="e">
        <f>VLOOKUP($Z332,'oddspedia-matches'!$A:$AD,AK$2,0)</f>
        <v>#N/A</v>
      </c>
      <c r="AL332" t="e">
        <f>VLOOKUP($Z332,'oddspedia-matches'!$A:$AD,AL$2,0)</f>
        <v>#N/A</v>
      </c>
      <c r="AM332" t="e">
        <f>VLOOKUP($Z332,'oddspedia-matches'!$A:$AD,AM$2,0)</f>
        <v>#N/A</v>
      </c>
      <c r="AN332" t="e">
        <f>VLOOKUP($Z332,'oddspedia-matches'!$A:$AD,AN$2,0)</f>
        <v>#N/A</v>
      </c>
      <c r="AO332" t="e">
        <f>VLOOKUP($Z332,'oddspedia-matches'!$A:$AD,AO$2,0)</f>
        <v>#N/A</v>
      </c>
      <c r="AP332" t="e">
        <f>VLOOKUP($Z332,'oddspedia-matches'!$A:$AD,AP$2,0)</f>
        <v>#N/A</v>
      </c>
      <c r="AQ332" t="e">
        <f>VLOOKUP($Z332,'oddspedia-matches'!$A:$AD,AQ$2,0)</f>
        <v>#N/A</v>
      </c>
    </row>
    <row r="333" spans="2:43" x14ac:dyDescent="0.2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>C333&amp;X333&amp;Y333</f>
        <v>26/07/2026Incheon UnitedBucheon 1995</v>
      </c>
      <c r="AA333" t="e">
        <f>VLOOKUP($Z333,'oddspedia-matches'!$A:$AD,AA$2,0)</f>
        <v>#N/A</v>
      </c>
      <c r="AB333" t="e">
        <f>VLOOKUP($Z333,'oddspedia-matches'!$A:$AD,AB$2,0)</f>
        <v>#N/A</v>
      </c>
      <c r="AC333" t="e">
        <f>VLOOKUP($Z333,'oddspedia-matches'!$A:$AD,AC$2,0)</f>
        <v>#N/A</v>
      </c>
      <c r="AD333" t="e">
        <f>VLOOKUP($Z333,'oddspedia-matches'!$A:$AD,AD$2,0)</f>
        <v>#N/A</v>
      </c>
      <c r="AE333" t="e">
        <f>VLOOKUP($Z333,'oddspedia-matches'!$A:$AD,AE$2,0)</f>
        <v>#N/A</v>
      </c>
      <c r="AF333" t="e">
        <f>VLOOKUP($Z333,'oddspedia-matches'!$A:$AD,AF$2,0)</f>
        <v>#N/A</v>
      </c>
      <c r="AG333" t="e">
        <f>VLOOKUP($Z333,'oddspedia-matches'!$A:$AD,AG$2,0)</f>
        <v>#N/A</v>
      </c>
      <c r="AH333" t="e">
        <f>VLOOKUP($Z333,'oddspedia-matches'!$A:$AD,AH$2,0)</f>
        <v>#N/A</v>
      </c>
      <c r="AI333" t="e">
        <f>VLOOKUP($Z333,'oddspedia-matches'!$A:$AD,AI$2,0)</f>
        <v>#N/A</v>
      </c>
      <c r="AJ333" t="e">
        <f>VLOOKUP($Z333,'oddspedia-matches'!$A:$AD,AJ$2,0)</f>
        <v>#N/A</v>
      </c>
      <c r="AK333" t="e">
        <f>VLOOKUP($Z333,'oddspedia-matches'!$A:$AD,AK$2,0)</f>
        <v>#N/A</v>
      </c>
      <c r="AL333" t="e">
        <f>VLOOKUP($Z333,'oddspedia-matches'!$A:$AD,AL$2,0)</f>
        <v>#N/A</v>
      </c>
      <c r="AM333" t="e">
        <f>VLOOKUP($Z333,'oddspedia-matches'!$A:$AD,AM$2,0)</f>
        <v>#N/A</v>
      </c>
      <c r="AN333" t="e">
        <f>VLOOKUP($Z333,'oddspedia-matches'!$A:$AD,AN$2,0)</f>
        <v>#N/A</v>
      </c>
      <c r="AO333" t="e">
        <f>VLOOKUP($Z333,'oddspedia-matches'!$A:$AD,AO$2,0)</f>
        <v>#N/A</v>
      </c>
      <c r="AP333" t="e">
        <f>VLOOKUP($Z333,'oddspedia-matches'!$A:$AD,AP$2,0)</f>
        <v>#N/A</v>
      </c>
      <c r="AQ333" t="e">
        <f>VLOOKUP($Z333,'oddspedia-matches'!$A:$AD,AQ$2,0)</f>
        <v>#N/A</v>
      </c>
    </row>
    <row r="334" spans="2:43" x14ac:dyDescent="0.2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Gil Vicente</v>
      </c>
      <c r="Y334" t="e">
        <f>VLOOKUP(F334,'Transform table'!A:B,2,0)</f>
        <v>#N/A</v>
      </c>
      <c r="Z334" t="e">
        <f>C334&amp;X334&amp;Y334</f>
        <v>#N/A</v>
      </c>
      <c r="AA334" t="e">
        <f>VLOOKUP($Z334,'oddspedia-matches'!$A:$AD,AA$2,0)</f>
        <v>#N/A</v>
      </c>
      <c r="AB334" t="e">
        <f>VLOOKUP($Z334,'oddspedia-matches'!$A:$AD,AB$2,0)</f>
        <v>#N/A</v>
      </c>
      <c r="AC334" t="e">
        <f>VLOOKUP($Z334,'oddspedia-matches'!$A:$AD,AC$2,0)</f>
        <v>#N/A</v>
      </c>
      <c r="AD334" t="e">
        <f>VLOOKUP($Z334,'oddspedia-matches'!$A:$AD,AD$2,0)</f>
        <v>#N/A</v>
      </c>
      <c r="AE334" t="e">
        <f>VLOOKUP($Z334,'oddspedia-matches'!$A:$AD,AE$2,0)</f>
        <v>#N/A</v>
      </c>
      <c r="AF334" t="e">
        <f>VLOOKUP($Z334,'oddspedia-matches'!$A:$AD,AF$2,0)</f>
        <v>#N/A</v>
      </c>
      <c r="AG334" t="e">
        <f>VLOOKUP($Z334,'oddspedia-matches'!$A:$AD,AG$2,0)</f>
        <v>#N/A</v>
      </c>
      <c r="AH334" t="e">
        <f>VLOOKUP($Z334,'oddspedia-matches'!$A:$AD,AH$2,0)</f>
        <v>#N/A</v>
      </c>
      <c r="AI334" t="e">
        <f>VLOOKUP($Z334,'oddspedia-matches'!$A:$AD,AI$2,0)</f>
        <v>#N/A</v>
      </c>
      <c r="AJ334" t="e">
        <f>VLOOKUP($Z334,'oddspedia-matches'!$A:$AD,AJ$2,0)</f>
        <v>#N/A</v>
      </c>
      <c r="AK334" t="e">
        <f>VLOOKUP($Z334,'oddspedia-matches'!$A:$AD,AK$2,0)</f>
        <v>#N/A</v>
      </c>
      <c r="AL334" t="e">
        <f>VLOOKUP($Z334,'oddspedia-matches'!$A:$AD,AL$2,0)</f>
        <v>#N/A</v>
      </c>
      <c r="AM334" t="e">
        <f>VLOOKUP($Z334,'oddspedia-matches'!$A:$AD,AM$2,0)</f>
        <v>#N/A</v>
      </c>
      <c r="AN334" t="e">
        <f>VLOOKUP($Z334,'oddspedia-matches'!$A:$AD,AN$2,0)</f>
        <v>#N/A</v>
      </c>
      <c r="AO334" t="e">
        <f>VLOOKUP($Z334,'oddspedia-matches'!$A:$AD,AO$2,0)</f>
        <v>#N/A</v>
      </c>
      <c r="AP334" t="e">
        <f>VLOOKUP($Z334,'oddspedia-matches'!$A:$AD,AP$2,0)</f>
        <v>#N/A</v>
      </c>
      <c r="AQ334" t="e">
        <f>VLOOKUP($Z334,'oddspedia-matches'!$A:$AD,AQ$2,0)</f>
        <v>#N/A</v>
      </c>
    </row>
    <row r="335" spans="2:43" x14ac:dyDescent="0.2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f>VLOOKUP(E335,'Transform table'!A:B,2,0)</f>
        <v>0</v>
      </c>
      <c r="Y335" t="e">
        <f>VLOOKUP(F335,'Transform table'!A:B,2,0)</f>
        <v>#N/A</v>
      </c>
      <c r="Z335" t="e">
        <f>C335&amp;X335&amp;Y335</f>
        <v>#N/A</v>
      </c>
      <c r="AA335" t="e">
        <f>VLOOKUP($Z335,'oddspedia-matches'!$A:$AD,AA$2,0)</f>
        <v>#N/A</v>
      </c>
      <c r="AB335" t="e">
        <f>VLOOKUP($Z335,'oddspedia-matches'!$A:$AD,AB$2,0)</f>
        <v>#N/A</v>
      </c>
      <c r="AC335" t="e">
        <f>VLOOKUP($Z335,'oddspedia-matches'!$A:$AD,AC$2,0)</f>
        <v>#N/A</v>
      </c>
      <c r="AD335" t="e">
        <f>VLOOKUP($Z335,'oddspedia-matches'!$A:$AD,AD$2,0)</f>
        <v>#N/A</v>
      </c>
      <c r="AE335" t="e">
        <f>VLOOKUP($Z335,'oddspedia-matches'!$A:$AD,AE$2,0)</f>
        <v>#N/A</v>
      </c>
      <c r="AF335" t="e">
        <f>VLOOKUP($Z335,'oddspedia-matches'!$A:$AD,AF$2,0)</f>
        <v>#N/A</v>
      </c>
      <c r="AG335" t="e">
        <f>VLOOKUP($Z335,'oddspedia-matches'!$A:$AD,AG$2,0)</f>
        <v>#N/A</v>
      </c>
      <c r="AH335" t="e">
        <f>VLOOKUP($Z335,'oddspedia-matches'!$A:$AD,AH$2,0)</f>
        <v>#N/A</v>
      </c>
      <c r="AI335" t="e">
        <f>VLOOKUP($Z335,'oddspedia-matches'!$A:$AD,AI$2,0)</f>
        <v>#N/A</v>
      </c>
      <c r="AJ335" t="e">
        <f>VLOOKUP($Z335,'oddspedia-matches'!$A:$AD,AJ$2,0)</f>
        <v>#N/A</v>
      </c>
      <c r="AK335" t="e">
        <f>VLOOKUP($Z335,'oddspedia-matches'!$A:$AD,AK$2,0)</f>
        <v>#N/A</v>
      </c>
      <c r="AL335" t="e">
        <f>VLOOKUP($Z335,'oddspedia-matches'!$A:$AD,AL$2,0)</f>
        <v>#N/A</v>
      </c>
      <c r="AM335" t="e">
        <f>VLOOKUP($Z335,'oddspedia-matches'!$A:$AD,AM$2,0)</f>
        <v>#N/A</v>
      </c>
      <c r="AN335" t="e">
        <f>VLOOKUP($Z335,'oddspedia-matches'!$A:$AD,AN$2,0)</f>
        <v>#N/A</v>
      </c>
      <c r="AO335" t="e">
        <f>VLOOKUP($Z335,'oddspedia-matches'!$A:$AD,AO$2,0)</f>
        <v>#N/A</v>
      </c>
      <c r="AP335" t="e">
        <f>VLOOKUP($Z335,'oddspedia-matches'!$A:$AD,AP$2,0)</f>
        <v>#N/A</v>
      </c>
      <c r="AQ335" t="e">
        <f>VLOOKUP($Z335,'oddspedia-matches'!$A:$AD,AQ$2,0)</f>
        <v>#N/A</v>
      </c>
    </row>
    <row r="336" spans="2:43" x14ac:dyDescent="0.2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e">
        <f>VLOOKUP(F336,'Transform table'!A:B,2,0)</f>
        <v>#N/A</v>
      </c>
      <c r="Z336" t="e">
        <f>C336&amp;X336&amp;Y336</f>
        <v>#N/A</v>
      </c>
      <c r="AA336" t="e">
        <f>VLOOKUP($Z336,'oddspedia-matches'!$A:$AD,AA$2,0)</f>
        <v>#N/A</v>
      </c>
      <c r="AB336" t="e">
        <f>VLOOKUP($Z336,'oddspedia-matches'!$A:$AD,AB$2,0)</f>
        <v>#N/A</v>
      </c>
      <c r="AC336" t="e">
        <f>VLOOKUP($Z336,'oddspedia-matches'!$A:$AD,AC$2,0)</f>
        <v>#N/A</v>
      </c>
      <c r="AD336" t="e">
        <f>VLOOKUP($Z336,'oddspedia-matches'!$A:$AD,AD$2,0)</f>
        <v>#N/A</v>
      </c>
      <c r="AE336" t="e">
        <f>VLOOKUP($Z336,'oddspedia-matches'!$A:$AD,AE$2,0)</f>
        <v>#N/A</v>
      </c>
      <c r="AF336" t="e">
        <f>VLOOKUP($Z336,'oddspedia-matches'!$A:$AD,AF$2,0)</f>
        <v>#N/A</v>
      </c>
      <c r="AG336" t="e">
        <f>VLOOKUP($Z336,'oddspedia-matches'!$A:$AD,AG$2,0)</f>
        <v>#N/A</v>
      </c>
      <c r="AH336" t="e">
        <f>VLOOKUP($Z336,'oddspedia-matches'!$A:$AD,AH$2,0)</f>
        <v>#N/A</v>
      </c>
      <c r="AI336" t="e">
        <f>VLOOKUP($Z336,'oddspedia-matches'!$A:$AD,AI$2,0)</f>
        <v>#N/A</v>
      </c>
      <c r="AJ336" t="e">
        <f>VLOOKUP($Z336,'oddspedia-matches'!$A:$AD,AJ$2,0)</f>
        <v>#N/A</v>
      </c>
      <c r="AK336" t="e">
        <f>VLOOKUP($Z336,'oddspedia-matches'!$A:$AD,AK$2,0)</f>
        <v>#N/A</v>
      </c>
      <c r="AL336" t="e">
        <f>VLOOKUP($Z336,'oddspedia-matches'!$A:$AD,AL$2,0)</f>
        <v>#N/A</v>
      </c>
      <c r="AM336" t="e">
        <f>VLOOKUP($Z336,'oddspedia-matches'!$A:$AD,AM$2,0)</f>
        <v>#N/A</v>
      </c>
      <c r="AN336" t="e">
        <f>VLOOKUP($Z336,'oddspedia-matches'!$A:$AD,AN$2,0)</f>
        <v>#N/A</v>
      </c>
      <c r="AO336" t="e">
        <f>VLOOKUP($Z336,'oddspedia-matches'!$A:$AD,AO$2,0)</f>
        <v>#N/A</v>
      </c>
      <c r="AP336" t="e">
        <f>VLOOKUP($Z336,'oddspedia-matches'!$A:$AD,AP$2,0)</f>
        <v>#N/A</v>
      </c>
      <c r="AQ336" t="e">
        <f>VLOOKUP($Z336,'oddspedia-matches'!$A:$AD,AQ$2,0)</f>
        <v>#N/A</v>
      </c>
    </row>
    <row r="337" spans="2:43" x14ac:dyDescent="0.2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f>VLOOKUP(E337,'Transform table'!A:B,2,0)</f>
        <v>0</v>
      </c>
      <c r="Y337" t="e">
        <f>VLOOKUP(F337,'Transform table'!A:B,2,0)</f>
        <v>#N/A</v>
      </c>
      <c r="Z337" t="e">
        <f>C337&amp;X337&amp;Y337</f>
        <v>#N/A</v>
      </c>
      <c r="AA337" t="e">
        <f>VLOOKUP($Z337,'oddspedia-matches'!$A:$AD,AA$2,0)</f>
        <v>#N/A</v>
      </c>
      <c r="AB337" t="e">
        <f>VLOOKUP($Z337,'oddspedia-matches'!$A:$AD,AB$2,0)</f>
        <v>#N/A</v>
      </c>
      <c r="AC337" t="e">
        <f>VLOOKUP($Z337,'oddspedia-matches'!$A:$AD,AC$2,0)</f>
        <v>#N/A</v>
      </c>
      <c r="AD337" t="e">
        <f>VLOOKUP($Z337,'oddspedia-matches'!$A:$AD,AD$2,0)</f>
        <v>#N/A</v>
      </c>
      <c r="AE337" t="e">
        <f>VLOOKUP($Z337,'oddspedia-matches'!$A:$AD,AE$2,0)</f>
        <v>#N/A</v>
      </c>
      <c r="AF337" t="e">
        <f>VLOOKUP($Z337,'oddspedia-matches'!$A:$AD,AF$2,0)</f>
        <v>#N/A</v>
      </c>
      <c r="AG337" t="e">
        <f>VLOOKUP($Z337,'oddspedia-matches'!$A:$AD,AG$2,0)</f>
        <v>#N/A</v>
      </c>
      <c r="AH337" t="e">
        <f>VLOOKUP($Z337,'oddspedia-matches'!$A:$AD,AH$2,0)</f>
        <v>#N/A</v>
      </c>
      <c r="AI337" t="e">
        <f>VLOOKUP($Z337,'oddspedia-matches'!$A:$AD,AI$2,0)</f>
        <v>#N/A</v>
      </c>
      <c r="AJ337" t="e">
        <f>VLOOKUP($Z337,'oddspedia-matches'!$A:$AD,AJ$2,0)</f>
        <v>#N/A</v>
      </c>
      <c r="AK337" t="e">
        <f>VLOOKUP($Z337,'oddspedia-matches'!$A:$AD,AK$2,0)</f>
        <v>#N/A</v>
      </c>
      <c r="AL337" t="e">
        <f>VLOOKUP($Z337,'oddspedia-matches'!$A:$AD,AL$2,0)</f>
        <v>#N/A</v>
      </c>
      <c r="AM337" t="e">
        <f>VLOOKUP($Z337,'oddspedia-matches'!$A:$AD,AM$2,0)</f>
        <v>#N/A</v>
      </c>
      <c r="AN337" t="e">
        <f>VLOOKUP($Z337,'oddspedia-matches'!$A:$AD,AN$2,0)</f>
        <v>#N/A</v>
      </c>
      <c r="AO337" t="e">
        <f>VLOOKUP($Z337,'oddspedia-matches'!$A:$AD,AO$2,0)</f>
        <v>#N/A</v>
      </c>
      <c r="AP337" t="e">
        <f>VLOOKUP($Z337,'oddspedia-matches'!$A:$AD,AP$2,0)</f>
        <v>#N/A</v>
      </c>
      <c r="AQ337" t="e">
        <f>VLOOKUP($Z337,'oddspedia-matches'!$A:$AD,AQ$2,0)</f>
        <v>#N/A</v>
      </c>
    </row>
    <row r="338" spans="2:43" x14ac:dyDescent="0.2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>C338&amp;X338&amp;Y338</f>
        <v>26/07/2026SundsvallFalkenberg</v>
      </c>
      <c r="AA338" t="e">
        <f>VLOOKUP($Z338,'oddspedia-matches'!$A:$AD,AA$2,0)</f>
        <v>#N/A</v>
      </c>
      <c r="AB338" t="e">
        <f>VLOOKUP($Z338,'oddspedia-matches'!$A:$AD,AB$2,0)</f>
        <v>#N/A</v>
      </c>
      <c r="AC338" t="e">
        <f>VLOOKUP($Z338,'oddspedia-matches'!$A:$AD,AC$2,0)</f>
        <v>#N/A</v>
      </c>
      <c r="AD338" t="e">
        <f>VLOOKUP($Z338,'oddspedia-matches'!$A:$AD,AD$2,0)</f>
        <v>#N/A</v>
      </c>
      <c r="AE338" t="e">
        <f>VLOOKUP($Z338,'oddspedia-matches'!$A:$AD,AE$2,0)</f>
        <v>#N/A</v>
      </c>
      <c r="AF338" t="e">
        <f>VLOOKUP($Z338,'oddspedia-matches'!$A:$AD,AF$2,0)</f>
        <v>#N/A</v>
      </c>
      <c r="AG338" t="e">
        <f>VLOOKUP($Z338,'oddspedia-matches'!$A:$AD,AG$2,0)</f>
        <v>#N/A</v>
      </c>
      <c r="AH338" t="e">
        <f>VLOOKUP($Z338,'oddspedia-matches'!$A:$AD,AH$2,0)</f>
        <v>#N/A</v>
      </c>
      <c r="AI338" t="e">
        <f>VLOOKUP($Z338,'oddspedia-matches'!$A:$AD,AI$2,0)</f>
        <v>#N/A</v>
      </c>
      <c r="AJ338" t="e">
        <f>VLOOKUP($Z338,'oddspedia-matches'!$A:$AD,AJ$2,0)</f>
        <v>#N/A</v>
      </c>
      <c r="AK338" t="e">
        <f>VLOOKUP($Z338,'oddspedia-matches'!$A:$AD,AK$2,0)</f>
        <v>#N/A</v>
      </c>
      <c r="AL338" t="e">
        <f>VLOOKUP($Z338,'oddspedia-matches'!$A:$AD,AL$2,0)</f>
        <v>#N/A</v>
      </c>
      <c r="AM338" t="e">
        <f>VLOOKUP($Z338,'oddspedia-matches'!$A:$AD,AM$2,0)</f>
        <v>#N/A</v>
      </c>
      <c r="AN338" t="e">
        <f>VLOOKUP($Z338,'oddspedia-matches'!$A:$AD,AN$2,0)</f>
        <v>#N/A</v>
      </c>
      <c r="AO338" t="e">
        <f>VLOOKUP($Z338,'oddspedia-matches'!$A:$AD,AO$2,0)</f>
        <v>#N/A</v>
      </c>
      <c r="AP338" t="e">
        <f>VLOOKUP($Z338,'oddspedia-matches'!$A:$AD,AP$2,0)</f>
        <v>#N/A</v>
      </c>
      <c r="AQ338" t="e">
        <f>VLOOKUP($Z338,'oddspedia-matches'!$A:$AD,AQ$2,0)</f>
        <v>#N/A</v>
      </c>
    </row>
    <row r="339" spans="2:43" x14ac:dyDescent="0.2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f>VLOOKUP(E339,'Transform table'!A:B,2,0)</f>
        <v>0</v>
      </c>
      <c r="Y339" t="e">
        <f>VLOOKUP(F339,'Transform table'!A:B,2,0)</f>
        <v>#N/A</v>
      </c>
      <c r="Z339" t="e">
        <f>C339&amp;X339&amp;Y339</f>
        <v>#N/A</v>
      </c>
      <c r="AA339" t="e">
        <f>VLOOKUP($Z339,'oddspedia-matches'!$A:$AD,AA$2,0)</f>
        <v>#N/A</v>
      </c>
      <c r="AB339" t="e">
        <f>VLOOKUP($Z339,'oddspedia-matches'!$A:$AD,AB$2,0)</f>
        <v>#N/A</v>
      </c>
      <c r="AC339" t="e">
        <f>VLOOKUP($Z339,'oddspedia-matches'!$A:$AD,AC$2,0)</f>
        <v>#N/A</v>
      </c>
      <c r="AD339" t="e">
        <f>VLOOKUP($Z339,'oddspedia-matches'!$A:$AD,AD$2,0)</f>
        <v>#N/A</v>
      </c>
      <c r="AE339" t="e">
        <f>VLOOKUP($Z339,'oddspedia-matches'!$A:$AD,AE$2,0)</f>
        <v>#N/A</v>
      </c>
      <c r="AF339" t="e">
        <f>VLOOKUP($Z339,'oddspedia-matches'!$A:$AD,AF$2,0)</f>
        <v>#N/A</v>
      </c>
      <c r="AG339" t="e">
        <f>VLOOKUP($Z339,'oddspedia-matches'!$A:$AD,AG$2,0)</f>
        <v>#N/A</v>
      </c>
      <c r="AH339" t="e">
        <f>VLOOKUP($Z339,'oddspedia-matches'!$A:$AD,AH$2,0)</f>
        <v>#N/A</v>
      </c>
      <c r="AI339" t="e">
        <f>VLOOKUP($Z339,'oddspedia-matches'!$A:$AD,AI$2,0)</f>
        <v>#N/A</v>
      </c>
      <c r="AJ339" t="e">
        <f>VLOOKUP($Z339,'oddspedia-matches'!$A:$AD,AJ$2,0)</f>
        <v>#N/A</v>
      </c>
      <c r="AK339" t="e">
        <f>VLOOKUP($Z339,'oddspedia-matches'!$A:$AD,AK$2,0)</f>
        <v>#N/A</v>
      </c>
      <c r="AL339" t="e">
        <f>VLOOKUP($Z339,'oddspedia-matches'!$A:$AD,AL$2,0)</f>
        <v>#N/A</v>
      </c>
      <c r="AM339" t="e">
        <f>VLOOKUP($Z339,'oddspedia-matches'!$A:$AD,AM$2,0)</f>
        <v>#N/A</v>
      </c>
      <c r="AN339" t="e">
        <f>VLOOKUP($Z339,'oddspedia-matches'!$A:$AD,AN$2,0)</f>
        <v>#N/A</v>
      </c>
      <c r="AO339" t="e">
        <f>VLOOKUP($Z339,'oddspedia-matches'!$A:$AD,AO$2,0)</f>
        <v>#N/A</v>
      </c>
      <c r="AP339" t="e">
        <f>VLOOKUP($Z339,'oddspedia-matches'!$A:$AD,AP$2,0)</f>
        <v>#N/A</v>
      </c>
      <c r="AQ339" t="e">
        <f>VLOOKUP($Z339,'oddspedia-matches'!$A:$AD,AQ$2,0)</f>
        <v>#N/A</v>
      </c>
    </row>
    <row r="340" spans="2:43" x14ac:dyDescent="0.2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 t="e">
        <f>VLOOKUP(F340,'Transform table'!A:B,2,0)</f>
        <v>#N/A</v>
      </c>
      <c r="Z340" t="e">
        <f>C340&amp;X340&amp;Y340</f>
        <v>#N/A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x14ac:dyDescent="0.2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>
        <f>VLOOKUP(E341,'Transform table'!A:B,2,0)</f>
        <v>0</v>
      </c>
      <c r="Y341" t="e">
        <f>VLOOKUP(F341,'Transform table'!A:B,2,0)</f>
        <v>#N/A</v>
      </c>
      <c r="Z341" t="e">
        <f>C341&amp;X341&amp;Y341</f>
        <v>#N/A</v>
      </c>
      <c r="AA341" t="e">
        <f>VLOOKUP($Z341,'oddspedia-matches'!$A:$AD,AA$2,0)</f>
        <v>#N/A</v>
      </c>
      <c r="AB341" t="e">
        <f>VLOOKUP($Z341,'oddspedia-matches'!$A:$AD,AB$2,0)</f>
        <v>#N/A</v>
      </c>
      <c r="AC341" t="e">
        <f>VLOOKUP($Z341,'oddspedia-matches'!$A:$AD,AC$2,0)</f>
        <v>#N/A</v>
      </c>
      <c r="AD341" t="e">
        <f>VLOOKUP($Z341,'oddspedia-matches'!$A:$AD,AD$2,0)</f>
        <v>#N/A</v>
      </c>
      <c r="AE341" t="e">
        <f>VLOOKUP($Z341,'oddspedia-matches'!$A:$AD,AE$2,0)</f>
        <v>#N/A</v>
      </c>
      <c r="AF341" t="e">
        <f>VLOOKUP($Z341,'oddspedia-matches'!$A:$AD,AF$2,0)</f>
        <v>#N/A</v>
      </c>
      <c r="AG341" t="e">
        <f>VLOOKUP($Z341,'oddspedia-matches'!$A:$AD,AG$2,0)</f>
        <v>#N/A</v>
      </c>
      <c r="AH341" t="e">
        <f>VLOOKUP($Z341,'oddspedia-matches'!$A:$AD,AH$2,0)</f>
        <v>#N/A</v>
      </c>
      <c r="AI341" t="e">
        <f>VLOOKUP($Z341,'oddspedia-matches'!$A:$AD,AI$2,0)</f>
        <v>#N/A</v>
      </c>
      <c r="AJ341" t="e">
        <f>VLOOKUP($Z341,'oddspedia-matches'!$A:$AD,AJ$2,0)</f>
        <v>#N/A</v>
      </c>
      <c r="AK341" t="e">
        <f>VLOOKUP($Z341,'oddspedia-matches'!$A:$AD,AK$2,0)</f>
        <v>#N/A</v>
      </c>
      <c r="AL341" t="e">
        <f>VLOOKUP($Z341,'oddspedia-matches'!$A:$AD,AL$2,0)</f>
        <v>#N/A</v>
      </c>
      <c r="AM341" t="e">
        <f>VLOOKUP($Z341,'oddspedia-matches'!$A:$AD,AM$2,0)</f>
        <v>#N/A</v>
      </c>
      <c r="AN341" t="e">
        <f>VLOOKUP($Z341,'oddspedia-matches'!$A:$AD,AN$2,0)</f>
        <v>#N/A</v>
      </c>
      <c r="AO341" t="e">
        <f>VLOOKUP($Z341,'oddspedia-matches'!$A:$AD,AO$2,0)</f>
        <v>#N/A</v>
      </c>
      <c r="AP341" t="e">
        <f>VLOOKUP($Z341,'oddspedia-matches'!$A:$AD,AP$2,0)</f>
        <v>#N/A</v>
      </c>
      <c r="AQ341" t="e">
        <f>VLOOKUP($Z341,'oddspedia-matches'!$A:$AD,AQ$2,0)</f>
        <v>#N/A</v>
      </c>
    </row>
    <row r="342" spans="2:43" x14ac:dyDescent="0.2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tr">
        <f>VLOOKUP(E342,'Transform table'!A:B,2,0)</f>
        <v>Gazovik Orenburg</v>
      </c>
      <c r="Y342" t="e">
        <f>VLOOKUP(F342,'Transform table'!A:B,2,0)</f>
        <v>#N/A</v>
      </c>
      <c r="Z342" t="e">
        <f>C342&amp;X342&amp;Y342</f>
        <v>#N/A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x14ac:dyDescent="0.2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e">
        <f>VLOOKUP(F343,'Transform table'!A:B,2,0)</f>
        <v>#N/A</v>
      </c>
      <c r="Z343" t="e">
        <f>C343&amp;X343&amp;Y343</f>
        <v>#N/A</v>
      </c>
      <c r="AA343" t="e">
        <f>VLOOKUP($Z343,'oddspedia-matches'!$A:$AD,AA$2,0)</f>
        <v>#N/A</v>
      </c>
      <c r="AB343" t="e">
        <f>VLOOKUP($Z343,'oddspedia-matches'!$A:$AD,AB$2,0)</f>
        <v>#N/A</v>
      </c>
      <c r="AC343" t="e">
        <f>VLOOKUP($Z343,'oddspedia-matches'!$A:$AD,AC$2,0)</f>
        <v>#N/A</v>
      </c>
      <c r="AD343" t="e">
        <f>VLOOKUP($Z343,'oddspedia-matches'!$A:$AD,AD$2,0)</f>
        <v>#N/A</v>
      </c>
      <c r="AE343" t="e">
        <f>VLOOKUP($Z343,'oddspedia-matches'!$A:$AD,AE$2,0)</f>
        <v>#N/A</v>
      </c>
      <c r="AF343" t="e">
        <f>VLOOKUP($Z343,'oddspedia-matches'!$A:$AD,AF$2,0)</f>
        <v>#N/A</v>
      </c>
      <c r="AG343" t="e">
        <f>VLOOKUP($Z343,'oddspedia-matches'!$A:$AD,AG$2,0)</f>
        <v>#N/A</v>
      </c>
      <c r="AH343" t="e">
        <f>VLOOKUP($Z343,'oddspedia-matches'!$A:$AD,AH$2,0)</f>
        <v>#N/A</v>
      </c>
      <c r="AI343" t="e">
        <f>VLOOKUP($Z343,'oddspedia-matches'!$A:$AD,AI$2,0)</f>
        <v>#N/A</v>
      </c>
      <c r="AJ343" t="e">
        <f>VLOOKUP($Z343,'oddspedia-matches'!$A:$AD,AJ$2,0)</f>
        <v>#N/A</v>
      </c>
      <c r="AK343" t="e">
        <f>VLOOKUP($Z343,'oddspedia-matches'!$A:$AD,AK$2,0)</f>
        <v>#N/A</v>
      </c>
      <c r="AL343" t="e">
        <f>VLOOKUP($Z343,'oddspedia-matches'!$A:$AD,AL$2,0)</f>
        <v>#N/A</v>
      </c>
      <c r="AM343" t="e">
        <f>VLOOKUP($Z343,'oddspedia-matches'!$A:$AD,AM$2,0)</f>
        <v>#N/A</v>
      </c>
      <c r="AN343" t="e">
        <f>VLOOKUP($Z343,'oddspedia-matches'!$A:$AD,AN$2,0)</f>
        <v>#N/A</v>
      </c>
      <c r="AO343" t="e">
        <f>VLOOKUP($Z343,'oddspedia-matches'!$A:$AD,AO$2,0)</f>
        <v>#N/A</v>
      </c>
      <c r="AP343" t="e">
        <f>VLOOKUP($Z343,'oddspedia-matches'!$A:$AD,AP$2,0)</f>
        <v>#N/A</v>
      </c>
      <c r="AQ343" t="e">
        <f>VLOOKUP($Z343,'oddspedia-matches'!$A:$AD,AQ$2,0)</f>
        <v>#N/A</v>
      </c>
    </row>
    <row r="344" spans="2:43" x14ac:dyDescent="0.2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e">
        <f>VLOOKUP(F344,'Transform table'!A:B,2,0)</f>
        <v>#N/A</v>
      </c>
      <c r="Z344" t="e">
        <f>C344&amp;X344&amp;Y344</f>
        <v>#N/A</v>
      </c>
      <c r="AA344" t="e">
        <f>VLOOKUP($Z344,'oddspedia-matches'!$A:$AD,AA$2,0)</f>
        <v>#N/A</v>
      </c>
      <c r="AB344" t="e">
        <f>VLOOKUP($Z344,'oddspedia-matches'!$A:$AD,AB$2,0)</f>
        <v>#N/A</v>
      </c>
      <c r="AC344" t="e">
        <f>VLOOKUP($Z344,'oddspedia-matches'!$A:$AD,AC$2,0)</f>
        <v>#N/A</v>
      </c>
      <c r="AD344" t="e">
        <f>VLOOKUP($Z344,'oddspedia-matches'!$A:$AD,AD$2,0)</f>
        <v>#N/A</v>
      </c>
      <c r="AE344" t="e">
        <f>VLOOKUP($Z344,'oddspedia-matches'!$A:$AD,AE$2,0)</f>
        <v>#N/A</v>
      </c>
      <c r="AF344" t="e">
        <f>VLOOKUP($Z344,'oddspedia-matches'!$A:$AD,AF$2,0)</f>
        <v>#N/A</v>
      </c>
      <c r="AG344" t="e">
        <f>VLOOKUP($Z344,'oddspedia-matches'!$A:$AD,AG$2,0)</f>
        <v>#N/A</v>
      </c>
      <c r="AH344" t="e">
        <f>VLOOKUP($Z344,'oddspedia-matches'!$A:$AD,AH$2,0)</f>
        <v>#N/A</v>
      </c>
      <c r="AI344" t="e">
        <f>VLOOKUP($Z344,'oddspedia-matches'!$A:$AD,AI$2,0)</f>
        <v>#N/A</v>
      </c>
      <c r="AJ344" t="e">
        <f>VLOOKUP($Z344,'oddspedia-matches'!$A:$AD,AJ$2,0)</f>
        <v>#N/A</v>
      </c>
      <c r="AK344" t="e">
        <f>VLOOKUP($Z344,'oddspedia-matches'!$A:$AD,AK$2,0)</f>
        <v>#N/A</v>
      </c>
      <c r="AL344" t="e">
        <f>VLOOKUP($Z344,'oddspedia-matches'!$A:$AD,AL$2,0)</f>
        <v>#N/A</v>
      </c>
      <c r="AM344" t="e">
        <f>VLOOKUP($Z344,'oddspedia-matches'!$A:$AD,AM$2,0)</f>
        <v>#N/A</v>
      </c>
      <c r="AN344" t="e">
        <f>VLOOKUP($Z344,'oddspedia-matches'!$A:$AD,AN$2,0)</f>
        <v>#N/A</v>
      </c>
      <c r="AO344" t="e">
        <f>VLOOKUP($Z344,'oddspedia-matches'!$A:$AD,AO$2,0)</f>
        <v>#N/A</v>
      </c>
      <c r="AP344" t="e">
        <f>VLOOKUP($Z344,'oddspedia-matches'!$A:$AD,AP$2,0)</f>
        <v>#N/A</v>
      </c>
      <c r="AQ344" t="e">
        <f>VLOOKUP($Z344,'oddspedia-matches'!$A:$AD,AQ$2,0)</f>
        <v>#N/A</v>
      </c>
    </row>
    <row r="345" spans="2:43" x14ac:dyDescent="0.2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>
        <f>VLOOKUP(E345,'Transform table'!A:B,2,0)</f>
        <v>0</v>
      </c>
      <c r="Y345" t="e">
        <f>VLOOKUP(F345,'Transform table'!A:B,2,0)</f>
        <v>#N/A</v>
      </c>
      <c r="Z345" t="e">
        <f>C345&amp;X345&amp;Y345</f>
        <v>#N/A</v>
      </c>
      <c r="AA345" t="e">
        <f>VLOOKUP($Z345,'oddspedia-matches'!$A:$AD,AA$2,0)</f>
        <v>#N/A</v>
      </c>
      <c r="AB345" t="e">
        <f>VLOOKUP($Z345,'oddspedia-matches'!$A:$AD,AB$2,0)</f>
        <v>#N/A</v>
      </c>
      <c r="AC345" t="e">
        <f>VLOOKUP($Z345,'oddspedia-matches'!$A:$AD,AC$2,0)</f>
        <v>#N/A</v>
      </c>
      <c r="AD345" t="e">
        <f>VLOOKUP($Z345,'oddspedia-matches'!$A:$AD,AD$2,0)</f>
        <v>#N/A</v>
      </c>
      <c r="AE345" t="e">
        <f>VLOOKUP($Z345,'oddspedia-matches'!$A:$AD,AE$2,0)</f>
        <v>#N/A</v>
      </c>
      <c r="AF345" t="e">
        <f>VLOOKUP($Z345,'oddspedia-matches'!$A:$AD,AF$2,0)</f>
        <v>#N/A</v>
      </c>
      <c r="AG345" t="e">
        <f>VLOOKUP($Z345,'oddspedia-matches'!$A:$AD,AG$2,0)</f>
        <v>#N/A</v>
      </c>
      <c r="AH345" t="e">
        <f>VLOOKUP($Z345,'oddspedia-matches'!$A:$AD,AH$2,0)</f>
        <v>#N/A</v>
      </c>
      <c r="AI345" t="e">
        <f>VLOOKUP($Z345,'oddspedia-matches'!$A:$AD,AI$2,0)</f>
        <v>#N/A</v>
      </c>
      <c r="AJ345" t="e">
        <f>VLOOKUP($Z345,'oddspedia-matches'!$A:$AD,AJ$2,0)</f>
        <v>#N/A</v>
      </c>
      <c r="AK345" t="e">
        <f>VLOOKUP($Z345,'oddspedia-matches'!$A:$AD,AK$2,0)</f>
        <v>#N/A</v>
      </c>
      <c r="AL345" t="e">
        <f>VLOOKUP($Z345,'oddspedia-matches'!$A:$AD,AL$2,0)</f>
        <v>#N/A</v>
      </c>
      <c r="AM345" t="e">
        <f>VLOOKUP($Z345,'oddspedia-matches'!$A:$AD,AM$2,0)</f>
        <v>#N/A</v>
      </c>
      <c r="AN345" t="e">
        <f>VLOOKUP($Z345,'oddspedia-matches'!$A:$AD,AN$2,0)</f>
        <v>#N/A</v>
      </c>
      <c r="AO345" t="e">
        <f>VLOOKUP($Z345,'oddspedia-matches'!$A:$AD,AO$2,0)</f>
        <v>#N/A</v>
      </c>
      <c r="AP345" t="e">
        <f>VLOOKUP($Z345,'oddspedia-matches'!$A:$AD,AP$2,0)</f>
        <v>#N/A</v>
      </c>
      <c r="AQ345" t="e">
        <f>VLOOKUP($Z345,'oddspedia-matches'!$A:$AD,AQ$2,0)</f>
        <v>#N/A</v>
      </c>
    </row>
    <row r="346" spans="2:43" x14ac:dyDescent="0.2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Carlisle United</v>
      </c>
      <c r="Y346" t="e">
        <f>VLOOKUP(F346,'Transform table'!A:B,2,0)</f>
        <v>#N/A</v>
      </c>
      <c r="Z346" t="e">
        <f>C346&amp;X346&amp;Y346</f>
        <v>#N/A</v>
      </c>
      <c r="AA346" t="e">
        <f>VLOOKUP($Z346,'oddspedia-matches'!$A:$AD,AA$2,0)</f>
        <v>#N/A</v>
      </c>
      <c r="AB346" t="e">
        <f>VLOOKUP($Z346,'oddspedia-matches'!$A:$AD,AB$2,0)</f>
        <v>#N/A</v>
      </c>
      <c r="AC346" t="e">
        <f>VLOOKUP($Z346,'oddspedia-matches'!$A:$AD,AC$2,0)</f>
        <v>#N/A</v>
      </c>
      <c r="AD346" t="e">
        <f>VLOOKUP($Z346,'oddspedia-matches'!$A:$AD,AD$2,0)</f>
        <v>#N/A</v>
      </c>
      <c r="AE346" t="e">
        <f>VLOOKUP($Z346,'oddspedia-matches'!$A:$AD,AE$2,0)</f>
        <v>#N/A</v>
      </c>
      <c r="AF346" t="e">
        <f>VLOOKUP($Z346,'oddspedia-matches'!$A:$AD,AF$2,0)</f>
        <v>#N/A</v>
      </c>
      <c r="AG346" t="e">
        <f>VLOOKUP($Z346,'oddspedia-matches'!$A:$AD,AG$2,0)</f>
        <v>#N/A</v>
      </c>
      <c r="AH346" t="e">
        <f>VLOOKUP($Z346,'oddspedia-matches'!$A:$AD,AH$2,0)</f>
        <v>#N/A</v>
      </c>
      <c r="AI346" t="e">
        <f>VLOOKUP($Z346,'oddspedia-matches'!$A:$AD,AI$2,0)</f>
        <v>#N/A</v>
      </c>
      <c r="AJ346" t="e">
        <f>VLOOKUP($Z346,'oddspedia-matches'!$A:$AD,AJ$2,0)</f>
        <v>#N/A</v>
      </c>
      <c r="AK346" t="e">
        <f>VLOOKUP($Z346,'oddspedia-matches'!$A:$AD,AK$2,0)</f>
        <v>#N/A</v>
      </c>
      <c r="AL346" t="e">
        <f>VLOOKUP($Z346,'oddspedia-matches'!$A:$AD,AL$2,0)</f>
        <v>#N/A</v>
      </c>
      <c r="AM346" t="e">
        <f>VLOOKUP($Z346,'oddspedia-matches'!$A:$AD,AM$2,0)</f>
        <v>#N/A</v>
      </c>
      <c r="AN346" t="e">
        <f>VLOOKUP($Z346,'oddspedia-matches'!$A:$AD,AN$2,0)</f>
        <v>#N/A</v>
      </c>
      <c r="AO346" t="e">
        <f>VLOOKUP($Z346,'oddspedia-matches'!$A:$AD,AO$2,0)</f>
        <v>#N/A</v>
      </c>
      <c r="AP346" t="e">
        <f>VLOOKUP($Z346,'oddspedia-matches'!$A:$AD,AP$2,0)</f>
        <v>#N/A</v>
      </c>
      <c r="AQ346" t="e">
        <f>VLOOKUP($Z346,'oddspedia-matches'!$A:$AD,AQ$2,0)</f>
        <v>#N/A</v>
      </c>
    </row>
    <row r="347" spans="2:43" x14ac:dyDescent="0.2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>
        <f>VLOOKUP(E347,'Transform table'!A:B,2,0)</f>
        <v>0</v>
      </c>
      <c r="Y347" t="e">
        <f>VLOOKUP(F347,'Transform table'!A:B,2,0)</f>
        <v>#N/A</v>
      </c>
      <c r="Z347" t="e">
        <f>C347&amp;X347&amp;Y347</f>
        <v>#N/A</v>
      </c>
      <c r="AA347" t="e">
        <f>VLOOKUP($Z347,'oddspedia-matches'!$A:$AD,AA$2,0)</f>
        <v>#N/A</v>
      </c>
      <c r="AB347" t="e">
        <f>VLOOKUP($Z347,'oddspedia-matches'!$A:$AD,AB$2,0)</f>
        <v>#N/A</v>
      </c>
      <c r="AC347" t="e">
        <f>VLOOKUP($Z347,'oddspedia-matches'!$A:$AD,AC$2,0)</f>
        <v>#N/A</v>
      </c>
      <c r="AD347" t="e">
        <f>VLOOKUP($Z347,'oddspedia-matches'!$A:$AD,AD$2,0)</f>
        <v>#N/A</v>
      </c>
      <c r="AE347" t="e">
        <f>VLOOKUP($Z347,'oddspedia-matches'!$A:$AD,AE$2,0)</f>
        <v>#N/A</v>
      </c>
      <c r="AF347" t="e">
        <f>VLOOKUP($Z347,'oddspedia-matches'!$A:$AD,AF$2,0)</f>
        <v>#N/A</v>
      </c>
      <c r="AG347" t="e">
        <f>VLOOKUP($Z347,'oddspedia-matches'!$A:$AD,AG$2,0)</f>
        <v>#N/A</v>
      </c>
      <c r="AH347" t="e">
        <f>VLOOKUP($Z347,'oddspedia-matches'!$A:$AD,AH$2,0)</f>
        <v>#N/A</v>
      </c>
      <c r="AI347" t="e">
        <f>VLOOKUP($Z347,'oddspedia-matches'!$A:$AD,AI$2,0)</f>
        <v>#N/A</v>
      </c>
      <c r="AJ347" t="e">
        <f>VLOOKUP($Z347,'oddspedia-matches'!$A:$AD,AJ$2,0)</f>
        <v>#N/A</v>
      </c>
      <c r="AK347" t="e">
        <f>VLOOKUP($Z347,'oddspedia-matches'!$A:$AD,AK$2,0)</f>
        <v>#N/A</v>
      </c>
      <c r="AL347" t="e">
        <f>VLOOKUP($Z347,'oddspedia-matches'!$A:$AD,AL$2,0)</f>
        <v>#N/A</v>
      </c>
      <c r="AM347" t="e">
        <f>VLOOKUP($Z347,'oddspedia-matches'!$A:$AD,AM$2,0)</f>
        <v>#N/A</v>
      </c>
      <c r="AN347" t="e">
        <f>VLOOKUP($Z347,'oddspedia-matches'!$A:$AD,AN$2,0)</f>
        <v>#N/A</v>
      </c>
      <c r="AO347" t="e">
        <f>VLOOKUP($Z347,'oddspedia-matches'!$A:$AD,AO$2,0)</f>
        <v>#N/A</v>
      </c>
      <c r="AP347" t="e">
        <f>VLOOKUP($Z347,'oddspedia-matches'!$A:$AD,AP$2,0)</f>
        <v>#N/A</v>
      </c>
      <c r="AQ347" t="e">
        <f>VLOOKUP($Z347,'oddspedia-matches'!$A:$AD,AQ$2,0)</f>
        <v>#N/A</v>
      </c>
    </row>
    <row r="348" spans="2:43" x14ac:dyDescent="0.2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>
        <f>VLOOKUP(E348,'Transform table'!A:B,2,0)</f>
        <v>0</v>
      </c>
      <c r="Y348" t="e">
        <f>VLOOKUP(F348,'Transform table'!A:B,2,0)</f>
        <v>#N/A</v>
      </c>
      <c r="Z348" t="e">
        <f>C348&amp;X348&amp;Y348</f>
        <v>#N/A</v>
      </c>
      <c r="AA348" t="e">
        <f>VLOOKUP($Z348,'oddspedia-matches'!$A:$AD,AA$2,0)</f>
        <v>#N/A</v>
      </c>
      <c r="AB348" t="e">
        <f>VLOOKUP($Z348,'oddspedia-matches'!$A:$AD,AB$2,0)</f>
        <v>#N/A</v>
      </c>
      <c r="AC348" t="e">
        <f>VLOOKUP($Z348,'oddspedia-matches'!$A:$AD,AC$2,0)</f>
        <v>#N/A</v>
      </c>
      <c r="AD348" t="e">
        <f>VLOOKUP($Z348,'oddspedia-matches'!$A:$AD,AD$2,0)</f>
        <v>#N/A</v>
      </c>
      <c r="AE348" t="e">
        <f>VLOOKUP($Z348,'oddspedia-matches'!$A:$AD,AE$2,0)</f>
        <v>#N/A</v>
      </c>
      <c r="AF348" t="e">
        <f>VLOOKUP($Z348,'oddspedia-matches'!$A:$AD,AF$2,0)</f>
        <v>#N/A</v>
      </c>
      <c r="AG348" t="e">
        <f>VLOOKUP($Z348,'oddspedia-matches'!$A:$AD,AG$2,0)</f>
        <v>#N/A</v>
      </c>
      <c r="AH348" t="e">
        <f>VLOOKUP($Z348,'oddspedia-matches'!$A:$AD,AH$2,0)</f>
        <v>#N/A</v>
      </c>
      <c r="AI348" t="e">
        <f>VLOOKUP($Z348,'oddspedia-matches'!$A:$AD,AI$2,0)</f>
        <v>#N/A</v>
      </c>
      <c r="AJ348" t="e">
        <f>VLOOKUP($Z348,'oddspedia-matches'!$A:$AD,AJ$2,0)</f>
        <v>#N/A</v>
      </c>
      <c r="AK348" t="e">
        <f>VLOOKUP($Z348,'oddspedia-matches'!$A:$AD,AK$2,0)</f>
        <v>#N/A</v>
      </c>
      <c r="AL348" t="e">
        <f>VLOOKUP($Z348,'oddspedia-matches'!$A:$AD,AL$2,0)</f>
        <v>#N/A</v>
      </c>
      <c r="AM348" t="e">
        <f>VLOOKUP($Z348,'oddspedia-matches'!$A:$AD,AM$2,0)</f>
        <v>#N/A</v>
      </c>
      <c r="AN348" t="e">
        <f>VLOOKUP($Z348,'oddspedia-matches'!$A:$AD,AN$2,0)</f>
        <v>#N/A</v>
      </c>
      <c r="AO348" t="e">
        <f>VLOOKUP($Z348,'oddspedia-matches'!$A:$AD,AO$2,0)</f>
        <v>#N/A</v>
      </c>
      <c r="AP348" t="e">
        <f>VLOOKUP($Z348,'oddspedia-matches'!$A:$AD,AP$2,0)</f>
        <v>#N/A</v>
      </c>
      <c r="AQ348" t="e">
        <f>VLOOKUP($Z348,'oddspedia-matches'!$A:$AD,AQ$2,0)</f>
        <v>#N/A</v>
      </c>
    </row>
    <row r="349" spans="2:43" x14ac:dyDescent="0.2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Zira IK</v>
      </c>
      <c r="Y349" t="e">
        <f>VLOOKUP(F349,'Transform table'!A:B,2,0)</f>
        <v>#N/A</v>
      </c>
      <c r="Z349" t="e">
        <f>C349&amp;X349&amp;Y349</f>
        <v>#N/A</v>
      </c>
      <c r="AA349" t="e">
        <f>VLOOKUP($Z349,'oddspedia-matches'!$A:$AD,AA$2,0)</f>
        <v>#N/A</v>
      </c>
      <c r="AB349" t="e">
        <f>VLOOKUP($Z349,'oddspedia-matches'!$A:$AD,AB$2,0)</f>
        <v>#N/A</v>
      </c>
      <c r="AC349" t="e">
        <f>VLOOKUP($Z349,'oddspedia-matches'!$A:$AD,AC$2,0)</f>
        <v>#N/A</v>
      </c>
      <c r="AD349" t="e">
        <f>VLOOKUP($Z349,'oddspedia-matches'!$A:$AD,AD$2,0)</f>
        <v>#N/A</v>
      </c>
      <c r="AE349" t="e">
        <f>VLOOKUP($Z349,'oddspedia-matches'!$A:$AD,AE$2,0)</f>
        <v>#N/A</v>
      </c>
      <c r="AF349" t="e">
        <f>VLOOKUP($Z349,'oddspedia-matches'!$A:$AD,AF$2,0)</f>
        <v>#N/A</v>
      </c>
      <c r="AG349" t="e">
        <f>VLOOKUP($Z349,'oddspedia-matches'!$A:$AD,AG$2,0)</f>
        <v>#N/A</v>
      </c>
      <c r="AH349" t="e">
        <f>VLOOKUP($Z349,'oddspedia-matches'!$A:$AD,AH$2,0)</f>
        <v>#N/A</v>
      </c>
      <c r="AI349" t="e">
        <f>VLOOKUP($Z349,'oddspedia-matches'!$A:$AD,AI$2,0)</f>
        <v>#N/A</v>
      </c>
      <c r="AJ349" t="e">
        <f>VLOOKUP($Z349,'oddspedia-matches'!$A:$AD,AJ$2,0)</f>
        <v>#N/A</v>
      </c>
      <c r="AK349" t="e">
        <f>VLOOKUP($Z349,'oddspedia-matches'!$A:$AD,AK$2,0)</f>
        <v>#N/A</v>
      </c>
      <c r="AL349" t="e">
        <f>VLOOKUP($Z349,'oddspedia-matches'!$A:$AD,AL$2,0)</f>
        <v>#N/A</v>
      </c>
      <c r="AM349" t="e">
        <f>VLOOKUP($Z349,'oddspedia-matches'!$A:$AD,AM$2,0)</f>
        <v>#N/A</v>
      </c>
      <c r="AN349" t="e">
        <f>VLOOKUP($Z349,'oddspedia-matches'!$A:$AD,AN$2,0)</f>
        <v>#N/A</v>
      </c>
      <c r="AO349" t="e">
        <f>VLOOKUP($Z349,'oddspedia-matches'!$A:$AD,AO$2,0)</f>
        <v>#N/A</v>
      </c>
      <c r="AP349" t="e">
        <f>VLOOKUP($Z349,'oddspedia-matches'!$A:$AD,AP$2,0)</f>
        <v>#N/A</v>
      </c>
      <c r="AQ349" t="e">
        <f>VLOOKUP($Z349,'oddspedia-matches'!$A:$AD,AQ$2,0)</f>
        <v>#N/A</v>
      </c>
    </row>
    <row r="350" spans="2:43" x14ac:dyDescent="0.2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e">
        <f>VLOOKUP(F350,'Transform table'!A:B,2,0)</f>
        <v>#N/A</v>
      </c>
      <c r="Z350" t="e">
        <f>C350&amp;X350&amp;Y350</f>
        <v>#N/A</v>
      </c>
      <c r="AA350" t="e">
        <f>VLOOKUP($Z350,'oddspedia-matches'!$A:$AD,AA$2,0)</f>
        <v>#N/A</v>
      </c>
      <c r="AB350" t="e">
        <f>VLOOKUP($Z350,'oddspedia-matches'!$A:$AD,AB$2,0)</f>
        <v>#N/A</v>
      </c>
      <c r="AC350" t="e">
        <f>VLOOKUP($Z350,'oddspedia-matches'!$A:$AD,AC$2,0)</f>
        <v>#N/A</v>
      </c>
      <c r="AD350" t="e">
        <f>VLOOKUP($Z350,'oddspedia-matches'!$A:$AD,AD$2,0)</f>
        <v>#N/A</v>
      </c>
      <c r="AE350" t="e">
        <f>VLOOKUP($Z350,'oddspedia-matches'!$A:$AD,AE$2,0)</f>
        <v>#N/A</v>
      </c>
      <c r="AF350" t="e">
        <f>VLOOKUP($Z350,'oddspedia-matches'!$A:$AD,AF$2,0)</f>
        <v>#N/A</v>
      </c>
      <c r="AG350" t="e">
        <f>VLOOKUP($Z350,'oddspedia-matches'!$A:$AD,AG$2,0)</f>
        <v>#N/A</v>
      </c>
      <c r="AH350" t="e">
        <f>VLOOKUP($Z350,'oddspedia-matches'!$A:$AD,AH$2,0)</f>
        <v>#N/A</v>
      </c>
      <c r="AI350" t="e">
        <f>VLOOKUP($Z350,'oddspedia-matches'!$A:$AD,AI$2,0)</f>
        <v>#N/A</v>
      </c>
      <c r="AJ350" t="e">
        <f>VLOOKUP($Z350,'oddspedia-matches'!$A:$AD,AJ$2,0)</f>
        <v>#N/A</v>
      </c>
      <c r="AK350" t="e">
        <f>VLOOKUP($Z350,'oddspedia-matches'!$A:$AD,AK$2,0)</f>
        <v>#N/A</v>
      </c>
      <c r="AL350" t="e">
        <f>VLOOKUP($Z350,'oddspedia-matches'!$A:$AD,AL$2,0)</f>
        <v>#N/A</v>
      </c>
      <c r="AM350" t="e">
        <f>VLOOKUP($Z350,'oddspedia-matches'!$A:$AD,AM$2,0)</f>
        <v>#N/A</v>
      </c>
      <c r="AN350" t="e">
        <f>VLOOKUP($Z350,'oddspedia-matches'!$A:$AD,AN$2,0)</f>
        <v>#N/A</v>
      </c>
      <c r="AO350" t="e">
        <f>VLOOKUP($Z350,'oddspedia-matches'!$A:$AD,AO$2,0)</f>
        <v>#N/A</v>
      </c>
      <c r="AP350" t="e">
        <f>VLOOKUP($Z350,'oddspedia-matches'!$A:$AD,AP$2,0)</f>
        <v>#N/A</v>
      </c>
      <c r="AQ350" t="e">
        <f>VLOOKUP($Z350,'oddspedia-matches'!$A:$AD,AQ$2,0)</f>
        <v>#N/A</v>
      </c>
    </row>
    <row r="351" spans="2:43" x14ac:dyDescent="0.2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>
        <f>VLOOKUP(E351,'Transform table'!A:B,2,0)</f>
        <v>0</v>
      </c>
      <c r="Y351" t="e">
        <f>VLOOKUP(F351,'Transform table'!A:B,2,0)</f>
        <v>#N/A</v>
      </c>
      <c r="Z351" t="e">
        <f>C351&amp;X351&amp;Y351</f>
        <v>#N/A</v>
      </c>
      <c r="AA351" t="e">
        <f>VLOOKUP($Z351,'oddspedia-matches'!$A:$AD,AA$2,0)</f>
        <v>#N/A</v>
      </c>
      <c r="AB351" t="e">
        <f>VLOOKUP($Z351,'oddspedia-matches'!$A:$AD,AB$2,0)</f>
        <v>#N/A</v>
      </c>
      <c r="AC351" t="e">
        <f>VLOOKUP($Z351,'oddspedia-matches'!$A:$AD,AC$2,0)</f>
        <v>#N/A</v>
      </c>
      <c r="AD351" t="e">
        <f>VLOOKUP($Z351,'oddspedia-matches'!$A:$AD,AD$2,0)</f>
        <v>#N/A</v>
      </c>
      <c r="AE351" t="e">
        <f>VLOOKUP($Z351,'oddspedia-matches'!$A:$AD,AE$2,0)</f>
        <v>#N/A</v>
      </c>
      <c r="AF351" t="e">
        <f>VLOOKUP($Z351,'oddspedia-matches'!$A:$AD,AF$2,0)</f>
        <v>#N/A</v>
      </c>
      <c r="AG351" t="e">
        <f>VLOOKUP($Z351,'oddspedia-matches'!$A:$AD,AG$2,0)</f>
        <v>#N/A</v>
      </c>
      <c r="AH351" t="e">
        <f>VLOOKUP($Z351,'oddspedia-matches'!$A:$AD,AH$2,0)</f>
        <v>#N/A</v>
      </c>
      <c r="AI351" t="e">
        <f>VLOOKUP($Z351,'oddspedia-matches'!$A:$AD,AI$2,0)</f>
        <v>#N/A</v>
      </c>
      <c r="AJ351" t="e">
        <f>VLOOKUP($Z351,'oddspedia-matches'!$A:$AD,AJ$2,0)</f>
        <v>#N/A</v>
      </c>
      <c r="AK351" t="e">
        <f>VLOOKUP($Z351,'oddspedia-matches'!$A:$AD,AK$2,0)</f>
        <v>#N/A</v>
      </c>
      <c r="AL351" t="e">
        <f>VLOOKUP($Z351,'oddspedia-matches'!$A:$AD,AL$2,0)</f>
        <v>#N/A</v>
      </c>
      <c r="AM351" t="e">
        <f>VLOOKUP($Z351,'oddspedia-matches'!$A:$AD,AM$2,0)</f>
        <v>#N/A</v>
      </c>
      <c r="AN351" t="e">
        <f>VLOOKUP($Z351,'oddspedia-matches'!$A:$AD,AN$2,0)</f>
        <v>#N/A</v>
      </c>
      <c r="AO351" t="e">
        <f>VLOOKUP($Z351,'oddspedia-matches'!$A:$AD,AO$2,0)</f>
        <v>#N/A</v>
      </c>
      <c r="AP351" t="e">
        <f>VLOOKUP($Z351,'oddspedia-matches'!$A:$AD,AP$2,0)</f>
        <v>#N/A</v>
      </c>
      <c r="AQ351" t="e">
        <f>VLOOKUP($Z351,'oddspedia-matches'!$A:$AD,AQ$2,0)</f>
        <v>#N/A</v>
      </c>
    </row>
    <row r="352" spans="2:43" x14ac:dyDescent="0.2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>C352&amp;X352&amp;Y352</f>
        <v>26/07/2026IlvesFC Lahti</v>
      </c>
      <c r="AA352" t="e">
        <f>VLOOKUP($Z352,'oddspedia-matches'!$A:$AD,AA$2,0)</f>
        <v>#N/A</v>
      </c>
      <c r="AB352" t="e">
        <f>VLOOKUP($Z352,'oddspedia-matches'!$A:$AD,AB$2,0)</f>
        <v>#N/A</v>
      </c>
      <c r="AC352" t="e">
        <f>VLOOKUP($Z352,'oddspedia-matches'!$A:$AD,AC$2,0)</f>
        <v>#N/A</v>
      </c>
      <c r="AD352" t="e">
        <f>VLOOKUP($Z352,'oddspedia-matches'!$A:$AD,AD$2,0)</f>
        <v>#N/A</v>
      </c>
      <c r="AE352" t="e">
        <f>VLOOKUP($Z352,'oddspedia-matches'!$A:$AD,AE$2,0)</f>
        <v>#N/A</v>
      </c>
      <c r="AF352" t="e">
        <f>VLOOKUP($Z352,'oddspedia-matches'!$A:$AD,AF$2,0)</f>
        <v>#N/A</v>
      </c>
      <c r="AG352" t="e">
        <f>VLOOKUP($Z352,'oddspedia-matches'!$A:$AD,AG$2,0)</f>
        <v>#N/A</v>
      </c>
      <c r="AH352" t="e">
        <f>VLOOKUP($Z352,'oddspedia-matches'!$A:$AD,AH$2,0)</f>
        <v>#N/A</v>
      </c>
      <c r="AI352" t="e">
        <f>VLOOKUP($Z352,'oddspedia-matches'!$A:$AD,AI$2,0)</f>
        <v>#N/A</v>
      </c>
      <c r="AJ352" t="e">
        <f>VLOOKUP($Z352,'oddspedia-matches'!$A:$AD,AJ$2,0)</f>
        <v>#N/A</v>
      </c>
      <c r="AK352" t="e">
        <f>VLOOKUP($Z352,'oddspedia-matches'!$A:$AD,AK$2,0)</f>
        <v>#N/A</v>
      </c>
      <c r="AL352" t="e">
        <f>VLOOKUP($Z352,'oddspedia-matches'!$A:$AD,AL$2,0)</f>
        <v>#N/A</v>
      </c>
      <c r="AM352" t="e">
        <f>VLOOKUP($Z352,'oddspedia-matches'!$A:$AD,AM$2,0)</f>
        <v>#N/A</v>
      </c>
      <c r="AN352" t="e">
        <f>VLOOKUP($Z352,'oddspedia-matches'!$A:$AD,AN$2,0)</f>
        <v>#N/A</v>
      </c>
      <c r="AO352" t="e">
        <f>VLOOKUP($Z352,'oddspedia-matches'!$A:$AD,AO$2,0)</f>
        <v>#N/A</v>
      </c>
      <c r="AP352" t="e">
        <f>VLOOKUP($Z352,'oddspedia-matches'!$A:$AD,AP$2,0)</f>
        <v>#N/A</v>
      </c>
      <c r="AQ352" t="e">
        <f>VLOOKUP($Z352,'oddspedia-matches'!$A:$AD,AQ$2,0)</f>
        <v>#N/A</v>
      </c>
    </row>
    <row r="353" spans="2:43" x14ac:dyDescent="0.2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e">
        <f>VLOOKUP(F353,'Transform table'!A:B,2,0)</f>
        <v>#N/A</v>
      </c>
      <c r="Z353" t="e">
        <f>C353&amp;X353&amp;Y353</f>
        <v>#N/A</v>
      </c>
      <c r="AA353" t="e">
        <f>VLOOKUP($Z353,'oddspedia-matches'!$A:$AD,AA$2,0)</f>
        <v>#N/A</v>
      </c>
      <c r="AB353" t="e">
        <f>VLOOKUP($Z353,'oddspedia-matches'!$A:$AD,AB$2,0)</f>
        <v>#N/A</v>
      </c>
      <c r="AC353" t="e">
        <f>VLOOKUP($Z353,'oddspedia-matches'!$A:$AD,AC$2,0)</f>
        <v>#N/A</v>
      </c>
      <c r="AD353" t="e">
        <f>VLOOKUP($Z353,'oddspedia-matches'!$A:$AD,AD$2,0)</f>
        <v>#N/A</v>
      </c>
      <c r="AE353" t="e">
        <f>VLOOKUP($Z353,'oddspedia-matches'!$A:$AD,AE$2,0)</f>
        <v>#N/A</v>
      </c>
      <c r="AF353" t="e">
        <f>VLOOKUP($Z353,'oddspedia-matches'!$A:$AD,AF$2,0)</f>
        <v>#N/A</v>
      </c>
      <c r="AG353" t="e">
        <f>VLOOKUP($Z353,'oddspedia-matches'!$A:$AD,AG$2,0)</f>
        <v>#N/A</v>
      </c>
      <c r="AH353" t="e">
        <f>VLOOKUP($Z353,'oddspedia-matches'!$A:$AD,AH$2,0)</f>
        <v>#N/A</v>
      </c>
      <c r="AI353" t="e">
        <f>VLOOKUP($Z353,'oddspedia-matches'!$A:$AD,AI$2,0)</f>
        <v>#N/A</v>
      </c>
      <c r="AJ353" t="e">
        <f>VLOOKUP($Z353,'oddspedia-matches'!$A:$AD,AJ$2,0)</f>
        <v>#N/A</v>
      </c>
      <c r="AK353" t="e">
        <f>VLOOKUP($Z353,'oddspedia-matches'!$A:$AD,AK$2,0)</f>
        <v>#N/A</v>
      </c>
      <c r="AL353" t="e">
        <f>VLOOKUP($Z353,'oddspedia-matches'!$A:$AD,AL$2,0)</f>
        <v>#N/A</v>
      </c>
      <c r="AM353" t="e">
        <f>VLOOKUP($Z353,'oddspedia-matches'!$A:$AD,AM$2,0)</f>
        <v>#N/A</v>
      </c>
      <c r="AN353" t="e">
        <f>VLOOKUP($Z353,'oddspedia-matches'!$A:$AD,AN$2,0)</f>
        <v>#N/A</v>
      </c>
      <c r="AO353" t="e">
        <f>VLOOKUP($Z353,'oddspedia-matches'!$A:$AD,AO$2,0)</f>
        <v>#N/A</v>
      </c>
      <c r="AP353" t="e">
        <f>VLOOKUP($Z353,'oddspedia-matches'!$A:$AD,AP$2,0)</f>
        <v>#N/A</v>
      </c>
      <c r="AQ353" t="e">
        <f>VLOOKUP($Z353,'oddspedia-matches'!$A:$AD,AQ$2,0)</f>
        <v>#N/A</v>
      </c>
    </row>
    <row r="354" spans="2:43" x14ac:dyDescent="0.2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e">
        <f>VLOOKUP(F354,'Transform table'!A:B,2,0)</f>
        <v>#N/A</v>
      </c>
      <c r="Z354" t="e">
        <f>C354&amp;X354&amp;Y354</f>
        <v>#N/A</v>
      </c>
      <c r="AA354" t="e">
        <f>VLOOKUP($Z354,'oddspedia-matches'!$A:$AD,AA$2,0)</f>
        <v>#N/A</v>
      </c>
      <c r="AB354" t="e">
        <f>VLOOKUP($Z354,'oddspedia-matches'!$A:$AD,AB$2,0)</f>
        <v>#N/A</v>
      </c>
      <c r="AC354" t="e">
        <f>VLOOKUP($Z354,'oddspedia-matches'!$A:$AD,AC$2,0)</f>
        <v>#N/A</v>
      </c>
      <c r="AD354" t="e">
        <f>VLOOKUP($Z354,'oddspedia-matches'!$A:$AD,AD$2,0)</f>
        <v>#N/A</v>
      </c>
      <c r="AE354" t="e">
        <f>VLOOKUP($Z354,'oddspedia-matches'!$A:$AD,AE$2,0)</f>
        <v>#N/A</v>
      </c>
      <c r="AF354" t="e">
        <f>VLOOKUP($Z354,'oddspedia-matches'!$A:$AD,AF$2,0)</f>
        <v>#N/A</v>
      </c>
      <c r="AG354" t="e">
        <f>VLOOKUP($Z354,'oddspedia-matches'!$A:$AD,AG$2,0)</f>
        <v>#N/A</v>
      </c>
      <c r="AH354" t="e">
        <f>VLOOKUP($Z354,'oddspedia-matches'!$A:$AD,AH$2,0)</f>
        <v>#N/A</v>
      </c>
      <c r="AI354" t="e">
        <f>VLOOKUP($Z354,'oddspedia-matches'!$A:$AD,AI$2,0)</f>
        <v>#N/A</v>
      </c>
      <c r="AJ354" t="e">
        <f>VLOOKUP($Z354,'oddspedia-matches'!$A:$AD,AJ$2,0)</f>
        <v>#N/A</v>
      </c>
      <c r="AK354" t="e">
        <f>VLOOKUP($Z354,'oddspedia-matches'!$A:$AD,AK$2,0)</f>
        <v>#N/A</v>
      </c>
      <c r="AL354" t="e">
        <f>VLOOKUP($Z354,'oddspedia-matches'!$A:$AD,AL$2,0)</f>
        <v>#N/A</v>
      </c>
      <c r="AM354" t="e">
        <f>VLOOKUP($Z354,'oddspedia-matches'!$A:$AD,AM$2,0)</f>
        <v>#N/A</v>
      </c>
      <c r="AN354" t="e">
        <f>VLOOKUP($Z354,'oddspedia-matches'!$A:$AD,AN$2,0)</f>
        <v>#N/A</v>
      </c>
      <c r="AO354" t="e">
        <f>VLOOKUP($Z354,'oddspedia-matches'!$A:$AD,AO$2,0)</f>
        <v>#N/A</v>
      </c>
      <c r="AP354" t="e">
        <f>VLOOKUP($Z354,'oddspedia-matches'!$A:$AD,AP$2,0)</f>
        <v>#N/A</v>
      </c>
      <c r="AQ354" t="e">
        <f>VLOOKUP($Z354,'oddspedia-matches'!$A:$AD,AQ$2,0)</f>
        <v>#N/A</v>
      </c>
    </row>
    <row r="355" spans="2:43" x14ac:dyDescent="0.2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VMFD Zalgiris</v>
      </c>
      <c r="Y355" t="e">
        <f>VLOOKUP(F355,'Transform table'!A:B,2,0)</f>
        <v>#N/A</v>
      </c>
      <c r="Z355" t="e">
        <f>C355&amp;X355&amp;Y355</f>
        <v>#N/A</v>
      </c>
      <c r="AA355" t="e">
        <f>VLOOKUP($Z355,'oddspedia-matches'!$A:$AD,AA$2,0)</f>
        <v>#N/A</v>
      </c>
      <c r="AB355" t="e">
        <f>VLOOKUP($Z355,'oddspedia-matches'!$A:$AD,AB$2,0)</f>
        <v>#N/A</v>
      </c>
      <c r="AC355" t="e">
        <f>VLOOKUP($Z355,'oddspedia-matches'!$A:$AD,AC$2,0)</f>
        <v>#N/A</v>
      </c>
      <c r="AD355" t="e">
        <f>VLOOKUP($Z355,'oddspedia-matches'!$A:$AD,AD$2,0)</f>
        <v>#N/A</v>
      </c>
      <c r="AE355" t="e">
        <f>VLOOKUP($Z355,'oddspedia-matches'!$A:$AD,AE$2,0)</f>
        <v>#N/A</v>
      </c>
      <c r="AF355" t="e">
        <f>VLOOKUP($Z355,'oddspedia-matches'!$A:$AD,AF$2,0)</f>
        <v>#N/A</v>
      </c>
      <c r="AG355" t="e">
        <f>VLOOKUP($Z355,'oddspedia-matches'!$A:$AD,AG$2,0)</f>
        <v>#N/A</v>
      </c>
      <c r="AH355" t="e">
        <f>VLOOKUP($Z355,'oddspedia-matches'!$A:$AD,AH$2,0)</f>
        <v>#N/A</v>
      </c>
      <c r="AI355" t="e">
        <f>VLOOKUP($Z355,'oddspedia-matches'!$A:$AD,AI$2,0)</f>
        <v>#N/A</v>
      </c>
      <c r="AJ355" t="e">
        <f>VLOOKUP($Z355,'oddspedia-matches'!$A:$AD,AJ$2,0)</f>
        <v>#N/A</v>
      </c>
      <c r="AK355" t="e">
        <f>VLOOKUP($Z355,'oddspedia-matches'!$A:$AD,AK$2,0)</f>
        <v>#N/A</v>
      </c>
      <c r="AL355" t="e">
        <f>VLOOKUP($Z355,'oddspedia-matches'!$A:$AD,AL$2,0)</f>
        <v>#N/A</v>
      </c>
      <c r="AM355" t="e">
        <f>VLOOKUP($Z355,'oddspedia-matches'!$A:$AD,AM$2,0)</f>
        <v>#N/A</v>
      </c>
      <c r="AN355" t="e">
        <f>VLOOKUP($Z355,'oddspedia-matches'!$A:$AD,AN$2,0)</f>
        <v>#N/A</v>
      </c>
      <c r="AO355" t="e">
        <f>VLOOKUP($Z355,'oddspedia-matches'!$A:$AD,AO$2,0)</f>
        <v>#N/A</v>
      </c>
      <c r="AP355" t="e">
        <f>VLOOKUP($Z355,'oddspedia-matches'!$A:$AD,AP$2,0)</f>
        <v>#N/A</v>
      </c>
      <c r="AQ355" t="e">
        <f>VLOOKUP($Z355,'oddspedia-matches'!$A:$AD,AQ$2,0)</f>
        <v>#N/A</v>
      </c>
    </row>
    <row r="356" spans="2:43" x14ac:dyDescent="0.2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FC Ufa</v>
      </c>
      <c r="Y356" t="e">
        <f>VLOOKUP(F356,'Transform table'!A:B,2,0)</f>
        <v>#N/A</v>
      </c>
      <c r="Z356" t="e">
        <f>C356&amp;X356&amp;Y356</f>
        <v>#N/A</v>
      </c>
      <c r="AA356" t="e">
        <f>VLOOKUP($Z356,'oddspedia-matches'!$A:$AD,AA$2,0)</f>
        <v>#N/A</v>
      </c>
      <c r="AB356" t="e">
        <f>VLOOKUP($Z356,'oddspedia-matches'!$A:$AD,AB$2,0)</f>
        <v>#N/A</v>
      </c>
      <c r="AC356" t="e">
        <f>VLOOKUP($Z356,'oddspedia-matches'!$A:$AD,AC$2,0)</f>
        <v>#N/A</v>
      </c>
      <c r="AD356" t="e">
        <f>VLOOKUP($Z356,'oddspedia-matches'!$A:$AD,AD$2,0)</f>
        <v>#N/A</v>
      </c>
      <c r="AE356" t="e">
        <f>VLOOKUP($Z356,'oddspedia-matches'!$A:$AD,AE$2,0)</f>
        <v>#N/A</v>
      </c>
      <c r="AF356" t="e">
        <f>VLOOKUP($Z356,'oddspedia-matches'!$A:$AD,AF$2,0)</f>
        <v>#N/A</v>
      </c>
      <c r="AG356" t="e">
        <f>VLOOKUP($Z356,'oddspedia-matches'!$A:$AD,AG$2,0)</f>
        <v>#N/A</v>
      </c>
      <c r="AH356" t="e">
        <f>VLOOKUP($Z356,'oddspedia-matches'!$A:$AD,AH$2,0)</f>
        <v>#N/A</v>
      </c>
      <c r="AI356" t="e">
        <f>VLOOKUP($Z356,'oddspedia-matches'!$A:$AD,AI$2,0)</f>
        <v>#N/A</v>
      </c>
      <c r="AJ356" t="e">
        <f>VLOOKUP($Z356,'oddspedia-matches'!$A:$AD,AJ$2,0)</f>
        <v>#N/A</v>
      </c>
      <c r="AK356" t="e">
        <f>VLOOKUP($Z356,'oddspedia-matches'!$A:$AD,AK$2,0)</f>
        <v>#N/A</v>
      </c>
      <c r="AL356" t="e">
        <f>VLOOKUP($Z356,'oddspedia-matches'!$A:$AD,AL$2,0)</f>
        <v>#N/A</v>
      </c>
      <c r="AM356" t="e">
        <f>VLOOKUP($Z356,'oddspedia-matches'!$A:$AD,AM$2,0)</f>
        <v>#N/A</v>
      </c>
      <c r="AN356" t="e">
        <f>VLOOKUP($Z356,'oddspedia-matches'!$A:$AD,AN$2,0)</f>
        <v>#N/A</v>
      </c>
      <c r="AO356" t="e">
        <f>VLOOKUP($Z356,'oddspedia-matches'!$A:$AD,AO$2,0)</f>
        <v>#N/A</v>
      </c>
      <c r="AP356" t="e">
        <f>VLOOKUP($Z356,'oddspedia-matches'!$A:$AD,AP$2,0)</f>
        <v>#N/A</v>
      </c>
      <c r="AQ356" t="e">
        <f>VLOOKUP($Z356,'oddspedia-matches'!$A:$AD,AQ$2,0)</f>
        <v>#N/A</v>
      </c>
    </row>
    <row r="357" spans="2:43" x14ac:dyDescent="0.2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 U19</v>
      </c>
      <c r="Y357" t="e">
        <f>VLOOKUP(F357,'Transform table'!A:B,2,0)</f>
        <v>#N/A</v>
      </c>
      <c r="Z357" t="e">
        <f>C357&amp;X357&amp;Y357</f>
        <v>#N/A</v>
      </c>
      <c r="AA357" t="e">
        <f>VLOOKUP($Z357,'oddspedia-matches'!$A:$AD,AA$2,0)</f>
        <v>#N/A</v>
      </c>
      <c r="AB357" t="e">
        <f>VLOOKUP($Z357,'oddspedia-matches'!$A:$AD,AB$2,0)</f>
        <v>#N/A</v>
      </c>
      <c r="AC357" t="e">
        <f>VLOOKUP($Z357,'oddspedia-matches'!$A:$AD,AC$2,0)</f>
        <v>#N/A</v>
      </c>
      <c r="AD357" t="e">
        <f>VLOOKUP($Z357,'oddspedia-matches'!$A:$AD,AD$2,0)</f>
        <v>#N/A</v>
      </c>
      <c r="AE357" t="e">
        <f>VLOOKUP($Z357,'oddspedia-matches'!$A:$AD,AE$2,0)</f>
        <v>#N/A</v>
      </c>
      <c r="AF357" t="e">
        <f>VLOOKUP($Z357,'oddspedia-matches'!$A:$AD,AF$2,0)</f>
        <v>#N/A</v>
      </c>
      <c r="AG357" t="e">
        <f>VLOOKUP($Z357,'oddspedia-matches'!$A:$AD,AG$2,0)</f>
        <v>#N/A</v>
      </c>
      <c r="AH357" t="e">
        <f>VLOOKUP($Z357,'oddspedia-matches'!$A:$AD,AH$2,0)</f>
        <v>#N/A</v>
      </c>
      <c r="AI357" t="e">
        <f>VLOOKUP($Z357,'oddspedia-matches'!$A:$AD,AI$2,0)</f>
        <v>#N/A</v>
      </c>
      <c r="AJ357" t="e">
        <f>VLOOKUP($Z357,'oddspedia-matches'!$A:$AD,AJ$2,0)</f>
        <v>#N/A</v>
      </c>
      <c r="AK357" t="e">
        <f>VLOOKUP($Z357,'oddspedia-matches'!$A:$AD,AK$2,0)</f>
        <v>#N/A</v>
      </c>
      <c r="AL357" t="e">
        <f>VLOOKUP($Z357,'oddspedia-matches'!$A:$AD,AL$2,0)</f>
        <v>#N/A</v>
      </c>
      <c r="AM357" t="e">
        <f>VLOOKUP($Z357,'oddspedia-matches'!$A:$AD,AM$2,0)</f>
        <v>#N/A</v>
      </c>
      <c r="AN357" t="e">
        <f>VLOOKUP($Z357,'oddspedia-matches'!$A:$AD,AN$2,0)</f>
        <v>#N/A</v>
      </c>
      <c r="AO357" t="e">
        <f>VLOOKUP($Z357,'oddspedia-matches'!$A:$AD,AO$2,0)</f>
        <v>#N/A</v>
      </c>
      <c r="AP357" t="e">
        <f>VLOOKUP($Z357,'oddspedia-matches'!$A:$AD,AP$2,0)</f>
        <v>#N/A</v>
      </c>
      <c r="AQ357" t="e">
        <f>VLOOKUP($Z357,'oddspedia-matches'!$A:$AD,AQ$2,0)</f>
        <v>#N/A</v>
      </c>
    </row>
    <row r="358" spans="2:43" x14ac:dyDescent="0.2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Sirnitz</v>
      </c>
      <c r="Y358" t="e">
        <f>VLOOKUP(F358,'Transform table'!A:B,2,0)</f>
        <v>#N/A</v>
      </c>
      <c r="Z358" t="e">
        <f>C358&amp;X358&amp;Y358</f>
        <v>#N/A</v>
      </c>
      <c r="AA358" t="e">
        <f>VLOOKUP($Z358,'oddspedia-matches'!$A:$AD,AA$2,0)</f>
        <v>#N/A</v>
      </c>
      <c r="AB358" t="e">
        <f>VLOOKUP($Z358,'oddspedia-matches'!$A:$AD,AB$2,0)</f>
        <v>#N/A</v>
      </c>
      <c r="AC358" t="e">
        <f>VLOOKUP($Z358,'oddspedia-matches'!$A:$AD,AC$2,0)</f>
        <v>#N/A</v>
      </c>
      <c r="AD358" t="e">
        <f>VLOOKUP($Z358,'oddspedia-matches'!$A:$AD,AD$2,0)</f>
        <v>#N/A</v>
      </c>
      <c r="AE358" t="e">
        <f>VLOOKUP($Z358,'oddspedia-matches'!$A:$AD,AE$2,0)</f>
        <v>#N/A</v>
      </c>
      <c r="AF358" t="e">
        <f>VLOOKUP($Z358,'oddspedia-matches'!$A:$AD,AF$2,0)</f>
        <v>#N/A</v>
      </c>
      <c r="AG358" t="e">
        <f>VLOOKUP($Z358,'oddspedia-matches'!$A:$AD,AG$2,0)</f>
        <v>#N/A</v>
      </c>
      <c r="AH358" t="e">
        <f>VLOOKUP($Z358,'oddspedia-matches'!$A:$AD,AH$2,0)</f>
        <v>#N/A</v>
      </c>
      <c r="AI358" t="e">
        <f>VLOOKUP($Z358,'oddspedia-matches'!$A:$AD,AI$2,0)</f>
        <v>#N/A</v>
      </c>
      <c r="AJ358" t="e">
        <f>VLOOKUP($Z358,'oddspedia-matches'!$A:$AD,AJ$2,0)</f>
        <v>#N/A</v>
      </c>
      <c r="AK358" t="e">
        <f>VLOOKUP($Z358,'oddspedia-matches'!$A:$AD,AK$2,0)</f>
        <v>#N/A</v>
      </c>
      <c r="AL358" t="e">
        <f>VLOOKUP($Z358,'oddspedia-matches'!$A:$AD,AL$2,0)</f>
        <v>#N/A</v>
      </c>
      <c r="AM358" t="e">
        <f>VLOOKUP($Z358,'oddspedia-matches'!$A:$AD,AM$2,0)</f>
        <v>#N/A</v>
      </c>
      <c r="AN358" t="e">
        <f>VLOOKUP($Z358,'oddspedia-matches'!$A:$AD,AN$2,0)</f>
        <v>#N/A</v>
      </c>
      <c r="AO358" t="e">
        <f>VLOOKUP($Z358,'oddspedia-matches'!$A:$AD,AO$2,0)</f>
        <v>#N/A</v>
      </c>
      <c r="AP358" t="e">
        <f>VLOOKUP($Z358,'oddspedia-matches'!$A:$AD,AP$2,0)</f>
        <v>#N/A</v>
      </c>
      <c r="AQ358" t="e">
        <f>VLOOKUP($Z358,'oddspedia-matches'!$A:$AD,AQ$2,0)</f>
        <v>#N/A</v>
      </c>
    </row>
    <row r="359" spans="2:43" x14ac:dyDescent="0.2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>
        <f>VLOOKUP(E359,'Transform table'!A:B,2,0)</f>
        <v>0</v>
      </c>
      <c r="Y359" t="e">
        <f>VLOOKUP(F359,'Transform table'!A:B,2,0)</f>
        <v>#N/A</v>
      </c>
      <c r="Z359" t="e">
        <f>C359&amp;X359&amp;Y359</f>
        <v>#N/A</v>
      </c>
      <c r="AA359" t="e">
        <f>VLOOKUP($Z359,'oddspedia-matches'!$A:$AD,AA$2,0)</f>
        <v>#N/A</v>
      </c>
      <c r="AB359" t="e">
        <f>VLOOKUP($Z359,'oddspedia-matches'!$A:$AD,AB$2,0)</f>
        <v>#N/A</v>
      </c>
      <c r="AC359" t="e">
        <f>VLOOKUP($Z359,'oddspedia-matches'!$A:$AD,AC$2,0)</f>
        <v>#N/A</v>
      </c>
      <c r="AD359" t="e">
        <f>VLOOKUP($Z359,'oddspedia-matches'!$A:$AD,AD$2,0)</f>
        <v>#N/A</v>
      </c>
      <c r="AE359" t="e">
        <f>VLOOKUP($Z359,'oddspedia-matches'!$A:$AD,AE$2,0)</f>
        <v>#N/A</v>
      </c>
      <c r="AF359" t="e">
        <f>VLOOKUP($Z359,'oddspedia-matches'!$A:$AD,AF$2,0)</f>
        <v>#N/A</v>
      </c>
      <c r="AG359" t="e">
        <f>VLOOKUP($Z359,'oddspedia-matches'!$A:$AD,AG$2,0)</f>
        <v>#N/A</v>
      </c>
      <c r="AH359" t="e">
        <f>VLOOKUP($Z359,'oddspedia-matches'!$A:$AD,AH$2,0)</f>
        <v>#N/A</v>
      </c>
      <c r="AI359" t="e">
        <f>VLOOKUP($Z359,'oddspedia-matches'!$A:$AD,AI$2,0)</f>
        <v>#N/A</v>
      </c>
      <c r="AJ359" t="e">
        <f>VLOOKUP($Z359,'oddspedia-matches'!$A:$AD,AJ$2,0)</f>
        <v>#N/A</v>
      </c>
      <c r="AK359" t="e">
        <f>VLOOKUP($Z359,'oddspedia-matches'!$A:$AD,AK$2,0)</f>
        <v>#N/A</v>
      </c>
      <c r="AL359" t="e">
        <f>VLOOKUP($Z359,'oddspedia-matches'!$A:$AD,AL$2,0)</f>
        <v>#N/A</v>
      </c>
      <c r="AM359" t="e">
        <f>VLOOKUP($Z359,'oddspedia-matches'!$A:$AD,AM$2,0)</f>
        <v>#N/A</v>
      </c>
      <c r="AN359" t="e">
        <f>VLOOKUP($Z359,'oddspedia-matches'!$A:$AD,AN$2,0)</f>
        <v>#N/A</v>
      </c>
      <c r="AO359" t="e">
        <f>VLOOKUP($Z359,'oddspedia-matches'!$A:$AD,AO$2,0)</f>
        <v>#N/A</v>
      </c>
      <c r="AP359" t="e">
        <f>VLOOKUP($Z359,'oddspedia-matches'!$A:$AD,AP$2,0)</f>
        <v>#N/A</v>
      </c>
      <c r="AQ359" t="e">
        <f>VLOOKUP($Z359,'oddspedia-matches'!$A:$AD,AQ$2,0)</f>
        <v>#N/A</v>
      </c>
    </row>
    <row r="360" spans="2:43" x14ac:dyDescent="0.2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>
        <f>VLOOKUP(E360,'Transform table'!A:B,2,0)</f>
        <v>0</v>
      </c>
      <c r="Y360" t="e">
        <f>VLOOKUP(F360,'Transform table'!A:B,2,0)</f>
        <v>#N/A</v>
      </c>
      <c r="Z360" t="e">
        <f>C360&amp;X360&amp;Y360</f>
        <v>#N/A</v>
      </c>
      <c r="AA360" t="e">
        <f>VLOOKUP($Z360,'oddspedia-matches'!$A:$AD,AA$2,0)</f>
        <v>#N/A</v>
      </c>
      <c r="AB360" t="e">
        <f>VLOOKUP($Z360,'oddspedia-matches'!$A:$AD,AB$2,0)</f>
        <v>#N/A</v>
      </c>
      <c r="AC360" t="e">
        <f>VLOOKUP($Z360,'oddspedia-matches'!$A:$AD,AC$2,0)</f>
        <v>#N/A</v>
      </c>
      <c r="AD360" t="e">
        <f>VLOOKUP($Z360,'oddspedia-matches'!$A:$AD,AD$2,0)</f>
        <v>#N/A</v>
      </c>
      <c r="AE360" t="e">
        <f>VLOOKUP($Z360,'oddspedia-matches'!$A:$AD,AE$2,0)</f>
        <v>#N/A</v>
      </c>
      <c r="AF360" t="e">
        <f>VLOOKUP($Z360,'oddspedia-matches'!$A:$AD,AF$2,0)</f>
        <v>#N/A</v>
      </c>
      <c r="AG360" t="e">
        <f>VLOOKUP($Z360,'oddspedia-matches'!$A:$AD,AG$2,0)</f>
        <v>#N/A</v>
      </c>
      <c r="AH360" t="e">
        <f>VLOOKUP($Z360,'oddspedia-matches'!$A:$AD,AH$2,0)</f>
        <v>#N/A</v>
      </c>
      <c r="AI360" t="e">
        <f>VLOOKUP($Z360,'oddspedia-matches'!$A:$AD,AI$2,0)</f>
        <v>#N/A</v>
      </c>
      <c r="AJ360" t="e">
        <f>VLOOKUP($Z360,'oddspedia-matches'!$A:$AD,AJ$2,0)</f>
        <v>#N/A</v>
      </c>
      <c r="AK360" t="e">
        <f>VLOOKUP($Z360,'oddspedia-matches'!$A:$AD,AK$2,0)</f>
        <v>#N/A</v>
      </c>
      <c r="AL360" t="e">
        <f>VLOOKUP($Z360,'oddspedia-matches'!$A:$AD,AL$2,0)</f>
        <v>#N/A</v>
      </c>
      <c r="AM360" t="e">
        <f>VLOOKUP($Z360,'oddspedia-matches'!$A:$AD,AM$2,0)</f>
        <v>#N/A</v>
      </c>
      <c r="AN360" t="e">
        <f>VLOOKUP($Z360,'oddspedia-matches'!$A:$AD,AN$2,0)</f>
        <v>#N/A</v>
      </c>
      <c r="AO360" t="e">
        <f>VLOOKUP($Z360,'oddspedia-matches'!$A:$AD,AO$2,0)</f>
        <v>#N/A</v>
      </c>
      <c r="AP360" t="e">
        <f>VLOOKUP($Z360,'oddspedia-matches'!$A:$AD,AP$2,0)</f>
        <v>#N/A</v>
      </c>
      <c r="AQ360" t="e">
        <f>VLOOKUP($Z360,'oddspedia-matches'!$A:$AD,AQ$2,0)</f>
        <v>#N/A</v>
      </c>
    </row>
    <row r="361" spans="2:43" x14ac:dyDescent="0.2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>
        <f>VLOOKUP(E361,'Transform table'!A:B,2,0)</f>
        <v>0</v>
      </c>
      <c r="Y361" t="e">
        <f>VLOOKUP(F361,'Transform table'!A:B,2,0)</f>
        <v>#N/A</v>
      </c>
      <c r="Z361" t="e">
        <f>C361&amp;X361&amp;Y361</f>
        <v>#N/A</v>
      </c>
      <c r="AA361" t="e">
        <f>VLOOKUP($Z361,'oddspedia-matches'!$A:$AD,AA$2,0)</f>
        <v>#N/A</v>
      </c>
      <c r="AB361" t="e">
        <f>VLOOKUP($Z361,'oddspedia-matches'!$A:$AD,AB$2,0)</f>
        <v>#N/A</v>
      </c>
      <c r="AC361" t="e">
        <f>VLOOKUP($Z361,'oddspedia-matches'!$A:$AD,AC$2,0)</f>
        <v>#N/A</v>
      </c>
      <c r="AD361" t="e">
        <f>VLOOKUP($Z361,'oddspedia-matches'!$A:$AD,AD$2,0)</f>
        <v>#N/A</v>
      </c>
      <c r="AE361" t="e">
        <f>VLOOKUP($Z361,'oddspedia-matches'!$A:$AD,AE$2,0)</f>
        <v>#N/A</v>
      </c>
      <c r="AF361" t="e">
        <f>VLOOKUP($Z361,'oddspedia-matches'!$A:$AD,AF$2,0)</f>
        <v>#N/A</v>
      </c>
      <c r="AG361" t="e">
        <f>VLOOKUP($Z361,'oddspedia-matches'!$A:$AD,AG$2,0)</f>
        <v>#N/A</v>
      </c>
      <c r="AH361" t="e">
        <f>VLOOKUP($Z361,'oddspedia-matches'!$A:$AD,AH$2,0)</f>
        <v>#N/A</v>
      </c>
      <c r="AI361" t="e">
        <f>VLOOKUP($Z361,'oddspedia-matches'!$A:$AD,AI$2,0)</f>
        <v>#N/A</v>
      </c>
      <c r="AJ361" t="e">
        <f>VLOOKUP($Z361,'oddspedia-matches'!$A:$AD,AJ$2,0)</f>
        <v>#N/A</v>
      </c>
      <c r="AK361" t="e">
        <f>VLOOKUP($Z361,'oddspedia-matches'!$A:$AD,AK$2,0)</f>
        <v>#N/A</v>
      </c>
      <c r="AL361" t="e">
        <f>VLOOKUP($Z361,'oddspedia-matches'!$A:$AD,AL$2,0)</f>
        <v>#N/A</v>
      </c>
      <c r="AM361" t="e">
        <f>VLOOKUP($Z361,'oddspedia-matches'!$A:$AD,AM$2,0)</f>
        <v>#N/A</v>
      </c>
      <c r="AN361" t="e">
        <f>VLOOKUP($Z361,'oddspedia-matches'!$A:$AD,AN$2,0)</f>
        <v>#N/A</v>
      </c>
      <c r="AO361" t="e">
        <f>VLOOKUP($Z361,'oddspedia-matches'!$A:$AD,AO$2,0)</f>
        <v>#N/A</v>
      </c>
      <c r="AP361" t="e">
        <f>VLOOKUP($Z361,'oddspedia-matches'!$A:$AD,AP$2,0)</f>
        <v>#N/A</v>
      </c>
      <c r="AQ361" t="e">
        <f>VLOOKUP($Z361,'oddspedia-matches'!$A:$AD,AQ$2,0)</f>
        <v>#N/A</v>
      </c>
    </row>
    <row r="362" spans="2:43" x14ac:dyDescent="0.2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e">
        <f>VLOOKUP(F362,'Transform table'!A:B,2,0)</f>
        <v>#N/A</v>
      </c>
      <c r="Z362" t="e">
        <f>C362&amp;X362&amp;Y362</f>
        <v>#N/A</v>
      </c>
      <c r="AA362" t="e">
        <f>VLOOKUP($Z362,'oddspedia-matches'!$A:$AD,AA$2,0)</f>
        <v>#N/A</v>
      </c>
      <c r="AB362" t="e">
        <f>VLOOKUP($Z362,'oddspedia-matches'!$A:$AD,AB$2,0)</f>
        <v>#N/A</v>
      </c>
      <c r="AC362" t="e">
        <f>VLOOKUP($Z362,'oddspedia-matches'!$A:$AD,AC$2,0)</f>
        <v>#N/A</v>
      </c>
      <c r="AD362" t="e">
        <f>VLOOKUP($Z362,'oddspedia-matches'!$A:$AD,AD$2,0)</f>
        <v>#N/A</v>
      </c>
      <c r="AE362" t="e">
        <f>VLOOKUP($Z362,'oddspedia-matches'!$A:$AD,AE$2,0)</f>
        <v>#N/A</v>
      </c>
      <c r="AF362" t="e">
        <f>VLOOKUP($Z362,'oddspedia-matches'!$A:$AD,AF$2,0)</f>
        <v>#N/A</v>
      </c>
      <c r="AG362" t="e">
        <f>VLOOKUP($Z362,'oddspedia-matches'!$A:$AD,AG$2,0)</f>
        <v>#N/A</v>
      </c>
      <c r="AH362" t="e">
        <f>VLOOKUP($Z362,'oddspedia-matches'!$A:$AD,AH$2,0)</f>
        <v>#N/A</v>
      </c>
      <c r="AI362" t="e">
        <f>VLOOKUP($Z362,'oddspedia-matches'!$A:$AD,AI$2,0)</f>
        <v>#N/A</v>
      </c>
      <c r="AJ362" t="e">
        <f>VLOOKUP($Z362,'oddspedia-matches'!$A:$AD,AJ$2,0)</f>
        <v>#N/A</v>
      </c>
      <c r="AK362" t="e">
        <f>VLOOKUP($Z362,'oddspedia-matches'!$A:$AD,AK$2,0)</f>
        <v>#N/A</v>
      </c>
      <c r="AL362" t="e">
        <f>VLOOKUP($Z362,'oddspedia-matches'!$A:$AD,AL$2,0)</f>
        <v>#N/A</v>
      </c>
      <c r="AM362" t="e">
        <f>VLOOKUP($Z362,'oddspedia-matches'!$A:$AD,AM$2,0)</f>
        <v>#N/A</v>
      </c>
      <c r="AN362" t="e">
        <f>VLOOKUP($Z362,'oddspedia-matches'!$A:$AD,AN$2,0)</f>
        <v>#N/A</v>
      </c>
      <c r="AO362" t="e">
        <f>VLOOKUP($Z362,'oddspedia-matches'!$A:$AD,AO$2,0)</f>
        <v>#N/A</v>
      </c>
      <c r="AP362" t="e">
        <f>VLOOKUP($Z362,'oddspedia-matches'!$A:$AD,AP$2,0)</f>
        <v>#N/A</v>
      </c>
      <c r="AQ362" t="e">
        <f>VLOOKUP($Z362,'oddspedia-matches'!$A:$AD,AQ$2,0)</f>
        <v>#N/A</v>
      </c>
    </row>
    <row r="363" spans="2:43" x14ac:dyDescent="0.2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e">
        <f>VLOOKUP(F363,'Transform table'!A:B,2,0)</f>
        <v>#N/A</v>
      </c>
      <c r="Z363" t="e">
        <f>C363&amp;X363&amp;Y363</f>
        <v>#N/A</v>
      </c>
      <c r="AA363" t="e">
        <f>VLOOKUP($Z363,'oddspedia-matches'!$A:$AD,AA$2,0)</f>
        <v>#N/A</v>
      </c>
      <c r="AB363" t="e">
        <f>VLOOKUP($Z363,'oddspedia-matches'!$A:$AD,AB$2,0)</f>
        <v>#N/A</v>
      </c>
      <c r="AC363" t="e">
        <f>VLOOKUP($Z363,'oddspedia-matches'!$A:$AD,AC$2,0)</f>
        <v>#N/A</v>
      </c>
      <c r="AD363" t="e">
        <f>VLOOKUP($Z363,'oddspedia-matches'!$A:$AD,AD$2,0)</f>
        <v>#N/A</v>
      </c>
      <c r="AE363" t="e">
        <f>VLOOKUP($Z363,'oddspedia-matches'!$A:$AD,AE$2,0)</f>
        <v>#N/A</v>
      </c>
      <c r="AF363" t="e">
        <f>VLOOKUP($Z363,'oddspedia-matches'!$A:$AD,AF$2,0)</f>
        <v>#N/A</v>
      </c>
      <c r="AG363" t="e">
        <f>VLOOKUP($Z363,'oddspedia-matches'!$A:$AD,AG$2,0)</f>
        <v>#N/A</v>
      </c>
      <c r="AH363" t="e">
        <f>VLOOKUP($Z363,'oddspedia-matches'!$A:$AD,AH$2,0)</f>
        <v>#N/A</v>
      </c>
      <c r="AI363" t="e">
        <f>VLOOKUP($Z363,'oddspedia-matches'!$A:$AD,AI$2,0)</f>
        <v>#N/A</v>
      </c>
      <c r="AJ363" t="e">
        <f>VLOOKUP($Z363,'oddspedia-matches'!$A:$AD,AJ$2,0)</f>
        <v>#N/A</v>
      </c>
      <c r="AK363" t="e">
        <f>VLOOKUP($Z363,'oddspedia-matches'!$A:$AD,AK$2,0)</f>
        <v>#N/A</v>
      </c>
      <c r="AL363" t="e">
        <f>VLOOKUP($Z363,'oddspedia-matches'!$A:$AD,AL$2,0)</f>
        <v>#N/A</v>
      </c>
      <c r="AM363" t="e">
        <f>VLOOKUP($Z363,'oddspedia-matches'!$A:$AD,AM$2,0)</f>
        <v>#N/A</v>
      </c>
      <c r="AN363" t="e">
        <f>VLOOKUP($Z363,'oddspedia-matches'!$A:$AD,AN$2,0)</f>
        <v>#N/A</v>
      </c>
      <c r="AO363" t="e">
        <f>VLOOKUP($Z363,'oddspedia-matches'!$A:$AD,AO$2,0)</f>
        <v>#N/A</v>
      </c>
      <c r="AP363" t="e">
        <f>VLOOKUP($Z363,'oddspedia-matches'!$A:$AD,AP$2,0)</f>
        <v>#N/A</v>
      </c>
      <c r="AQ363" t="e">
        <f>VLOOKUP($Z363,'oddspedia-matches'!$A:$AD,AQ$2,0)</f>
        <v>#N/A</v>
      </c>
    </row>
    <row r="364" spans="2:43" x14ac:dyDescent="0.2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>
        <f>VLOOKUP(E364,'Transform table'!A:B,2,0)</f>
        <v>0</v>
      </c>
      <c r="Y364" t="e">
        <f>VLOOKUP(F364,'Transform table'!A:B,2,0)</f>
        <v>#N/A</v>
      </c>
      <c r="Z364" t="e">
        <f>C364&amp;X364&amp;Y364</f>
        <v>#N/A</v>
      </c>
      <c r="AA364" t="e">
        <f>VLOOKUP($Z364,'oddspedia-matches'!$A:$AD,AA$2,0)</f>
        <v>#N/A</v>
      </c>
      <c r="AB364" t="e">
        <f>VLOOKUP($Z364,'oddspedia-matches'!$A:$AD,AB$2,0)</f>
        <v>#N/A</v>
      </c>
      <c r="AC364" t="e">
        <f>VLOOKUP($Z364,'oddspedia-matches'!$A:$AD,AC$2,0)</f>
        <v>#N/A</v>
      </c>
      <c r="AD364" t="e">
        <f>VLOOKUP($Z364,'oddspedia-matches'!$A:$AD,AD$2,0)</f>
        <v>#N/A</v>
      </c>
      <c r="AE364" t="e">
        <f>VLOOKUP($Z364,'oddspedia-matches'!$A:$AD,AE$2,0)</f>
        <v>#N/A</v>
      </c>
      <c r="AF364" t="e">
        <f>VLOOKUP($Z364,'oddspedia-matches'!$A:$AD,AF$2,0)</f>
        <v>#N/A</v>
      </c>
      <c r="AG364" t="e">
        <f>VLOOKUP($Z364,'oddspedia-matches'!$A:$AD,AG$2,0)</f>
        <v>#N/A</v>
      </c>
      <c r="AH364" t="e">
        <f>VLOOKUP($Z364,'oddspedia-matches'!$A:$AD,AH$2,0)</f>
        <v>#N/A</v>
      </c>
      <c r="AI364" t="e">
        <f>VLOOKUP($Z364,'oddspedia-matches'!$A:$AD,AI$2,0)</f>
        <v>#N/A</v>
      </c>
      <c r="AJ364" t="e">
        <f>VLOOKUP($Z364,'oddspedia-matches'!$A:$AD,AJ$2,0)</f>
        <v>#N/A</v>
      </c>
      <c r="AK364" t="e">
        <f>VLOOKUP($Z364,'oddspedia-matches'!$A:$AD,AK$2,0)</f>
        <v>#N/A</v>
      </c>
      <c r="AL364" t="e">
        <f>VLOOKUP($Z364,'oddspedia-matches'!$A:$AD,AL$2,0)</f>
        <v>#N/A</v>
      </c>
      <c r="AM364" t="e">
        <f>VLOOKUP($Z364,'oddspedia-matches'!$A:$AD,AM$2,0)</f>
        <v>#N/A</v>
      </c>
      <c r="AN364" t="e">
        <f>VLOOKUP($Z364,'oddspedia-matches'!$A:$AD,AN$2,0)</f>
        <v>#N/A</v>
      </c>
      <c r="AO364" t="e">
        <f>VLOOKUP($Z364,'oddspedia-matches'!$A:$AD,AO$2,0)</f>
        <v>#N/A</v>
      </c>
      <c r="AP364" t="e">
        <f>VLOOKUP($Z364,'oddspedia-matches'!$A:$AD,AP$2,0)</f>
        <v>#N/A</v>
      </c>
      <c r="AQ364" t="e">
        <f>VLOOKUP($Z364,'oddspedia-matches'!$A:$AD,AQ$2,0)</f>
        <v>#N/A</v>
      </c>
    </row>
    <row r="365" spans="2:43" x14ac:dyDescent="0.2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e">
        <f>VLOOKUP(F365,'Transform table'!A:B,2,0)</f>
        <v>#N/A</v>
      </c>
      <c r="Z365" t="e">
        <f>C365&amp;X365&amp;Y365</f>
        <v>#N/A</v>
      </c>
      <c r="AA365" t="e">
        <f>VLOOKUP($Z365,'oddspedia-matches'!$A:$AD,AA$2,0)</f>
        <v>#N/A</v>
      </c>
      <c r="AB365" t="e">
        <f>VLOOKUP($Z365,'oddspedia-matches'!$A:$AD,AB$2,0)</f>
        <v>#N/A</v>
      </c>
      <c r="AC365" t="e">
        <f>VLOOKUP($Z365,'oddspedia-matches'!$A:$AD,AC$2,0)</f>
        <v>#N/A</v>
      </c>
      <c r="AD365" t="e">
        <f>VLOOKUP($Z365,'oddspedia-matches'!$A:$AD,AD$2,0)</f>
        <v>#N/A</v>
      </c>
      <c r="AE365" t="e">
        <f>VLOOKUP($Z365,'oddspedia-matches'!$A:$AD,AE$2,0)</f>
        <v>#N/A</v>
      </c>
      <c r="AF365" t="e">
        <f>VLOOKUP($Z365,'oddspedia-matches'!$A:$AD,AF$2,0)</f>
        <v>#N/A</v>
      </c>
      <c r="AG365" t="e">
        <f>VLOOKUP($Z365,'oddspedia-matches'!$A:$AD,AG$2,0)</f>
        <v>#N/A</v>
      </c>
      <c r="AH365" t="e">
        <f>VLOOKUP($Z365,'oddspedia-matches'!$A:$AD,AH$2,0)</f>
        <v>#N/A</v>
      </c>
      <c r="AI365" t="e">
        <f>VLOOKUP($Z365,'oddspedia-matches'!$A:$AD,AI$2,0)</f>
        <v>#N/A</v>
      </c>
      <c r="AJ365" t="e">
        <f>VLOOKUP($Z365,'oddspedia-matches'!$A:$AD,AJ$2,0)</f>
        <v>#N/A</v>
      </c>
      <c r="AK365" t="e">
        <f>VLOOKUP($Z365,'oddspedia-matches'!$A:$AD,AK$2,0)</f>
        <v>#N/A</v>
      </c>
      <c r="AL365" t="e">
        <f>VLOOKUP($Z365,'oddspedia-matches'!$A:$AD,AL$2,0)</f>
        <v>#N/A</v>
      </c>
      <c r="AM365" t="e">
        <f>VLOOKUP($Z365,'oddspedia-matches'!$A:$AD,AM$2,0)</f>
        <v>#N/A</v>
      </c>
      <c r="AN365" t="e">
        <f>VLOOKUP($Z365,'oddspedia-matches'!$A:$AD,AN$2,0)</f>
        <v>#N/A</v>
      </c>
      <c r="AO365" t="e">
        <f>VLOOKUP($Z365,'oddspedia-matches'!$A:$AD,AO$2,0)</f>
        <v>#N/A</v>
      </c>
      <c r="AP365" t="e">
        <f>VLOOKUP($Z365,'oddspedia-matches'!$A:$AD,AP$2,0)</f>
        <v>#N/A</v>
      </c>
      <c r="AQ365" t="e">
        <f>VLOOKUP($Z365,'oddspedia-matches'!$A:$AD,AQ$2,0)</f>
        <v>#N/A</v>
      </c>
    </row>
    <row r="366" spans="2:43" x14ac:dyDescent="0.2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FC Helios Tartu</v>
      </c>
      <c r="Y366" t="e">
        <f>VLOOKUP(F366,'Transform table'!A:B,2,0)</f>
        <v>#N/A</v>
      </c>
      <c r="Z366" t="e">
        <f>C366&amp;X366&amp;Y366</f>
        <v>#N/A</v>
      </c>
      <c r="AA366" t="e">
        <f>VLOOKUP($Z366,'oddspedia-matches'!$A:$AD,AA$2,0)</f>
        <v>#N/A</v>
      </c>
      <c r="AB366" t="e">
        <f>VLOOKUP($Z366,'oddspedia-matches'!$A:$AD,AB$2,0)</f>
        <v>#N/A</v>
      </c>
      <c r="AC366" t="e">
        <f>VLOOKUP($Z366,'oddspedia-matches'!$A:$AD,AC$2,0)</f>
        <v>#N/A</v>
      </c>
      <c r="AD366" t="e">
        <f>VLOOKUP($Z366,'oddspedia-matches'!$A:$AD,AD$2,0)</f>
        <v>#N/A</v>
      </c>
      <c r="AE366" t="e">
        <f>VLOOKUP($Z366,'oddspedia-matches'!$A:$AD,AE$2,0)</f>
        <v>#N/A</v>
      </c>
      <c r="AF366" t="e">
        <f>VLOOKUP($Z366,'oddspedia-matches'!$A:$AD,AF$2,0)</f>
        <v>#N/A</v>
      </c>
      <c r="AG366" t="e">
        <f>VLOOKUP($Z366,'oddspedia-matches'!$A:$AD,AG$2,0)</f>
        <v>#N/A</v>
      </c>
      <c r="AH366" t="e">
        <f>VLOOKUP($Z366,'oddspedia-matches'!$A:$AD,AH$2,0)</f>
        <v>#N/A</v>
      </c>
      <c r="AI366" t="e">
        <f>VLOOKUP($Z366,'oddspedia-matches'!$A:$AD,AI$2,0)</f>
        <v>#N/A</v>
      </c>
      <c r="AJ366" t="e">
        <f>VLOOKUP($Z366,'oddspedia-matches'!$A:$AD,AJ$2,0)</f>
        <v>#N/A</v>
      </c>
      <c r="AK366" t="e">
        <f>VLOOKUP($Z366,'oddspedia-matches'!$A:$AD,AK$2,0)</f>
        <v>#N/A</v>
      </c>
      <c r="AL366" t="e">
        <f>VLOOKUP($Z366,'oddspedia-matches'!$A:$AD,AL$2,0)</f>
        <v>#N/A</v>
      </c>
      <c r="AM366" t="e">
        <f>VLOOKUP($Z366,'oddspedia-matches'!$A:$AD,AM$2,0)</f>
        <v>#N/A</v>
      </c>
      <c r="AN366" t="e">
        <f>VLOOKUP($Z366,'oddspedia-matches'!$A:$AD,AN$2,0)</f>
        <v>#N/A</v>
      </c>
      <c r="AO366" t="e">
        <f>VLOOKUP($Z366,'oddspedia-matches'!$A:$AD,AO$2,0)</f>
        <v>#N/A</v>
      </c>
      <c r="AP366" t="e">
        <f>VLOOKUP($Z366,'oddspedia-matches'!$A:$AD,AP$2,0)</f>
        <v>#N/A</v>
      </c>
      <c r="AQ366" t="e">
        <f>VLOOKUP($Z366,'oddspedia-matches'!$A:$AD,AQ$2,0)</f>
        <v>#N/A</v>
      </c>
    </row>
    <row r="367" spans="2:43" x14ac:dyDescent="0.2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>
        <f>VLOOKUP(E367,'Transform table'!A:B,2,0)</f>
        <v>0</v>
      </c>
      <c r="Y367" t="e">
        <f>VLOOKUP(F367,'Transform table'!A:B,2,0)</f>
        <v>#N/A</v>
      </c>
      <c r="Z367" t="e">
        <f>C367&amp;X367&amp;Y367</f>
        <v>#N/A</v>
      </c>
      <c r="AA367" t="e">
        <f>VLOOKUP($Z367,'oddspedia-matches'!$A:$AD,AA$2,0)</f>
        <v>#N/A</v>
      </c>
      <c r="AB367" t="e">
        <f>VLOOKUP($Z367,'oddspedia-matches'!$A:$AD,AB$2,0)</f>
        <v>#N/A</v>
      </c>
      <c r="AC367" t="e">
        <f>VLOOKUP($Z367,'oddspedia-matches'!$A:$AD,AC$2,0)</f>
        <v>#N/A</v>
      </c>
      <c r="AD367" t="e">
        <f>VLOOKUP($Z367,'oddspedia-matches'!$A:$AD,AD$2,0)</f>
        <v>#N/A</v>
      </c>
      <c r="AE367" t="e">
        <f>VLOOKUP($Z367,'oddspedia-matches'!$A:$AD,AE$2,0)</f>
        <v>#N/A</v>
      </c>
      <c r="AF367" t="e">
        <f>VLOOKUP($Z367,'oddspedia-matches'!$A:$AD,AF$2,0)</f>
        <v>#N/A</v>
      </c>
      <c r="AG367" t="e">
        <f>VLOOKUP($Z367,'oddspedia-matches'!$A:$AD,AG$2,0)</f>
        <v>#N/A</v>
      </c>
      <c r="AH367" t="e">
        <f>VLOOKUP($Z367,'oddspedia-matches'!$A:$AD,AH$2,0)</f>
        <v>#N/A</v>
      </c>
      <c r="AI367" t="e">
        <f>VLOOKUP($Z367,'oddspedia-matches'!$A:$AD,AI$2,0)</f>
        <v>#N/A</v>
      </c>
      <c r="AJ367" t="e">
        <f>VLOOKUP($Z367,'oddspedia-matches'!$A:$AD,AJ$2,0)</f>
        <v>#N/A</v>
      </c>
      <c r="AK367" t="e">
        <f>VLOOKUP($Z367,'oddspedia-matches'!$A:$AD,AK$2,0)</f>
        <v>#N/A</v>
      </c>
      <c r="AL367" t="e">
        <f>VLOOKUP($Z367,'oddspedia-matches'!$A:$AD,AL$2,0)</f>
        <v>#N/A</v>
      </c>
      <c r="AM367" t="e">
        <f>VLOOKUP($Z367,'oddspedia-matches'!$A:$AD,AM$2,0)</f>
        <v>#N/A</v>
      </c>
      <c r="AN367" t="e">
        <f>VLOOKUP($Z367,'oddspedia-matches'!$A:$AD,AN$2,0)</f>
        <v>#N/A</v>
      </c>
      <c r="AO367" t="e">
        <f>VLOOKUP($Z367,'oddspedia-matches'!$A:$AD,AO$2,0)</f>
        <v>#N/A</v>
      </c>
      <c r="AP367" t="e">
        <f>VLOOKUP($Z367,'oddspedia-matches'!$A:$AD,AP$2,0)</f>
        <v>#N/A</v>
      </c>
      <c r="AQ367" t="e">
        <f>VLOOKUP($Z367,'oddspedia-matches'!$A:$AD,AQ$2,0)</f>
        <v>#N/A</v>
      </c>
    </row>
    <row r="368" spans="2:43" x14ac:dyDescent="0.2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>Liversedge</v>
      </c>
      <c r="Y368" t="e">
        <f>VLOOKUP(F368,'Transform table'!A:B,2,0)</f>
        <v>#N/A</v>
      </c>
      <c r="Z368" t="e">
        <f>C368&amp;X368&amp;Y368</f>
        <v>#N/A</v>
      </c>
      <c r="AA368" t="e">
        <f>VLOOKUP($Z368,'oddspedia-matches'!$A:$AD,AA$2,0)</f>
        <v>#N/A</v>
      </c>
      <c r="AB368" t="e">
        <f>VLOOKUP($Z368,'oddspedia-matches'!$A:$AD,AB$2,0)</f>
        <v>#N/A</v>
      </c>
      <c r="AC368" t="e">
        <f>VLOOKUP($Z368,'oddspedia-matches'!$A:$AD,AC$2,0)</f>
        <v>#N/A</v>
      </c>
      <c r="AD368" t="e">
        <f>VLOOKUP($Z368,'oddspedia-matches'!$A:$AD,AD$2,0)</f>
        <v>#N/A</v>
      </c>
      <c r="AE368" t="e">
        <f>VLOOKUP($Z368,'oddspedia-matches'!$A:$AD,AE$2,0)</f>
        <v>#N/A</v>
      </c>
      <c r="AF368" t="e">
        <f>VLOOKUP($Z368,'oddspedia-matches'!$A:$AD,AF$2,0)</f>
        <v>#N/A</v>
      </c>
      <c r="AG368" t="e">
        <f>VLOOKUP($Z368,'oddspedia-matches'!$A:$AD,AG$2,0)</f>
        <v>#N/A</v>
      </c>
      <c r="AH368" t="e">
        <f>VLOOKUP($Z368,'oddspedia-matches'!$A:$AD,AH$2,0)</f>
        <v>#N/A</v>
      </c>
      <c r="AI368" t="e">
        <f>VLOOKUP($Z368,'oddspedia-matches'!$A:$AD,AI$2,0)</f>
        <v>#N/A</v>
      </c>
      <c r="AJ368" t="e">
        <f>VLOOKUP($Z368,'oddspedia-matches'!$A:$AD,AJ$2,0)</f>
        <v>#N/A</v>
      </c>
      <c r="AK368" t="e">
        <f>VLOOKUP($Z368,'oddspedia-matches'!$A:$AD,AK$2,0)</f>
        <v>#N/A</v>
      </c>
      <c r="AL368" t="e">
        <f>VLOOKUP($Z368,'oddspedia-matches'!$A:$AD,AL$2,0)</f>
        <v>#N/A</v>
      </c>
      <c r="AM368" t="e">
        <f>VLOOKUP($Z368,'oddspedia-matches'!$A:$AD,AM$2,0)</f>
        <v>#N/A</v>
      </c>
      <c r="AN368" t="e">
        <f>VLOOKUP($Z368,'oddspedia-matches'!$A:$AD,AN$2,0)</f>
        <v>#N/A</v>
      </c>
      <c r="AO368" t="e">
        <f>VLOOKUP($Z368,'oddspedia-matches'!$A:$AD,AO$2,0)</f>
        <v>#N/A</v>
      </c>
      <c r="AP368" t="e">
        <f>VLOOKUP($Z368,'oddspedia-matches'!$A:$AD,AP$2,0)</f>
        <v>#N/A</v>
      </c>
      <c r="AQ368" t="e">
        <f>VLOOKUP($Z368,'oddspedia-matches'!$A:$AD,AQ$2,0)</f>
        <v>#N/A</v>
      </c>
    </row>
    <row r="369" spans="2:43" x14ac:dyDescent="0.2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Vasco Da Gama RJ</v>
      </c>
      <c r="Y369" t="e">
        <f>VLOOKUP(F369,'Transform table'!A:B,2,0)</f>
        <v>#N/A</v>
      </c>
      <c r="Z369" t="e">
        <f>C369&amp;X369&amp;Y369</f>
        <v>#N/A</v>
      </c>
      <c r="AA369" t="e">
        <f>VLOOKUP($Z369,'oddspedia-matches'!$A:$AD,AA$2,0)</f>
        <v>#N/A</v>
      </c>
      <c r="AB369" t="e">
        <f>VLOOKUP($Z369,'oddspedia-matches'!$A:$AD,AB$2,0)</f>
        <v>#N/A</v>
      </c>
      <c r="AC369" t="e">
        <f>VLOOKUP($Z369,'oddspedia-matches'!$A:$AD,AC$2,0)</f>
        <v>#N/A</v>
      </c>
      <c r="AD369" t="e">
        <f>VLOOKUP($Z369,'oddspedia-matches'!$A:$AD,AD$2,0)</f>
        <v>#N/A</v>
      </c>
      <c r="AE369" t="e">
        <f>VLOOKUP($Z369,'oddspedia-matches'!$A:$AD,AE$2,0)</f>
        <v>#N/A</v>
      </c>
      <c r="AF369" t="e">
        <f>VLOOKUP($Z369,'oddspedia-matches'!$A:$AD,AF$2,0)</f>
        <v>#N/A</v>
      </c>
      <c r="AG369" t="e">
        <f>VLOOKUP($Z369,'oddspedia-matches'!$A:$AD,AG$2,0)</f>
        <v>#N/A</v>
      </c>
      <c r="AH369" t="e">
        <f>VLOOKUP($Z369,'oddspedia-matches'!$A:$AD,AH$2,0)</f>
        <v>#N/A</v>
      </c>
      <c r="AI369" t="e">
        <f>VLOOKUP($Z369,'oddspedia-matches'!$A:$AD,AI$2,0)</f>
        <v>#N/A</v>
      </c>
      <c r="AJ369" t="e">
        <f>VLOOKUP($Z369,'oddspedia-matches'!$A:$AD,AJ$2,0)</f>
        <v>#N/A</v>
      </c>
      <c r="AK369" t="e">
        <f>VLOOKUP($Z369,'oddspedia-matches'!$A:$AD,AK$2,0)</f>
        <v>#N/A</v>
      </c>
      <c r="AL369" t="e">
        <f>VLOOKUP($Z369,'oddspedia-matches'!$A:$AD,AL$2,0)</f>
        <v>#N/A</v>
      </c>
      <c r="AM369" t="e">
        <f>VLOOKUP($Z369,'oddspedia-matches'!$A:$AD,AM$2,0)</f>
        <v>#N/A</v>
      </c>
      <c r="AN369" t="e">
        <f>VLOOKUP($Z369,'oddspedia-matches'!$A:$AD,AN$2,0)</f>
        <v>#N/A</v>
      </c>
      <c r="AO369" t="e">
        <f>VLOOKUP($Z369,'oddspedia-matches'!$A:$AD,AO$2,0)</f>
        <v>#N/A</v>
      </c>
      <c r="AP369" t="e">
        <f>VLOOKUP($Z369,'oddspedia-matches'!$A:$AD,AP$2,0)</f>
        <v>#N/A</v>
      </c>
      <c r="AQ369" t="e">
        <f>VLOOKUP($Z369,'oddspedia-matches'!$A:$AD,AQ$2,0)</f>
        <v>#N/A</v>
      </c>
    </row>
    <row r="370" spans="2:43" x14ac:dyDescent="0.2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 U21</v>
      </c>
      <c r="Y370" t="e">
        <f>VLOOKUP(F370,'Transform table'!A:B,2,0)</f>
        <v>#N/A</v>
      </c>
      <c r="Z370" t="e">
        <f>C370&amp;X370&amp;Y370</f>
        <v>#N/A</v>
      </c>
      <c r="AA370" t="e">
        <f>VLOOKUP($Z370,'oddspedia-matches'!$A:$AD,AA$2,0)</f>
        <v>#N/A</v>
      </c>
      <c r="AB370" t="e">
        <f>VLOOKUP($Z370,'oddspedia-matches'!$A:$AD,AB$2,0)</f>
        <v>#N/A</v>
      </c>
      <c r="AC370" t="e">
        <f>VLOOKUP($Z370,'oddspedia-matches'!$A:$AD,AC$2,0)</f>
        <v>#N/A</v>
      </c>
      <c r="AD370" t="e">
        <f>VLOOKUP($Z370,'oddspedia-matches'!$A:$AD,AD$2,0)</f>
        <v>#N/A</v>
      </c>
      <c r="AE370" t="e">
        <f>VLOOKUP($Z370,'oddspedia-matches'!$A:$AD,AE$2,0)</f>
        <v>#N/A</v>
      </c>
      <c r="AF370" t="e">
        <f>VLOOKUP($Z370,'oddspedia-matches'!$A:$AD,AF$2,0)</f>
        <v>#N/A</v>
      </c>
      <c r="AG370" t="e">
        <f>VLOOKUP($Z370,'oddspedia-matches'!$A:$AD,AG$2,0)</f>
        <v>#N/A</v>
      </c>
      <c r="AH370" t="e">
        <f>VLOOKUP($Z370,'oddspedia-matches'!$A:$AD,AH$2,0)</f>
        <v>#N/A</v>
      </c>
      <c r="AI370" t="e">
        <f>VLOOKUP($Z370,'oddspedia-matches'!$A:$AD,AI$2,0)</f>
        <v>#N/A</v>
      </c>
      <c r="AJ370" t="e">
        <f>VLOOKUP($Z370,'oddspedia-matches'!$A:$AD,AJ$2,0)</f>
        <v>#N/A</v>
      </c>
      <c r="AK370" t="e">
        <f>VLOOKUP($Z370,'oddspedia-matches'!$A:$AD,AK$2,0)</f>
        <v>#N/A</v>
      </c>
      <c r="AL370" t="e">
        <f>VLOOKUP($Z370,'oddspedia-matches'!$A:$AD,AL$2,0)</f>
        <v>#N/A</v>
      </c>
      <c r="AM370" t="e">
        <f>VLOOKUP($Z370,'oddspedia-matches'!$A:$AD,AM$2,0)</f>
        <v>#N/A</v>
      </c>
      <c r="AN370" t="e">
        <f>VLOOKUP($Z370,'oddspedia-matches'!$A:$AD,AN$2,0)</f>
        <v>#N/A</v>
      </c>
      <c r="AO370" t="e">
        <f>VLOOKUP($Z370,'oddspedia-matches'!$A:$AD,AO$2,0)</f>
        <v>#N/A</v>
      </c>
      <c r="AP370" t="e">
        <f>VLOOKUP($Z370,'oddspedia-matches'!$A:$AD,AP$2,0)</f>
        <v>#N/A</v>
      </c>
      <c r="AQ370" t="e">
        <f>VLOOKUP($Z370,'oddspedia-matches'!$A:$AD,AQ$2,0)</f>
        <v>#N/A</v>
      </c>
    </row>
    <row r="371" spans="2:43" x14ac:dyDescent="0.2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e">
        <f>VLOOKUP(F371,'Transform table'!A:B,2,0)</f>
        <v>#N/A</v>
      </c>
      <c r="Z371" t="e">
        <f>C371&amp;X371&amp;Y371</f>
        <v>#N/A</v>
      </c>
      <c r="AA371" t="e">
        <f>VLOOKUP($Z371,'oddspedia-matches'!$A:$AD,AA$2,0)</f>
        <v>#N/A</v>
      </c>
      <c r="AB371" t="e">
        <f>VLOOKUP($Z371,'oddspedia-matches'!$A:$AD,AB$2,0)</f>
        <v>#N/A</v>
      </c>
      <c r="AC371" t="e">
        <f>VLOOKUP($Z371,'oddspedia-matches'!$A:$AD,AC$2,0)</f>
        <v>#N/A</v>
      </c>
      <c r="AD371" t="e">
        <f>VLOOKUP($Z371,'oddspedia-matches'!$A:$AD,AD$2,0)</f>
        <v>#N/A</v>
      </c>
      <c r="AE371" t="e">
        <f>VLOOKUP($Z371,'oddspedia-matches'!$A:$AD,AE$2,0)</f>
        <v>#N/A</v>
      </c>
      <c r="AF371" t="e">
        <f>VLOOKUP($Z371,'oddspedia-matches'!$A:$AD,AF$2,0)</f>
        <v>#N/A</v>
      </c>
      <c r="AG371" t="e">
        <f>VLOOKUP($Z371,'oddspedia-matches'!$A:$AD,AG$2,0)</f>
        <v>#N/A</v>
      </c>
      <c r="AH371" t="e">
        <f>VLOOKUP($Z371,'oddspedia-matches'!$A:$AD,AH$2,0)</f>
        <v>#N/A</v>
      </c>
      <c r="AI371" t="e">
        <f>VLOOKUP($Z371,'oddspedia-matches'!$A:$AD,AI$2,0)</f>
        <v>#N/A</v>
      </c>
      <c r="AJ371" t="e">
        <f>VLOOKUP($Z371,'oddspedia-matches'!$A:$AD,AJ$2,0)</f>
        <v>#N/A</v>
      </c>
      <c r="AK371" t="e">
        <f>VLOOKUP($Z371,'oddspedia-matches'!$A:$AD,AK$2,0)</f>
        <v>#N/A</v>
      </c>
      <c r="AL371" t="e">
        <f>VLOOKUP($Z371,'oddspedia-matches'!$A:$AD,AL$2,0)</f>
        <v>#N/A</v>
      </c>
      <c r="AM371" t="e">
        <f>VLOOKUP($Z371,'oddspedia-matches'!$A:$AD,AM$2,0)</f>
        <v>#N/A</v>
      </c>
      <c r="AN371" t="e">
        <f>VLOOKUP($Z371,'oddspedia-matches'!$A:$AD,AN$2,0)</f>
        <v>#N/A</v>
      </c>
      <c r="AO371" t="e">
        <f>VLOOKUP($Z371,'oddspedia-matches'!$A:$AD,AO$2,0)</f>
        <v>#N/A</v>
      </c>
      <c r="AP371" t="e">
        <f>VLOOKUP($Z371,'oddspedia-matches'!$A:$AD,AP$2,0)</f>
        <v>#N/A</v>
      </c>
      <c r="AQ371" t="e">
        <f>VLOOKUP($Z371,'oddspedia-matches'!$A:$AD,AQ$2,0)</f>
        <v>#N/A</v>
      </c>
    </row>
    <row r="372" spans="2:43" x14ac:dyDescent="0.2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e">
        <f>VLOOKUP(F372,'Transform table'!A:B,2,0)</f>
        <v>#N/A</v>
      </c>
      <c r="Z372" t="e">
        <f>C372&amp;X372&amp;Y372</f>
        <v>#N/A</v>
      </c>
      <c r="AA372" t="e">
        <f>VLOOKUP($Z372,'oddspedia-matches'!$A:$AD,AA$2,0)</f>
        <v>#N/A</v>
      </c>
      <c r="AB372" t="e">
        <f>VLOOKUP($Z372,'oddspedia-matches'!$A:$AD,AB$2,0)</f>
        <v>#N/A</v>
      </c>
      <c r="AC372" t="e">
        <f>VLOOKUP($Z372,'oddspedia-matches'!$A:$AD,AC$2,0)</f>
        <v>#N/A</v>
      </c>
      <c r="AD372" t="e">
        <f>VLOOKUP($Z372,'oddspedia-matches'!$A:$AD,AD$2,0)</f>
        <v>#N/A</v>
      </c>
      <c r="AE372" t="e">
        <f>VLOOKUP($Z372,'oddspedia-matches'!$A:$AD,AE$2,0)</f>
        <v>#N/A</v>
      </c>
      <c r="AF372" t="e">
        <f>VLOOKUP($Z372,'oddspedia-matches'!$A:$AD,AF$2,0)</f>
        <v>#N/A</v>
      </c>
      <c r="AG372" t="e">
        <f>VLOOKUP($Z372,'oddspedia-matches'!$A:$AD,AG$2,0)</f>
        <v>#N/A</v>
      </c>
      <c r="AH372" t="e">
        <f>VLOOKUP($Z372,'oddspedia-matches'!$A:$AD,AH$2,0)</f>
        <v>#N/A</v>
      </c>
      <c r="AI372" t="e">
        <f>VLOOKUP($Z372,'oddspedia-matches'!$A:$AD,AI$2,0)</f>
        <v>#N/A</v>
      </c>
      <c r="AJ372" t="e">
        <f>VLOOKUP($Z372,'oddspedia-matches'!$A:$AD,AJ$2,0)</f>
        <v>#N/A</v>
      </c>
      <c r="AK372" t="e">
        <f>VLOOKUP($Z372,'oddspedia-matches'!$A:$AD,AK$2,0)</f>
        <v>#N/A</v>
      </c>
      <c r="AL372" t="e">
        <f>VLOOKUP($Z372,'oddspedia-matches'!$A:$AD,AL$2,0)</f>
        <v>#N/A</v>
      </c>
      <c r="AM372" t="e">
        <f>VLOOKUP($Z372,'oddspedia-matches'!$A:$AD,AM$2,0)</f>
        <v>#N/A</v>
      </c>
      <c r="AN372" t="e">
        <f>VLOOKUP($Z372,'oddspedia-matches'!$A:$AD,AN$2,0)</f>
        <v>#N/A</v>
      </c>
      <c r="AO372" t="e">
        <f>VLOOKUP($Z372,'oddspedia-matches'!$A:$AD,AO$2,0)</f>
        <v>#N/A</v>
      </c>
      <c r="AP372" t="e">
        <f>VLOOKUP($Z372,'oddspedia-matches'!$A:$AD,AP$2,0)</f>
        <v>#N/A</v>
      </c>
      <c r="AQ372" t="e">
        <f>VLOOKUP($Z372,'oddspedia-matches'!$A:$AD,AQ$2,0)</f>
        <v>#N/A</v>
      </c>
    </row>
    <row r="373" spans="2:43" x14ac:dyDescent="0.2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e">
        <f>VLOOKUP(F373,'Transform table'!A:B,2,0)</f>
        <v>#N/A</v>
      </c>
      <c r="Z373" t="e">
        <f>C373&amp;X373&amp;Y373</f>
        <v>#N/A</v>
      </c>
      <c r="AA373" t="e">
        <f>VLOOKUP($Z373,'oddspedia-matches'!$A:$AD,AA$2,0)</f>
        <v>#N/A</v>
      </c>
      <c r="AB373" t="e">
        <f>VLOOKUP($Z373,'oddspedia-matches'!$A:$AD,AB$2,0)</f>
        <v>#N/A</v>
      </c>
      <c r="AC373" t="e">
        <f>VLOOKUP($Z373,'oddspedia-matches'!$A:$AD,AC$2,0)</f>
        <v>#N/A</v>
      </c>
      <c r="AD373" t="e">
        <f>VLOOKUP($Z373,'oddspedia-matches'!$A:$AD,AD$2,0)</f>
        <v>#N/A</v>
      </c>
      <c r="AE373" t="e">
        <f>VLOOKUP($Z373,'oddspedia-matches'!$A:$AD,AE$2,0)</f>
        <v>#N/A</v>
      </c>
      <c r="AF373" t="e">
        <f>VLOOKUP($Z373,'oddspedia-matches'!$A:$AD,AF$2,0)</f>
        <v>#N/A</v>
      </c>
      <c r="AG373" t="e">
        <f>VLOOKUP($Z373,'oddspedia-matches'!$A:$AD,AG$2,0)</f>
        <v>#N/A</v>
      </c>
      <c r="AH373" t="e">
        <f>VLOOKUP($Z373,'oddspedia-matches'!$A:$AD,AH$2,0)</f>
        <v>#N/A</v>
      </c>
      <c r="AI373" t="e">
        <f>VLOOKUP($Z373,'oddspedia-matches'!$A:$AD,AI$2,0)</f>
        <v>#N/A</v>
      </c>
      <c r="AJ373" t="e">
        <f>VLOOKUP($Z373,'oddspedia-matches'!$A:$AD,AJ$2,0)</f>
        <v>#N/A</v>
      </c>
      <c r="AK373" t="e">
        <f>VLOOKUP($Z373,'oddspedia-matches'!$A:$AD,AK$2,0)</f>
        <v>#N/A</v>
      </c>
      <c r="AL373" t="e">
        <f>VLOOKUP($Z373,'oddspedia-matches'!$A:$AD,AL$2,0)</f>
        <v>#N/A</v>
      </c>
      <c r="AM373" t="e">
        <f>VLOOKUP($Z373,'oddspedia-matches'!$A:$AD,AM$2,0)</f>
        <v>#N/A</v>
      </c>
      <c r="AN373" t="e">
        <f>VLOOKUP($Z373,'oddspedia-matches'!$A:$AD,AN$2,0)</f>
        <v>#N/A</v>
      </c>
      <c r="AO373" t="e">
        <f>VLOOKUP($Z373,'oddspedia-matches'!$A:$AD,AO$2,0)</f>
        <v>#N/A</v>
      </c>
      <c r="AP373" t="e">
        <f>VLOOKUP($Z373,'oddspedia-matches'!$A:$AD,AP$2,0)</f>
        <v>#N/A</v>
      </c>
      <c r="AQ373" t="e">
        <f>VLOOKUP($Z373,'oddspedia-matches'!$A:$AD,AQ$2,0)</f>
        <v>#N/A</v>
      </c>
    </row>
    <row r="374" spans="2:43" x14ac:dyDescent="0.2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>C374&amp;X374&amp;Y374</f>
        <v>26/07/2026HJK HelsinkiTurku PS</v>
      </c>
      <c r="AA374" t="e">
        <f>VLOOKUP($Z374,'oddspedia-matches'!$A:$AD,AA$2,0)</f>
        <v>#N/A</v>
      </c>
      <c r="AB374" t="e">
        <f>VLOOKUP($Z374,'oddspedia-matches'!$A:$AD,AB$2,0)</f>
        <v>#N/A</v>
      </c>
      <c r="AC374" t="e">
        <f>VLOOKUP($Z374,'oddspedia-matches'!$A:$AD,AC$2,0)</f>
        <v>#N/A</v>
      </c>
      <c r="AD374" t="e">
        <f>VLOOKUP($Z374,'oddspedia-matches'!$A:$AD,AD$2,0)</f>
        <v>#N/A</v>
      </c>
      <c r="AE374" t="e">
        <f>VLOOKUP($Z374,'oddspedia-matches'!$A:$AD,AE$2,0)</f>
        <v>#N/A</v>
      </c>
      <c r="AF374" t="e">
        <f>VLOOKUP($Z374,'oddspedia-matches'!$A:$AD,AF$2,0)</f>
        <v>#N/A</v>
      </c>
      <c r="AG374" t="e">
        <f>VLOOKUP($Z374,'oddspedia-matches'!$A:$AD,AG$2,0)</f>
        <v>#N/A</v>
      </c>
      <c r="AH374" t="e">
        <f>VLOOKUP($Z374,'oddspedia-matches'!$A:$AD,AH$2,0)</f>
        <v>#N/A</v>
      </c>
      <c r="AI374" t="e">
        <f>VLOOKUP($Z374,'oddspedia-matches'!$A:$AD,AI$2,0)</f>
        <v>#N/A</v>
      </c>
      <c r="AJ374" t="e">
        <f>VLOOKUP($Z374,'oddspedia-matches'!$A:$AD,AJ$2,0)</f>
        <v>#N/A</v>
      </c>
      <c r="AK374" t="e">
        <f>VLOOKUP($Z374,'oddspedia-matches'!$A:$AD,AK$2,0)</f>
        <v>#N/A</v>
      </c>
      <c r="AL374" t="e">
        <f>VLOOKUP($Z374,'oddspedia-matches'!$A:$AD,AL$2,0)</f>
        <v>#N/A</v>
      </c>
      <c r="AM374" t="e">
        <f>VLOOKUP($Z374,'oddspedia-matches'!$A:$AD,AM$2,0)</f>
        <v>#N/A</v>
      </c>
      <c r="AN374" t="e">
        <f>VLOOKUP($Z374,'oddspedia-matches'!$A:$AD,AN$2,0)</f>
        <v>#N/A</v>
      </c>
      <c r="AO374" t="e">
        <f>VLOOKUP($Z374,'oddspedia-matches'!$A:$AD,AO$2,0)</f>
        <v>#N/A</v>
      </c>
      <c r="AP374" t="e">
        <f>VLOOKUP($Z374,'oddspedia-matches'!$A:$AD,AP$2,0)</f>
        <v>#N/A</v>
      </c>
      <c r="AQ374" t="e">
        <f>VLOOKUP($Z374,'oddspedia-matches'!$A:$AD,AQ$2,0)</f>
        <v>#N/A</v>
      </c>
    </row>
    <row r="375" spans="2:43" x14ac:dyDescent="0.2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tr">
        <f>VLOOKUP(E375,'Transform table'!A:B,2,0)</f>
        <v>Lokomotiv Sofia</v>
      </c>
      <c r="Y375" t="e">
        <f>VLOOKUP(F375,'Transform table'!A:B,2,0)</f>
        <v>#N/A</v>
      </c>
      <c r="Z375" t="e">
        <f>C375&amp;X375&amp;Y375</f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x14ac:dyDescent="0.2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Tottenham</v>
      </c>
      <c r="Y376" t="e">
        <f>VLOOKUP(F376,'Transform table'!A:B,2,0)</f>
        <v>#N/A</v>
      </c>
      <c r="Z376" t="e">
        <f>C376&amp;X376&amp;Y376</f>
        <v>#N/A</v>
      </c>
      <c r="AA376" t="e">
        <f>VLOOKUP($Z376,'oddspedia-matches'!$A:$AD,AA$2,0)</f>
        <v>#N/A</v>
      </c>
      <c r="AB376" t="e">
        <f>VLOOKUP($Z376,'oddspedia-matches'!$A:$AD,AB$2,0)</f>
        <v>#N/A</v>
      </c>
      <c r="AC376" t="e">
        <f>VLOOKUP($Z376,'oddspedia-matches'!$A:$AD,AC$2,0)</f>
        <v>#N/A</v>
      </c>
      <c r="AD376" t="e">
        <f>VLOOKUP($Z376,'oddspedia-matches'!$A:$AD,AD$2,0)</f>
        <v>#N/A</v>
      </c>
      <c r="AE376" t="e">
        <f>VLOOKUP($Z376,'oddspedia-matches'!$A:$AD,AE$2,0)</f>
        <v>#N/A</v>
      </c>
      <c r="AF376" t="e">
        <f>VLOOKUP($Z376,'oddspedia-matches'!$A:$AD,AF$2,0)</f>
        <v>#N/A</v>
      </c>
      <c r="AG376" t="e">
        <f>VLOOKUP($Z376,'oddspedia-matches'!$A:$AD,AG$2,0)</f>
        <v>#N/A</v>
      </c>
      <c r="AH376" t="e">
        <f>VLOOKUP($Z376,'oddspedia-matches'!$A:$AD,AH$2,0)</f>
        <v>#N/A</v>
      </c>
      <c r="AI376" t="e">
        <f>VLOOKUP($Z376,'oddspedia-matches'!$A:$AD,AI$2,0)</f>
        <v>#N/A</v>
      </c>
      <c r="AJ376" t="e">
        <f>VLOOKUP($Z376,'oddspedia-matches'!$A:$AD,AJ$2,0)</f>
        <v>#N/A</v>
      </c>
      <c r="AK376" t="e">
        <f>VLOOKUP($Z376,'oddspedia-matches'!$A:$AD,AK$2,0)</f>
        <v>#N/A</v>
      </c>
      <c r="AL376" t="e">
        <f>VLOOKUP($Z376,'oddspedia-matches'!$A:$AD,AL$2,0)</f>
        <v>#N/A</v>
      </c>
      <c r="AM376" t="e">
        <f>VLOOKUP($Z376,'oddspedia-matches'!$A:$AD,AM$2,0)</f>
        <v>#N/A</v>
      </c>
      <c r="AN376" t="e">
        <f>VLOOKUP($Z376,'oddspedia-matches'!$A:$AD,AN$2,0)</f>
        <v>#N/A</v>
      </c>
      <c r="AO376" t="e">
        <f>VLOOKUP($Z376,'oddspedia-matches'!$A:$AD,AO$2,0)</f>
        <v>#N/A</v>
      </c>
      <c r="AP376" t="e">
        <f>VLOOKUP($Z376,'oddspedia-matches'!$A:$AD,AP$2,0)</f>
        <v>#N/A</v>
      </c>
      <c r="AQ376" t="e">
        <f>VLOOKUP($Z376,'oddspedia-matches'!$A:$AD,AQ$2,0)</f>
        <v>#N/A</v>
      </c>
    </row>
    <row r="377" spans="2:43" x14ac:dyDescent="0.2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>
        <f>VLOOKUP(E377,'Transform table'!A:B,2,0)</f>
        <v>0</v>
      </c>
      <c r="Y377" t="e">
        <f>VLOOKUP(F377,'Transform table'!A:B,2,0)</f>
        <v>#N/A</v>
      </c>
      <c r="Z377" t="e">
        <f>C377&amp;X377&amp;Y377</f>
        <v>#N/A</v>
      </c>
      <c r="AA377" t="e">
        <f>VLOOKUP($Z377,'oddspedia-matches'!$A:$AD,AA$2,0)</f>
        <v>#N/A</v>
      </c>
      <c r="AB377" t="e">
        <f>VLOOKUP($Z377,'oddspedia-matches'!$A:$AD,AB$2,0)</f>
        <v>#N/A</v>
      </c>
      <c r="AC377" t="e">
        <f>VLOOKUP($Z377,'oddspedia-matches'!$A:$AD,AC$2,0)</f>
        <v>#N/A</v>
      </c>
      <c r="AD377" t="e">
        <f>VLOOKUP($Z377,'oddspedia-matches'!$A:$AD,AD$2,0)</f>
        <v>#N/A</v>
      </c>
      <c r="AE377" t="e">
        <f>VLOOKUP($Z377,'oddspedia-matches'!$A:$AD,AE$2,0)</f>
        <v>#N/A</v>
      </c>
      <c r="AF377" t="e">
        <f>VLOOKUP($Z377,'oddspedia-matches'!$A:$AD,AF$2,0)</f>
        <v>#N/A</v>
      </c>
      <c r="AG377" t="e">
        <f>VLOOKUP($Z377,'oddspedia-matches'!$A:$AD,AG$2,0)</f>
        <v>#N/A</v>
      </c>
      <c r="AH377" t="e">
        <f>VLOOKUP($Z377,'oddspedia-matches'!$A:$AD,AH$2,0)</f>
        <v>#N/A</v>
      </c>
      <c r="AI377" t="e">
        <f>VLOOKUP($Z377,'oddspedia-matches'!$A:$AD,AI$2,0)</f>
        <v>#N/A</v>
      </c>
      <c r="AJ377" t="e">
        <f>VLOOKUP($Z377,'oddspedia-matches'!$A:$AD,AJ$2,0)</f>
        <v>#N/A</v>
      </c>
      <c r="AK377" t="e">
        <f>VLOOKUP($Z377,'oddspedia-matches'!$A:$AD,AK$2,0)</f>
        <v>#N/A</v>
      </c>
      <c r="AL377" t="e">
        <f>VLOOKUP($Z377,'oddspedia-matches'!$A:$AD,AL$2,0)</f>
        <v>#N/A</v>
      </c>
      <c r="AM377" t="e">
        <f>VLOOKUP($Z377,'oddspedia-matches'!$A:$AD,AM$2,0)</f>
        <v>#N/A</v>
      </c>
      <c r="AN377" t="e">
        <f>VLOOKUP($Z377,'oddspedia-matches'!$A:$AD,AN$2,0)</f>
        <v>#N/A</v>
      </c>
      <c r="AO377" t="e">
        <f>VLOOKUP($Z377,'oddspedia-matches'!$A:$AD,AO$2,0)</f>
        <v>#N/A</v>
      </c>
      <c r="AP377" t="e">
        <f>VLOOKUP($Z377,'oddspedia-matches'!$A:$AD,AP$2,0)</f>
        <v>#N/A</v>
      </c>
      <c r="AQ377" t="e">
        <f>VLOOKUP($Z377,'oddspedia-matches'!$A:$AD,AQ$2,0)</f>
        <v>#N/A</v>
      </c>
    </row>
    <row r="378" spans="2:43" x14ac:dyDescent="0.2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e">
        <f>VLOOKUP(F378,'Transform table'!A:B,2,0)</f>
        <v>#N/A</v>
      </c>
      <c r="Z378" t="e">
        <f>C378&amp;X378&amp;Y378</f>
        <v>#N/A</v>
      </c>
      <c r="AA378" t="e">
        <f>VLOOKUP($Z378,'oddspedia-matches'!$A:$AD,AA$2,0)</f>
        <v>#N/A</v>
      </c>
      <c r="AB378" t="e">
        <f>VLOOKUP($Z378,'oddspedia-matches'!$A:$AD,AB$2,0)</f>
        <v>#N/A</v>
      </c>
      <c r="AC378" t="e">
        <f>VLOOKUP($Z378,'oddspedia-matches'!$A:$AD,AC$2,0)</f>
        <v>#N/A</v>
      </c>
      <c r="AD378" t="e">
        <f>VLOOKUP($Z378,'oddspedia-matches'!$A:$AD,AD$2,0)</f>
        <v>#N/A</v>
      </c>
      <c r="AE378" t="e">
        <f>VLOOKUP($Z378,'oddspedia-matches'!$A:$AD,AE$2,0)</f>
        <v>#N/A</v>
      </c>
      <c r="AF378" t="e">
        <f>VLOOKUP($Z378,'oddspedia-matches'!$A:$AD,AF$2,0)</f>
        <v>#N/A</v>
      </c>
      <c r="AG378" t="e">
        <f>VLOOKUP($Z378,'oddspedia-matches'!$A:$AD,AG$2,0)</f>
        <v>#N/A</v>
      </c>
      <c r="AH378" t="e">
        <f>VLOOKUP($Z378,'oddspedia-matches'!$A:$AD,AH$2,0)</f>
        <v>#N/A</v>
      </c>
      <c r="AI378" t="e">
        <f>VLOOKUP($Z378,'oddspedia-matches'!$A:$AD,AI$2,0)</f>
        <v>#N/A</v>
      </c>
      <c r="AJ378" t="e">
        <f>VLOOKUP($Z378,'oddspedia-matches'!$A:$AD,AJ$2,0)</f>
        <v>#N/A</v>
      </c>
      <c r="AK378" t="e">
        <f>VLOOKUP($Z378,'oddspedia-matches'!$A:$AD,AK$2,0)</f>
        <v>#N/A</v>
      </c>
      <c r="AL378" t="e">
        <f>VLOOKUP($Z378,'oddspedia-matches'!$A:$AD,AL$2,0)</f>
        <v>#N/A</v>
      </c>
      <c r="AM378" t="e">
        <f>VLOOKUP($Z378,'oddspedia-matches'!$A:$AD,AM$2,0)</f>
        <v>#N/A</v>
      </c>
      <c r="AN378" t="e">
        <f>VLOOKUP($Z378,'oddspedia-matches'!$A:$AD,AN$2,0)</f>
        <v>#N/A</v>
      </c>
      <c r="AO378" t="e">
        <f>VLOOKUP($Z378,'oddspedia-matches'!$A:$AD,AO$2,0)</f>
        <v>#N/A</v>
      </c>
      <c r="AP378" t="e">
        <f>VLOOKUP($Z378,'oddspedia-matches'!$A:$AD,AP$2,0)</f>
        <v>#N/A</v>
      </c>
      <c r="AQ378" t="e">
        <f>VLOOKUP($Z378,'oddspedia-matches'!$A:$AD,AQ$2,0)</f>
        <v>#N/A</v>
      </c>
    </row>
    <row r="379" spans="2:43" x14ac:dyDescent="0.2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e">
        <f>VLOOKUP(F379,'Transform table'!A:B,2,0)</f>
        <v>#N/A</v>
      </c>
      <c r="Z379" t="e">
        <f>C379&amp;X379&amp;Y379</f>
        <v>#N/A</v>
      </c>
      <c r="AA379" t="e">
        <f>VLOOKUP($Z379,'oddspedia-matches'!$A:$AD,AA$2,0)</f>
        <v>#N/A</v>
      </c>
      <c r="AB379" t="e">
        <f>VLOOKUP($Z379,'oddspedia-matches'!$A:$AD,AB$2,0)</f>
        <v>#N/A</v>
      </c>
      <c r="AC379" t="e">
        <f>VLOOKUP($Z379,'oddspedia-matches'!$A:$AD,AC$2,0)</f>
        <v>#N/A</v>
      </c>
      <c r="AD379" t="e">
        <f>VLOOKUP($Z379,'oddspedia-matches'!$A:$AD,AD$2,0)</f>
        <v>#N/A</v>
      </c>
      <c r="AE379" t="e">
        <f>VLOOKUP($Z379,'oddspedia-matches'!$A:$AD,AE$2,0)</f>
        <v>#N/A</v>
      </c>
      <c r="AF379" t="e">
        <f>VLOOKUP($Z379,'oddspedia-matches'!$A:$AD,AF$2,0)</f>
        <v>#N/A</v>
      </c>
      <c r="AG379" t="e">
        <f>VLOOKUP($Z379,'oddspedia-matches'!$A:$AD,AG$2,0)</f>
        <v>#N/A</v>
      </c>
      <c r="AH379" t="e">
        <f>VLOOKUP($Z379,'oddspedia-matches'!$A:$AD,AH$2,0)</f>
        <v>#N/A</v>
      </c>
      <c r="AI379" t="e">
        <f>VLOOKUP($Z379,'oddspedia-matches'!$A:$AD,AI$2,0)</f>
        <v>#N/A</v>
      </c>
      <c r="AJ379" t="e">
        <f>VLOOKUP($Z379,'oddspedia-matches'!$A:$AD,AJ$2,0)</f>
        <v>#N/A</v>
      </c>
      <c r="AK379" t="e">
        <f>VLOOKUP($Z379,'oddspedia-matches'!$A:$AD,AK$2,0)</f>
        <v>#N/A</v>
      </c>
      <c r="AL379" t="e">
        <f>VLOOKUP($Z379,'oddspedia-matches'!$A:$AD,AL$2,0)</f>
        <v>#N/A</v>
      </c>
      <c r="AM379" t="e">
        <f>VLOOKUP($Z379,'oddspedia-matches'!$A:$AD,AM$2,0)</f>
        <v>#N/A</v>
      </c>
      <c r="AN379" t="e">
        <f>VLOOKUP($Z379,'oddspedia-matches'!$A:$AD,AN$2,0)</f>
        <v>#N/A</v>
      </c>
      <c r="AO379" t="e">
        <f>VLOOKUP($Z379,'oddspedia-matches'!$A:$AD,AO$2,0)</f>
        <v>#N/A</v>
      </c>
      <c r="AP379" t="e">
        <f>VLOOKUP($Z379,'oddspedia-matches'!$A:$AD,AP$2,0)</f>
        <v>#N/A</v>
      </c>
      <c r="AQ379" t="e">
        <f>VLOOKUP($Z379,'oddspedia-matches'!$A:$AD,AQ$2,0)</f>
        <v>#N/A</v>
      </c>
    </row>
    <row r="380" spans="2:43" x14ac:dyDescent="0.2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e">
        <f>VLOOKUP(F380,'Transform table'!A:B,2,0)</f>
        <v>#N/A</v>
      </c>
      <c r="Z380" t="e">
        <f>C380&amp;X380&amp;Y380</f>
        <v>#N/A</v>
      </c>
      <c r="AA380" t="e">
        <f>VLOOKUP($Z380,'oddspedia-matches'!$A:$AD,AA$2,0)</f>
        <v>#N/A</v>
      </c>
      <c r="AB380" t="e">
        <f>VLOOKUP($Z380,'oddspedia-matches'!$A:$AD,AB$2,0)</f>
        <v>#N/A</v>
      </c>
      <c r="AC380" t="e">
        <f>VLOOKUP($Z380,'oddspedia-matches'!$A:$AD,AC$2,0)</f>
        <v>#N/A</v>
      </c>
      <c r="AD380" t="e">
        <f>VLOOKUP($Z380,'oddspedia-matches'!$A:$AD,AD$2,0)</f>
        <v>#N/A</v>
      </c>
      <c r="AE380" t="e">
        <f>VLOOKUP($Z380,'oddspedia-matches'!$A:$AD,AE$2,0)</f>
        <v>#N/A</v>
      </c>
      <c r="AF380" t="e">
        <f>VLOOKUP($Z380,'oddspedia-matches'!$A:$AD,AF$2,0)</f>
        <v>#N/A</v>
      </c>
      <c r="AG380" t="e">
        <f>VLOOKUP($Z380,'oddspedia-matches'!$A:$AD,AG$2,0)</f>
        <v>#N/A</v>
      </c>
      <c r="AH380" t="e">
        <f>VLOOKUP($Z380,'oddspedia-matches'!$A:$AD,AH$2,0)</f>
        <v>#N/A</v>
      </c>
      <c r="AI380" t="e">
        <f>VLOOKUP($Z380,'oddspedia-matches'!$A:$AD,AI$2,0)</f>
        <v>#N/A</v>
      </c>
      <c r="AJ380" t="e">
        <f>VLOOKUP($Z380,'oddspedia-matches'!$A:$AD,AJ$2,0)</f>
        <v>#N/A</v>
      </c>
      <c r="AK380" t="e">
        <f>VLOOKUP($Z380,'oddspedia-matches'!$A:$AD,AK$2,0)</f>
        <v>#N/A</v>
      </c>
      <c r="AL380" t="e">
        <f>VLOOKUP($Z380,'oddspedia-matches'!$A:$AD,AL$2,0)</f>
        <v>#N/A</v>
      </c>
      <c r="AM380" t="e">
        <f>VLOOKUP($Z380,'oddspedia-matches'!$A:$AD,AM$2,0)</f>
        <v>#N/A</v>
      </c>
      <c r="AN380" t="e">
        <f>VLOOKUP($Z380,'oddspedia-matches'!$A:$AD,AN$2,0)</f>
        <v>#N/A</v>
      </c>
      <c r="AO380" t="e">
        <f>VLOOKUP($Z380,'oddspedia-matches'!$A:$AD,AO$2,0)</f>
        <v>#N/A</v>
      </c>
      <c r="AP380" t="e">
        <f>VLOOKUP($Z380,'oddspedia-matches'!$A:$AD,AP$2,0)</f>
        <v>#N/A</v>
      </c>
      <c r="AQ380" t="e">
        <f>VLOOKUP($Z380,'oddspedia-matches'!$A:$AD,AQ$2,0)</f>
        <v>#N/A</v>
      </c>
    </row>
    <row r="381" spans="2:43" x14ac:dyDescent="0.2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 U21</v>
      </c>
      <c r="Y381" t="e">
        <f>VLOOKUP(F381,'Transform table'!A:B,2,0)</f>
        <v>#N/A</v>
      </c>
      <c r="Z381" t="e">
        <f>C381&amp;X381&amp;Y381</f>
        <v>#N/A</v>
      </c>
      <c r="AA381" t="e">
        <f>VLOOKUP($Z381,'oddspedia-matches'!$A:$AD,AA$2,0)</f>
        <v>#N/A</v>
      </c>
      <c r="AB381" t="e">
        <f>VLOOKUP($Z381,'oddspedia-matches'!$A:$AD,AB$2,0)</f>
        <v>#N/A</v>
      </c>
      <c r="AC381" t="e">
        <f>VLOOKUP($Z381,'oddspedia-matches'!$A:$AD,AC$2,0)</f>
        <v>#N/A</v>
      </c>
      <c r="AD381" t="e">
        <f>VLOOKUP($Z381,'oddspedia-matches'!$A:$AD,AD$2,0)</f>
        <v>#N/A</v>
      </c>
      <c r="AE381" t="e">
        <f>VLOOKUP($Z381,'oddspedia-matches'!$A:$AD,AE$2,0)</f>
        <v>#N/A</v>
      </c>
      <c r="AF381" t="e">
        <f>VLOOKUP($Z381,'oddspedia-matches'!$A:$AD,AF$2,0)</f>
        <v>#N/A</v>
      </c>
      <c r="AG381" t="e">
        <f>VLOOKUP($Z381,'oddspedia-matches'!$A:$AD,AG$2,0)</f>
        <v>#N/A</v>
      </c>
      <c r="AH381" t="e">
        <f>VLOOKUP($Z381,'oddspedia-matches'!$A:$AD,AH$2,0)</f>
        <v>#N/A</v>
      </c>
      <c r="AI381" t="e">
        <f>VLOOKUP($Z381,'oddspedia-matches'!$A:$AD,AI$2,0)</f>
        <v>#N/A</v>
      </c>
      <c r="AJ381" t="e">
        <f>VLOOKUP($Z381,'oddspedia-matches'!$A:$AD,AJ$2,0)</f>
        <v>#N/A</v>
      </c>
      <c r="AK381" t="e">
        <f>VLOOKUP($Z381,'oddspedia-matches'!$A:$AD,AK$2,0)</f>
        <v>#N/A</v>
      </c>
      <c r="AL381" t="e">
        <f>VLOOKUP($Z381,'oddspedia-matches'!$A:$AD,AL$2,0)</f>
        <v>#N/A</v>
      </c>
      <c r="AM381" t="e">
        <f>VLOOKUP($Z381,'oddspedia-matches'!$A:$AD,AM$2,0)</f>
        <v>#N/A</v>
      </c>
      <c r="AN381" t="e">
        <f>VLOOKUP($Z381,'oddspedia-matches'!$A:$AD,AN$2,0)</f>
        <v>#N/A</v>
      </c>
      <c r="AO381" t="e">
        <f>VLOOKUP($Z381,'oddspedia-matches'!$A:$AD,AO$2,0)</f>
        <v>#N/A</v>
      </c>
      <c r="AP381" t="e">
        <f>VLOOKUP($Z381,'oddspedia-matches'!$A:$AD,AP$2,0)</f>
        <v>#N/A</v>
      </c>
      <c r="AQ381" t="e">
        <f>VLOOKUP($Z381,'oddspedia-matches'!$A:$AD,AQ$2,0)</f>
        <v>#N/A</v>
      </c>
    </row>
    <row r="382" spans="2:43" x14ac:dyDescent="0.2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</v>
      </c>
      <c r="Y382" t="str">
        <f>VLOOKUP(F382,'Transform table'!A:B,2,0)</f>
        <v>New York City II</v>
      </c>
      <c r="Z382" t="str">
        <f>C382&amp;X382&amp;Y382</f>
        <v>26/07/2026Atlanta UnitedNew York City II</v>
      </c>
      <c r="AA382" t="e">
        <f>VLOOKUP($Z382,'oddspedia-matches'!$A:$AD,AA$2,0)</f>
        <v>#N/A</v>
      </c>
      <c r="AB382" t="e">
        <f>VLOOKUP($Z382,'oddspedia-matches'!$A:$AD,AB$2,0)</f>
        <v>#N/A</v>
      </c>
      <c r="AC382" t="e">
        <f>VLOOKUP($Z382,'oddspedia-matches'!$A:$AD,AC$2,0)</f>
        <v>#N/A</v>
      </c>
      <c r="AD382" t="e">
        <f>VLOOKUP($Z382,'oddspedia-matches'!$A:$AD,AD$2,0)</f>
        <v>#N/A</v>
      </c>
      <c r="AE382" t="e">
        <f>VLOOKUP($Z382,'oddspedia-matches'!$A:$AD,AE$2,0)</f>
        <v>#N/A</v>
      </c>
      <c r="AF382" t="e">
        <f>VLOOKUP($Z382,'oddspedia-matches'!$A:$AD,AF$2,0)</f>
        <v>#N/A</v>
      </c>
      <c r="AG382" t="e">
        <f>VLOOKUP($Z382,'oddspedia-matches'!$A:$AD,AG$2,0)</f>
        <v>#N/A</v>
      </c>
      <c r="AH382" t="e">
        <f>VLOOKUP($Z382,'oddspedia-matches'!$A:$AD,AH$2,0)</f>
        <v>#N/A</v>
      </c>
      <c r="AI382" t="e">
        <f>VLOOKUP($Z382,'oddspedia-matches'!$A:$AD,AI$2,0)</f>
        <v>#N/A</v>
      </c>
      <c r="AJ382" t="e">
        <f>VLOOKUP($Z382,'oddspedia-matches'!$A:$AD,AJ$2,0)</f>
        <v>#N/A</v>
      </c>
      <c r="AK382" t="e">
        <f>VLOOKUP($Z382,'oddspedia-matches'!$A:$AD,AK$2,0)</f>
        <v>#N/A</v>
      </c>
      <c r="AL382" t="e">
        <f>VLOOKUP($Z382,'oddspedia-matches'!$A:$AD,AL$2,0)</f>
        <v>#N/A</v>
      </c>
      <c r="AM382" t="e">
        <f>VLOOKUP($Z382,'oddspedia-matches'!$A:$AD,AM$2,0)</f>
        <v>#N/A</v>
      </c>
      <c r="AN382" t="e">
        <f>VLOOKUP($Z382,'oddspedia-matches'!$A:$AD,AN$2,0)</f>
        <v>#N/A</v>
      </c>
      <c r="AO382" t="e">
        <f>VLOOKUP($Z382,'oddspedia-matches'!$A:$AD,AO$2,0)</f>
        <v>#N/A</v>
      </c>
      <c r="AP382" t="e">
        <f>VLOOKUP($Z382,'oddspedia-matches'!$A:$AD,AP$2,0)</f>
        <v>#N/A</v>
      </c>
      <c r="AQ382" t="e">
        <f>VLOOKUP($Z382,'oddspedia-matches'!$A:$AD,AQ$2,0)</f>
        <v>#N/A</v>
      </c>
    </row>
    <row r="383" spans="2:43" x14ac:dyDescent="0.2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ACS ASU Politehnica Timisoara</v>
      </c>
      <c r="Y383" t="e">
        <f>VLOOKUP(F383,'Transform table'!A:B,2,0)</f>
        <v>#N/A</v>
      </c>
      <c r="Z383" t="e">
        <f>C383&amp;X383&amp;Y383</f>
        <v>#N/A</v>
      </c>
      <c r="AA383" t="e">
        <f>VLOOKUP($Z383,'oddspedia-matches'!$A:$AD,AA$2,0)</f>
        <v>#N/A</v>
      </c>
      <c r="AB383" t="e">
        <f>VLOOKUP($Z383,'oddspedia-matches'!$A:$AD,AB$2,0)</f>
        <v>#N/A</v>
      </c>
      <c r="AC383" t="e">
        <f>VLOOKUP($Z383,'oddspedia-matches'!$A:$AD,AC$2,0)</f>
        <v>#N/A</v>
      </c>
      <c r="AD383" t="e">
        <f>VLOOKUP($Z383,'oddspedia-matches'!$A:$AD,AD$2,0)</f>
        <v>#N/A</v>
      </c>
      <c r="AE383" t="e">
        <f>VLOOKUP($Z383,'oddspedia-matches'!$A:$AD,AE$2,0)</f>
        <v>#N/A</v>
      </c>
      <c r="AF383" t="e">
        <f>VLOOKUP($Z383,'oddspedia-matches'!$A:$AD,AF$2,0)</f>
        <v>#N/A</v>
      </c>
      <c r="AG383" t="e">
        <f>VLOOKUP($Z383,'oddspedia-matches'!$A:$AD,AG$2,0)</f>
        <v>#N/A</v>
      </c>
      <c r="AH383" t="e">
        <f>VLOOKUP($Z383,'oddspedia-matches'!$A:$AD,AH$2,0)</f>
        <v>#N/A</v>
      </c>
      <c r="AI383" t="e">
        <f>VLOOKUP($Z383,'oddspedia-matches'!$A:$AD,AI$2,0)</f>
        <v>#N/A</v>
      </c>
      <c r="AJ383" t="e">
        <f>VLOOKUP($Z383,'oddspedia-matches'!$A:$AD,AJ$2,0)</f>
        <v>#N/A</v>
      </c>
      <c r="AK383" t="e">
        <f>VLOOKUP($Z383,'oddspedia-matches'!$A:$AD,AK$2,0)</f>
        <v>#N/A</v>
      </c>
      <c r="AL383" t="e">
        <f>VLOOKUP($Z383,'oddspedia-matches'!$A:$AD,AL$2,0)</f>
        <v>#N/A</v>
      </c>
      <c r="AM383" t="e">
        <f>VLOOKUP($Z383,'oddspedia-matches'!$A:$AD,AM$2,0)</f>
        <v>#N/A</v>
      </c>
      <c r="AN383" t="e">
        <f>VLOOKUP($Z383,'oddspedia-matches'!$A:$AD,AN$2,0)</f>
        <v>#N/A</v>
      </c>
      <c r="AO383" t="e">
        <f>VLOOKUP($Z383,'oddspedia-matches'!$A:$AD,AO$2,0)</f>
        <v>#N/A</v>
      </c>
      <c r="AP383" t="e">
        <f>VLOOKUP($Z383,'oddspedia-matches'!$A:$AD,AP$2,0)</f>
        <v>#N/A</v>
      </c>
      <c r="AQ383" t="e">
        <f>VLOOKUP($Z383,'oddspedia-matches'!$A:$AD,AQ$2,0)</f>
        <v>#N/A</v>
      </c>
    </row>
    <row r="384" spans="2:43" x14ac:dyDescent="0.2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f>VLOOKUP(E384,'Transform table'!A:B,2,0)</f>
        <v>0</v>
      </c>
      <c r="Y384" t="e">
        <f>VLOOKUP(F384,'Transform table'!A:B,2,0)</f>
        <v>#N/A</v>
      </c>
      <c r="Z384" t="e">
        <f>C384&amp;X384&amp;Y384</f>
        <v>#N/A</v>
      </c>
      <c r="AA384" t="e">
        <f>VLOOKUP($Z384,'oddspedia-matches'!$A:$AD,AA$2,0)</f>
        <v>#N/A</v>
      </c>
      <c r="AB384" t="e">
        <f>VLOOKUP($Z384,'oddspedia-matches'!$A:$AD,AB$2,0)</f>
        <v>#N/A</v>
      </c>
      <c r="AC384" t="e">
        <f>VLOOKUP($Z384,'oddspedia-matches'!$A:$AD,AC$2,0)</f>
        <v>#N/A</v>
      </c>
      <c r="AD384" t="e">
        <f>VLOOKUP($Z384,'oddspedia-matches'!$A:$AD,AD$2,0)</f>
        <v>#N/A</v>
      </c>
      <c r="AE384" t="e">
        <f>VLOOKUP($Z384,'oddspedia-matches'!$A:$AD,AE$2,0)</f>
        <v>#N/A</v>
      </c>
      <c r="AF384" t="e">
        <f>VLOOKUP($Z384,'oddspedia-matches'!$A:$AD,AF$2,0)</f>
        <v>#N/A</v>
      </c>
      <c r="AG384" t="e">
        <f>VLOOKUP($Z384,'oddspedia-matches'!$A:$AD,AG$2,0)</f>
        <v>#N/A</v>
      </c>
      <c r="AH384" t="e">
        <f>VLOOKUP($Z384,'oddspedia-matches'!$A:$AD,AH$2,0)</f>
        <v>#N/A</v>
      </c>
      <c r="AI384" t="e">
        <f>VLOOKUP($Z384,'oddspedia-matches'!$A:$AD,AI$2,0)</f>
        <v>#N/A</v>
      </c>
      <c r="AJ384" t="e">
        <f>VLOOKUP($Z384,'oddspedia-matches'!$A:$AD,AJ$2,0)</f>
        <v>#N/A</v>
      </c>
      <c r="AK384" t="e">
        <f>VLOOKUP($Z384,'oddspedia-matches'!$A:$AD,AK$2,0)</f>
        <v>#N/A</v>
      </c>
      <c r="AL384" t="e">
        <f>VLOOKUP($Z384,'oddspedia-matches'!$A:$AD,AL$2,0)</f>
        <v>#N/A</v>
      </c>
      <c r="AM384" t="e">
        <f>VLOOKUP($Z384,'oddspedia-matches'!$A:$AD,AM$2,0)</f>
        <v>#N/A</v>
      </c>
      <c r="AN384" t="e">
        <f>VLOOKUP($Z384,'oddspedia-matches'!$A:$AD,AN$2,0)</f>
        <v>#N/A</v>
      </c>
      <c r="AO384" t="e">
        <f>VLOOKUP($Z384,'oddspedia-matches'!$A:$AD,AO$2,0)</f>
        <v>#N/A</v>
      </c>
      <c r="AP384" t="e">
        <f>VLOOKUP($Z384,'oddspedia-matches'!$A:$AD,AP$2,0)</f>
        <v>#N/A</v>
      </c>
      <c r="AQ384" t="e">
        <f>VLOOKUP($Z384,'oddspedia-matches'!$A:$AD,AQ$2,0)</f>
        <v>#N/A</v>
      </c>
    </row>
    <row r="385" spans="2:43" x14ac:dyDescent="0.2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>C385&amp;X385&amp;Y385</f>
        <v>26/07/2026SandefjordBodo/Glimt</v>
      </c>
      <c r="AA385" t="e">
        <f>VLOOKUP($Z385,'oddspedia-matches'!$A:$AD,AA$2,0)</f>
        <v>#N/A</v>
      </c>
      <c r="AB385" t="e">
        <f>VLOOKUP($Z385,'oddspedia-matches'!$A:$AD,AB$2,0)</f>
        <v>#N/A</v>
      </c>
      <c r="AC385" t="e">
        <f>VLOOKUP($Z385,'oddspedia-matches'!$A:$AD,AC$2,0)</f>
        <v>#N/A</v>
      </c>
      <c r="AD385" t="e">
        <f>VLOOKUP($Z385,'oddspedia-matches'!$A:$AD,AD$2,0)</f>
        <v>#N/A</v>
      </c>
      <c r="AE385" t="e">
        <f>VLOOKUP($Z385,'oddspedia-matches'!$A:$AD,AE$2,0)</f>
        <v>#N/A</v>
      </c>
      <c r="AF385" t="e">
        <f>VLOOKUP($Z385,'oddspedia-matches'!$A:$AD,AF$2,0)</f>
        <v>#N/A</v>
      </c>
      <c r="AG385" t="e">
        <f>VLOOKUP($Z385,'oddspedia-matches'!$A:$AD,AG$2,0)</f>
        <v>#N/A</v>
      </c>
      <c r="AH385" t="e">
        <f>VLOOKUP($Z385,'oddspedia-matches'!$A:$AD,AH$2,0)</f>
        <v>#N/A</v>
      </c>
      <c r="AI385" t="e">
        <f>VLOOKUP($Z385,'oddspedia-matches'!$A:$AD,AI$2,0)</f>
        <v>#N/A</v>
      </c>
      <c r="AJ385" t="e">
        <f>VLOOKUP($Z385,'oddspedia-matches'!$A:$AD,AJ$2,0)</f>
        <v>#N/A</v>
      </c>
      <c r="AK385" t="e">
        <f>VLOOKUP($Z385,'oddspedia-matches'!$A:$AD,AK$2,0)</f>
        <v>#N/A</v>
      </c>
      <c r="AL385" t="e">
        <f>VLOOKUP($Z385,'oddspedia-matches'!$A:$AD,AL$2,0)</f>
        <v>#N/A</v>
      </c>
      <c r="AM385" t="e">
        <f>VLOOKUP($Z385,'oddspedia-matches'!$A:$AD,AM$2,0)</f>
        <v>#N/A</v>
      </c>
      <c r="AN385" t="e">
        <f>VLOOKUP($Z385,'oddspedia-matches'!$A:$AD,AN$2,0)</f>
        <v>#N/A</v>
      </c>
      <c r="AO385" t="e">
        <f>VLOOKUP($Z385,'oddspedia-matches'!$A:$AD,AO$2,0)</f>
        <v>#N/A</v>
      </c>
      <c r="AP385" t="e">
        <f>VLOOKUP($Z385,'oddspedia-matches'!$A:$AD,AP$2,0)</f>
        <v>#N/A</v>
      </c>
      <c r="AQ385" t="e">
        <f>VLOOKUP($Z385,'oddspedia-matches'!$A:$AD,AQ$2,0)</f>
        <v>#N/A</v>
      </c>
    </row>
    <row r="386" spans="2:43" x14ac:dyDescent="0.2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f>VLOOKUP(E386,'Transform table'!A:B,2,0)</f>
        <v>0</v>
      </c>
      <c r="Y386" t="str">
        <f>VLOOKUP(F386,'Transform table'!A:B,2,0)</f>
        <v>HamKam</v>
      </c>
      <c r="Z386" t="str">
        <f>C386&amp;X386&amp;Y386</f>
        <v>26/07/20260HamKam</v>
      </c>
      <c r="AA386" t="e">
        <f>VLOOKUP($Z386,'oddspedia-matches'!$A:$AD,AA$2,0)</f>
        <v>#N/A</v>
      </c>
      <c r="AB386" t="e">
        <f>VLOOKUP($Z386,'oddspedia-matches'!$A:$AD,AB$2,0)</f>
        <v>#N/A</v>
      </c>
      <c r="AC386" t="e">
        <f>VLOOKUP($Z386,'oddspedia-matches'!$A:$AD,AC$2,0)</f>
        <v>#N/A</v>
      </c>
      <c r="AD386" t="e">
        <f>VLOOKUP($Z386,'oddspedia-matches'!$A:$AD,AD$2,0)</f>
        <v>#N/A</v>
      </c>
      <c r="AE386" t="e">
        <f>VLOOKUP($Z386,'oddspedia-matches'!$A:$AD,AE$2,0)</f>
        <v>#N/A</v>
      </c>
      <c r="AF386" t="e">
        <f>VLOOKUP($Z386,'oddspedia-matches'!$A:$AD,AF$2,0)</f>
        <v>#N/A</v>
      </c>
      <c r="AG386" t="e">
        <f>VLOOKUP($Z386,'oddspedia-matches'!$A:$AD,AG$2,0)</f>
        <v>#N/A</v>
      </c>
      <c r="AH386" t="e">
        <f>VLOOKUP($Z386,'oddspedia-matches'!$A:$AD,AH$2,0)</f>
        <v>#N/A</v>
      </c>
      <c r="AI386" t="e">
        <f>VLOOKUP($Z386,'oddspedia-matches'!$A:$AD,AI$2,0)</f>
        <v>#N/A</v>
      </c>
      <c r="AJ386" t="e">
        <f>VLOOKUP($Z386,'oddspedia-matches'!$A:$AD,AJ$2,0)</f>
        <v>#N/A</v>
      </c>
      <c r="AK386" t="e">
        <f>VLOOKUP($Z386,'oddspedia-matches'!$A:$AD,AK$2,0)</f>
        <v>#N/A</v>
      </c>
      <c r="AL386" t="e">
        <f>VLOOKUP($Z386,'oddspedia-matches'!$A:$AD,AL$2,0)</f>
        <v>#N/A</v>
      </c>
      <c r="AM386" t="e">
        <f>VLOOKUP($Z386,'oddspedia-matches'!$A:$AD,AM$2,0)</f>
        <v>#N/A</v>
      </c>
      <c r="AN386" t="e">
        <f>VLOOKUP($Z386,'oddspedia-matches'!$A:$AD,AN$2,0)</f>
        <v>#N/A</v>
      </c>
      <c r="AO386" t="e">
        <f>VLOOKUP($Z386,'oddspedia-matches'!$A:$AD,AO$2,0)</f>
        <v>#N/A</v>
      </c>
      <c r="AP386" t="e">
        <f>VLOOKUP($Z386,'oddspedia-matches'!$A:$AD,AP$2,0)</f>
        <v>#N/A</v>
      </c>
      <c r="AQ386" t="e">
        <f>VLOOKUP($Z386,'oddspedia-matches'!$A:$AD,AQ$2,0)</f>
        <v>#N/A</v>
      </c>
    </row>
    <row r="387" spans="2:43" x14ac:dyDescent="0.2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e">
        <f>VLOOKUP(F387,'Transform table'!A:B,2,0)</f>
        <v>#N/A</v>
      </c>
      <c r="Z387" t="e">
        <f>C387&amp;X387&amp;Y387</f>
        <v>#N/A</v>
      </c>
      <c r="AA387" t="e">
        <f>VLOOKUP($Z387,'oddspedia-matches'!$A:$AD,AA$2,0)</f>
        <v>#N/A</v>
      </c>
      <c r="AB387" t="e">
        <f>VLOOKUP($Z387,'oddspedia-matches'!$A:$AD,AB$2,0)</f>
        <v>#N/A</v>
      </c>
      <c r="AC387" t="e">
        <f>VLOOKUP($Z387,'oddspedia-matches'!$A:$AD,AC$2,0)</f>
        <v>#N/A</v>
      </c>
      <c r="AD387" t="e">
        <f>VLOOKUP($Z387,'oddspedia-matches'!$A:$AD,AD$2,0)</f>
        <v>#N/A</v>
      </c>
      <c r="AE387" t="e">
        <f>VLOOKUP($Z387,'oddspedia-matches'!$A:$AD,AE$2,0)</f>
        <v>#N/A</v>
      </c>
      <c r="AF387" t="e">
        <f>VLOOKUP($Z387,'oddspedia-matches'!$A:$AD,AF$2,0)</f>
        <v>#N/A</v>
      </c>
      <c r="AG387" t="e">
        <f>VLOOKUP($Z387,'oddspedia-matches'!$A:$AD,AG$2,0)</f>
        <v>#N/A</v>
      </c>
      <c r="AH387" t="e">
        <f>VLOOKUP($Z387,'oddspedia-matches'!$A:$AD,AH$2,0)</f>
        <v>#N/A</v>
      </c>
      <c r="AI387" t="e">
        <f>VLOOKUP($Z387,'oddspedia-matches'!$A:$AD,AI$2,0)</f>
        <v>#N/A</v>
      </c>
      <c r="AJ387" t="e">
        <f>VLOOKUP($Z387,'oddspedia-matches'!$A:$AD,AJ$2,0)</f>
        <v>#N/A</v>
      </c>
      <c r="AK387" t="e">
        <f>VLOOKUP($Z387,'oddspedia-matches'!$A:$AD,AK$2,0)</f>
        <v>#N/A</v>
      </c>
      <c r="AL387" t="e">
        <f>VLOOKUP($Z387,'oddspedia-matches'!$A:$AD,AL$2,0)</f>
        <v>#N/A</v>
      </c>
      <c r="AM387" t="e">
        <f>VLOOKUP($Z387,'oddspedia-matches'!$A:$AD,AM$2,0)</f>
        <v>#N/A</v>
      </c>
      <c r="AN387" t="e">
        <f>VLOOKUP($Z387,'oddspedia-matches'!$A:$AD,AN$2,0)</f>
        <v>#N/A</v>
      </c>
      <c r="AO387" t="e">
        <f>VLOOKUP($Z387,'oddspedia-matches'!$A:$AD,AO$2,0)</f>
        <v>#N/A</v>
      </c>
      <c r="AP387" t="e">
        <f>VLOOKUP($Z387,'oddspedia-matches'!$A:$AD,AP$2,0)</f>
        <v>#N/A</v>
      </c>
      <c r="AQ387" t="e">
        <f>VLOOKUP($Z387,'oddspedia-matches'!$A:$AD,AQ$2,0)</f>
        <v>#N/A</v>
      </c>
    </row>
    <row r="388" spans="2:43" x14ac:dyDescent="0.2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MSV Duisburg</v>
      </c>
      <c r="Y388" t="e">
        <f>VLOOKUP(F388,'Transform table'!A:B,2,0)</f>
        <v>#N/A</v>
      </c>
      <c r="Z388" t="e">
        <f>C388&amp;X388&amp;Y388</f>
        <v>#N/A</v>
      </c>
      <c r="AA388" t="e">
        <f>VLOOKUP($Z388,'oddspedia-matches'!$A:$AD,AA$2,0)</f>
        <v>#N/A</v>
      </c>
      <c r="AB388" t="e">
        <f>VLOOKUP($Z388,'oddspedia-matches'!$A:$AD,AB$2,0)</f>
        <v>#N/A</v>
      </c>
      <c r="AC388" t="e">
        <f>VLOOKUP($Z388,'oddspedia-matches'!$A:$AD,AC$2,0)</f>
        <v>#N/A</v>
      </c>
      <c r="AD388" t="e">
        <f>VLOOKUP($Z388,'oddspedia-matches'!$A:$AD,AD$2,0)</f>
        <v>#N/A</v>
      </c>
      <c r="AE388" t="e">
        <f>VLOOKUP($Z388,'oddspedia-matches'!$A:$AD,AE$2,0)</f>
        <v>#N/A</v>
      </c>
      <c r="AF388" t="e">
        <f>VLOOKUP($Z388,'oddspedia-matches'!$A:$AD,AF$2,0)</f>
        <v>#N/A</v>
      </c>
      <c r="AG388" t="e">
        <f>VLOOKUP($Z388,'oddspedia-matches'!$A:$AD,AG$2,0)</f>
        <v>#N/A</v>
      </c>
      <c r="AH388" t="e">
        <f>VLOOKUP($Z388,'oddspedia-matches'!$A:$AD,AH$2,0)</f>
        <v>#N/A</v>
      </c>
      <c r="AI388" t="e">
        <f>VLOOKUP($Z388,'oddspedia-matches'!$A:$AD,AI$2,0)</f>
        <v>#N/A</v>
      </c>
      <c r="AJ388" t="e">
        <f>VLOOKUP($Z388,'oddspedia-matches'!$A:$AD,AJ$2,0)</f>
        <v>#N/A</v>
      </c>
      <c r="AK388" t="e">
        <f>VLOOKUP($Z388,'oddspedia-matches'!$A:$AD,AK$2,0)</f>
        <v>#N/A</v>
      </c>
      <c r="AL388" t="e">
        <f>VLOOKUP($Z388,'oddspedia-matches'!$A:$AD,AL$2,0)</f>
        <v>#N/A</v>
      </c>
      <c r="AM388" t="e">
        <f>VLOOKUP($Z388,'oddspedia-matches'!$A:$AD,AM$2,0)</f>
        <v>#N/A</v>
      </c>
      <c r="AN388" t="e">
        <f>VLOOKUP($Z388,'oddspedia-matches'!$A:$AD,AN$2,0)</f>
        <v>#N/A</v>
      </c>
      <c r="AO388" t="e">
        <f>VLOOKUP($Z388,'oddspedia-matches'!$A:$AD,AO$2,0)</f>
        <v>#N/A</v>
      </c>
      <c r="AP388" t="e">
        <f>VLOOKUP($Z388,'oddspedia-matches'!$A:$AD,AP$2,0)</f>
        <v>#N/A</v>
      </c>
      <c r="AQ388" t="e">
        <f>VLOOKUP($Z388,'oddspedia-matches'!$A:$AD,AQ$2,0)</f>
        <v>#N/A</v>
      </c>
    </row>
    <row r="389" spans="2:43" x14ac:dyDescent="0.2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e">
        <f>VLOOKUP(F389,'Transform table'!A:B,2,0)</f>
        <v>#N/A</v>
      </c>
      <c r="Z389" t="e">
        <f>C389&amp;X389&amp;Y389</f>
        <v>#N/A</v>
      </c>
      <c r="AA389" t="e">
        <f>VLOOKUP($Z389,'oddspedia-matches'!$A:$AD,AA$2,0)</f>
        <v>#N/A</v>
      </c>
      <c r="AB389" t="e">
        <f>VLOOKUP($Z389,'oddspedia-matches'!$A:$AD,AB$2,0)</f>
        <v>#N/A</v>
      </c>
      <c r="AC389" t="e">
        <f>VLOOKUP($Z389,'oddspedia-matches'!$A:$AD,AC$2,0)</f>
        <v>#N/A</v>
      </c>
      <c r="AD389" t="e">
        <f>VLOOKUP($Z389,'oddspedia-matches'!$A:$AD,AD$2,0)</f>
        <v>#N/A</v>
      </c>
      <c r="AE389" t="e">
        <f>VLOOKUP($Z389,'oddspedia-matches'!$A:$AD,AE$2,0)</f>
        <v>#N/A</v>
      </c>
      <c r="AF389" t="e">
        <f>VLOOKUP($Z389,'oddspedia-matches'!$A:$AD,AF$2,0)</f>
        <v>#N/A</v>
      </c>
      <c r="AG389" t="e">
        <f>VLOOKUP($Z389,'oddspedia-matches'!$A:$AD,AG$2,0)</f>
        <v>#N/A</v>
      </c>
      <c r="AH389" t="e">
        <f>VLOOKUP($Z389,'oddspedia-matches'!$A:$AD,AH$2,0)</f>
        <v>#N/A</v>
      </c>
      <c r="AI389" t="e">
        <f>VLOOKUP($Z389,'oddspedia-matches'!$A:$AD,AI$2,0)</f>
        <v>#N/A</v>
      </c>
      <c r="AJ389" t="e">
        <f>VLOOKUP($Z389,'oddspedia-matches'!$A:$AD,AJ$2,0)</f>
        <v>#N/A</v>
      </c>
      <c r="AK389" t="e">
        <f>VLOOKUP($Z389,'oddspedia-matches'!$A:$AD,AK$2,0)</f>
        <v>#N/A</v>
      </c>
      <c r="AL389" t="e">
        <f>VLOOKUP($Z389,'oddspedia-matches'!$A:$AD,AL$2,0)</f>
        <v>#N/A</v>
      </c>
      <c r="AM389" t="e">
        <f>VLOOKUP($Z389,'oddspedia-matches'!$A:$AD,AM$2,0)</f>
        <v>#N/A</v>
      </c>
      <c r="AN389" t="e">
        <f>VLOOKUP($Z389,'oddspedia-matches'!$A:$AD,AN$2,0)</f>
        <v>#N/A</v>
      </c>
      <c r="AO389" t="e">
        <f>VLOOKUP($Z389,'oddspedia-matches'!$A:$AD,AO$2,0)</f>
        <v>#N/A</v>
      </c>
      <c r="AP389" t="e">
        <f>VLOOKUP($Z389,'oddspedia-matches'!$A:$AD,AP$2,0)</f>
        <v>#N/A</v>
      </c>
      <c r="AQ389" t="e">
        <f>VLOOKUP($Z389,'oddspedia-matches'!$A:$AD,AQ$2,0)</f>
        <v>#N/A</v>
      </c>
    </row>
    <row r="390" spans="2:43" x14ac:dyDescent="0.2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Sogdiana Jizzakh</v>
      </c>
      <c r="Y390" t="e">
        <f>VLOOKUP(F390,'Transform table'!A:B,2,0)</f>
        <v>#N/A</v>
      </c>
      <c r="Z390" t="e">
        <f>C390&amp;X390&amp;Y390</f>
        <v>#N/A</v>
      </c>
      <c r="AA390" t="e">
        <f>VLOOKUP($Z390,'oddspedia-matches'!$A:$AD,AA$2,0)</f>
        <v>#N/A</v>
      </c>
      <c r="AB390" t="e">
        <f>VLOOKUP($Z390,'oddspedia-matches'!$A:$AD,AB$2,0)</f>
        <v>#N/A</v>
      </c>
      <c r="AC390" t="e">
        <f>VLOOKUP($Z390,'oddspedia-matches'!$A:$AD,AC$2,0)</f>
        <v>#N/A</v>
      </c>
      <c r="AD390" t="e">
        <f>VLOOKUP($Z390,'oddspedia-matches'!$A:$AD,AD$2,0)</f>
        <v>#N/A</v>
      </c>
      <c r="AE390" t="e">
        <f>VLOOKUP($Z390,'oddspedia-matches'!$A:$AD,AE$2,0)</f>
        <v>#N/A</v>
      </c>
      <c r="AF390" t="e">
        <f>VLOOKUP($Z390,'oddspedia-matches'!$A:$AD,AF$2,0)</f>
        <v>#N/A</v>
      </c>
      <c r="AG390" t="e">
        <f>VLOOKUP($Z390,'oddspedia-matches'!$A:$AD,AG$2,0)</f>
        <v>#N/A</v>
      </c>
      <c r="AH390" t="e">
        <f>VLOOKUP($Z390,'oddspedia-matches'!$A:$AD,AH$2,0)</f>
        <v>#N/A</v>
      </c>
      <c r="AI390" t="e">
        <f>VLOOKUP($Z390,'oddspedia-matches'!$A:$AD,AI$2,0)</f>
        <v>#N/A</v>
      </c>
      <c r="AJ390" t="e">
        <f>VLOOKUP($Z390,'oddspedia-matches'!$A:$AD,AJ$2,0)</f>
        <v>#N/A</v>
      </c>
      <c r="AK390" t="e">
        <f>VLOOKUP($Z390,'oddspedia-matches'!$A:$AD,AK$2,0)</f>
        <v>#N/A</v>
      </c>
      <c r="AL390" t="e">
        <f>VLOOKUP($Z390,'oddspedia-matches'!$A:$AD,AL$2,0)</f>
        <v>#N/A</v>
      </c>
      <c r="AM390" t="e">
        <f>VLOOKUP($Z390,'oddspedia-matches'!$A:$AD,AM$2,0)</f>
        <v>#N/A</v>
      </c>
      <c r="AN390" t="e">
        <f>VLOOKUP($Z390,'oddspedia-matches'!$A:$AD,AN$2,0)</f>
        <v>#N/A</v>
      </c>
      <c r="AO390" t="e">
        <f>VLOOKUP($Z390,'oddspedia-matches'!$A:$AD,AO$2,0)</f>
        <v>#N/A</v>
      </c>
      <c r="AP390" t="e">
        <f>VLOOKUP($Z390,'oddspedia-matches'!$A:$AD,AP$2,0)</f>
        <v>#N/A</v>
      </c>
      <c r="AQ390" t="e">
        <f>VLOOKUP($Z390,'oddspedia-matches'!$A:$AD,AQ$2,0)</f>
        <v>#N/A</v>
      </c>
    </row>
    <row r="391" spans="2:43" x14ac:dyDescent="0.2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e">
        <f>VLOOKUP(F391,'Transform table'!A:B,2,0)</f>
        <v>#N/A</v>
      </c>
      <c r="Z391" t="e">
        <f>C391&amp;X391&amp;Y391</f>
        <v>#N/A</v>
      </c>
      <c r="AA391" t="e">
        <f>VLOOKUP($Z391,'oddspedia-matches'!$A:$AD,AA$2,0)</f>
        <v>#N/A</v>
      </c>
      <c r="AB391" t="e">
        <f>VLOOKUP($Z391,'oddspedia-matches'!$A:$AD,AB$2,0)</f>
        <v>#N/A</v>
      </c>
      <c r="AC391" t="e">
        <f>VLOOKUP($Z391,'oddspedia-matches'!$A:$AD,AC$2,0)</f>
        <v>#N/A</v>
      </c>
      <c r="AD391" t="e">
        <f>VLOOKUP($Z391,'oddspedia-matches'!$A:$AD,AD$2,0)</f>
        <v>#N/A</v>
      </c>
      <c r="AE391" t="e">
        <f>VLOOKUP($Z391,'oddspedia-matches'!$A:$AD,AE$2,0)</f>
        <v>#N/A</v>
      </c>
      <c r="AF391" t="e">
        <f>VLOOKUP($Z391,'oddspedia-matches'!$A:$AD,AF$2,0)</f>
        <v>#N/A</v>
      </c>
      <c r="AG391" t="e">
        <f>VLOOKUP($Z391,'oddspedia-matches'!$A:$AD,AG$2,0)</f>
        <v>#N/A</v>
      </c>
      <c r="AH391" t="e">
        <f>VLOOKUP($Z391,'oddspedia-matches'!$A:$AD,AH$2,0)</f>
        <v>#N/A</v>
      </c>
      <c r="AI391" t="e">
        <f>VLOOKUP($Z391,'oddspedia-matches'!$A:$AD,AI$2,0)</f>
        <v>#N/A</v>
      </c>
      <c r="AJ391" t="e">
        <f>VLOOKUP($Z391,'oddspedia-matches'!$A:$AD,AJ$2,0)</f>
        <v>#N/A</v>
      </c>
      <c r="AK391" t="e">
        <f>VLOOKUP($Z391,'oddspedia-matches'!$A:$AD,AK$2,0)</f>
        <v>#N/A</v>
      </c>
      <c r="AL391" t="e">
        <f>VLOOKUP($Z391,'oddspedia-matches'!$A:$AD,AL$2,0)</f>
        <v>#N/A</v>
      </c>
      <c r="AM391" t="e">
        <f>VLOOKUP($Z391,'oddspedia-matches'!$A:$AD,AM$2,0)</f>
        <v>#N/A</v>
      </c>
      <c r="AN391" t="e">
        <f>VLOOKUP($Z391,'oddspedia-matches'!$A:$AD,AN$2,0)</f>
        <v>#N/A</v>
      </c>
      <c r="AO391" t="e">
        <f>VLOOKUP($Z391,'oddspedia-matches'!$A:$AD,AO$2,0)</f>
        <v>#N/A</v>
      </c>
      <c r="AP391" t="e">
        <f>VLOOKUP($Z391,'oddspedia-matches'!$A:$AD,AP$2,0)</f>
        <v>#N/A</v>
      </c>
      <c r="AQ391" t="e">
        <f>VLOOKUP($Z391,'oddspedia-matches'!$A:$AD,AQ$2,0)</f>
        <v>#N/A</v>
      </c>
    </row>
    <row r="392" spans="2:43" x14ac:dyDescent="0.2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>
        <f>VLOOKUP(E392,'Transform table'!A:B,2,0)</f>
        <v>0</v>
      </c>
      <c r="Y392" t="e">
        <f>VLOOKUP(F392,'Transform table'!A:B,2,0)</f>
        <v>#N/A</v>
      </c>
      <c r="Z392" t="e">
        <f>C392&amp;X392&amp;Y392</f>
        <v>#N/A</v>
      </c>
      <c r="AA392" t="e">
        <f>VLOOKUP($Z392,'oddspedia-matches'!$A:$AD,AA$2,0)</f>
        <v>#N/A</v>
      </c>
      <c r="AB392" t="e">
        <f>VLOOKUP($Z392,'oddspedia-matches'!$A:$AD,AB$2,0)</f>
        <v>#N/A</v>
      </c>
      <c r="AC392" t="e">
        <f>VLOOKUP($Z392,'oddspedia-matches'!$A:$AD,AC$2,0)</f>
        <v>#N/A</v>
      </c>
      <c r="AD392" t="e">
        <f>VLOOKUP($Z392,'oddspedia-matches'!$A:$AD,AD$2,0)</f>
        <v>#N/A</v>
      </c>
      <c r="AE392" t="e">
        <f>VLOOKUP($Z392,'oddspedia-matches'!$A:$AD,AE$2,0)</f>
        <v>#N/A</v>
      </c>
      <c r="AF392" t="e">
        <f>VLOOKUP($Z392,'oddspedia-matches'!$A:$AD,AF$2,0)</f>
        <v>#N/A</v>
      </c>
      <c r="AG392" t="e">
        <f>VLOOKUP($Z392,'oddspedia-matches'!$A:$AD,AG$2,0)</f>
        <v>#N/A</v>
      </c>
      <c r="AH392" t="e">
        <f>VLOOKUP($Z392,'oddspedia-matches'!$A:$AD,AH$2,0)</f>
        <v>#N/A</v>
      </c>
      <c r="AI392" t="e">
        <f>VLOOKUP($Z392,'oddspedia-matches'!$A:$AD,AI$2,0)</f>
        <v>#N/A</v>
      </c>
      <c r="AJ392" t="e">
        <f>VLOOKUP($Z392,'oddspedia-matches'!$A:$AD,AJ$2,0)</f>
        <v>#N/A</v>
      </c>
      <c r="AK392" t="e">
        <f>VLOOKUP($Z392,'oddspedia-matches'!$A:$AD,AK$2,0)</f>
        <v>#N/A</v>
      </c>
      <c r="AL392" t="e">
        <f>VLOOKUP($Z392,'oddspedia-matches'!$A:$AD,AL$2,0)</f>
        <v>#N/A</v>
      </c>
      <c r="AM392" t="e">
        <f>VLOOKUP($Z392,'oddspedia-matches'!$A:$AD,AM$2,0)</f>
        <v>#N/A</v>
      </c>
      <c r="AN392" t="e">
        <f>VLOOKUP($Z392,'oddspedia-matches'!$A:$AD,AN$2,0)</f>
        <v>#N/A</v>
      </c>
      <c r="AO392" t="e">
        <f>VLOOKUP($Z392,'oddspedia-matches'!$A:$AD,AO$2,0)</f>
        <v>#N/A</v>
      </c>
      <c r="AP392" t="e">
        <f>VLOOKUP($Z392,'oddspedia-matches'!$A:$AD,AP$2,0)</f>
        <v>#N/A</v>
      </c>
      <c r="AQ392" t="e">
        <f>VLOOKUP($Z392,'oddspedia-matches'!$A:$AD,AQ$2,0)</f>
        <v>#N/A</v>
      </c>
    </row>
    <row r="393" spans="2:43" x14ac:dyDescent="0.2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PFC Sochi</v>
      </c>
      <c r="Y393" t="e">
        <f>VLOOKUP(F393,'Transform table'!A:B,2,0)</f>
        <v>#N/A</v>
      </c>
      <c r="Z393" t="e">
        <f>C393&amp;X393&amp;Y393</f>
        <v>#N/A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x14ac:dyDescent="0.2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e">
        <f>VLOOKUP(F394,'Transform table'!A:B,2,0)</f>
        <v>#N/A</v>
      </c>
      <c r="Z394" t="e">
        <f>C394&amp;X394&amp;Y394</f>
        <v>#N/A</v>
      </c>
      <c r="AA394" t="e">
        <f>VLOOKUP($Z394,'oddspedia-matches'!$A:$AD,AA$2,0)</f>
        <v>#N/A</v>
      </c>
      <c r="AB394" t="e">
        <f>VLOOKUP($Z394,'oddspedia-matches'!$A:$AD,AB$2,0)</f>
        <v>#N/A</v>
      </c>
      <c r="AC394" t="e">
        <f>VLOOKUP($Z394,'oddspedia-matches'!$A:$AD,AC$2,0)</f>
        <v>#N/A</v>
      </c>
      <c r="AD394" t="e">
        <f>VLOOKUP($Z394,'oddspedia-matches'!$A:$AD,AD$2,0)</f>
        <v>#N/A</v>
      </c>
      <c r="AE394" t="e">
        <f>VLOOKUP($Z394,'oddspedia-matches'!$A:$AD,AE$2,0)</f>
        <v>#N/A</v>
      </c>
      <c r="AF394" t="e">
        <f>VLOOKUP($Z394,'oddspedia-matches'!$A:$AD,AF$2,0)</f>
        <v>#N/A</v>
      </c>
      <c r="AG394" t="e">
        <f>VLOOKUP($Z394,'oddspedia-matches'!$A:$AD,AG$2,0)</f>
        <v>#N/A</v>
      </c>
      <c r="AH394" t="e">
        <f>VLOOKUP($Z394,'oddspedia-matches'!$A:$AD,AH$2,0)</f>
        <v>#N/A</v>
      </c>
      <c r="AI394" t="e">
        <f>VLOOKUP($Z394,'oddspedia-matches'!$A:$AD,AI$2,0)</f>
        <v>#N/A</v>
      </c>
      <c r="AJ394" t="e">
        <f>VLOOKUP($Z394,'oddspedia-matches'!$A:$AD,AJ$2,0)</f>
        <v>#N/A</v>
      </c>
      <c r="AK394" t="e">
        <f>VLOOKUP($Z394,'oddspedia-matches'!$A:$AD,AK$2,0)</f>
        <v>#N/A</v>
      </c>
      <c r="AL394" t="e">
        <f>VLOOKUP($Z394,'oddspedia-matches'!$A:$AD,AL$2,0)</f>
        <v>#N/A</v>
      </c>
      <c r="AM394" t="e">
        <f>VLOOKUP($Z394,'oddspedia-matches'!$A:$AD,AM$2,0)</f>
        <v>#N/A</v>
      </c>
      <c r="AN394" t="e">
        <f>VLOOKUP($Z394,'oddspedia-matches'!$A:$AD,AN$2,0)</f>
        <v>#N/A</v>
      </c>
      <c r="AO394" t="e">
        <f>VLOOKUP($Z394,'oddspedia-matches'!$A:$AD,AO$2,0)</f>
        <v>#N/A</v>
      </c>
      <c r="AP394" t="e">
        <f>VLOOKUP($Z394,'oddspedia-matches'!$A:$AD,AP$2,0)</f>
        <v>#N/A</v>
      </c>
      <c r="AQ394" t="e">
        <f>VLOOKUP($Z394,'oddspedia-matches'!$A:$AD,AQ$2,0)</f>
        <v>#N/A</v>
      </c>
    </row>
    <row r="395" spans="2:43" x14ac:dyDescent="0.2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e">
        <f>VLOOKUP(F395,'Transform table'!A:B,2,0)</f>
        <v>#N/A</v>
      </c>
      <c r="Z395" t="e">
        <f>C395&amp;X395&amp;Y395</f>
        <v>#N/A</v>
      </c>
      <c r="AA395" t="e">
        <f>VLOOKUP($Z395,'oddspedia-matches'!$A:$AD,AA$2,0)</f>
        <v>#N/A</v>
      </c>
      <c r="AB395" t="e">
        <f>VLOOKUP($Z395,'oddspedia-matches'!$A:$AD,AB$2,0)</f>
        <v>#N/A</v>
      </c>
      <c r="AC395" t="e">
        <f>VLOOKUP($Z395,'oddspedia-matches'!$A:$AD,AC$2,0)</f>
        <v>#N/A</v>
      </c>
      <c r="AD395" t="e">
        <f>VLOOKUP($Z395,'oddspedia-matches'!$A:$AD,AD$2,0)</f>
        <v>#N/A</v>
      </c>
      <c r="AE395" t="e">
        <f>VLOOKUP($Z395,'oddspedia-matches'!$A:$AD,AE$2,0)</f>
        <v>#N/A</v>
      </c>
      <c r="AF395" t="e">
        <f>VLOOKUP($Z395,'oddspedia-matches'!$A:$AD,AF$2,0)</f>
        <v>#N/A</v>
      </c>
      <c r="AG395" t="e">
        <f>VLOOKUP($Z395,'oddspedia-matches'!$A:$AD,AG$2,0)</f>
        <v>#N/A</v>
      </c>
      <c r="AH395" t="e">
        <f>VLOOKUP($Z395,'oddspedia-matches'!$A:$AD,AH$2,0)</f>
        <v>#N/A</v>
      </c>
      <c r="AI395" t="e">
        <f>VLOOKUP($Z395,'oddspedia-matches'!$A:$AD,AI$2,0)</f>
        <v>#N/A</v>
      </c>
      <c r="AJ395" t="e">
        <f>VLOOKUP($Z395,'oddspedia-matches'!$A:$AD,AJ$2,0)</f>
        <v>#N/A</v>
      </c>
      <c r="AK395" t="e">
        <f>VLOOKUP($Z395,'oddspedia-matches'!$A:$AD,AK$2,0)</f>
        <v>#N/A</v>
      </c>
      <c r="AL395" t="e">
        <f>VLOOKUP($Z395,'oddspedia-matches'!$A:$AD,AL$2,0)</f>
        <v>#N/A</v>
      </c>
      <c r="AM395" t="e">
        <f>VLOOKUP($Z395,'oddspedia-matches'!$A:$AD,AM$2,0)</f>
        <v>#N/A</v>
      </c>
      <c r="AN395" t="e">
        <f>VLOOKUP($Z395,'oddspedia-matches'!$A:$AD,AN$2,0)</f>
        <v>#N/A</v>
      </c>
      <c r="AO395" t="e">
        <f>VLOOKUP($Z395,'oddspedia-matches'!$A:$AD,AO$2,0)</f>
        <v>#N/A</v>
      </c>
      <c r="AP395" t="e">
        <f>VLOOKUP($Z395,'oddspedia-matches'!$A:$AD,AP$2,0)</f>
        <v>#N/A</v>
      </c>
      <c r="AQ395" t="e">
        <f>VLOOKUP($Z395,'oddspedia-matches'!$A:$AD,AQ$2,0)</f>
        <v>#N/A</v>
      </c>
    </row>
    <row r="396" spans="2:43" x14ac:dyDescent="0.2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tr">
        <f>VLOOKUP(E396,'Transform table'!A:B,2,0)</f>
        <v>Fenerbahce</v>
      </c>
      <c r="Y396" t="str">
        <f>VLOOKUP(F396,'Transform table'!A:B,2,0)</f>
        <v>CA Atenas</v>
      </c>
      <c r="Z396" t="str">
        <f>C396&amp;X396&amp;Y396</f>
        <v>26/07/2026FenerbahceCA Atenas</v>
      </c>
      <c r="AA396" t="e">
        <f>VLOOKUP($Z396,'oddspedia-matches'!$A:$AD,AA$2,0)</f>
        <v>#N/A</v>
      </c>
      <c r="AB396" t="e">
        <f>VLOOKUP($Z396,'oddspedia-matches'!$A:$AD,AB$2,0)</f>
        <v>#N/A</v>
      </c>
      <c r="AC396" t="e">
        <f>VLOOKUP($Z396,'oddspedia-matches'!$A:$AD,AC$2,0)</f>
        <v>#N/A</v>
      </c>
      <c r="AD396" t="e">
        <f>VLOOKUP($Z396,'oddspedia-matches'!$A:$AD,AD$2,0)</f>
        <v>#N/A</v>
      </c>
      <c r="AE396" t="e">
        <f>VLOOKUP($Z396,'oddspedia-matches'!$A:$AD,AE$2,0)</f>
        <v>#N/A</v>
      </c>
      <c r="AF396" t="e">
        <f>VLOOKUP($Z396,'oddspedia-matches'!$A:$AD,AF$2,0)</f>
        <v>#N/A</v>
      </c>
      <c r="AG396" t="e">
        <f>VLOOKUP($Z396,'oddspedia-matches'!$A:$AD,AG$2,0)</f>
        <v>#N/A</v>
      </c>
      <c r="AH396" t="e">
        <f>VLOOKUP($Z396,'oddspedia-matches'!$A:$AD,AH$2,0)</f>
        <v>#N/A</v>
      </c>
      <c r="AI396" t="e">
        <f>VLOOKUP($Z396,'oddspedia-matches'!$A:$AD,AI$2,0)</f>
        <v>#N/A</v>
      </c>
      <c r="AJ396" t="e">
        <f>VLOOKUP($Z396,'oddspedia-matches'!$A:$AD,AJ$2,0)</f>
        <v>#N/A</v>
      </c>
      <c r="AK396" t="e">
        <f>VLOOKUP($Z396,'oddspedia-matches'!$A:$AD,AK$2,0)</f>
        <v>#N/A</v>
      </c>
      <c r="AL396" t="e">
        <f>VLOOKUP($Z396,'oddspedia-matches'!$A:$AD,AL$2,0)</f>
        <v>#N/A</v>
      </c>
      <c r="AM396" t="e">
        <f>VLOOKUP($Z396,'oddspedia-matches'!$A:$AD,AM$2,0)</f>
        <v>#N/A</v>
      </c>
      <c r="AN396" t="e">
        <f>VLOOKUP($Z396,'oddspedia-matches'!$A:$AD,AN$2,0)</f>
        <v>#N/A</v>
      </c>
      <c r="AO396" t="e">
        <f>VLOOKUP($Z396,'oddspedia-matches'!$A:$AD,AO$2,0)</f>
        <v>#N/A</v>
      </c>
      <c r="AP396" t="e">
        <f>VLOOKUP($Z396,'oddspedia-matches'!$A:$AD,AP$2,0)</f>
        <v>#N/A</v>
      </c>
      <c r="AQ396" t="e">
        <f>VLOOKUP($Z396,'oddspedia-matches'!$A:$AD,AQ$2,0)</f>
        <v>#N/A</v>
      </c>
    </row>
    <row r="397" spans="2:43" x14ac:dyDescent="0.2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e">
        <f>VLOOKUP(F397,'Transform table'!A:B,2,0)</f>
        <v>#N/A</v>
      </c>
      <c r="Z397" t="e">
        <f>C397&amp;X397&amp;Y397</f>
        <v>#N/A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x14ac:dyDescent="0.2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Woking</v>
      </c>
      <c r="Y398" t="e">
        <f>VLOOKUP(F398,'Transform table'!A:B,2,0)</f>
        <v>#N/A</v>
      </c>
      <c r="Z398" t="e">
        <f>C398&amp;X398&amp;Y398</f>
        <v>#N/A</v>
      </c>
      <c r="AA398" t="e">
        <f>VLOOKUP($Z398,'oddspedia-matches'!$A:$AD,AA$2,0)</f>
        <v>#N/A</v>
      </c>
      <c r="AB398" t="e">
        <f>VLOOKUP($Z398,'oddspedia-matches'!$A:$AD,AB$2,0)</f>
        <v>#N/A</v>
      </c>
      <c r="AC398" t="e">
        <f>VLOOKUP($Z398,'oddspedia-matches'!$A:$AD,AC$2,0)</f>
        <v>#N/A</v>
      </c>
      <c r="AD398" t="e">
        <f>VLOOKUP($Z398,'oddspedia-matches'!$A:$AD,AD$2,0)</f>
        <v>#N/A</v>
      </c>
      <c r="AE398" t="e">
        <f>VLOOKUP($Z398,'oddspedia-matches'!$A:$AD,AE$2,0)</f>
        <v>#N/A</v>
      </c>
      <c r="AF398" t="e">
        <f>VLOOKUP($Z398,'oddspedia-matches'!$A:$AD,AF$2,0)</f>
        <v>#N/A</v>
      </c>
      <c r="AG398" t="e">
        <f>VLOOKUP($Z398,'oddspedia-matches'!$A:$AD,AG$2,0)</f>
        <v>#N/A</v>
      </c>
      <c r="AH398" t="e">
        <f>VLOOKUP($Z398,'oddspedia-matches'!$A:$AD,AH$2,0)</f>
        <v>#N/A</v>
      </c>
      <c r="AI398" t="e">
        <f>VLOOKUP($Z398,'oddspedia-matches'!$A:$AD,AI$2,0)</f>
        <v>#N/A</v>
      </c>
      <c r="AJ398" t="e">
        <f>VLOOKUP($Z398,'oddspedia-matches'!$A:$AD,AJ$2,0)</f>
        <v>#N/A</v>
      </c>
      <c r="AK398" t="e">
        <f>VLOOKUP($Z398,'oddspedia-matches'!$A:$AD,AK$2,0)</f>
        <v>#N/A</v>
      </c>
      <c r="AL398" t="e">
        <f>VLOOKUP($Z398,'oddspedia-matches'!$A:$AD,AL$2,0)</f>
        <v>#N/A</v>
      </c>
      <c r="AM398" t="e">
        <f>VLOOKUP($Z398,'oddspedia-matches'!$A:$AD,AM$2,0)</f>
        <v>#N/A</v>
      </c>
      <c r="AN398" t="e">
        <f>VLOOKUP($Z398,'oddspedia-matches'!$A:$AD,AN$2,0)</f>
        <v>#N/A</v>
      </c>
      <c r="AO398" t="e">
        <f>VLOOKUP($Z398,'oddspedia-matches'!$A:$AD,AO$2,0)</f>
        <v>#N/A</v>
      </c>
      <c r="AP398" t="e">
        <f>VLOOKUP($Z398,'oddspedia-matches'!$A:$AD,AP$2,0)</f>
        <v>#N/A</v>
      </c>
      <c r="AQ398" t="e">
        <f>VLOOKUP($Z398,'oddspedia-matches'!$A:$AD,AQ$2,0)</f>
        <v>#N/A</v>
      </c>
    </row>
    <row r="399" spans="2:43" x14ac:dyDescent="0.2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>
        <f>VLOOKUP(E399,'Transform table'!A:B,2,0)</f>
        <v>0</v>
      </c>
      <c r="Y399" t="e">
        <f>VLOOKUP(F399,'Transform table'!A:B,2,0)</f>
        <v>#N/A</v>
      </c>
      <c r="Z399" t="e">
        <f>C399&amp;X399&amp;Y399</f>
        <v>#N/A</v>
      </c>
      <c r="AA399" t="e">
        <f>VLOOKUP($Z399,'oddspedia-matches'!$A:$AD,AA$2,0)</f>
        <v>#N/A</v>
      </c>
      <c r="AB399" t="e">
        <f>VLOOKUP($Z399,'oddspedia-matches'!$A:$AD,AB$2,0)</f>
        <v>#N/A</v>
      </c>
      <c r="AC399" t="e">
        <f>VLOOKUP($Z399,'oddspedia-matches'!$A:$AD,AC$2,0)</f>
        <v>#N/A</v>
      </c>
      <c r="AD399" t="e">
        <f>VLOOKUP($Z399,'oddspedia-matches'!$A:$AD,AD$2,0)</f>
        <v>#N/A</v>
      </c>
      <c r="AE399" t="e">
        <f>VLOOKUP($Z399,'oddspedia-matches'!$A:$AD,AE$2,0)</f>
        <v>#N/A</v>
      </c>
      <c r="AF399" t="e">
        <f>VLOOKUP($Z399,'oddspedia-matches'!$A:$AD,AF$2,0)</f>
        <v>#N/A</v>
      </c>
      <c r="AG399" t="e">
        <f>VLOOKUP($Z399,'oddspedia-matches'!$A:$AD,AG$2,0)</f>
        <v>#N/A</v>
      </c>
      <c r="AH399" t="e">
        <f>VLOOKUP($Z399,'oddspedia-matches'!$A:$AD,AH$2,0)</f>
        <v>#N/A</v>
      </c>
      <c r="AI399" t="e">
        <f>VLOOKUP($Z399,'oddspedia-matches'!$A:$AD,AI$2,0)</f>
        <v>#N/A</v>
      </c>
      <c r="AJ399" t="e">
        <f>VLOOKUP($Z399,'oddspedia-matches'!$A:$AD,AJ$2,0)</f>
        <v>#N/A</v>
      </c>
      <c r="AK399" t="e">
        <f>VLOOKUP($Z399,'oddspedia-matches'!$A:$AD,AK$2,0)</f>
        <v>#N/A</v>
      </c>
      <c r="AL399" t="e">
        <f>VLOOKUP($Z399,'oddspedia-matches'!$A:$AD,AL$2,0)</f>
        <v>#N/A</v>
      </c>
      <c r="AM399" t="e">
        <f>VLOOKUP($Z399,'oddspedia-matches'!$A:$AD,AM$2,0)</f>
        <v>#N/A</v>
      </c>
      <c r="AN399" t="e">
        <f>VLOOKUP($Z399,'oddspedia-matches'!$A:$AD,AN$2,0)</f>
        <v>#N/A</v>
      </c>
      <c r="AO399" t="e">
        <f>VLOOKUP($Z399,'oddspedia-matches'!$A:$AD,AO$2,0)</f>
        <v>#N/A</v>
      </c>
      <c r="AP399" t="e">
        <f>VLOOKUP($Z399,'oddspedia-matches'!$A:$AD,AP$2,0)</f>
        <v>#N/A</v>
      </c>
      <c r="AQ399" t="e">
        <f>VLOOKUP($Z399,'oddspedia-matches'!$A:$AD,AQ$2,0)</f>
        <v>#N/A</v>
      </c>
    </row>
    <row r="400" spans="2:43" x14ac:dyDescent="0.2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>
        <f>VLOOKUP(E400,'Transform table'!A:B,2,0)</f>
        <v>0</v>
      </c>
      <c r="Y400" t="e">
        <f>VLOOKUP(F400,'Transform table'!A:B,2,0)</f>
        <v>#N/A</v>
      </c>
      <c r="Z400" t="e">
        <f>C400&amp;X400&amp;Y400</f>
        <v>#N/A</v>
      </c>
      <c r="AA400" t="e">
        <f>VLOOKUP($Z400,'oddspedia-matches'!$A:$AD,AA$2,0)</f>
        <v>#N/A</v>
      </c>
      <c r="AB400" t="e">
        <f>VLOOKUP($Z400,'oddspedia-matches'!$A:$AD,AB$2,0)</f>
        <v>#N/A</v>
      </c>
      <c r="AC400" t="e">
        <f>VLOOKUP($Z400,'oddspedia-matches'!$A:$AD,AC$2,0)</f>
        <v>#N/A</v>
      </c>
      <c r="AD400" t="e">
        <f>VLOOKUP($Z400,'oddspedia-matches'!$A:$AD,AD$2,0)</f>
        <v>#N/A</v>
      </c>
      <c r="AE400" t="e">
        <f>VLOOKUP($Z400,'oddspedia-matches'!$A:$AD,AE$2,0)</f>
        <v>#N/A</v>
      </c>
      <c r="AF400" t="e">
        <f>VLOOKUP($Z400,'oddspedia-matches'!$A:$AD,AF$2,0)</f>
        <v>#N/A</v>
      </c>
      <c r="AG400" t="e">
        <f>VLOOKUP($Z400,'oddspedia-matches'!$A:$AD,AG$2,0)</f>
        <v>#N/A</v>
      </c>
      <c r="AH400" t="e">
        <f>VLOOKUP($Z400,'oddspedia-matches'!$A:$AD,AH$2,0)</f>
        <v>#N/A</v>
      </c>
      <c r="AI400" t="e">
        <f>VLOOKUP($Z400,'oddspedia-matches'!$A:$AD,AI$2,0)</f>
        <v>#N/A</v>
      </c>
      <c r="AJ400" t="e">
        <f>VLOOKUP($Z400,'oddspedia-matches'!$A:$AD,AJ$2,0)</f>
        <v>#N/A</v>
      </c>
      <c r="AK400" t="e">
        <f>VLOOKUP($Z400,'oddspedia-matches'!$A:$AD,AK$2,0)</f>
        <v>#N/A</v>
      </c>
      <c r="AL400" t="e">
        <f>VLOOKUP($Z400,'oddspedia-matches'!$A:$AD,AL$2,0)</f>
        <v>#N/A</v>
      </c>
      <c r="AM400" t="e">
        <f>VLOOKUP($Z400,'oddspedia-matches'!$A:$AD,AM$2,0)</f>
        <v>#N/A</v>
      </c>
      <c r="AN400" t="e">
        <f>VLOOKUP($Z400,'oddspedia-matches'!$A:$AD,AN$2,0)</f>
        <v>#N/A</v>
      </c>
      <c r="AO400" t="e">
        <f>VLOOKUP($Z400,'oddspedia-matches'!$A:$AD,AO$2,0)</f>
        <v>#N/A</v>
      </c>
      <c r="AP400" t="e">
        <f>VLOOKUP($Z400,'oddspedia-matches'!$A:$AD,AP$2,0)</f>
        <v>#N/A</v>
      </c>
      <c r="AQ400" t="e">
        <f>VLOOKUP($Z400,'oddspedia-matches'!$A:$AD,AQ$2,0)</f>
        <v>#N/A</v>
      </c>
    </row>
    <row r="401" spans="2:43" x14ac:dyDescent="0.2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>
        <f>VLOOKUP(E401,'Transform table'!A:B,2,0)</f>
        <v>0</v>
      </c>
      <c r="Y401" t="e">
        <f>VLOOKUP(F401,'Transform table'!A:B,2,0)</f>
        <v>#N/A</v>
      </c>
      <c r="Z401" t="e">
        <f>C401&amp;X401&amp;Y401</f>
        <v>#N/A</v>
      </c>
      <c r="AA401" t="e">
        <f>VLOOKUP($Z401,'oddspedia-matches'!$A:$AD,AA$2,0)</f>
        <v>#N/A</v>
      </c>
      <c r="AB401" t="e">
        <f>VLOOKUP($Z401,'oddspedia-matches'!$A:$AD,AB$2,0)</f>
        <v>#N/A</v>
      </c>
      <c r="AC401" t="e">
        <f>VLOOKUP($Z401,'oddspedia-matches'!$A:$AD,AC$2,0)</f>
        <v>#N/A</v>
      </c>
      <c r="AD401" t="e">
        <f>VLOOKUP($Z401,'oddspedia-matches'!$A:$AD,AD$2,0)</f>
        <v>#N/A</v>
      </c>
      <c r="AE401" t="e">
        <f>VLOOKUP($Z401,'oddspedia-matches'!$A:$AD,AE$2,0)</f>
        <v>#N/A</v>
      </c>
      <c r="AF401" t="e">
        <f>VLOOKUP($Z401,'oddspedia-matches'!$A:$AD,AF$2,0)</f>
        <v>#N/A</v>
      </c>
      <c r="AG401" t="e">
        <f>VLOOKUP($Z401,'oddspedia-matches'!$A:$AD,AG$2,0)</f>
        <v>#N/A</v>
      </c>
      <c r="AH401" t="e">
        <f>VLOOKUP($Z401,'oddspedia-matches'!$A:$AD,AH$2,0)</f>
        <v>#N/A</v>
      </c>
      <c r="AI401" t="e">
        <f>VLOOKUP($Z401,'oddspedia-matches'!$A:$AD,AI$2,0)</f>
        <v>#N/A</v>
      </c>
      <c r="AJ401" t="e">
        <f>VLOOKUP($Z401,'oddspedia-matches'!$A:$AD,AJ$2,0)</f>
        <v>#N/A</v>
      </c>
      <c r="AK401" t="e">
        <f>VLOOKUP($Z401,'oddspedia-matches'!$A:$AD,AK$2,0)</f>
        <v>#N/A</v>
      </c>
      <c r="AL401" t="e">
        <f>VLOOKUP($Z401,'oddspedia-matches'!$A:$AD,AL$2,0)</f>
        <v>#N/A</v>
      </c>
      <c r="AM401" t="e">
        <f>VLOOKUP($Z401,'oddspedia-matches'!$A:$AD,AM$2,0)</f>
        <v>#N/A</v>
      </c>
      <c r="AN401" t="e">
        <f>VLOOKUP($Z401,'oddspedia-matches'!$A:$AD,AN$2,0)</f>
        <v>#N/A</v>
      </c>
      <c r="AO401" t="e">
        <f>VLOOKUP($Z401,'oddspedia-matches'!$A:$AD,AO$2,0)</f>
        <v>#N/A</v>
      </c>
      <c r="AP401" t="e">
        <f>VLOOKUP($Z401,'oddspedia-matches'!$A:$AD,AP$2,0)</f>
        <v>#N/A</v>
      </c>
      <c r="AQ401" t="e">
        <f>VLOOKUP($Z401,'oddspedia-matches'!$A:$AD,AQ$2,0)</f>
        <v>#N/A</v>
      </c>
    </row>
    <row r="402" spans="2:43" x14ac:dyDescent="0.2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e">
        <f>VLOOKUP(F402,'Transform table'!A:B,2,0)</f>
        <v>#N/A</v>
      </c>
      <c r="Z402" t="e">
        <f>C402&amp;X402&amp;Y402</f>
        <v>#N/A</v>
      </c>
      <c r="AA402" t="e">
        <f>VLOOKUP($Z402,'oddspedia-matches'!$A:$AD,AA$2,0)</f>
        <v>#N/A</v>
      </c>
      <c r="AB402" t="e">
        <f>VLOOKUP($Z402,'oddspedia-matches'!$A:$AD,AB$2,0)</f>
        <v>#N/A</v>
      </c>
      <c r="AC402" t="e">
        <f>VLOOKUP($Z402,'oddspedia-matches'!$A:$AD,AC$2,0)</f>
        <v>#N/A</v>
      </c>
      <c r="AD402" t="e">
        <f>VLOOKUP($Z402,'oddspedia-matches'!$A:$AD,AD$2,0)</f>
        <v>#N/A</v>
      </c>
      <c r="AE402" t="e">
        <f>VLOOKUP($Z402,'oddspedia-matches'!$A:$AD,AE$2,0)</f>
        <v>#N/A</v>
      </c>
      <c r="AF402" t="e">
        <f>VLOOKUP($Z402,'oddspedia-matches'!$A:$AD,AF$2,0)</f>
        <v>#N/A</v>
      </c>
      <c r="AG402" t="e">
        <f>VLOOKUP($Z402,'oddspedia-matches'!$A:$AD,AG$2,0)</f>
        <v>#N/A</v>
      </c>
      <c r="AH402" t="e">
        <f>VLOOKUP($Z402,'oddspedia-matches'!$A:$AD,AH$2,0)</f>
        <v>#N/A</v>
      </c>
      <c r="AI402" t="e">
        <f>VLOOKUP($Z402,'oddspedia-matches'!$A:$AD,AI$2,0)</f>
        <v>#N/A</v>
      </c>
      <c r="AJ402" t="e">
        <f>VLOOKUP($Z402,'oddspedia-matches'!$A:$AD,AJ$2,0)</f>
        <v>#N/A</v>
      </c>
      <c r="AK402" t="e">
        <f>VLOOKUP($Z402,'oddspedia-matches'!$A:$AD,AK$2,0)</f>
        <v>#N/A</v>
      </c>
      <c r="AL402" t="e">
        <f>VLOOKUP($Z402,'oddspedia-matches'!$A:$AD,AL$2,0)</f>
        <v>#N/A</v>
      </c>
      <c r="AM402" t="e">
        <f>VLOOKUP($Z402,'oddspedia-matches'!$A:$AD,AM$2,0)</f>
        <v>#N/A</v>
      </c>
      <c r="AN402" t="e">
        <f>VLOOKUP($Z402,'oddspedia-matches'!$A:$AD,AN$2,0)</f>
        <v>#N/A</v>
      </c>
      <c r="AO402" t="e">
        <f>VLOOKUP($Z402,'oddspedia-matches'!$A:$AD,AO$2,0)</f>
        <v>#N/A</v>
      </c>
      <c r="AP402" t="e">
        <f>VLOOKUP($Z402,'oddspedia-matches'!$A:$AD,AP$2,0)</f>
        <v>#N/A</v>
      </c>
      <c r="AQ402" t="e">
        <f>VLOOKUP($Z402,'oddspedia-matches'!$A:$AD,AQ$2,0)</f>
        <v>#N/A</v>
      </c>
    </row>
    <row r="403" spans="2:43" x14ac:dyDescent="0.2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e">
        <f>VLOOKUP(F403,'Transform table'!A:B,2,0)</f>
        <v>#N/A</v>
      </c>
      <c r="Z403" t="e">
        <f>C403&amp;X403&amp;Y403</f>
        <v>#N/A</v>
      </c>
      <c r="AA403" t="e">
        <f>VLOOKUP($Z403,'oddspedia-matches'!$A:$AD,AA$2,0)</f>
        <v>#N/A</v>
      </c>
      <c r="AB403" t="e">
        <f>VLOOKUP($Z403,'oddspedia-matches'!$A:$AD,AB$2,0)</f>
        <v>#N/A</v>
      </c>
      <c r="AC403" t="e">
        <f>VLOOKUP($Z403,'oddspedia-matches'!$A:$AD,AC$2,0)</f>
        <v>#N/A</v>
      </c>
      <c r="AD403" t="e">
        <f>VLOOKUP($Z403,'oddspedia-matches'!$A:$AD,AD$2,0)</f>
        <v>#N/A</v>
      </c>
      <c r="AE403" t="e">
        <f>VLOOKUP($Z403,'oddspedia-matches'!$A:$AD,AE$2,0)</f>
        <v>#N/A</v>
      </c>
      <c r="AF403" t="e">
        <f>VLOOKUP($Z403,'oddspedia-matches'!$A:$AD,AF$2,0)</f>
        <v>#N/A</v>
      </c>
      <c r="AG403" t="e">
        <f>VLOOKUP($Z403,'oddspedia-matches'!$A:$AD,AG$2,0)</f>
        <v>#N/A</v>
      </c>
      <c r="AH403" t="e">
        <f>VLOOKUP($Z403,'oddspedia-matches'!$A:$AD,AH$2,0)</f>
        <v>#N/A</v>
      </c>
      <c r="AI403" t="e">
        <f>VLOOKUP($Z403,'oddspedia-matches'!$A:$AD,AI$2,0)</f>
        <v>#N/A</v>
      </c>
      <c r="AJ403" t="e">
        <f>VLOOKUP($Z403,'oddspedia-matches'!$A:$AD,AJ$2,0)</f>
        <v>#N/A</v>
      </c>
      <c r="AK403" t="e">
        <f>VLOOKUP($Z403,'oddspedia-matches'!$A:$AD,AK$2,0)</f>
        <v>#N/A</v>
      </c>
      <c r="AL403" t="e">
        <f>VLOOKUP($Z403,'oddspedia-matches'!$A:$AD,AL$2,0)</f>
        <v>#N/A</v>
      </c>
      <c r="AM403" t="e">
        <f>VLOOKUP($Z403,'oddspedia-matches'!$A:$AD,AM$2,0)</f>
        <v>#N/A</v>
      </c>
      <c r="AN403" t="e">
        <f>VLOOKUP($Z403,'oddspedia-matches'!$A:$AD,AN$2,0)</f>
        <v>#N/A</v>
      </c>
      <c r="AO403" t="e">
        <f>VLOOKUP($Z403,'oddspedia-matches'!$A:$AD,AO$2,0)</f>
        <v>#N/A</v>
      </c>
      <c r="AP403" t="e">
        <f>VLOOKUP($Z403,'oddspedia-matches'!$A:$AD,AP$2,0)</f>
        <v>#N/A</v>
      </c>
      <c r="AQ403" t="e">
        <f>VLOOKUP($Z403,'oddspedia-matches'!$A:$AD,AQ$2,0)</f>
        <v>#N/A</v>
      </c>
    </row>
    <row r="404" spans="2:43" x14ac:dyDescent="0.2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e">
        <f>VLOOKUP(F404,'Transform table'!A:B,2,0)</f>
        <v>#N/A</v>
      </c>
      <c r="Z404" t="e">
        <f>C404&amp;X404&amp;Y404</f>
        <v>#N/A</v>
      </c>
      <c r="AA404" t="e">
        <f>VLOOKUP($Z404,'oddspedia-matches'!$A:$AD,AA$2,0)</f>
        <v>#N/A</v>
      </c>
      <c r="AB404" t="e">
        <f>VLOOKUP($Z404,'oddspedia-matches'!$A:$AD,AB$2,0)</f>
        <v>#N/A</v>
      </c>
      <c r="AC404" t="e">
        <f>VLOOKUP($Z404,'oddspedia-matches'!$A:$AD,AC$2,0)</f>
        <v>#N/A</v>
      </c>
      <c r="AD404" t="e">
        <f>VLOOKUP($Z404,'oddspedia-matches'!$A:$AD,AD$2,0)</f>
        <v>#N/A</v>
      </c>
      <c r="AE404" t="e">
        <f>VLOOKUP($Z404,'oddspedia-matches'!$A:$AD,AE$2,0)</f>
        <v>#N/A</v>
      </c>
      <c r="AF404" t="e">
        <f>VLOOKUP($Z404,'oddspedia-matches'!$A:$AD,AF$2,0)</f>
        <v>#N/A</v>
      </c>
      <c r="AG404" t="e">
        <f>VLOOKUP($Z404,'oddspedia-matches'!$A:$AD,AG$2,0)</f>
        <v>#N/A</v>
      </c>
      <c r="AH404" t="e">
        <f>VLOOKUP($Z404,'oddspedia-matches'!$A:$AD,AH$2,0)</f>
        <v>#N/A</v>
      </c>
      <c r="AI404" t="e">
        <f>VLOOKUP($Z404,'oddspedia-matches'!$A:$AD,AI$2,0)</f>
        <v>#N/A</v>
      </c>
      <c r="AJ404" t="e">
        <f>VLOOKUP($Z404,'oddspedia-matches'!$A:$AD,AJ$2,0)</f>
        <v>#N/A</v>
      </c>
      <c r="AK404" t="e">
        <f>VLOOKUP($Z404,'oddspedia-matches'!$A:$AD,AK$2,0)</f>
        <v>#N/A</v>
      </c>
      <c r="AL404" t="e">
        <f>VLOOKUP($Z404,'oddspedia-matches'!$A:$AD,AL$2,0)</f>
        <v>#N/A</v>
      </c>
      <c r="AM404" t="e">
        <f>VLOOKUP($Z404,'oddspedia-matches'!$A:$AD,AM$2,0)</f>
        <v>#N/A</v>
      </c>
      <c r="AN404" t="e">
        <f>VLOOKUP($Z404,'oddspedia-matches'!$A:$AD,AN$2,0)</f>
        <v>#N/A</v>
      </c>
      <c r="AO404" t="e">
        <f>VLOOKUP($Z404,'oddspedia-matches'!$A:$AD,AO$2,0)</f>
        <v>#N/A</v>
      </c>
      <c r="AP404" t="e">
        <f>VLOOKUP($Z404,'oddspedia-matches'!$A:$AD,AP$2,0)</f>
        <v>#N/A</v>
      </c>
      <c r="AQ404" t="e">
        <f>VLOOKUP($Z404,'oddspedia-matches'!$A:$AD,AQ$2,0)</f>
        <v>#N/A</v>
      </c>
    </row>
    <row r="405" spans="2:43" x14ac:dyDescent="0.2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f>VLOOKUP(E405,'Transform table'!A:B,2,0)</f>
        <v>0</v>
      </c>
      <c r="Y405" t="e">
        <f>VLOOKUP(F405,'Transform table'!A:B,2,0)</f>
        <v>#N/A</v>
      </c>
      <c r="Z405" t="e">
        <f>C405&amp;X405&amp;Y405</f>
        <v>#N/A</v>
      </c>
      <c r="AA405" t="e">
        <f>VLOOKUP($Z405,'oddspedia-matches'!$A:$AD,AA$2,0)</f>
        <v>#N/A</v>
      </c>
      <c r="AB405" t="e">
        <f>VLOOKUP($Z405,'oddspedia-matches'!$A:$AD,AB$2,0)</f>
        <v>#N/A</v>
      </c>
      <c r="AC405" t="e">
        <f>VLOOKUP($Z405,'oddspedia-matches'!$A:$AD,AC$2,0)</f>
        <v>#N/A</v>
      </c>
      <c r="AD405" t="e">
        <f>VLOOKUP($Z405,'oddspedia-matches'!$A:$AD,AD$2,0)</f>
        <v>#N/A</v>
      </c>
      <c r="AE405" t="e">
        <f>VLOOKUP($Z405,'oddspedia-matches'!$A:$AD,AE$2,0)</f>
        <v>#N/A</v>
      </c>
      <c r="AF405" t="e">
        <f>VLOOKUP($Z405,'oddspedia-matches'!$A:$AD,AF$2,0)</f>
        <v>#N/A</v>
      </c>
      <c r="AG405" t="e">
        <f>VLOOKUP($Z405,'oddspedia-matches'!$A:$AD,AG$2,0)</f>
        <v>#N/A</v>
      </c>
      <c r="AH405" t="e">
        <f>VLOOKUP($Z405,'oddspedia-matches'!$A:$AD,AH$2,0)</f>
        <v>#N/A</v>
      </c>
      <c r="AI405" t="e">
        <f>VLOOKUP($Z405,'oddspedia-matches'!$A:$AD,AI$2,0)</f>
        <v>#N/A</v>
      </c>
      <c r="AJ405" t="e">
        <f>VLOOKUP($Z405,'oddspedia-matches'!$A:$AD,AJ$2,0)</f>
        <v>#N/A</v>
      </c>
      <c r="AK405" t="e">
        <f>VLOOKUP($Z405,'oddspedia-matches'!$A:$AD,AK$2,0)</f>
        <v>#N/A</v>
      </c>
      <c r="AL405" t="e">
        <f>VLOOKUP($Z405,'oddspedia-matches'!$A:$AD,AL$2,0)</f>
        <v>#N/A</v>
      </c>
      <c r="AM405" t="e">
        <f>VLOOKUP($Z405,'oddspedia-matches'!$A:$AD,AM$2,0)</f>
        <v>#N/A</v>
      </c>
      <c r="AN405" t="e">
        <f>VLOOKUP($Z405,'oddspedia-matches'!$A:$AD,AN$2,0)</f>
        <v>#N/A</v>
      </c>
      <c r="AO405" t="e">
        <f>VLOOKUP($Z405,'oddspedia-matches'!$A:$AD,AO$2,0)</f>
        <v>#N/A</v>
      </c>
      <c r="AP405" t="e">
        <f>VLOOKUP($Z405,'oddspedia-matches'!$A:$AD,AP$2,0)</f>
        <v>#N/A</v>
      </c>
      <c r="AQ405" t="e">
        <f>VLOOKUP($Z405,'oddspedia-matches'!$A:$AD,AQ$2,0)</f>
        <v>#N/A</v>
      </c>
    </row>
    <row r="406" spans="2:43" x14ac:dyDescent="0.2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Puerto Nuevo</v>
      </c>
      <c r="Y406" t="e">
        <f>VLOOKUP(F406,'Transform table'!A:B,2,0)</f>
        <v>#N/A</v>
      </c>
      <c r="Z406" t="e">
        <f>C406&amp;X406&amp;Y406</f>
        <v>#N/A</v>
      </c>
      <c r="AA406" t="e">
        <f>VLOOKUP($Z406,'oddspedia-matches'!$A:$AD,AA$2,0)</f>
        <v>#N/A</v>
      </c>
      <c r="AB406" t="e">
        <f>VLOOKUP($Z406,'oddspedia-matches'!$A:$AD,AB$2,0)</f>
        <v>#N/A</v>
      </c>
      <c r="AC406" t="e">
        <f>VLOOKUP($Z406,'oddspedia-matches'!$A:$AD,AC$2,0)</f>
        <v>#N/A</v>
      </c>
      <c r="AD406" t="e">
        <f>VLOOKUP($Z406,'oddspedia-matches'!$A:$AD,AD$2,0)</f>
        <v>#N/A</v>
      </c>
      <c r="AE406" t="e">
        <f>VLOOKUP($Z406,'oddspedia-matches'!$A:$AD,AE$2,0)</f>
        <v>#N/A</v>
      </c>
      <c r="AF406" t="e">
        <f>VLOOKUP($Z406,'oddspedia-matches'!$A:$AD,AF$2,0)</f>
        <v>#N/A</v>
      </c>
      <c r="AG406" t="e">
        <f>VLOOKUP($Z406,'oddspedia-matches'!$A:$AD,AG$2,0)</f>
        <v>#N/A</v>
      </c>
      <c r="AH406" t="e">
        <f>VLOOKUP($Z406,'oddspedia-matches'!$A:$AD,AH$2,0)</f>
        <v>#N/A</v>
      </c>
      <c r="AI406" t="e">
        <f>VLOOKUP($Z406,'oddspedia-matches'!$A:$AD,AI$2,0)</f>
        <v>#N/A</v>
      </c>
      <c r="AJ406" t="e">
        <f>VLOOKUP($Z406,'oddspedia-matches'!$A:$AD,AJ$2,0)</f>
        <v>#N/A</v>
      </c>
      <c r="AK406" t="e">
        <f>VLOOKUP($Z406,'oddspedia-matches'!$A:$AD,AK$2,0)</f>
        <v>#N/A</v>
      </c>
      <c r="AL406" t="e">
        <f>VLOOKUP($Z406,'oddspedia-matches'!$A:$AD,AL$2,0)</f>
        <v>#N/A</v>
      </c>
      <c r="AM406" t="e">
        <f>VLOOKUP($Z406,'oddspedia-matches'!$A:$AD,AM$2,0)</f>
        <v>#N/A</v>
      </c>
      <c r="AN406" t="e">
        <f>VLOOKUP($Z406,'oddspedia-matches'!$A:$AD,AN$2,0)</f>
        <v>#N/A</v>
      </c>
      <c r="AO406" t="e">
        <f>VLOOKUP($Z406,'oddspedia-matches'!$A:$AD,AO$2,0)</f>
        <v>#N/A</v>
      </c>
      <c r="AP406" t="e">
        <f>VLOOKUP($Z406,'oddspedia-matches'!$A:$AD,AP$2,0)</f>
        <v>#N/A</v>
      </c>
      <c r="AQ406" t="e">
        <f>VLOOKUP($Z406,'oddspedia-matches'!$A:$AD,AQ$2,0)</f>
        <v>#N/A</v>
      </c>
    </row>
    <row r="407" spans="2:43" x14ac:dyDescent="0.2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>
        <f>VLOOKUP(E407,'Transform table'!A:B,2,0)</f>
        <v>0</v>
      </c>
      <c r="Y407" t="e">
        <f>VLOOKUP(F407,'Transform table'!A:B,2,0)</f>
        <v>#N/A</v>
      </c>
      <c r="Z407" t="e">
        <f>C407&amp;X407&amp;Y407</f>
        <v>#N/A</v>
      </c>
      <c r="AA407" t="e">
        <f>VLOOKUP($Z407,'oddspedia-matches'!$A:$AD,AA$2,0)</f>
        <v>#N/A</v>
      </c>
      <c r="AB407" t="e">
        <f>VLOOKUP($Z407,'oddspedia-matches'!$A:$AD,AB$2,0)</f>
        <v>#N/A</v>
      </c>
      <c r="AC407" t="e">
        <f>VLOOKUP($Z407,'oddspedia-matches'!$A:$AD,AC$2,0)</f>
        <v>#N/A</v>
      </c>
      <c r="AD407" t="e">
        <f>VLOOKUP($Z407,'oddspedia-matches'!$A:$AD,AD$2,0)</f>
        <v>#N/A</v>
      </c>
      <c r="AE407" t="e">
        <f>VLOOKUP($Z407,'oddspedia-matches'!$A:$AD,AE$2,0)</f>
        <v>#N/A</v>
      </c>
      <c r="AF407" t="e">
        <f>VLOOKUP($Z407,'oddspedia-matches'!$A:$AD,AF$2,0)</f>
        <v>#N/A</v>
      </c>
      <c r="AG407" t="e">
        <f>VLOOKUP($Z407,'oddspedia-matches'!$A:$AD,AG$2,0)</f>
        <v>#N/A</v>
      </c>
      <c r="AH407" t="e">
        <f>VLOOKUP($Z407,'oddspedia-matches'!$A:$AD,AH$2,0)</f>
        <v>#N/A</v>
      </c>
      <c r="AI407" t="e">
        <f>VLOOKUP($Z407,'oddspedia-matches'!$A:$AD,AI$2,0)</f>
        <v>#N/A</v>
      </c>
      <c r="AJ407" t="e">
        <f>VLOOKUP($Z407,'oddspedia-matches'!$A:$AD,AJ$2,0)</f>
        <v>#N/A</v>
      </c>
      <c r="AK407" t="e">
        <f>VLOOKUP($Z407,'oddspedia-matches'!$A:$AD,AK$2,0)</f>
        <v>#N/A</v>
      </c>
      <c r="AL407" t="e">
        <f>VLOOKUP($Z407,'oddspedia-matches'!$A:$AD,AL$2,0)</f>
        <v>#N/A</v>
      </c>
      <c r="AM407" t="e">
        <f>VLOOKUP($Z407,'oddspedia-matches'!$A:$AD,AM$2,0)</f>
        <v>#N/A</v>
      </c>
      <c r="AN407" t="e">
        <f>VLOOKUP($Z407,'oddspedia-matches'!$A:$AD,AN$2,0)</f>
        <v>#N/A</v>
      </c>
      <c r="AO407" t="e">
        <f>VLOOKUP($Z407,'oddspedia-matches'!$A:$AD,AO$2,0)</f>
        <v>#N/A</v>
      </c>
      <c r="AP407" t="e">
        <f>VLOOKUP($Z407,'oddspedia-matches'!$A:$AD,AP$2,0)</f>
        <v>#N/A</v>
      </c>
      <c r="AQ407" t="e">
        <f>VLOOKUP($Z407,'oddspedia-matches'!$A:$AD,AQ$2,0)</f>
        <v>#N/A</v>
      </c>
    </row>
    <row r="408" spans="2:43" x14ac:dyDescent="0.2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>
        <f>VLOOKUP(E408,'Transform table'!A:B,2,0)</f>
        <v>0</v>
      </c>
      <c r="Y408" t="e">
        <f>VLOOKUP(F408,'Transform table'!A:B,2,0)</f>
        <v>#N/A</v>
      </c>
      <c r="Z408" t="e">
        <f>C408&amp;X408&amp;Y408</f>
        <v>#N/A</v>
      </c>
      <c r="AA408" t="e">
        <f>VLOOKUP($Z408,'oddspedia-matches'!$A:$AD,AA$2,0)</f>
        <v>#N/A</v>
      </c>
      <c r="AB408" t="e">
        <f>VLOOKUP($Z408,'oddspedia-matches'!$A:$AD,AB$2,0)</f>
        <v>#N/A</v>
      </c>
      <c r="AC408" t="e">
        <f>VLOOKUP($Z408,'oddspedia-matches'!$A:$AD,AC$2,0)</f>
        <v>#N/A</v>
      </c>
      <c r="AD408" t="e">
        <f>VLOOKUP($Z408,'oddspedia-matches'!$A:$AD,AD$2,0)</f>
        <v>#N/A</v>
      </c>
      <c r="AE408" t="e">
        <f>VLOOKUP($Z408,'oddspedia-matches'!$A:$AD,AE$2,0)</f>
        <v>#N/A</v>
      </c>
      <c r="AF408" t="e">
        <f>VLOOKUP($Z408,'oddspedia-matches'!$A:$AD,AF$2,0)</f>
        <v>#N/A</v>
      </c>
      <c r="AG408" t="e">
        <f>VLOOKUP($Z408,'oddspedia-matches'!$A:$AD,AG$2,0)</f>
        <v>#N/A</v>
      </c>
      <c r="AH408" t="e">
        <f>VLOOKUP($Z408,'oddspedia-matches'!$A:$AD,AH$2,0)</f>
        <v>#N/A</v>
      </c>
      <c r="AI408" t="e">
        <f>VLOOKUP($Z408,'oddspedia-matches'!$A:$AD,AI$2,0)</f>
        <v>#N/A</v>
      </c>
      <c r="AJ408" t="e">
        <f>VLOOKUP($Z408,'oddspedia-matches'!$A:$AD,AJ$2,0)</f>
        <v>#N/A</v>
      </c>
      <c r="AK408" t="e">
        <f>VLOOKUP($Z408,'oddspedia-matches'!$A:$AD,AK$2,0)</f>
        <v>#N/A</v>
      </c>
      <c r="AL408" t="e">
        <f>VLOOKUP($Z408,'oddspedia-matches'!$A:$AD,AL$2,0)</f>
        <v>#N/A</v>
      </c>
      <c r="AM408" t="e">
        <f>VLOOKUP($Z408,'oddspedia-matches'!$A:$AD,AM$2,0)</f>
        <v>#N/A</v>
      </c>
      <c r="AN408" t="e">
        <f>VLOOKUP($Z408,'oddspedia-matches'!$A:$AD,AN$2,0)</f>
        <v>#N/A</v>
      </c>
      <c r="AO408" t="e">
        <f>VLOOKUP($Z408,'oddspedia-matches'!$A:$AD,AO$2,0)</f>
        <v>#N/A</v>
      </c>
      <c r="AP408" t="e">
        <f>VLOOKUP($Z408,'oddspedia-matches'!$A:$AD,AP$2,0)</f>
        <v>#N/A</v>
      </c>
      <c r="AQ408" t="e">
        <f>VLOOKUP($Z408,'oddspedia-matches'!$A:$AD,AQ$2,0)</f>
        <v>#N/A</v>
      </c>
    </row>
    <row r="409" spans="2:43" x14ac:dyDescent="0.2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>
        <f>VLOOKUP(E409,'Transform table'!A:B,2,0)</f>
        <v>0</v>
      </c>
      <c r="Y409" t="e">
        <f>VLOOKUP(F409,'Transform table'!A:B,2,0)</f>
        <v>#N/A</v>
      </c>
      <c r="Z409" t="e">
        <f>C409&amp;X409&amp;Y409</f>
        <v>#N/A</v>
      </c>
      <c r="AA409" t="e">
        <f>VLOOKUP($Z409,'oddspedia-matches'!$A:$AD,AA$2,0)</f>
        <v>#N/A</v>
      </c>
      <c r="AB409" t="e">
        <f>VLOOKUP($Z409,'oddspedia-matches'!$A:$AD,AB$2,0)</f>
        <v>#N/A</v>
      </c>
      <c r="AC409" t="e">
        <f>VLOOKUP($Z409,'oddspedia-matches'!$A:$AD,AC$2,0)</f>
        <v>#N/A</v>
      </c>
      <c r="AD409" t="e">
        <f>VLOOKUP($Z409,'oddspedia-matches'!$A:$AD,AD$2,0)</f>
        <v>#N/A</v>
      </c>
      <c r="AE409" t="e">
        <f>VLOOKUP($Z409,'oddspedia-matches'!$A:$AD,AE$2,0)</f>
        <v>#N/A</v>
      </c>
      <c r="AF409" t="e">
        <f>VLOOKUP($Z409,'oddspedia-matches'!$A:$AD,AF$2,0)</f>
        <v>#N/A</v>
      </c>
      <c r="AG409" t="e">
        <f>VLOOKUP($Z409,'oddspedia-matches'!$A:$AD,AG$2,0)</f>
        <v>#N/A</v>
      </c>
      <c r="AH409" t="e">
        <f>VLOOKUP($Z409,'oddspedia-matches'!$A:$AD,AH$2,0)</f>
        <v>#N/A</v>
      </c>
      <c r="AI409" t="e">
        <f>VLOOKUP($Z409,'oddspedia-matches'!$A:$AD,AI$2,0)</f>
        <v>#N/A</v>
      </c>
      <c r="AJ409" t="e">
        <f>VLOOKUP($Z409,'oddspedia-matches'!$A:$AD,AJ$2,0)</f>
        <v>#N/A</v>
      </c>
      <c r="AK409" t="e">
        <f>VLOOKUP($Z409,'oddspedia-matches'!$A:$AD,AK$2,0)</f>
        <v>#N/A</v>
      </c>
      <c r="AL409" t="e">
        <f>VLOOKUP($Z409,'oddspedia-matches'!$A:$AD,AL$2,0)</f>
        <v>#N/A</v>
      </c>
      <c r="AM409" t="e">
        <f>VLOOKUP($Z409,'oddspedia-matches'!$A:$AD,AM$2,0)</f>
        <v>#N/A</v>
      </c>
      <c r="AN409" t="e">
        <f>VLOOKUP($Z409,'oddspedia-matches'!$A:$AD,AN$2,0)</f>
        <v>#N/A</v>
      </c>
      <c r="AO409" t="e">
        <f>VLOOKUP($Z409,'oddspedia-matches'!$A:$AD,AO$2,0)</f>
        <v>#N/A</v>
      </c>
      <c r="AP409" t="e">
        <f>VLOOKUP($Z409,'oddspedia-matches'!$A:$AD,AP$2,0)</f>
        <v>#N/A</v>
      </c>
      <c r="AQ409" t="e">
        <f>VLOOKUP($Z409,'oddspedia-matches'!$A:$AD,AQ$2,0)</f>
        <v>#N/A</v>
      </c>
    </row>
    <row r="410" spans="2:43" x14ac:dyDescent="0.2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>
        <f>VLOOKUP(E410,'Transform table'!A:B,2,0)</f>
        <v>0</v>
      </c>
      <c r="Y410" t="e">
        <f>VLOOKUP(F410,'Transform table'!A:B,2,0)</f>
        <v>#N/A</v>
      </c>
      <c r="Z410" t="e">
        <f>C410&amp;X410&amp;Y410</f>
        <v>#N/A</v>
      </c>
      <c r="AA410" t="e">
        <f>VLOOKUP($Z410,'oddspedia-matches'!$A:$AD,AA$2,0)</f>
        <v>#N/A</v>
      </c>
      <c r="AB410" t="e">
        <f>VLOOKUP($Z410,'oddspedia-matches'!$A:$AD,AB$2,0)</f>
        <v>#N/A</v>
      </c>
      <c r="AC410" t="e">
        <f>VLOOKUP($Z410,'oddspedia-matches'!$A:$AD,AC$2,0)</f>
        <v>#N/A</v>
      </c>
      <c r="AD410" t="e">
        <f>VLOOKUP($Z410,'oddspedia-matches'!$A:$AD,AD$2,0)</f>
        <v>#N/A</v>
      </c>
      <c r="AE410" t="e">
        <f>VLOOKUP($Z410,'oddspedia-matches'!$A:$AD,AE$2,0)</f>
        <v>#N/A</v>
      </c>
      <c r="AF410" t="e">
        <f>VLOOKUP($Z410,'oddspedia-matches'!$A:$AD,AF$2,0)</f>
        <v>#N/A</v>
      </c>
      <c r="AG410" t="e">
        <f>VLOOKUP($Z410,'oddspedia-matches'!$A:$AD,AG$2,0)</f>
        <v>#N/A</v>
      </c>
      <c r="AH410" t="e">
        <f>VLOOKUP($Z410,'oddspedia-matches'!$A:$AD,AH$2,0)</f>
        <v>#N/A</v>
      </c>
      <c r="AI410" t="e">
        <f>VLOOKUP($Z410,'oddspedia-matches'!$A:$AD,AI$2,0)</f>
        <v>#N/A</v>
      </c>
      <c r="AJ410" t="e">
        <f>VLOOKUP($Z410,'oddspedia-matches'!$A:$AD,AJ$2,0)</f>
        <v>#N/A</v>
      </c>
      <c r="AK410" t="e">
        <f>VLOOKUP($Z410,'oddspedia-matches'!$A:$AD,AK$2,0)</f>
        <v>#N/A</v>
      </c>
      <c r="AL410" t="e">
        <f>VLOOKUP($Z410,'oddspedia-matches'!$A:$AD,AL$2,0)</f>
        <v>#N/A</v>
      </c>
      <c r="AM410" t="e">
        <f>VLOOKUP($Z410,'oddspedia-matches'!$A:$AD,AM$2,0)</f>
        <v>#N/A</v>
      </c>
      <c r="AN410" t="e">
        <f>VLOOKUP($Z410,'oddspedia-matches'!$A:$AD,AN$2,0)</f>
        <v>#N/A</v>
      </c>
      <c r="AO410" t="e">
        <f>VLOOKUP($Z410,'oddspedia-matches'!$A:$AD,AO$2,0)</f>
        <v>#N/A</v>
      </c>
      <c r="AP410" t="e">
        <f>VLOOKUP($Z410,'oddspedia-matches'!$A:$AD,AP$2,0)</f>
        <v>#N/A</v>
      </c>
      <c r="AQ410" t="e">
        <f>VLOOKUP($Z410,'oddspedia-matches'!$A:$AD,AQ$2,0)</f>
        <v>#N/A</v>
      </c>
    </row>
    <row r="411" spans="2:43" x14ac:dyDescent="0.2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e">
        <f>VLOOKUP(F411,'Transform table'!A:B,2,0)</f>
        <v>#N/A</v>
      </c>
      <c r="Z411" t="e">
        <f>C411&amp;X411&amp;Y411</f>
        <v>#N/A</v>
      </c>
      <c r="AA411" t="e">
        <f>VLOOKUP($Z411,'oddspedia-matches'!$A:$AD,AA$2,0)</f>
        <v>#N/A</v>
      </c>
      <c r="AB411" t="e">
        <f>VLOOKUP($Z411,'oddspedia-matches'!$A:$AD,AB$2,0)</f>
        <v>#N/A</v>
      </c>
      <c r="AC411" t="e">
        <f>VLOOKUP($Z411,'oddspedia-matches'!$A:$AD,AC$2,0)</f>
        <v>#N/A</v>
      </c>
      <c r="AD411" t="e">
        <f>VLOOKUP($Z411,'oddspedia-matches'!$A:$AD,AD$2,0)</f>
        <v>#N/A</v>
      </c>
      <c r="AE411" t="e">
        <f>VLOOKUP($Z411,'oddspedia-matches'!$A:$AD,AE$2,0)</f>
        <v>#N/A</v>
      </c>
      <c r="AF411" t="e">
        <f>VLOOKUP($Z411,'oddspedia-matches'!$A:$AD,AF$2,0)</f>
        <v>#N/A</v>
      </c>
      <c r="AG411" t="e">
        <f>VLOOKUP($Z411,'oddspedia-matches'!$A:$AD,AG$2,0)</f>
        <v>#N/A</v>
      </c>
      <c r="AH411" t="e">
        <f>VLOOKUP($Z411,'oddspedia-matches'!$A:$AD,AH$2,0)</f>
        <v>#N/A</v>
      </c>
      <c r="AI411" t="e">
        <f>VLOOKUP($Z411,'oddspedia-matches'!$A:$AD,AI$2,0)</f>
        <v>#N/A</v>
      </c>
      <c r="AJ411" t="e">
        <f>VLOOKUP($Z411,'oddspedia-matches'!$A:$AD,AJ$2,0)</f>
        <v>#N/A</v>
      </c>
      <c r="AK411" t="e">
        <f>VLOOKUP($Z411,'oddspedia-matches'!$A:$AD,AK$2,0)</f>
        <v>#N/A</v>
      </c>
      <c r="AL411" t="e">
        <f>VLOOKUP($Z411,'oddspedia-matches'!$A:$AD,AL$2,0)</f>
        <v>#N/A</v>
      </c>
      <c r="AM411" t="e">
        <f>VLOOKUP($Z411,'oddspedia-matches'!$A:$AD,AM$2,0)</f>
        <v>#N/A</v>
      </c>
      <c r="AN411" t="e">
        <f>VLOOKUP($Z411,'oddspedia-matches'!$A:$AD,AN$2,0)</f>
        <v>#N/A</v>
      </c>
      <c r="AO411" t="e">
        <f>VLOOKUP($Z411,'oddspedia-matches'!$A:$AD,AO$2,0)</f>
        <v>#N/A</v>
      </c>
      <c r="AP411" t="e">
        <f>VLOOKUP($Z411,'oddspedia-matches'!$A:$AD,AP$2,0)</f>
        <v>#N/A</v>
      </c>
      <c r="AQ411" t="e">
        <f>VLOOKUP($Z411,'oddspedia-matches'!$A:$AD,AQ$2,0)</f>
        <v>#N/A</v>
      </c>
    </row>
    <row r="412" spans="2:43" x14ac:dyDescent="0.2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>
        <f>VLOOKUP(E412,'Transform table'!A:B,2,0)</f>
        <v>0</v>
      </c>
      <c r="Y412" t="str">
        <f>VLOOKUP(F412,'Transform table'!A:B,2,0)</f>
        <v>Viking</v>
      </c>
      <c r="Z412" t="str">
        <f>C412&amp;X412&amp;Y412</f>
        <v>26/07/20260Viking</v>
      </c>
      <c r="AA412" t="e">
        <f>VLOOKUP($Z412,'oddspedia-matches'!$A:$AD,AA$2,0)</f>
        <v>#N/A</v>
      </c>
      <c r="AB412" t="e">
        <f>VLOOKUP($Z412,'oddspedia-matches'!$A:$AD,AB$2,0)</f>
        <v>#N/A</v>
      </c>
      <c r="AC412" t="e">
        <f>VLOOKUP($Z412,'oddspedia-matches'!$A:$AD,AC$2,0)</f>
        <v>#N/A</v>
      </c>
      <c r="AD412" t="e">
        <f>VLOOKUP($Z412,'oddspedia-matches'!$A:$AD,AD$2,0)</f>
        <v>#N/A</v>
      </c>
      <c r="AE412" t="e">
        <f>VLOOKUP($Z412,'oddspedia-matches'!$A:$AD,AE$2,0)</f>
        <v>#N/A</v>
      </c>
      <c r="AF412" t="e">
        <f>VLOOKUP($Z412,'oddspedia-matches'!$A:$AD,AF$2,0)</f>
        <v>#N/A</v>
      </c>
      <c r="AG412" t="e">
        <f>VLOOKUP($Z412,'oddspedia-matches'!$A:$AD,AG$2,0)</f>
        <v>#N/A</v>
      </c>
      <c r="AH412" t="e">
        <f>VLOOKUP($Z412,'oddspedia-matches'!$A:$AD,AH$2,0)</f>
        <v>#N/A</v>
      </c>
      <c r="AI412" t="e">
        <f>VLOOKUP($Z412,'oddspedia-matches'!$A:$AD,AI$2,0)</f>
        <v>#N/A</v>
      </c>
      <c r="AJ412" t="e">
        <f>VLOOKUP($Z412,'oddspedia-matches'!$A:$AD,AJ$2,0)</f>
        <v>#N/A</v>
      </c>
      <c r="AK412" t="e">
        <f>VLOOKUP($Z412,'oddspedia-matches'!$A:$AD,AK$2,0)</f>
        <v>#N/A</v>
      </c>
      <c r="AL412" t="e">
        <f>VLOOKUP($Z412,'oddspedia-matches'!$A:$AD,AL$2,0)</f>
        <v>#N/A</v>
      </c>
      <c r="AM412" t="e">
        <f>VLOOKUP($Z412,'oddspedia-matches'!$A:$AD,AM$2,0)</f>
        <v>#N/A</v>
      </c>
      <c r="AN412" t="e">
        <f>VLOOKUP($Z412,'oddspedia-matches'!$A:$AD,AN$2,0)</f>
        <v>#N/A</v>
      </c>
      <c r="AO412" t="e">
        <f>VLOOKUP($Z412,'oddspedia-matches'!$A:$AD,AO$2,0)</f>
        <v>#N/A</v>
      </c>
      <c r="AP412" t="e">
        <f>VLOOKUP($Z412,'oddspedia-matches'!$A:$AD,AP$2,0)</f>
        <v>#N/A</v>
      </c>
      <c r="AQ412" t="e">
        <f>VLOOKUP($Z412,'oddspedia-matches'!$A:$AD,AQ$2,0)</f>
        <v>#N/A</v>
      </c>
    </row>
    <row r="413" spans="2:43" x14ac:dyDescent="0.2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>
        <f>VLOOKUP(E413,'Transform table'!A:B,2,0)</f>
        <v>0</v>
      </c>
      <c r="Y413" t="e">
        <f>VLOOKUP(F413,'Transform table'!A:B,2,0)</f>
        <v>#N/A</v>
      </c>
      <c r="Z413" t="e">
        <f>C413&amp;X413&amp;Y413</f>
        <v>#N/A</v>
      </c>
      <c r="AA413" t="e">
        <f>VLOOKUP($Z413,'oddspedia-matches'!$A:$AD,AA$2,0)</f>
        <v>#N/A</v>
      </c>
      <c r="AB413" t="e">
        <f>VLOOKUP($Z413,'oddspedia-matches'!$A:$AD,AB$2,0)</f>
        <v>#N/A</v>
      </c>
      <c r="AC413" t="e">
        <f>VLOOKUP($Z413,'oddspedia-matches'!$A:$AD,AC$2,0)</f>
        <v>#N/A</v>
      </c>
      <c r="AD413" t="e">
        <f>VLOOKUP($Z413,'oddspedia-matches'!$A:$AD,AD$2,0)</f>
        <v>#N/A</v>
      </c>
      <c r="AE413" t="e">
        <f>VLOOKUP($Z413,'oddspedia-matches'!$A:$AD,AE$2,0)</f>
        <v>#N/A</v>
      </c>
      <c r="AF413" t="e">
        <f>VLOOKUP($Z413,'oddspedia-matches'!$A:$AD,AF$2,0)</f>
        <v>#N/A</v>
      </c>
      <c r="AG413" t="e">
        <f>VLOOKUP($Z413,'oddspedia-matches'!$A:$AD,AG$2,0)</f>
        <v>#N/A</v>
      </c>
      <c r="AH413" t="e">
        <f>VLOOKUP($Z413,'oddspedia-matches'!$A:$AD,AH$2,0)</f>
        <v>#N/A</v>
      </c>
      <c r="AI413" t="e">
        <f>VLOOKUP($Z413,'oddspedia-matches'!$A:$AD,AI$2,0)</f>
        <v>#N/A</v>
      </c>
      <c r="AJ413" t="e">
        <f>VLOOKUP($Z413,'oddspedia-matches'!$A:$AD,AJ$2,0)</f>
        <v>#N/A</v>
      </c>
      <c r="AK413" t="e">
        <f>VLOOKUP($Z413,'oddspedia-matches'!$A:$AD,AK$2,0)</f>
        <v>#N/A</v>
      </c>
      <c r="AL413" t="e">
        <f>VLOOKUP($Z413,'oddspedia-matches'!$A:$AD,AL$2,0)</f>
        <v>#N/A</v>
      </c>
      <c r="AM413" t="e">
        <f>VLOOKUP($Z413,'oddspedia-matches'!$A:$AD,AM$2,0)</f>
        <v>#N/A</v>
      </c>
      <c r="AN413" t="e">
        <f>VLOOKUP($Z413,'oddspedia-matches'!$A:$AD,AN$2,0)</f>
        <v>#N/A</v>
      </c>
      <c r="AO413" t="e">
        <f>VLOOKUP($Z413,'oddspedia-matches'!$A:$AD,AO$2,0)</f>
        <v>#N/A</v>
      </c>
      <c r="AP413" t="e">
        <f>VLOOKUP($Z413,'oddspedia-matches'!$A:$AD,AP$2,0)</f>
        <v>#N/A</v>
      </c>
      <c r="AQ413" t="e">
        <f>VLOOKUP($Z413,'oddspedia-matches'!$A:$AD,AQ$2,0)</f>
        <v>#N/A</v>
      </c>
    </row>
    <row r="414" spans="2:43" x14ac:dyDescent="0.2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e">
        <f>VLOOKUP(F414,'Transform table'!A:B,2,0)</f>
        <v>#N/A</v>
      </c>
      <c r="Z414" t="e">
        <f>C414&amp;X414&amp;Y414</f>
        <v>#N/A</v>
      </c>
      <c r="AA414" t="e">
        <f>VLOOKUP($Z414,'oddspedia-matches'!$A:$AD,AA$2,0)</f>
        <v>#N/A</v>
      </c>
      <c r="AB414" t="e">
        <f>VLOOKUP($Z414,'oddspedia-matches'!$A:$AD,AB$2,0)</f>
        <v>#N/A</v>
      </c>
      <c r="AC414" t="e">
        <f>VLOOKUP($Z414,'oddspedia-matches'!$A:$AD,AC$2,0)</f>
        <v>#N/A</v>
      </c>
      <c r="AD414" t="e">
        <f>VLOOKUP($Z414,'oddspedia-matches'!$A:$AD,AD$2,0)</f>
        <v>#N/A</v>
      </c>
      <c r="AE414" t="e">
        <f>VLOOKUP($Z414,'oddspedia-matches'!$A:$AD,AE$2,0)</f>
        <v>#N/A</v>
      </c>
      <c r="AF414" t="e">
        <f>VLOOKUP($Z414,'oddspedia-matches'!$A:$AD,AF$2,0)</f>
        <v>#N/A</v>
      </c>
      <c r="AG414" t="e">
        <f>VLOOKUP($Z414,'oddspedia-matches'!$A:$AD,AG$2,0)</f>
        <v>#N/A</v>
      </c>
      <c r="AH414" t="e">
        <f>VLOOKUP($Z414,'oddspedia-matches'!$A:$AD,AH$2,0)</f>
        <v>#N/A</v>
      </c>
      <c r="AI414" t="e">
        <f>VLOOKUP($Z414,'oddspedia-matches'!$A:$AD,AI$2,0)</f>
        <v>#N/A</v>
      </c>
      <c r="AJ414" t="e">
        <f>VLOOKUP($Z414,'oddspedia-matches'!$A:$AD,AJ$2,0)</f>
        <v>#N/A</v>
      </c>
      <c r="AK414" t="e">
        <f>VLOOKUP($Z414,'oddspedia-matches'!$A:$AD,AK$2,0)</f>
        <v>#N/A</v>
      </c>
      <c r="AL414" t="e">
        <f>VLOOKUP($Z414,'oddspedia-matches'!$A:$AD,AL$2,0)</f>
        <v>#N/A</v>
      </c>
      <c r="AM414" t="e">
        <f>VLOOKUP($Z414,'oddspedia-matches'!$A:$AD,AM$2,0)</f>
        <v>#N/A</v>
      </c>
      <c r="AN414" t="e">
        <f>VLOOKUP($Z414,'oddspedia-matches'!$A:$AD,AN$2,0)</f>
        <v>#N/A</v>
      </c>
      <c r="AO414" t="e">
        <f>VLOOKUP($Z414,'oddspedia-matches'!$A:$AD,AO$2,0)</f>
        <v>#N/A</v>
      </c>
      <c r="AP414" t="e">
        <f>VLOOKUP($Z414,'oddspedia-matches'!$A:$AD,AP$2,0)</f>
        <v>#N/A</v>
      </c>
      <c r="AQ414" t="e">
        <f>VLOOKUP($Z414,'oddspedia-matches'!$A:$AD,AQ$2,0)</f>
        <v>#N/A</v>
      </c>
    </row>
    <row r="415" spans="2:43" x14ac:dyDescent="0.2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f>VLOOKUP(E415,'Transform table'!A:B,2,0)</f>
        <v>0</v>
      </c>
      <c r="Y415" t="e">
        <f>VLOOKUP(F415,'Transform table'!A:B,2,0)</f>
        <v>#N/A</v>
      </c>
      <c r="Z415" t="e">
        <f>C415&amp;X415&amp;Y415</f>
        <v>#N/A</v>
      </c>
      <c r="AA415" t="e">
        <f>VLOOKUP($Z415,'oddspedia-matches'!$A:$AD,AA$2,0)</f>
        <v>#N/A</v>
      </c>
      <c r="AB415" t="e">
        <f>VLOOKUP($Z415,'oddspedia-matches'!$A:$AD,AB$2,0)</f>
        <v>#N/A</v>
      </c>
      <c r="AC415" t="e">
        <f>VLOOKUP($Z415,'oddspedia-matches'!$A:$AD,AC$2,0)</f>
        <v>#N/A</v>
      </c>
      <c r="AD415" t="e">
        <f>VLOOKUP($Z415,'oddspedia-matches'!$A:$AD,AD$2,0)</f>
        <v>#N/A</v>
      </c>
      <c r="AE415" t="e">
        <f>VLOOKUP($Z415,'oddspedia-matches'!$A:$AD,AE$2,0)</f>
        <v>#N/A</v>
      </c>
      <c r="AF415" t="e">
        <f>VLOOKUP($Z415,'oddspedia-matches'!$A:$AD,AF$2,0)</f>
        <v>#N/A</v>
      </c>
      <c r="AG415" t="e">
        <f>VLOOKUP($Z415,'oddspedia-matches'!$A:$AD,AG$2,0)</f>
        <v>#N/A</v>
      </c>
      <c r="AH415" t="e">
        <f>VLOOKUP($Z415,'oddspedia-matches'!$A:$AD,AH$2,0)</f>
        <v>#N/A</v>
      </c>
      <c r="AI415" t="e">
        <f>VLOOKUP($Z415,'oddspedia-matches'!$A:$AD,AI$2,0)</f>
        <v>#N/A</v>
      </c>
      <c r="AJ415" t="e">
        <f>VLOOKUP($Z415,'oddspedia-matches'!$A:$AD,AJ$2,0)</f>
        <v>#N/A</v>
      </c>
      <c r="AK415" t="e">
        <f>VLOOKUP($Z415,'oddspedia-matches'!$A:$AD,AK$2,0)</f>
        <v>#N/A</v>
      </c>
      <c r="AL415" t="e">
        <f>VLOOKUP($Z415,'oddspedia-matches'!$A:$AD,AL$2,0)</f>
        <v>#N/A</v>
      </c>
      <c r="AM415" t="e">
        <f>VLOOKUP($Z415,'oddspedia-matches'!$A:$AD,AM$2,0)</f>
        <v>#N/A</v>
      </c>
      <c r="AN415" t="e">
        <f>VLOOKUP($Z415,'oddspedia-matches'!$A:$AD,AN$2,0)</f>
        <v>#N/A</v>
      </c>
      <c r="AO415" t="e">
        <f>VLOOKUP($Z415,'oddspedia-matches'!$A:$AD,AO$2,0)</f>
        <v>#N/A</v>
      </c>
      <c r="AP415" t="e">
        <f>VLOOKUP($Z415,'oddspedia-matches'!$A:$AD,AP$2,0)</f>
        <v>#N/A</v>
      </c>
      <c r="AQ415" t="e">
        <f>VLOOKUP($Z415,'oddspedia-matches'!$A:$AD,AQ$2,0)</f>
        <v>#N/A</v>
      </c>
    </row>
    <row r="416" spans="2:43" x14ac:dyDescent="0.2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>
        <f>VLOOKUP(E416,'Transform table'!A:B,2,0)</f>
        <v>0</v>
      </c>
      <c r="Y416" t="str">
        <f>VLOOKUP(F416,'Transform table'!A:B,2,0)</f>
        <v>San Martin de San Juan</v>
      </c>
      <c r="Z416" t="str">
        <f>C416&amp;X416&amp;Y416</f>
        <v>26/07/20260San Martin de San Juan</v>
      </c>
      <c r="AA416" t="e">
        <f>VLOOKUP($Z416,'oddspedia-matches'!$A:$AD,AA$2,0)</f>
        <v>#N/A</v>
      </c>
      <c r="AB416" t="e">
        <f>VLOOKUP($Z416,'oddspedia-matches'!$A:$AD,AB$2,0)</f>
        <v>#N/A</v>
      </c>
      <c r="AC416" t="e">
        <f>VLOOKUP($Z416,'oddspedia-matches'!$A:$AD,AC$2,0)</f>
        <v>#N/A</v>
      </c>
      <c r="AD416" t="e">
        <f>VLOOKUP($Z416,'oddspedia-matches'!$A:$AD,AD$2,0)</f>
        <v>#N/A</v>
      </c>
      <c r="AE416" t="e">
        <f>VLOOKUP($Z416,'oddspedia-matches'!$A:$AD,AE$2,0)</f>
        <v>#N/A</v>
      </c>
      <c r="AF416" t="e">
        <f>VLOOKUP($Z416,'oddspedia-matches'!$A:$AD,AF$2,0)</f>
        <v>#N/A</v>
      </c>
      <c r="AG416" t="e">
        <f>VLOOKUP($Z416,'oddspedia-matches'!$A:$AD,AG$2,0)</f>
        <v>#N/A</v>
      </c>
      <c r="AH416" t="e">
        <f>VLOOKUP($Z416,'oddspedia-matches'!$A:$AD,AH$2,0)</f>
        <v>#N/A</v>
      </c>
      <c r="AI416" t="e">
        <f>VLOOKUP($Z416,'oddspedia-matches'!$A:$AD,AI$2,0)</f>
        <v>#N/A</v>
      </c>
      <c r="AJ416" t="e">
        <f>VLOOKUP($Z416,'oddspedia-matches'!$A:$AD,AJ$2,0)</f>
        <v>#N/A</v>
      </c>
      <c r="AK416" t="e">
        <f>VLOOKUP($Z416,'oddspedia-matches'!$A:$AD,AK$2,0)</f>
        <v>#N/A</v>
      </c>
      <c r="AL416" t="e">
        <f>VLOOKUP($Z416,'oddspedia-matches'!$A:$AD,AL$2,0)</f>
        <v>#N/A</v>
      </c>
      <c r="AM416" t="e">
        <f>VLOOKUP($Z416,'oddspedia-matches'!$A:$AD,AM$2,0)</f>
        <v>#N/A</v>
      </c>
      <c r="AN416" t="e">
        <f>VLOOKUP($Z416,'oddspedia-matches'!$A:$AD,AN$2,0)</f>
        <v>#N/A</v>
      </c>
      <c r="AO416" t="e">
        <f>VLOOKUP($Z416,'oddspedia-matches'!$A:$AD,AO$2,0)</f>
        <v>#N/A</v>
      </c>
      <c r="AP416" t="e">
        <f>VLOOKUP($Z416,'oddspedia-matches'!$A:$AD,AP$2,0)</f>
        <v>#N/A</v>
      </c>
      <c r="AQ416" t="e">
        <f>VLOOKUP($Z416,'oddspedia-matches'!$A:$AD,AQ$2,0)</f>
        <v>#N/A</v>
      </c>
    </row>
    <row r="417" spans="2:43" x14ac:dyDescent="0.2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f>VLOOKUP(E417,'Transform table'!A:B,2,0)</f>
        <v>0</v>
      </c>
      <c r="Y417" t="e">
        <f>VLOOKUP(F417,'Transform table'!A:B,2,0)</f>
        <v>#N/A</v>
      </c>
      <c r="Z417" t="e">
        <f>C417&amp;X417&amp;Y417</f>
        <v>#N/A</v>
      </c>
      <c r="AA417" t="e">
        <f>VLOOKUP($Z417,'oddspedia-matches'!$A:$AD,AA$2,0)</f>
        <v>#N/A</v>
      </c>
      <c r="AB417" t="e">
        <f>VLOOKUP($Z417,'oddspedia-matches'!$A:$AD,AB$2,0)</f>
        <v>#N/A</v>
      </c>
      <c r="AC417" t="e">
        <f>VLOOKUP($Z417,'oddspedia-matches'!$A:$AD,AC$2,0)</f>
        <v>#N/A</v>
      </c>
      <c r="AD417" t="e">
        <f>VLOOKUP($Z417,'oddspedia-matches'!$A:$AD,AD$2,0)</f>
        <v>#N/A</v>
      </c>
      <c r="AE417" t="e">
        <f>VLOOKUP($Z417,'oddspedia-matches'!$A:$AD,AE$2,0)</f>
        <v>#N/A</v>
      </c>
      <c r="AF417" t="e">
        <f>VLOOKUP($Z417,'oddspedia-matches'!$A:$AD,AF$2,0)</f>
        <v>#N/A</v>
      </c>
      <c r="AG417" t="e">
        <f>VLOOKUP($Z417,'oddspedia-matches'!$A:$AD,AG$2,0)</f>
        <v>#N/A</v>
      </c>
      <c r="AH417" t="e">
        <f>VLOOKUP($Z417,'oddspedia-matches'!$A:$AD,AH$2,0)</f>
        <v>#N/A</v>
      </c>
      <c r="AI417" t="e">
        <f>VLOOKUP($Z417,'oddspedia-matches'!$A:$AD,AI$2,0)</f>
        <v>#N/A</v>
      </c>
      <c r="AJ417" t="e">
        <f>VLOOKUP($Z417,'oddspedia-matches'!$A:$AD,AJ$2,0)</f>
        <v>#N/A</v>
      </c>
      <c r="AK417" t="e">
        <f>VLOOKUP($Z417,'oddspedia-matches'!$A:$AD,AK$2,0)</f>
        <v>#N/A</v>
      </c>
      <c r="AL417" t="e">
        <f>VLOOKUP($Z417,'oddspedia-matches'!$A:$AD,AL$2,0)</f>
        <v>#N/A</v>
      </c>
      <c r="AM417" t="e">
        <f>VLOOKUP($Z417,'oddspedia-matches'!$A:$AD,AM$2,0)</f>
        <v>#N/A</v>
      </c>
      <c r="AN417" t="e">
        <f>VLOOKUP($Z417,'oddspedia-matches'!$A:$AD,AN$2,0)</f>
        <v>#N/A</v>
      </c>
      <c r="AO417" t="e">
        <f>VLOOKUP($Z417,'oddspedia-matches'!$A:$AD,AO$2,0)</f>
        <v>#N/A</v>
      </c>
      <c r="AP417" t="e">
        <f>VLOOKUP($Z417,'oddspedia-matches'!$A:$AD,AP$2,0)</f>
        <v>#N/A</v>
      </c>
      <c r="AQ417" t="e">
        <f>VLOOKUP($Z417,'oddspedia-matches'!$A:$AD,AQ$2,0)</f>
        <v>#N/A</v>
      </c>
    </row>
    <row r="418" spans="2:43" x14ac:dyDescent="0.2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f>VLOOKUP(E418,'Transform table'!A:B,2,0)</f>
        <v>0</v>
      </c>
      <c r="Y418" t="e">
        <f>VLOOKUP(F418,'Transform table'!A:B,2,0)</f>
        <v>#N/A</v>
      </c>
      <c r="Z418" t="e">
        <f>C418&amp;X418&amp;Y418</f>
        <v>#N/A</v>
      </c>
      <c r="AA418" t="e">
        <f>VLOOKUP($Z418,'oddspedia-matches'!$A:$AD,AA$2,0)</f>
        <v>#N/A</v>
      </c>
      <c r="AB418" t="e">
        <f>VLOOKUP($Z418,'oddspedia-matches'!$A:$AD,AB$2,0)</f>
        <v>#N/A</v>
      </c>
      <c r="AC418" t="e">
        <f>VLOOKUP($Z418,'oddspedia-matches'!$A:$AD,AC$2,0)</f>
        <v>#N/A</v>
      </c>
      <c r="AD418" t="e">
        <f>VLOOKUP($Z418,'oddspedia-matches'!$A:$AD,AD$2,0)</f>
        <v>#N/A</v>
      </c>
      <c r="AE418" t="e">
        <f>VLOOKUP($Z418,'oddspedia-matches'!$A:$AD,AE$2,0)</f>
        <v>#N/A</v>
      </c>
      <c r="AF418" t="e">
        <f>VLOOKUP($Z418,'oddspedia-matches'!$A:$AD,AF$2,0)</f>
        <v>#N/A</v>
      </c>
      <c r="AG418" t="e">
        <f>VLOOKUP($Z418,'oddspedia-matches'!$A:$AD,AG$2,0)</f>
        <v>#N/A</v>
      </c>
      <c r="AH418" t="e">
        <f>VLOOKUP($Z418,'oddspedia-matches'!$A:$AD,AH$2,0)</f>
        <v>#N/A</v>
      </c>
      <c r="AI418" t="e">
        <f>VLOOKUP($Z418,'oddspedia-matches'!$A:$AD,AI$2,0)</f>
        <v>#N/A</v>
      </c>
      <c r="AJ418" t="e">
        <f>VLOOKUP($Z418,'oddspedia-matches'!$A:$AD,AJ$2,0)</f>
        <v>#N/A</v>
      </c>
      <c r="AK418" t="e">
        <f>VLOOKUP($Z418,'oddspedia-matches'!$A:$AD,AK$2,0)</f>
        <v>#N/A</v>
      </c>
      <c r="AL418" t="e">
        <f>VLOOKUP($Z418,'oddspedia-matches'!$A:$AD,AL$2,0)</f>
        <v>#N/A</v>
      </c>
      <c r="AM418" t="e">
        <f>VLOOKUP($Z418,'oddspedia-matches'!$A:$AD,AM$2,0)</f>
        <v>#N/A</v>
      </c>
      <c r="AN418" t="e">
        <f>VLOOKUP($Z418,'oddspedia-matches'!$A:$AD,AN$2,0)</f>
        <v>#N/A</v>
      </c>
      <c r="AO418" t="e">
        <f>VLOOKUP($Z418,'oddspedia-matches'!$A:$AD,AO$2,0)</f>
        <v>#N/A</v>
      </c>
      <c r="AP418" t="e">
        <f>VLOOKUP($Z418,'oddspedia-matches'!$A:$AD,AP$2,0)</f>
        <v>#N/A</v>
      </c>
      <c r="AQ418" t="e">
        <f>VLOOKUP($Z418,'oddspedia-matches'!$A:$AD,AQ$2,0)</f>
        <v>#N/A</v>
      </c>
    </row>
    <row r="419" spans="2:43" x14ac:dyDescent="0.2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e">
        <f>VLOOKUP(F419,'Transform table'!A:B,2,0)</f>
        <v>#N/A</v>
      </c>
      <c r="Z419" t="e">
        <f>C419&amp;X419&amp;Y419</f>
        <v>#N/A</v>
      </c>
      <c r="AA419" t="e">
        <f>VLOOKUP($Z419,'oddspedia-matches'!$A:$AD,AA$2,0)</f>
        <v>#N/A</v>
      </c>
      <c r="AB419" t="e">
        <f>VLOOKUP($Z419,'oddspedia-matches'!$A:$AD,AB$2,0)</f>
        <v>#N/A</v>
      </c>
      <c r="AC419" t="e">
        <f>VLOOKUP($Z419,'oddspedia-matches'!$A:$AD,AC$2,0)</f>
        <v>#N/A</v>
      </c>
      <c r="AD419" t="e">
        <f>VLOOKUP($Z419,'oddspedia-matches'!$A:$AD,AD$2,0)</f>
        <v>#N/A</v>
      </c>
      <c r="AE419" t="e">
        <f>VLOOKUP($Z419,'oddspedia-matches'!$A:$AD,AE$2,0)</f>
        <v>#N/A</v>
      </c>
      <c r="AF419" t="e">
        <f>VLOOKUP($Z419,'oddspedia-matches'!$A:$AD,AF$2,0)</f>
        <v>#N/A</v>
      </c>
      <c r="AG419" t="e">
        <f>VLOOKUP($Z419,'oddspedia-matches'!$A:$AD,AG$2,0)</f>
        <v>#N/A</v>
      </c>
      <c r="AH419" t="e">
        <f>VLOOKUP($Z419,'oddspedia-matches'!$A:$AD,AH$2,0)</f>
        <v>#N/A</v>
      </c>
      <c r="AI419" t="e">
        <f>VLOOKUP($Z419,'oddspedia-matches'!$A:$AD,AI$2,0)</f>
        <v>#N/A</v>
      </c>
      <c r="AJ419" t="e">
        <f>VLOOKUP($Z419,'oddspedia-matches'!$A:$AD,AJ$2,0)</f>
        <v>#N/A</v>
      </c>
      <c r="AK419" t="e">
        <f>VLOOKUP($Z419,'oddspedia-matches'!$A:$AD,AK$2,0)</f>
        <v>#N/A</v>
      </c>
      <c r="AL419" t="e">
        <f>VLOOKUP($Z419,'oddspedia-matches'!$A:$AD,AL$2,0)</f>
        <v>#N/A</v>
      </c>
      <c r="AM419" t="e">
        <f>VLOOKUP($Z419,'oddspedia-matches'!$A:$AD,AM$2,0)</f>
        <v>#N/A</v>
      </c>
      <c r="AN419" t="e">
        <f>VLOOKUP($Z419,'oddspedia-matches'!$A:$AD,AN$2,0)</f>
        <v>#N/A</v>
      </c>
      <c r="AO419" t="e">
        <f>VLOOKUP($Z419,'oddspedia-matches'!$A:$AD,AO$2,0)</f>
        <v>#N/A</v>
      </c>
      <c r="AP419" t="e">
        <f>VLOOKUP($Z419,'oddspedia-matches'!$A:$AD,AP$2,0)</f>
        <v>#N/A</v>
      </c>
      <c r="AQ419" t="e">
        <f>VLOOKUP($Z419,'oddspedia-matches'!$A:$AD,AQ$2,0)</f>
        <v>#N/A</v>
      </c>
    </row>
    <row r="420" spans="2:43" x14ac:dyDescent="0.2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f>VLOOKUP(E420,'Transform table'!A:B,2,0)</f>
        <v>0</v>
      </c>
      <c r="Y420" t="e">
        <f>VLOOKUP(F420,'Transform table'!A:B,2,0)</f>
        <v>#N/A</v>
      </c>
      <c r="Z420" t="e">
        <f>C420&amp;X420&amp;Y420</f>
        <v>#N/A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x14ac:dyDescent="0.2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str">
        <f>VLOOKUP(E421,'Transform table'!A:B,2,0)</f>
        <v>Juventud Unida San Miguel</v>
      </c>
      <c r="Y421" t="e">
        <f>VLOOKUP(F421,'Transform table'!A:B,2,0)</f>
        <v>#N/A</v>
      </c>
      <c r="Z421" t="e">
        <f>C421&amp;X421&amp;Y421</f>
        <v>#N/A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x14ac:dyDescent="0.2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>
        <f>VLOOKUP(E422,'Transform table'!A:B,2,0)</f>
        <v>0</v>
      </c>
      <c r="Y422" t="e">
        <f>VLOOKUP(F422,'Transform table'!A:B,2,0)</f>
        <v>#N/A</v>
      </c>
      <c r="Z422" t="e">
        <f>C422&amp;X422&amp;Y422</f>
        <v>#N/A</v>
      </c>
      <c r="AA422" t="e">
        <f>VLOOKUP($Z422,'oddspedia-matches'!$A:$AD,AA$2,0)</f>
        <v>#N/A</v>
      </c>
      <c r="AB422" t="e">
        <f>VLOOKUP($Z422,'oddspedia-matches'!$A:$AD,AB$2,0)</f>
        <v>#N/A</v>
      </c>
      <c r="AC422" t="e">
        <f>VLOOKUP($Z422,'oddspedia-matches'!$A:$AD,AC$2,0)</f>
        <v>#N/A</v>
      </c>
      <c r="AD422" t="e">
        <f>VLOOKUP($Z422,'oddspedia-matches'!$A:$AD,AD$2,0)</f>
        <v>#N/A</v>
      </c>
      <c r="AE422" t="e">
        <f>VLOOKUP($Z422,'oddspedia-matches'!$A:$AD,AE$2,0)</f>
        <v>#N/A</v>
      </c>
      <c r="AF422" t="e">
        <f>VLOOKUP($Z422,'oddspedia-matches'!$A:$AD,AF$2,0)</f>
        <v>#N/A</v>
      </c>
      <c r="AG422" t="e">
        <f>VLOOKUP($Z422,'oddspedia-matches'!$A:$AD,AG$2,0)</f>
        <v>#N/A</v>
      </c>
      <c r="AH422" t="e">
        <f>VLOOKUP($Z422,'oddspedia-matches'!$A:$AD,AH$2,0)</f>
        <v>#N/A</v>
      </c>
      <c r="AI422" t="e">
        <f>VLOOKUP($Z422,'oddspedia-matches'!$A:$AD,AI$2,0)</f>
        <v>#N/A</v>
      </c>
      <c r="AJ422" t="e">
        <f>VLOOKUP($Z422,'oddspedia-matches'!$A:$AD,AJ$2,0)</f>
        <v>#N/A</v>
      </c>
      <c r="AK422" t="e">
        <f>VLOOKUP($Z422,'oddspedia-matches'!$A:$AD,AK$2,0)</f>
        <v>#N/A</v>
      </c>
      <c r="AL422" t="e">
        <f>VLOOKUP($Z422,'oddspedia-matches'!$A:$AD,AL$2,0)</f>
        <v>#N/A</v>
      </c>
      <c r="AM422" t="e">
        <f>VLOOKUP($Z422,'oddspedia-matches'!$A:$AD,AM$2,0)</f>
        <v>#N/A</v>
      </c>
      <c r="AN422" t="e">
        <f>VLOOKUP($Z422,'oddspedia-matches'!$A:$AD,AN$2,0)</f>
        <v>#N/A</v>
      </c>
      <c r="AO422" t="e">
        <f>VLOOKUP($Z422,'oddspedia-matches'!$A:$AD,AO$2,0)</f>
        <v>#N/A</v>
      </c>
      <c r="AP422" t="e">
        <f>VLOOKUP($Z422,'oddspedia-matches'!$A:$AD,AP$2,0)</f>
        <v>#N/A</v>
      </c>
      <c r="AQ422" t="e">
        <f>VLOOKUP($Z422,'oddspedia-matches'!$A:$AD,AQ$2,0)</f>
        <v>#N/A</v>
      </c>
    </row>
    <row r="423" spans="2:43" x14ac:dyDescent="0.2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e">
        <f>VLOOKUP(F423,'Transform table'!A:B,2,0)</f>
        <v>#N/A</v>
      </c>
      <c r="Z423" t="e">
        <f>C423&amp;X423&amp;Y423</f>
        <v>#N/A</v>
      </c>
      <c r="AA423" t="e">
        <f>VLOOKUP($Z423,'oddspedia-matches'!$A:$AD,AA$2,0)</f>
        <v>#N/A</v>
      </c>
      <c r="AB423" t="e">
        <f>VLOOKUP($Z423,'oddspedia-matches'!$A:$AD,AB$2,0)</f>
        <v>#N/A</v>
      </c>
      <c r="AC423" t="e">
        <f>VLOOKUP($Z423,'oddspedia-matches'!$A:$AD,AC$2,0)</f>
        <v>#N/A</v>
      </c>
      <c r="AD423" t="e">
        <f>VLOOKUP($Z423,'oddspedia-matches'!$A:$AD,AD$2,0)</f>
        <v>#N/A</v>
      </c>
      <c r="AE423" t="e">
        <f>VLOOKUP($Z423,'oddspedia-matches'!$A:$AD,AE$2,0)</f>
        <v>#N/A</v>
      </c>
      <c r="AF423" t="e">
        <f>VLOOKUP($Z423,'oddspedia-matches'!$A:$AD,AF$2,0)</f>
        <v>#N/A</v>
      </c>
      <c r="AG423" t="e">
        <f>VLOOKUP($Z423,'oddspedia-matches'!$A:$AD,AG$2,0)</f>
        <v>#N/A</v>
      </c>
      <c r="AH423" t="e">
        <f>VLOOKUP($Z423,'oddspedia-matches'!$A:$AD,AH$2,0)</f>
        <v>#N/A</v>
      </c>
      <c r="AI423" t="e">
        <f>VLOOKUP($Z423,'oddspedia-matches'!$A:$AD,AI$2,0)</f>
        <v>#N/A</v>
      </c>
      <c r="AJ423" t="e">
        <f>VLOOKUP($Z423,'oddspedia-matches'!$A:$AD,AJ$2,0)</f>
        <v>#N/A</v>
      </c>
      <c r="AK423" t="e">
        <f>VLOOKUP($Z423,'oddspedia-matches'!$A:$AD,AK$2,0)</f>
        <v>#N/A</v>
      </c>
      <c r="AL423" t="e">
        <f>VLOOKUP($Z423,'oddspedia-matches'!$A:$AD,AL$2,0)</f>
        <v>#N/A</v>
      </c>
      <c r="AM423" t="e">
        <f>VLOOKUP($Z423,'oddspedia-matches'!$A:$AD,AM$2,0)</f>
        <v>#N/A</v>
      </c>
      <c r="AN423" t="e">
        <f>VLOOKUP($Z423,'oddspedia-matches'!$A:$AD,AN$2,0)</f>
        <v>#N/A</v>
      </c>
      <c r="AO423" t="e">
        <f>VLOOKUP($Z423,'oddspedia-matches'!$A:$AD,AO$2,0)</f>
        <v>#N/A</v>
      </c>
      <c r="AP423" t="e">
        <f>VLOOKUP($Z423,'oddspedia-matches'!$A:$AD,AP$2,0)</f>
        <v>#N/A</v>
      </c>
      <c r="AQ423" t="e">
        <f>VLOOKUP($Z423,'oddspedia-matches'!$A:$AD,AQ$2,0)</f>
        <v>#N/A</v>
      </c>
    </row>
    <row r="424" spans="2:43" x14ac:dyDescent="0.2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f>VLOOKUP(E424,'Transform table'!A:B,2,0)</f>
        <v>0</v>
      </c>
      <c r="Y424" t="e">
        <f>VLOOKUP(F424,'Transform table'!A:B,2,0)</f>
        <v>#N/A</v>
      </c>
      <c r="Z424" t="e">
        <f>C424&amp;X424&amp;Y424</f>
        <v>#N/A</v>
      </c>
      <c r="AA424" t="e">
        <f>VLOOKUP($Z424,'oddspedia-matches'!$A:$AD,AA$2,0)</f>
        <v>#N/A</v>
      </c>
      <c r="AB424" t="e">
        <f>VLOOKUP($Z424,'oddspedia-matches'!$A:$AD,AB$2,0)</f>
        <v>#N/A</v>
      </c>
      <c r="AC424" t="e">
        <f>VLOOKUP($Z424,'oddspedia-matches'!$A:$AD,AC$2,0)</f>
        <v>#N/A</v>
      </c>
      <c r="AD424" t="e">
        <f>VLOOKUP($Z424,'oddspedia-matches'!$A:$AD,AD$2,0)</f>
        <v>#N/A</v>
      </c>
      <c r="AE424" t="e">
        <f>VLOOKUP($Z424,'oddspedia-matches'!$A:$AD,AE$2,0)</f>
        <v>#N/A</v>
      </c>
      <c r="AF424" t="e">
        <f>VLOOKUP($Z424,'oddspedia-matches'!$A:$AD,AF$2,0)</f>
        <v>#N/A</v>
      </c>
      <c r="AG424" t="e">
        <f>VLOOKUP($Z424,'oddspedia-matches'!$A:$AD,AG$2,0)</f>
        <v>#N/A</v>
      </c>
      <c r="AH424" t="e">
        <f>VLOOKUP($Z424,'oddspedia-matches'!$A:$AD,AH$2,0)</f>
        <v>#N/A</v>
      </c>
      <c r="AI424" t="e">
        <f>VLOOKUP($Z424,'oddspedia-matches'!$A:$AD,AI$2,0)</f>
        <v>#N/A</v>
      </c>
      <c r="AJ424" t="e">
        <f>VLOOKUP($Z424,'oddspedia-matches'!$A:$AD,AJ$2,0)</f>
        <v>#N/A</v>
      </c>
      <c r="AK424" t="e">
        <f>VLOOKUP($Z424,'oddspedia-matches'!$A:$AD,AK$2,0)</f>
        <v>#N/A</v>
      </c>
      <c r="AL424" t="e">
        <f>VLOOKUP($Z424,'oddspedia-matches'!$A:$AD,AL$2,0)</f>
        <v>#N/A</v>
      </c>
      <c r="AM424" t="e">
        <f>VLOOKUP($Z424,'oddspedia-matches'!$A:$AD,AM$2,0)</f>
        <v>#N/A</v>
      </c>
      <c r="AN424" t="e">
        <f>VLOOKUP($Z424,'oddspedia-matches'!$A:$AD,AN$2,0)</f>
        <v>#N/A</v>
      </c>
      <c r="AO424" t="e">
        <f>VLOOKUP($Z424,'oddspedia-matches'!$A:$AD,AO$2,0)</f>
        <v>#N/A</v>
      </c>
      <c r="AP424" t="e">
        <f>VLOOKUP($Z424,'oddspedia-matches'!$A:$AD,AP$2,0)</f>
        <v>#N/A</v>
      </c>
      <c r="AQ424" t="e">
        <f>VLOOKUP($Z424,'oddspedia-matches'!$A:$AD,AQ$2,0)</f>
        <v>#N/A</v>
      </c>
    </row>
    <row r="425" spans="2:43" x14ac:dyDescent="0.2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Alftanes</v>
      </c>
      <c r="Y425" t="e">
        <f>VLOOKUP(F425,'Transform table'!A:B,2,0)</f>
        <v>#N/A</v>
      </c>
      <c r="Z425" t="e">
        <f>C425&amp;X425&amp;Y425</f>
        <v>#N/A</v>
      </c>
      <c r="AA425" t="e">
        <f>VLOOKUP($Z425,'oddspedia-matches'!$A:$AD,AA$2,0)</f>
        <v>#N/A</v>
      </c>
      <c r="AB425" t="e">
        <f>VLOOKUP($Z425,'oddspedia-matches'!$A:$AD,AB$2,0)</f>
        <v>#N/A</v>
      </c>
      <c r="AC425" t="e">
        <f>VLOOKUP($Z425,'oddspedia-matches'!$A:$AD,AC$2,0)</f>
        <v>#N/A</v>
      </c>
      <c r="AD425" t="e">
        <f>VLOOKUP($Z425,'oddspedia-matches'!$A:$AD,AD$2,0)</f>
        <v>#N/A</v>
      </c>
      <c r="AE425" t="e">
        <f>VLOOKUP($Z425,'oddspedia-matches'!$A:$AD,AE$2,0)</f>
        <v>#N/A</v>
      </c>
      <c r="AF425" t="e">
        <f>VLOOKUP($Z425,'oddspedia-matches'!$A:$AD,AF$2,0)</f>
        <v>#N/A</v>
      </c>
      <c r="AG425" t="e">
        <f>VLOOKUP($Z425,'oddspedia-matches'!$A:$AD,AG$2,0)</f>
        <v>#N/A</v>
      </c>
      <c r="AH425" t="e">
        <f>VLOOKUP($Z425,'oddspedia-matches'!$A:$AD,AH$2,0)</f>
        <v>#N/A</v>
      </c>
      <c r="AI425" t="e">
        <f>VLOOKUP($Z425,'oddspedia-matches'!$A:$AD,AI$2,0)</f>
        <v>#N/A</v>
      </c>
      <c r="AJ425" t="e">
        <f>VLOOKUP($Z425,'oddspedia-matches'!$A:$AD,AJ$2,0)</f>
        <v>#N/A</v>
      </c>
      <c r="AK425" t="e">
        <f>VLOOKUP($Z425,'oddspedia-matches'!$A:$AD,AK$2,0)</f>
        <v>#N/A</v>
      </c>
      <c r="AL425" t="e">
        <f>VLOOKUP($Z425,'oddspedia-matches'!$A:$AD,AL$2,0)</f>
        <v>#N/A</v>
      </c>
      <c r="AM425" t="e">
        <f>VLOOKUP($Z425,'oddspedia-matches'!$A:$AD,AM$2,0)</f>
        <v>#N/A</v>
      </c>
      <c r="AN425" t="e">
        <f>VLOOKUP($Z425,'oddspedia-matches'!$A:$AD,AN$2,0)</f>
        <v>#N/A</v>
      </c>
      <c r="AO425" t="e">
        <f>VLOOKUP($Z425,'oddspedia-matches'!$A:$AD,AO$2,0)</f>
        <v>#N/A</v>
      </c>
      <c r="AP425" t="e">
        <f>VLOOKUP($Z425,'oddspedia-matches'!$A:$AD,AP$2,0)</f>
        <v>#N/A</v>
      </c>
      <c r="AQ425" t="e">
        <f>VLOOKUP($Z425,'oddspedia-matches'!$A:$AD,AQ$2,0)</f>
        <v>#N/A</v>
      </c>
    </row>
    <row r="426" spans="2:43" x14ac:dyDescent="0.2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Cerro</v>
      </c>
      <c r="Y426">
        <f>VLOOKUP(F426,'Transform table'!A:B,2,0)</f>
        <v>0</v>
      </c>
      <c r="Z426" t="str">
        <f>C426&amp;X426&amp;Y426</f>
        <v>26/07/2026Cerro0</v>
      </c>
      <c r="AA426" t="e">
        <f>VLOOKUP($Z426,'oddspedia-matches'!$A:$AD,AA$2,0)</f>
        <v>#N/A</v>
      </c>
      <c r="AB426" t="e">
        <f>VLOOKUP($Z426,'oddspedia-matches'!$A:$AD,AB$2,0)</f>
        <v>#N/A</v>
      </c>
      <c r="AC426" t="e">
        <f>VLOOKUP($Z426,'oddspedia-matches'!$A:$AD,AC$2,0)</f>
        <v>#N/A</v>
      </c>
      <c r="AD426" t="e">
        <f>VLOOKUP($Z426,'oddspedia-matches'!$A:$AD,AD$2,0)</f>
        <v>#N/A</v>
      </c>
      <c r="AE426" t="e">
        <f>VLOOKUP($Z426,'oddspedia-matches'!$A:$AD,AE$2,0)</f>
        <v>#N/A</v>
      </c>
      <c r="AF426" t="e">
        <f>VLOOKUP($Z426,'oddspedia-matches'!$A:$AD,AF$2,0)</f>
        <v>#N/A</v>
      </c>
      <c r="AG426" t="e">
        <f>VLOOKUP($Z426,'oddspedia-matches'!$A:$AD,AG$2,0)</f>
        <v>#N/A</v>
      </c>
      <c r="AH426" t="e">
        <f>VLOOKUP($Z426,'oddspedia-matches'!$A:$AD,AH$2,0)</f>
        <v>#N/A</v>
      </c>
      <c r="AI426" t="e">
        <f>VLOOKUP($Z426,'oddspedia-matches'!$A:$AD,AI$2,0)</f>
        <v>#N/A</v>
      </c>
      <c r="AJ426" t="e">
        <f>VLOOKUP($Z426,'oddspedia-matches'!$A:$AD,AJ$2,0)</f>
        <v>#N/A</v>
      </c>
      <c r="AK426" t="e">
        <f>VLOOKUP($Z426,'oddspedia-matches'!$A:$AD,AK$2,0)</f>
        <v>#N/A</v>
      </c>
      <c r="AL426" t="e">
        <f>VLOOKUP($Z426,'oddspedia-matches'!$A:$AD,AL$2,0)</f>
        <v>#N/A</v>
      </c>
      <c r="AM426" t="e">
        <f>VLOOKUP($Z426,'oddspedia-matches'!$A:$AD,AM$2,0)</f>
        <v>#N/A</v>
      </c>
      <c r="AN426" t="e">
        <f>VLOOKUP($Z426,'oddspedia-matches'!$A:$AD,AN$2,0)</f>
        <v>#N/A</v>
      </c>
      <c r="AO426" t="e">
        <f>VLOOKUP($Z426,'oddspedia-matches'!$A:$AD,AO$2,0)</f>
        <v>#N/A</v>
      </c>
      <c r="AP426" t="e">
        <f>VLOOKUP($Z426,'oddspedia-matches'!$A:$AD,AP$2,0)</f>
        <v>#N/A</v>
      </c>
      <c r="AQ426" t="e">
        <f>VLOOKUP($Z426,'oddspedia-matches'!$A:$AD,AQ$2,0)</f>
        <v>#N/A</v>
      </c>
    </row>
    <row r="427" spans="2:43" x14ac:dyDescent="0.2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Cordoba</v>
      </c>
      <c r="Y427" t="str">
        <f>VLOOKUP(F427,'Transform table'!A:B,2,0)</f>
        <v>Fenerbahce</v>
      </c>
      <c r="Z427" t="str">
        <f>C427&amp;X427&amp;Y427</f>
        <v>26/07/2026CordobaFenerbahce</v>
      </c>
      <c r="AA427" t="e">
        <f>VLOOKUP($Z427,'oddspedia-matches'!$A:$AD,AA$2,0)</f>
        <v>#N/A</v>
      </c>
      <c r="AB427" t="e">
        <f>VLOOKUP($Z427,'oddspedia-matches'!$A:$AD,AB$2,0)</f>
        <v>#N/A</v>
      </c>
      <c r="AC427" t="e">
        <f>VLOOKUP($Z427,'oddspedia-matches'!$A:$AD,AC$2,0)</f>
        <v>#N/A</v>
      </c>
      <c r="AD427" t="e">
        <f>VLOOKUP($Z427,'oddspedia-matches'!$A:$AD,AD$2,0)</f>
        <v>#N/A</v>
      </c>
      <c r="AE427" t="e">
        <f>VLOOKUP($Z427,'oddspedia-matches'!$A:$AD,AE$2,0)</f>
        <v>#N/A</v>
      </c>
      <c r="AF427" t="e">
        <f>VLOOKUP($Z427,'oddspedia-matches'!$A:$AD,AF$2,0)</f>
        <v>#N/A</v>
      </c>
      <c r="AG427" t="e">
        <f>VLOOKUP($Z427,'oddspedia-matches'!$A:$AD,AG$2,0)</f>
        <v>#N/A</v>
      </c>
      <c r="AH427" t="e">
        <f>VLOOKUP($Z427,'oddspedia-matches'!$A:$AD,AH$2,0)</f>
        <v>#N/A</v>
      </c>
      <c r="AI427" t="e">
        <f>VLOOKUP($Z427,'oddspedia-matches'!$A:$AD,AI$2,0)</f>
        <v>#N/A</v>
      </c>
      <c r="AJ427" t="e">
        <f>VLOOKUP($Z427,'oddspedia-matches'!$A:$AD,AJ$2,0)</f>
        <v>#N/A</v>
      </c>
      <c r="AK427" t="e">
        <f>VLOOKUP($Z427,'oddspedia-matches'!$A:$AD,AK$2,0)</f>
        <v>#N/A</v>
      </c>
      <c r="AL427" t="e">
        <f>VLOOKUP($Z427,'oddspedia-matches'!$A:$AD,AL$2,0)</f>
        <v>#N/A</v>
      </c>
      <c r="AM427" t="e">
        <f>VLOOKUP($Z427,'oddspedia-matches'!$A:$AD,AM$2,0)</f>
        <v>#N/A</v>
      </c>
      <c r="AN427" t="e">
        <f>VLOOKUP($Z427,'oddspedia-matches'!$A:$AD,AN$2,0)</f>
        <v>#N/A</v>
      </c>
      <c r="AO427" t="e">
        <f>VLOOKUP($Z427,'oddspedia-matches'!$A:$AD,AO$2,0)</f>
        <v>#N/A</v>
      </c>
      <c r="AP427" t="e">
        <f>VLOOKUP($Z427,'oddspedia-matches'!$A:$AD,AP$2,0)</f>
        <v>#N/A</v>
      </c>
      <c r="AQ427" t="e">
        <f>VLOOKUP($Z427,'oddspedia-matches'!$A:$AD,AQ$2,0)</f>
        <v>#N/A</v>
      </c>
    </row>
    <row r="428" spans="2:43" x14ac:dyDescent="0.2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Sofia</v>
      </c>
      <c r="Y428" t="e">
        <f>VLOOKUP(F428,'Transform table'!A:B,2,0)</f>
        <v>#N/A</v>
      </c>
      <c r="Z428" t="e">
        <f>C428&amp;X428&amp;Y428</f>
        <v>#N/A</v>
      </c>
      <c r="AA428" t="e">
        <f>VLOOKUP($Z428,'oddspedia-matches'!$A:$AD,AA$2,0)</f>
        <v>#N/A</v>
      </c>
      <c r="AB428" t="e">
        <f>VLOOKUP($Z428,'oddspedia-matches'!$A:$AD,AB$2,0)</f>
        <v>#N/A</v>
      </c>
      <c r="AC428" t="e">
        <f>VLOOKUP($Z428,'oddspedia-matches'!$A:$AD,AC$2,0)</f>
        <v>#N/A</v>
      </c>
      <c r="AD428" t="e">
        <f>VLOOKUP($Z428,'oddspedia-matches'!$A:$AD,AD$2,0)</f>
        <v>#N/A</v>
      </c>
      <c r="AE428" t="e">
        <f>VLOOKUP($Z428,'oddspedia-matches'!$A:$AD,AE$2,0)</f>
        <v>#N/A</v>
      </c>
      <c r="AF428" t="e">
        <f>VLOOKUP($Z428,'oddspedia-matches'!$A:$AD,AF$2,0)</f>
        <v>#N/A</v>
      </c>
      <c r="AG428" t="e">
        <f>VLOOKUP($Z428,'oddspedia-matches'!$A:$AD,AG$2,0)</f>
        <v>#N/A</v>
      </c>
      <c r="AH428" t="e">
        <f>VLOOKUP($Z428,'oddspedia-matches'!$A:$AD,AH$2,0)</f>
        <v>#N/A</v>
      </c>
      <c r="AI428" t="e">
        <f>VLOOKUP($Z428,'oddspedia-matches'!$A:$AD,AI$2,0)</f>
        <v>#N/A</v>
      </c>
      <c r="AJ428" t="e">
        <f>VLOOKUP($Z428,'oddspedia-matches'!$A:$AD,AJ$2,0)</f>
        <v>#N/A</v>
      </c>
      <c r="AK428" t="e">
        <f>VLOOKUP($Z428,'oddspedia-matches'!$A:$AD,AK$2,0)</f>
        <v>#N/A</v>
      </c>
      <c r="AL428" t="e">
        <f>VLOOKUP($Z428,'oddspedia-matches'!$A:$AD,AL$2,0)</f>
        <v>#N/A</v>
      </c>
      <c r="AM428" t="e">
        <f>VLOOKUP($Z428,'oddspedia-matches'!$A:$AD,AM$2,0)</f>
        <v>#N/A</v>
      </c>
      <c r="AN428" t="e">
        <f>VLOOKUP($Z428,'oddspedia-matches'!$A:$AD,AN$2,0)</f>
        <v>#N/A</v>
      </c>
      <c r="AO428" t="e">
        <f>VLOOKUP($Z428,'oddspedia-matches'!$A:$AD,AO$2,0)</f>
        <v>#N/A</v>
      </c>
      <c r="AP428" t="e">
        <f>VLOOKUP($Z428,'oddspedia-matches'!$A:$AD,AP$2,0)</f>
        <v>#N/A</v>
      </c>
      <c r="AQ428" t="e">
        <f>VLOOKUP($Z428,'oddspedia-matches'!$A:$AD,AQ$2,0)</f>
        <v>#N/A</v>
      </c>
    </row>
    <row r="429" spans="2:43" x14ac:dyDescent="0.2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>C429&amp;X429&amp;Y429</f>
        <v>26/07/2026SD AucasCSD Macara</v>
      </c>
      <c r="AA429" t="e">
        <f>VLOOKUP($Z429,'oddspedia-matches'!$A:$AD,AA$2,0)</f>
        <v>#N/A</v>
      </c>
      <c r="AB429" t="e">
        <f>VLOOKUP($Z429,'oddspedia-matches'!$A:$AD,AB$2,0)</f>
        <v>#N/A</v>
      </c>
      <c r="AC429" t="e">
        <f>VLOOKUP($Z429,'oddspedia-matches'!$A:$AD,AC$2,0)</f>
        <v>#N/A</v>
      </c>
      <c r="AD429" t="e">
        <f>VLOOKUP($Z429,'oddspedia-matches'!$A:$AD,AD$2,0)</f>
        <v>#N/A</v>
      </c>
      <c r="AE429" t="e">
        <f>VLOOKUP($Z429,'oddspedia-matches'!$A:$AD,AE$2,0)</f>
        <v>#N/A</v>
      </c>
      <c r="AF429" t="e">
        <f>VLOOKUP($Z429,'oddspedia-matches'!$A:$AD,AF$2,0)</f>
        <v>#N/A</v>
      </c>
      <c r="AG429" t="e">
        <f>VLOOKUP($Z429,'oddspedia-matches'!$A:$AD,AG$2,0)</f>
        <v>#N/A</v>
      </c>
      <c r="AH429" t="e">
        <f>VLOOKUP($Z429,'oddspedia-matches'!$A:$AD,AH$2,0)</f>
        <v>#N/A</v>
      </c>
      <c r="AI429" t="e">
        <f>VLOOKUP($Z429,'oddspedia-matches'!$A:$AD,AI$2,0)</f>
        <v>#N/A</v>
      </c>
      <c r="AJ429" t="e">
        <f>VLOOKUP($Z429,'oddspedia-matches'!$A:$AD,AJ$2,0)</f>
        <v>#N/A</v>
      </c>
      <c r="AK429" t="e">
        <f>VLOOKUP($Z429,'oddspedia-matches'!$A:$AD,AK$2,0)</f>
        <v>#N/A</v>
      </c>
      <c r="AL429" t="e">
        <f>VLOOKUP($Z429,'oddspedia-matches'!$A:$AD,AL$2,0)</f>
        <v>#N/A</v>
      </c>
      <c r="AM429" t="e">
        <f>VLOOKUP($Z429,'oddspedia-matches'!$A:$AD,AM$2,0)</f>
        <v>#N/A</v>
      </c>
      <c r="AN429" t="e">
        <f>VLOOKUP($Z429,'oddspedia-matches'!$A:$AD,AN$2,0)</f>
        <v>#N/A</v>
      </c>
      <c r="AO429" t="e">
        <f>VLOOKUP($Z429,'oddspedia-matches'!$A:$AD,AO$2,0)</f>
        <v>#N/A</v>
      </c>
      <c r="AP429" t="e">
        <f>VLOOKUP($Z429,'oddspedia-matches'!$A:$AD,AP$2,0)</f>
        <v>#N/A</v>
      </c>
      <c r="AQ429" t="e">
        <f>VLOOKUP($Z429,'oddspedia-matches'!$A:$AD,AQ$2,0)</f>
        <v>#N/A</v>
      </c>
    </row>
    <row r="430" spans="2:43" x14ac:dyDescent="0.2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>C430&amp;X430&amp;Y430</f>
        <v>26/07/2026Delfin SCCD Leones Del Norte</v>
      </c>
      <c r="AA430" t="e">
        <f>VLOOKUP($Z430,'oddspedia-matches'!$A:$AD,AA$2,0)</f>
        <v>#N/A</v>
      </c>
      <c r="AB430" t="e">
        <f>VLOOKUP($Z430,'oddspedia-matches'!$A:$AD,AB$2,0)</f>
        <v>#N/A</v>
      </c>
      <c r="AC430" t="e">
        <f>VLOOKUP($Z430,'oddspedia-matches'!$A:$AD,AC$2,0)</f>
        <v>#N/A</v>
      </c>
      <c r="AD430" t="e">
        <f>VLOOKUP($Z430,'oddspedia-matches'!$A:$AD,AD$2,0)</f>
        <v>#N/A</v>
      </c>
      <c r="AE430" t="e">
        <f>VLOOKUP($Z430,'oddspedia-matches'!$A:$AD,AE$2,0)</f>
        <v>#N/A</v>
      </c>
      <c r="AF430" t="e">
        <f>VLOOKUP($Z430,'oddspedia-matches'!$A:$AD,AF$2,0)</f>
        <v>#N/A</v>
      </c>
      <c r="AG430" t="e">
        <f>VLOOKUP($Z430,'oddspedia-matches'!$A:$AD,AG$2,0)</f>
        <v>#N/A</v>
      </c>
      <c r="AH430" t="e">
        <f>VLOOKUP($Z430,'oddspedia-matches'!$A:$AD,AH$2,0)</f>
        <v>#N/A</v>
      </c>
      <c r="AI430" t="e">
        <f>VLOOKUP($Z430,'oddspedia-matches'!$A:$AD,AI$2,0)</f>
        <v>#N/A</v>
      </c>
      <c r="AJ430" t="e">
        <f>VLOOKUP($Z430,'oddspedia-matches'!$A:$AD,AJ$2,0)</f>
        <v>#N/A</v>
      </c>
      <c r="AK430" t="e">
        <f>VLOOKUP($Z430,'oddspedia-matches'!$A:$AD,AK$2,0)</f>
        <v>#N/A</v>
      </c>
      <c r="AL430" t="e">
        <f>VLOOKUP($Z430,'oddspedia-matches'!$A:$AD,AL$2,0)</f>
        <v>#N/A</v>
      </c>
      <c r="AM430" t="e">
        <f>VLOOKUP($Z430,'oddspedia-matches'!$A:$AD,AM$2,0)</f>
        <v>#N/A</v>
      </c>
      <c r="AN430" t="e">
        <f>VLOOKUP($Z430,'oddspedia-matches'!$A:$AD,AN$2,0)</f>
        <v>#N/A</v>
      </c>
      <c r="AO430" t="e">
        <f>VLOOKUP($Z430,'oddspedia-matches'!$A:$AD,AO$2,0)</f>
        <v>#N/A</v>
      </c>
      <c r="AP430" t="e">
        <f>VLOOKUP($Z430,'oddspedia-matches'!$A:$AD,AP$2,0)</f>
        <v>#N/A</v>
      </c>
      <c r="AQ430" t="e">
        <f>VLOOKUP($Z430,'oddspedia-matches'!$A:$AD,AQ$2,0)</f>
        <v>#N/A</v>
      </c>
    </row>
    <row r="431" spans="2:43" x14ac:dyDescent="0.2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e">
        <f>VLOOKUP(F431,'Transform table'!A:B,2,0)</f>
        <v>#N/A</v>
      </c>
      <c r="Z431" t="e">
        <f>C431&amp;X431&amp;Y431</f>
        <v>#N/A</v>
      </c>
      <c r="AA431" t="e">
        <f>VLOOKUP($Z431,'oddspedia-matches'!$A:$AD,AA$2,0)</f>
        <v>#N/A</v>
      </c>
      <c r="AB431" t="e">
        <f>VLOOKUP($Z431,'oddspedia-matches'!$A:$AD,AB$2,0)</f>
        <v>#N/A</v>
      </c>
      <c r="AC431" t="e">
        <f>VLOOKUP($Z431,'oddspedia-matches'!$A:$AD,AC$2,0)</f>
        <v>#N/A</v>
      </c>
      <c r="AD431" t="e">
        <f>VLOOKUP($Z431,'oddspedia-matches'!$A:$AD,AD$2,0)</f>
        <v>#N/A</v>
      </c>
      <c r="AE431" t="e">
        <f>VLOOKUP($Z431,'oddspedia-matches'!$A:$AD,AE$2,0)</f>
        <v>#N/A</v>
      </c>
      <c r="AF431" t="e">
        <f>VLOOKUP($Z431,'oddspedia-matches'!$A:$AD,AF$2,0)</f>
        <v>#N/A</v>
      </c>
      <c r="AG431" t="e">
        <f>VLOOKUP($Z431,'oddspedia-matches'!$A:$AD,AG$2,0)</f>
        <v>#N/A</v>
      </c>
      <c r="AH431" t="e">
        <f>VLOOKUP($Z431,'oddspedia-matches'!$A:$AD,AH$2,0)</f>
        <v>#N/A</v>
      </c>
      <c r="AI431" t="e">
        <f>VLOOKUP($Z431,'oddspedia-matches'!$A:$AD,AI$2,0)</f>
        <v>#N/A</v>
      </c>
      <c r="AJ431" t="e">
        <f>VLOOKUP($Z431,'oddspedia-matches'!$A:$AD,AJ$2,0)</f>
        <v>#N/A</v>
      </c>
      <c r="AK431" t="e">
        <f>VLOOKUP($Z431,'oddspedia-matches'!$A:$AD,AK$2,0)</f>
        <v>#N/A</v>
      </c>
      <c r="AL431" t="e">
        <f>VLOOKUP($Z431,'oddspedia-matches'!$A:$AD,AL$2,0)</f>
        <v>#N/A</v>
      </c>
      <c r="AM431" t="e">
        <f>VLOOKUP($Z431,'oddspedia-matches'!$A:$AD,AM$2,0)</f>
        <v>#N/A</v>
      </c>
      <c r="AN431" t="e">
        <f>VLOOKUP($Z431,'oddspedia-matches'!$A:$AD,AN$2,0)</f>
        <v>#N/A</v>
      </c>
      <c r="AO431" t="e">
        <f>VLOOKUP($Z431,'oddspedia-matches'!$A:$AD,AO$2,0)</f>
        <v>#N/A</v>
      </c>
      <c r="AP431" t="e">
        <f>VLOOKUP($Z431,'oddspedia-matches'!$A:$AD,AP$2,0)</f>
        <v>#N/A</v>
      </c>
      <c r="AQ431" t="e">
        <f>VLOOKUP($Z431,'oddspedia-matches'!$A:$AD,AQ$2,0)</f>
        <v>#N/A</v>
      </c>
    </row>
    <row r="432" spans="2:43" x14ac:dyDescent="0.2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Walsall</v>
      </c>
      <c r="Y432" t="e">
        <f>VLOOKUP(F432,'Transform table'!A:B,2,0)</f>
        <v>#N/A</v>
      </c>
      <c r="Z432" t="e">
        <f>C432&amp;X432&amp;Y432</f>
        <v>#N/A</v>
      </c>
      <c r="AA432" t="e">
        <f>VLOOKUP($Z432,'oddspedia-matches'!$A:$AD,AA$2,0)</f>
        <v>#N/A</v>
      </c>
      <c r="AB432" t="e">
        <f>VLOOKUP($Z432,'oddspedia-matches'!$A:$AD,AB$2,0)</f>
        <v>#N/A</v>
      </c>
      <c r="AC432" t="e">
        <f>VLOOKUP($Z432,'oddspedia-matches'!$A:$AD,AC$2,0)</f>
        <v>#N/A</v>
      </c>
      <c r="AD432" t="e">
        <f>VLOOKUP($Z432,'oddspedia-matches'!$A:$AD,AD$2,0)</f>
        <v>#N/A</v>
      </c>
      <c r="AE432" t="e">
        <f>VLOOKUP($Z432,'oddspedia-matches'!$A:$AD,AE$2,0)</f>
        <v>#N/A</v>
      </c>
      <c r="AF432" t="e">
        <f>VLOOKUP($Z432,'oddspedia-matches'!$A:$AD,AF$2,0)</f>
        <v>#N/A</v>
      </c>
      <c r="AG432" t="e">
        <f>VLOOKUP($Z432,'oddspedia-matches'!$A:$AD,AG$2,0)</f>
        <v>#N/A</v>
      </c>
      <c r="AH432" t="e">
        <f>VLOOKUP($Z432,'oddspedia-matches'!$A:$AD,AH$2,0)</f>
        <v>#N/A</v>
      </c>
      <c r="AI432" t="e">
        <f>VLOOKUP($Z432,'oddspedia-matches'!$A:$AD,AI$2,0)</f>
        <v>#N/A</v>
      </c>
      <c r="AJ432" t="e">
        <f>VLOOKUP($Z432,'oddspedia-matches'!$A:$AD,AJ$2,0)</f>
        <v>#N/A</v>
      </c>
      <c r="AK432" t="e">
        <f>VLOOKUP($Z432,'oddspedia-matches'!$A:$AD,AK$2,0)</f>
        <v>#N/A</v>
      </c>
      <c r="AL432" t="e">
        <f>VLOOKUP($Z432,'oddspedia-matches'!$A:$AD,AL$2,0)</f>
        <v>#N/A</v>
      </c>
      <c r="AM432" t="e">
        <f>VLOOKUP($Z432,'oddspedia-matches'!$A:$AD,AM$2,0)</f>
        <v>#N/A</v>
      </c>
      <c r="AN432" t="e">
        <f>VLOOKUP($Z432,'oddspedia-matches'!$A:$AD,AN$2,0)</f>
        <v>#N/A</v>
      </c>
      <c r="AO432" t="e">
        <f>VLOOKUP($Z432,'oddspedia-matches'!$A:$AD,AO$2,0)</f>
        <v>#N/A</v>
      </c>
      <c r="AP432" t="e">
        <f>VLOOKUP($Z432,'oddspedia-matches'!$A:$AD,AP$2,0)</f>
        <v>#N/A</v>
      </c>
      <c r="AQ432" t="e">
        <f>VLOOKUP($Z432,'oddspedia-matches'!$A:$AD,AQ$2,0)</f>
        <v>#N/A</v>
      </c>
    </row>
    <row r="433" spans="2:43" x14ac:dyDescent="0.2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Colon de Santa Fe</v>
      </c>
      <c r="Y433" t="e">
        <f>VLOOKUP(F433,'Transform table'!A:B,2,0)</f>
        <v>#N/A</v>
      </c>
      <c r="Z433" t="e">
        <f>C433&amp;X433&amp;Y433</f>
        <v>#N/A</v>
      </c>
      <c r="AA433" t="e">
        <f>VLOOKUP($Z433,'oddspedia-matches'!$A:$AD,AA$2,0)</f>
        <v>#N/A</v>
      </c>
      <c r="AB433" t="e">
        <f>VLOOKUP($Z433,'oddspedia-matches'!$A:$AD,AB$2,0)</f>
        <v>#N/A</v>
      </c>
      <c r="AC433" t="e">
        <f>VLOOKUP($Z433,'oddspedia-matches'!$A:$AD,AC$2,0)</f>
        <v>#N/A</v>
      </c>
      <c r="AD433" t="e">
        <f>VLOOKUP($Z433,'oddspedia-matches'!$A:$AD,AD$2,0)</f>
        <v>#N/A</v>
      </c>
      <c r="AE433" t="e">
        <f>VLOOKUP($Z433,'oddspedia-matches'!$A:$AD,AE$2,0)</f>
        <v>#N/A</v>
      </c>
      <c r="AF433" t="e">
        <f>VLOOKUP($Z433,'oddspedia-matches'!$A:$AD,AF$2,0)</f>
        <v>#N/A</v>
      </c>
      <c r="AG433" t="e">
        <f>VLOOKUP($Z433,'oddspedia-matches'!$A:$AD,AG$2,0)</f>
        <v>#N/A</v>
      </c>
      <c r="AH433" t="e">
        <f>VLOOKUP($Z433,'oddspedia-matches'!$A:$AD,AH$2,0)</f>
        <v>#N/A</v>
      </c>
      <c r="AI433" t="e">
        <f>VLOOKUP($Z433,'oddspedia-matches'!$A:$AD,AI$2,0)</f>
        <v>#N/A</v>
      </c>
      <c r="AJ433" t="e">
        <f>VLOOKUP($Z433,'oddspedia-matches'!$A:$AD,AJ$2,0)</f>
        <v>#N/A</v>
      </c>
      <c r="AK433" t="e">
        <f>VLOOKUP($Z433,'oddspedia-matches'!$A:$AD,AK$2,0)</f>
        <v>#N/A</v>
      </c>
      <c r="AL433" t="e">
        <f>VLOOKUP($Z433,'oddspedia-matches'!$A:$AD,AL$2,0)</f>
        <v>#N/A</v>
      </c>
      <c r="AM433" t="e">
        <f>VLOOKUP($Z433,'oddspedia-matches'!$A:$AD,AM$2,0)</f>
        <v>#N/A</v>
      </c>
      <c r="AN433" t="e">
        <f>VLOOKUP($Z433,'oddspedia-matches'!$A:$AD,AN$2,0)</f>
        <v>#N/A</v>
      </c>
      <c r="AO433" t="e">
        <f>VLOOKUP($Z433,'oddspedia-matches'!$A:$AD,AO$2,0)</f>
        <v>#N/A</v>
      </c>
      <c r="AP433" t="e">
        <f>VLOOKUP($Z433,'oddspedia-matches'!$A:$AD,AP$2,0)</f>
        <v>#N/A</v>
      </c>
      <c r="AQ433" t="e">
        <f>VLOOKUP($Z433,'oddspedia-matches'!$A:$AD,AQ$2,0)</f>
        <v>#N/A</v>
      </c>
    </row>
    <row r="434" spans="2:43" x14ac:dyDescent="0.2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>C434&amp;X434&amp;Y434</f>
        <v>26/07/2026CA San MiguelClub Atletico Acassuso</v>
      </c>
      <c r="AA434" t="e">
        <f>VLOOKUP($Z434,'oddspedia-matches'!$A:$AD,AA$2,0)</f>
        <v>#N/A</v>
      </c>
      <c r="AB434" t="e">
        <f>VLOOKUP($Z434,'oddspedia-matches'!$A:$AD,AB$2,0)</f>
        <v>#N/A</v>
      </c>
      <c r="AC434" t="e">
        <f>VLOOKUP($Z434,'oddspedia-matches'!$A:$AD,AC$2,0)</f>
        <v>#N/A</v>
      </c>
      <c r="AD434" t="e">
        <f>VLOOKUP($Z434,'oddspedia-matches'!$A:$AD,AD$2,0)</f>
        <v>#N/A</v>
      </c>
      <c r="AE434" t="e">
        <f>VLOOKUP($Z434,'oddspedia-matches'!$A:$AD,AE$2,0)</f>
        <v>#N/A</v>
      </c>
      <c r="AF434" t="e">
        <f>VLOOKUP($Z434,'oddspedia-matches'!$A:$AD,AF$2,0)</f>
        <v>#N/A</v>
      </c>
      <c r="AG434" t="e">
        <f>VLOOKUP($Z434,'oddspedia-matches'!$A:$AD,AG$2,0)</f>
        <v>#N/A</v>
      </c>
      <c r="AH434" t="e">
        <f>VLOOKUP($Z434,'oddspedia-matches'!$A:$AD,AH$2,0)</f>
        <v>#N/A</v>
      </c>
      <c r="AI434" t="e">
        <f>VLOOKUP($Z434,'oddspedia-matches'!$A:$AD,AI$2,0)</f>
        <v>#N/A</v>
      </c>
      <c r="AJ434" t="e">
        <f>VLOOKUP($Z434,'oddspedia-matches'!$A:$AD,AJ$2,0)</f>
        <v>#N/A</v>
      </c>
      <c r="AK434" t="e">
        <f>VLOOKUP($Z434,'oddspedia-matches'!$A:$AD,AK$2,0)</f>
        <v>#N/A</v>
      </c>
      <c r="AL434" t="e">
        <f>VLOOKUP($Z434,'oddspedia-matches'!$A:$AD,AL$2,0)</f>
        <v>#N/A</v>
      </c>
      <c r="AM434" t="e">
        <f>VLOOKUP($Z434,'oddspedia-matches'!$A:$AD,AM$2,0)</f>
        <v>#N/A</v>
      </c>
      <c r="AN434" t="e">
        <f>VLOOKUP($Z434,'oddspedia-matches'!$A:$AD,AN$2,0)</f>
        <v>#N/A</v>
      </c>
      <c r="AO434" t="e">
        <f>VLOOKUP($Z434,'oddspedia-matches'!$A:$AD,AO$2,0)</f>
        <v>#N/A</v>
      </c>
      <c r="AP434" t="e">
        <f>VLOOKUP($Z434,'oddspedia-matches'!$A:$AD,AP$2,0)</f>
        <v>#N/A</v>
      </c>
      <c r="AQ434" t="e">
        <f>VLOOKUP($Z434,'oddspedia-matches'!$A:$AD,AQ$2,0)</f>
        <v>#N/A</v>
      </c>
    </row>
    <row r="435" spans="2:43" x14ac:dyDescent="0.2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>
        <f>VLOOKUP(E435,'Transform table'!A:B,2,0)</f>
        <v>0</v>
      </c>
      <c r="Y435" t="e">
        <f>VLOOKUP(F435,'Transform table'!A:B,2,0)</f>
        <v>#N/A</v>
      </c>
      <c r="Z435" t="e">
        <f>C435&amp;X435&amp;Y435</f>
        <v>#N/A</v>
      </c>
      <c r="AA435" t="e">
        <f>VLOOKUP($Z435,'oddspedia-matches'!$A:$AD,AA$2,0)</f>
        <v>#N/A</v>
      </c>
      <c r="AB435" t="e">
        <f>VLOOKUP($Z435,'oddspedia-matches'!$A:$AD,AB$2,0)</f>
        <v>#N/A</v>
      </c>
      <c r="AC435" t="e">
        <f>VLOOKUP($Z435,'oddspedia-matches'!$A:$AD,AC$2,0)</f>
        <v>#N/A</v>
      </c>
      <c r="AD435" t="e">
        <f>VLOOKUP($Z435,'oddspedia-matches'!$A:$AD,AD$2,0)</f>
        <v>#N/A</v>
      </c>
      <c r="AE435" t="e">
        <f>VLOOKUP($Z435,'oddspedia-matches'!$A:$AD,AE$2,0)</f>
        <v>#N/A</v>
      </c>
      <c r="AF435" t="e">
        <f>VLOOKUP($Z435,'oddspedia-matches'!$A:$AD,AF$2,0)</f>
        <v>#N/A</v>
      </c>
      <c r="AG435" t="e">
        <f>VLOOKUP($Z435,'oddspedia-matches'!$A:$AD,AG$2,0)</f>
        <v>#N/A</v>
      </c>
      <c r="AH435" t="e">
        <f>VLOOKUP($Z435,'oddspedia-matches'!$A:$AD,AH$2,0)</f>
        <v>#N/A</v>
      </c>
      <c r="AI435" t="e">
        <f>VLOOKUP($Z435,'oddspedia-matches'!$A:$AD,AI$2,0)</f>
        <v>#N/A</v>
      </c>
      <c r="AJ435" t="e">
        <f>VLOOKUP($Z435,'oddspedia-matches'!$A:$AD,AJ$2,0)</f>
        <v>#N/A</v>
      </c>
      <c r="AK435" t="e">
        <f>VLOOKUP($Z435,'oddspedia-matches'!$A:$AD,AK$2,0)</f>
        <v>#N/A</v>
      </c>
      <c r="AL435" t="e">
        <f>VLOOKUP($Z435,'oddspedia-matches'!$A:$AD,AL$2,0)</f>
        <v>#N/A</v>
      </c>
      <c r="AM435" t="e">
        <f>VLOOKUP($Z435,'oddspedia-matches'!$A:$AD,AM$2,0)</f>
        <v>#N/A</v>
      </c>
      <c r="AN435" t="e">
        <f>VLOOKUP($Z435,'oddspedia-matches'!$A:$AD,AN$2,0)</f>
        <v>#N/A</v>
      </c>
      <c r="AO435" t="e">
        <f>VLOOKUP($Z435,'oddspedia-matches'!$A:$AD,AO$2,0)</f>
        <v>#N/A</v>
      </c>
      <c r="AP435" t="e">
        <f>VLOOKUP($Z435,'oddspedia-matches'!$A:$AD,AP$2,0)</f>
        <v>#N/A</v>
      </c>
      <c r="AQ435" t="e">
        <f>VLOOKUP($Z435,'oddspedia-matches'!$A:$AD,AQ$2,0)</f>
        <v>#N/A</v>
      </c>
    </row>
    <row r="436" spans="2:43" x14ac:dyDescent="0.2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>
        <f>VLOOKUP(E436,'Transform table'!A:B,2,0)</f>
        <v>0</v>
      </c>
      <c r="Y436" t="e">
        <f>VLOOKUP(F436,'Transform table'!A:B,2,0)</f>
        <v>#N/A</v>
      </c>
      <c r="Z436" t="e">
        <f>C436&amp;X436&amp;Y436</f>
        <v>#N/A</v>
      </c>
      <c r="AA436" t="e">
        <f>VLOOKUP($Z436,'oddspedia-matches'!$A:$AD,AA$2,0)</f>
        <v>#N/A</v>
      </c>
      <c r="AB436" t="e">
        <f>VLOOKUP($Z436,'oddspedia-matches'!$A:$AD,AB$2,0)</f>
        <v>#N/A</v>
      </c>
      <c r="AC436" t="e">
        <f>VLOOKUP($Z436,'oddspedia-matches'!$A:$AD,AC$2,0)</f>
        <v>#N/A</v>
      </c>
      <c r="AD436" t="e">
        <f>VLOOKUP($Z436,'oddspedia-matches'!$A:$AD,AD$2,0)</f>
        <v>#N/A</v>
      </c>
      <c r="AE436" t="e">
        <f>VLOOKUP($Z436,'oddspedia-matches'!$A:$AD,AE$2,0)</f>
        <v>#N/A</v>
      </c>
      <c r="AF436" t="e">
        <f>VLOOKUP($Z436,'oddspedia-matches'!$A:$AD,AF$2,0)</f>
        <v>#N/A</v>
      </c>
      <c r="AG436" t="e">
        <f>VLOOKUP($Z436,'oddspedia-matches'!$A:$AD,AG$2,0)</f>
        <v>#N/A</v>
      </c>
      <c r="AH436" t="e">
        <f>VLOOKUP($Z436,'oddspedia-matches'!$A:$AD,AH$2,0)</f>
        <v>#N/A</v>
      </c>
      <c r="AI436" t="e">
        <f>VLOOKUP($Z436,'oddspedia-matches'!$A:$AD,AI$2,0)</f>
        <v>#N/A</v>
      </c>
      <c r="AJ436" t="e">
        <f>VLOOKUP($Z436,'oddspedia-matches'!$A:$AD,AJ$2,0)</f>
        <v>#N/A</v>
      </c>
      <c r="AK436" t="e">
        <f>VLOOKUP($Z436,'oddspedia-matches'!$A:$AD,AK$2,0)</f>
        <v>#N/A</v>
      </c>
      <c r="AL436" t="e">
        <f>VLOOKUP($Z436,'oddspedia-matches'!$A:$AD,AL$2,0)</f>
        <v>#N/A</v>
      </c>
      <c r="AM436" t="e">
        <f>VLOOKUP($Z436,'oddspedia-matches'!$A:$AD,AM$2,0)</f>
        <v>#N/A</v>
      </c>
      <c r="AN436" t="e">
        <f>VLOOKUP($Z436,'oddspedia-matches'!$A:$AD,AN$2,0)</f>
        <v>#N/A</v>
      </c>
      <c r="AO436" t="e">
        <f>VLOOKUP($Z436,'oddspedia-matches'!$A:$AD,AO$2,0)</f>
        <v>#N/A</v>
      </c>
      <c r="AP436" t="e">
        <f>VLOOKUP($Z436,'oddspedia-matches'!$A:$AD,AP$2,0)</f>
        <v>#N/A</v>
      </c>
      <c r="AQ436" t="e">
        <f>VLOOKUP($Z436,'oddspedia-matches'!$A:$AD,AQ$2,0)</f>
        <v>#N/A</v>
      </c>
    </row>
    <row r="437" spans="2:43" x14ac:dyDescent="0.2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e">
        <f>VLOOKUP(F437,'Transform table'!A:B,2,0)</f>
        <v>#N/A</v>
      </c>
      <c r="Z437" t="e">
        <f>C437&amp;X437&amp;Y437</f>
        <v>#N/A</v>
      </c>
      <c r="AA437" t="e">
        <f>VLOOKUP($Z437,'oddspedia-matches'!$A:$AD,AA$2,0)</f>
        <v>#N/A</v>
      </c>
      <c r="AB437" t="e">
        <f>VLOOKUP($Z437,'oddspedia-matches'!$A:$AD,AB$2,0)</f>
        <v>#N/A</v>
      </c>
      <c r="AC437" t="e">
        <f>VLOOKUP($Z437,'oddspedia-matches'!$A:$AD,AC$2,0)</f>
        <v>#N/A</v>
      </c>
      <c r="AD437" t="e">
        <f>VLOOKUP($Z437,'oddspedia-matches'!$A:$AD,AD$2,0)</f>
        <v>#N/A</v>
      </c>
      <c r="AE437" t="e">
        <f>VLOOKUP($Z437,'oddspedia-matches'!$A:$AD,AE$2,0)</f>
        <v>#N/A</v>
      </c>
      <c r="AF437" t="e">
        <f>VLOOKUP($Z437,'oddspedia-matches'!$A:$AD,AF$2,0)</f>
        <v>#N/A</v>
      </c>
      <c r="AG437" t="e">
        <f>VLOOKUP($Z437,'oddspedia-matches'!$A:$AD,AG$2,0)</f>
        <v>#N/A</v>
      </c>
      <c r="AH437" t="e">
        <f>VLOOKUP($Z437,'oddspedia-matches'!$A:$AD,AH$2,0)</f>
        <v>#N/A</v>
      </c>
      <c r="AI437" t="e">
        <f>VLOOKUP($Z437,'oddspedia-matches'!$A:$AD,AI$2,0)</f>
        <v>#N/A</v>
      </c>
      <c r="AJ437" t="e">
        <f>VLOOKUP($Z437,'oddspedia-matches'!$A:$AD,AJ$2,0)</f>
        <v>#N/A</v>
      </c>
      <c r="AK437" t="e">
        <f>VLOOKUP($Z437,'oddspedia-matches'!$A:$AD,AK$2,0)</f>
        <v>#N/A</v>
      </c>
      <c r="AL437" t="e">
        <f>VLOOKUP($Z437,'oddspedia-matches'!$A:$AD,AL$2,0)</f>
        <v>#N/A</v>
      </c>
      <c r="AM437" t="e">
        <f>VLOOKUP($Z437,'oddspedia-matches'!$A:$AD,AM$2,0)</f>
        <v>#N/A</v>
      </c>
      <c r="AN437" t="e">
        <f>VLOOKUP($Z437,'oddspedia-matches'!$A:$AD,AN$2,0)</f>
        <v>#N/A</v>
      </c>
      <c r="AO437" t="e">
        <f>VLOOKUP($Z437,'oddspedia-matches'!$A:$AD,AO$2,0)</f>
        <v>#N/A</v>
      </c>
      <c r="AP437" t="e">
        <f>VLOOKUP($Z437,'oddspedia-matches'!$A:$AD,AP$2,0)</f>
        <v>#N/A</v>
      </c>
      <c r="AQ437" t="e">
        <f>VLOOKUP($Z437,'oddspedia-matches'!$A:$AD,AQ$2,0)</f>
        <v>#N/A</v>
      </c>
    </row>
    <row r="438" spans="2:43" x14ac:dyDescent="0.2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e">
        <f>VLOOKUP(F438,'Transform table'!A:B,2,0)</f>
        <v>#N/A</v>
      </c>
      <c r="Z438" t="e">
        <f>C438&amp;X438&amp;Y438</f>
        <v>#N/A</v>
      </c>
      <c r="AA438" t="e">
        <f>VLOOKUP($Z438,'oddspedia-matches'!$A:$AD,AA$2,0)</f>
        <v>#N/A</v>
      </c>
      <c r="AB438" t="e">
        <f>VLOOKUP($Z438,'oddspedia-matches'!$A:$AD,AB$2,0)</f>
        <v>#N/A</v>
      </c>
      <c r="AC438" t="e">
        <f>VLOOKUP($Z438,'oddspedia-matches'!$A:$AD,AC$2,0)</f>
        <v>#N/A</v>
      </c>
      <c r="AD438" t="e">
        <f>VLOOKUP($Z438,'oddspedia-matches'!$A:$AD,AD$2,0)</f>
        <v>#N/A</v>
      </c>
      <c r="AE438" t="e">
        <f>VLOOKUP($Z438,'oddspedia-matches'!$A:$AD,AE$2,0)</f>
        <v>#N/A</v>
      </c>
      <c r="AF438" t="e">
        <f>VLOOKUP($Z438,'oddspedia-matches'!$A:$AD,AF$2,0)</f>
        <v>#N/A</v>
      </c>
      <c r="AG438" t="e">
        <f>VLOOKUP($Z438,'oddspedia-matches'!$A:$AD,AG$2,0)</f>
        <v>#N/A</v>
      </c>
      <c r="AH438" t="e">
        <f>VLOOKUP($Z438,'oddspedia-matches'!$A:$AD,AH$2,0)</f>
        <v>#N/A</v>
      </c>
      <c r="AI438" t="e">
        <f>VLOOKUP($Z438,'oddspedia-matches'!$A:$AD,AI$2,0)</f>
        <v>#N/A</v>
      </c>
      <c r="AJ438" t="e">
        <f>VLOOKUP($Z438,'oddspedia-matches'!$A:$AD,AJ$2,0)</f>
        <v>#N/A</v>
      </c>
      <c r="AK438" t="e">
        <f>VLOOKUP($Z438,'oddspedia-matches'!$A:$AD,AK$2,0)</f>
        <v>#N/A</v>
      </c>
      <c r="AL438" t="e">
        <f>VLOOKUP($Z438,'oddspedia-matches'!$A:$AD,AL$2,0)</f>
        <v>#N/A</v>
      </c>
      <c r="AM438" t="e">
        <f>VLOOKUP($Z438,'oddspedia-matches'!$A:$AD,AM$2,0)</f>
        <v>#N/A</v>
      </c>
      <c r="AN438" t="e">
        <f>VLOOKUP($Z438,'oddspedia-matches'!$A:$AD,AN$2,0)</f>
        <v>#N/A</v>
      </c>
      <c r="AO438" t="e">
        <f>VLOOKUP($Z438,'oddspedia-matches'!$A:$AD,AO$2,0)</f>
        <v>#N/A</v>
      </c>
      <c r="AP438" t="e">
        <f>VLOOKUP($Z438,'oddspedia-matches'!$A:$AD,AP$2,0)</f>
        <v>#N/A</v>
      </c>
      <c r="AQ438" t="e">
        <f>VLOOKUP($Z438,'oddspedia-matches'!$A:$AD,AQ$2,0)</f>
        <v>#N/A</v>
      </c>
    </row>
    <row r="439" spans="2:43" x14ac:dyDescent="0.2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>
        <f>VLOOKUP(E439,'Transform table'!A:B,2,0)</f>
        <v>0</v>
      </c>
      <c r="Y439" t="e">
        <f>VLOOKUP(F439,'Transform table'!A:B,2,0)</f>
        <v>#N/A</v>
      </c>
      <c r="Z439" t="e">
        <f>C439&amp;X439&amp;Y439</f>
        <v>#N/A</v>
      </c>
      <c r="AA439" t="e">
        <f>VLOOKUP($Z439,'oddspedia-matches'!$A:$AD,AA$2,0)</f>
        <v>#N/A</v>
      </c>
      <c r="AB439" t="e">
        <f>VLOOKUP($Z439,'oddspedia-matches'!$A:$AD,AB$2,0)</f>
        <v>#N/A</v>
      </c>
      <c r="AC439" t="e">
        <f>VLOOKUP($Z439,'oddspedia-matches'!$A:$AD,AC$2,0)</f>
        <v>#N/A</v>
      </c>
      <c r="AD439" t="e">
        <f>VLOOKUP($Z439,'oddspedia-matches'!$A:$AD,AD$2,0)</f>
        <v>#N/A</v>
      </c>
      <c r="AE439" t="e">
        <f>VLOOKUP($Z439,'oddspedia-matches'!$A:$AD,AE$2,0)</f>
        <v>#N/A</v>
      </c>
      <c r="AF439" t="e">
        <f>VLOOKUP($Z439,'oddspedia-matches'!$A:$AD,AF$2,0)</f>
        <v>#N/A</v>
      </c>
      <c r="AG439" t="e">
        <f>VLOOKUP($Z439,'oddspedia-matches'!$A:$AD,AG$2,0)</f>
        <v>#N/A</v>
      </c>
      <c r="AH439" t="e">
        <f>VLOOKUP($Z439,'oddspedia-matches'!$A:$AD,AH$2,0)</f>
        <v>#N/A</v>
      </c>
      <c r="AI439" t="e">
        <f>VLOOKUP($Z439,'oddspedia-matches'!$A:$AD,AI$2,0)</f>
        <v>#N/A</v>
      </c>
      <c r="AJ439" t="e">
        <f>VLOOKUP($Z439,'oddspedia-matches'!$A:$AD,AJ$2,0)</f>
        <v>#N/A</v>
      </c>
      <c r="AK439" t="e">
        <f>VLOOKUP($Z439,'oddspedia-matches'!$A:$AD,AK$2,0)</f>
        <v>#N/A</v>
      </c>
      <c r="AL439" t="e">
        <f>VLOOKUP($Z439,'oddspedia-matches'!$A:$AD,AL$2,0)</f>
        <v>#N/A</v>
      </c>
      <c r="AM439" t="e">
        <f>VLOOKUP($Z439,'oddspedia-matches'!$A:$AD,AM$2,0)</f>
        <v>#N/A</v>
      </c>
      <c r="AN439" t="e">
        <f>VLOOKUP($Z439,'oddspedia-matches'!$A:$AD,AN$2,0)</f>
        <v>#N/A</v>
      </c>
      <c r="AO439" t="e">
        <f>VLOOKUP($Z439,'oddspedia-matches'!$A:$AD,AO$2,0)</f>
        <v>#N/A</v>
      </c>
      <c r="AP439" t="e">
        <f>VLOOKUP($Z439,'oddspedia-matches'!$A:$AD,AP$2,0)</f>
        <v>#N/A</v>
      </c>
      <c r="AQ439" t="e">
        <f>VLOOKUP($Z439,'oddspedia-matches'!$A:$AD,AQ$2,0)</f>
        <v>#N/A</v>
      </c>
    </row>
    <row r="440" spans="2:43" x14ac:dyDescent="0.2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e">
        <f>VLOOKUP(F440,'Transform table'!A:B,2,0)</f>
        <v>#N/A</v>
      </c>
      <c r="Z440" t="e">
        <f>C440&amp;X440&amp;Y440</f>
        <v>#N/A</v>
      </c>
      <c r="AA440" t="e">
        <f>VLOOKUP($Z440,'oddspedia-matches'!$A:$AD,AA$2,0)</f>
        <v>#N/A</v>
      </c>
      <c r="AB440" t="e">
        <f>VLOOKUP($Z440,'oddspedia-matches'!$A:$AD,AB$2,0)</f>
        <v>#N/A</v>
      </c>
      <c r="AC440" t="e">
        <f>VLOOKUP($Z440,'oddspedia-matches'!$A:$AD,AC$2,0)</f>
        <v>#N/A</v>
      </c>
      <c r="AD440" t="e">
        <f>VLOOKUP($Z440,'oddspedia-matches'!$A:$AD,AD$2,0)</f>
        <v>#N/A</v>
      </c>
      <c r="AE440" t="e">
        <f>VLOOKUP($Z440,'oddspedia-matches'!$A:$AD,AE$2,0)</f>
        <v>#N/A</v>
      </c>
      <c r="AF440" t="e">
        <f>VLOOKUP($Z440,'oddspedia-matches'!$A:$AD,AF$2,0)</f>
        <v>#N/A</v>
      </c>
      <c r="AG440" t="e">
        <f>VLOOKUP($Z440,'oddspedia-matches'!$A:$AD,AG$2,0)</f>
        <v>#N/A</v>
      </c>
      <c r="AH440" t="e">
        <f>VLOOKUP($Z440,'oddspedia-matches'!$A:$AD,AH$2,0)</f>
        <v>#N/A</v>
      </c>
      <c r="AI440" t="e">
        <f>VLOOKUP($Z440,'oddspedia-matches'!$A:$AD,AI$2,0)</f>
        <v>#N/A</v>
      </c>
      <c r="AJ440" t="e">
        <f>VLOOKUP($Z440,'oddspedia-matches'!$A:$AD,AJ$2,0)</f>
        <v>#N/A</v>
      </c>
      <c r="AK440" t="e">
        <f>VLOOKUP($Z440,'oddspedia-matches'!$A:$AD,AK$2,0)</f>
        <v>#N/A</v>
      </c>
      <c r="AL440" t="e">
        <f>VLOOKUP($Z440,'oddspedia-matches'!$A:$AD,AL$2,0)</f>
        <v>#N/A</v>
      </c>
      <c r="AM440" t="e">
        <f>VLOOKUP($Z440,'oddspedia-matches'!$A:$AD,AM$2,0)</f>
        <v>#N/A</v>
      </c>
      <c r="AN440" t="e">
        <f>VLOOKUP($Z440,'oddspedia-matches'!$A:$AD,AN$2,0)</f>
        <v>#N/A</v>
      </c>
      <c r="AO440" t="e">
        <f>VLOOKUP($Z440,'oddspedia-matches'!$A:$AD,AO$2,0)</f>
        <v>#N/A</v>
      </c>
      <c r="AP440" t="e">
        <f>VLOOKUP($Z440,'oddspedia-matches'!$A:$AD,AP$2,0)</f>
        <v>#N/A</v>
      </c>
      <c r="AQ440" t="e">
        <f>VLOOKUP($Z440,'oddspedia-matches'!$A:$AD,AQ$2,0)</f>
        <v>#N/A</v>
      </c>
    </row>
    <row r="441" spans="2:43" x14ac:dyDescent="0.2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f>VLOOKUP(E441,'Transform table'!A:B,2,0)</f>
        <v>0</v>
      </c>
      <c r="Y441" t="e">
        <f>VLOOKUP(F441,'Transform table'!A:B,2,0)</f>
        <v>#N/A</v>
      </c>
      <c r="Z441" t="e">
        <f>C441&amp;X441&amp;Y441</f>
        <v>#N/A</v>
      </c>
      <c r="AA441" t="e">
        <f>VLOOKUP($Z441,'oddspedia-matches'!$A:$AD,AA$2,0)</f>
        <v>#N/A</v>
      </c>
      <c r="AB441" t="e">
        <f>VLOOKUP($Z441,'oddspedia-matches'!$A:$AD,AB$2,0)</f>
        <v>#N/A</v>
      </c>
      <c r="AC441" t="e">
        <f>VLOOKUP($Z441,'oddspedia-matches'!$A:$AD,AC$2,0)</f>
        <v>#N/A</v>
      </c>
      <c r="AD441" t="e">
        <f>VLOOKUP($Z441,'oddspedia-matches'!$A:$AD,AD$2,0)</f>
        <v>#N/A</v>
      </c>
      <c r="AE441" t="e">
        <f>VLOOKUP($Z441,'oddspedia-matches'!$A:$AD,AE$2,0)</f>
        <v>#N/A</v>
      </c>
      <c r="AF441" t="e">
        <f>VLOOKUP($Z441,'oddspedia-matches'!$A:$AD,AF$2,0)</f>
        <v>#N/A</v>
      </c>
      <c r="AG441" t="e">
        <f>VLOOKUP($Z441,'oddspedia-matches'!$A:$AD,AG$2,0)</f>
        <v>#N/A</v>
      </c>
      <c r="AH441" t="e">
        <f>VLOOKUP($Z441,'oddspedia-matches'!$A:$AD,AH$2,0)</f>
        <v>#N/A</v>
      </c>
      <c r="AI441" t="e">
        <f>VLOOKUP($Z441,'oddspedia-matches'!$A:$AD,AI$2,0)</f>
        <v>#N/A</v>
      </c>
      <c r="AJ441" t="e">
        <f>VLOOKUP($Z441,'oddspedia-matches'!$A:$AD,AJ$2,0)</f>
        <v>#N/A</v>
      </c>
      <c r="AK441" t="e">
        <f>VLOOKUP($Z441,'oddspedia-matches'!$A:$AD,AK$2,0)</f>
        <v>#N/A</v>
      </c>
      <c r="AL441" t="e">
        <f>VLOOKUP($Z441,'oddspedia-matches'!$A:$AD,AL$2,0)</f>
        <v>#N/A</v>
      </c>
      <c r="AM441" t="e">
        <f>VLOOKUP($Z441,'oddspedia-matches'!$A:$AD,AM$2,0)</f>
        <v>#N/A</v>
      </c>
      <c r="AN441" t="e">
        <f>VLOOKUP($Z441,'oddspedia-matches'!$A:$AD,AN$2,0)</f>
        <v>#N/A</v>
      </c>
      <c r="AO441" t="e">
        <f>VLOOKUP($Z441,'oddspedia-matches'!$A:$AD,AO$2,0)</f>
        <v>#N/A</v>
      </c>
      <c r="AP441" t="e">
        <f>VLOOKUP($Z441,'oddspedia-matches'!$A:$AD,AP$2,0)</f>
        <v>#N/A</v>
      </c>
      <c r="AQ441" t="e">
        <f>VLOOKUP($Z441,'oddspedia-matches'!$A:$AD,AQ$2,0)</f>
        <v>#N/A</v>
      </c>
    </row>
    <row r="442" spans="2:43" x14ac:dyDescent="0.2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e">
        <f>VLOOKUP(F442,'Transform table'!A:B,2,0)</f>
        <v>#N/A</v>
      </c>
      <c r="Z442" t="e">
        <f>C442&amp;X442&amp;Y442</f>
        <v>#N/A</v>
      </c>
      <c r="AA442" t="e">
        <f>VLOOKUP($Z442,'oddspedia-matches'!$A:$AD,AA$2,0)</f>
        <v>#N/A</v>
      </c>
      <c r="AB442" t="e">
        <f>VLOOKUP($Z442,'oddspedia-matches'!$A:$AD,AB$2,0)</f>
        <v>#N/A</v>
      </c>
      <c r="AC442" t="e">
        <f>VLOOKUP($Z442,'oddspedia-matches'!$A:$AD,AC$2,0)</f>
        <v>#N/A</v>
      </c>
      <c r="AD442" t="e">
        <f>VLOOKUP($Z442,'oddspedia-matches'!$A:$AD,AD$2,0)</f>
        <v>#N/A</v>
      </c>
      <c r="AE442" t="e">
        <f>VLOOKUP($Z442,'oddspedia-matches'!$A:$AD,AE$2,0)</f>
        <v>#N/A</v>
      </c>
      <c r="AF442" t="e">
        <f>VLOOKUP($Z442,'oddspedia-matches'!$A:$AD,AF$2,0)</f>
        <v>#N/A</v>
      </c>
      <c r="AG442" t="e">
        <f>VLOOKUP($Z442,'oddspedia-matches'!$A:$AD,AG$2,0)</f>
        <v>#N/A</v>
      </c>
      <c r="AH442" t="e">
        <f>VLOOKUP($Z442,'oddspedia-matches'!$A:$AD,AH$2,0)</f>
        <v>#N/A</v>
      </c>
      <c r="AI442" t="e">
        <f>VLOOKUP($Z442,'oddspedia-matches'!$A:$AD,AI$2,0)</f>
        <v>#N/A</v>
      </c>
      <c r="AJ442" t="e">
        <f>VLOOKUP($Z442,'oddspedia-matches'!$A:$AD,AJ$2,0)</f>
        <v>#N/A</v>
      </c>
      <c r="AK442" t="e">
        <f>VLOOKUP($Z442,'oddspedia-matches'!$A:$AD,AK$2,0)</f>
        <v>#N/A</v>
      </c>
      <c r="AL442" t="e">
        <f>VLOOKUP($Z442,'oddspedia-matches'!$A:$AD,AL$2,0)</f>
        <v>#N/A</v>
      </c>
      <c r="AM442" t="e">
        <f>VLOOKUP($Z442,'oddspedia-matches'!$A:$AD,AM$2,0)</f>
        <v>#N/A</v>
      </c>
      <c r="AN442" t="e">
        <f>VLOOKUP($Z442,'oddspedia-matches'!$A:$AD,AN$2,0)</f>
        <v>#N/A</v>
      </c>
      <c r="AO442" t="e">
        <f>VLOOKUP($Z442,'oddspedia-matches'!$A:$AD,AO$2,0)</f>
        <v>#N/A</v>
      </c>
      <c r="AP442" t="e">
        <f>VLOOKUP($Z442,'oddspedia-matches'!$A:$AD,AP$2,0)</f>
        <v>#N/A</v>
      </c>
      <c r="AQ442" t="e">
        <f>VLOOKUP($Z442,'oddspedia-matches'!$A:$AD,AQ$2,0)</f>
        <v>#N/A</v>
      </c>
    </row>
    <row r="443" spans="2:43" x14ac:dyDescent="0.2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>C443&amp;X443&amp;Y443</f>
        <v>26/07/2026BahiaCorinthians</v>
      </c>
      <c r="AA443" t="e">
        <f>VLOOKUP($Z443,'oddspedia-matches'!$A:$AD,AA$2,0)</f>
        <v>#N/A</v>
      </c>
      <c r="AB443" t="e">
        <f>VLOOKUP($Z443,'oddspedia-matches'!$A:$AD,AB$2,0)</f>
        <v>#N/A</v>
      </c>
      <c r="AC443" t="e">
        <f>VLOOKUP($Z443,'oddspedia-matches'!$A:$AD,AC$2,0)</f>
        <v>#N/A</v>
      </c>
      <c r="AD443" t="e">
        <f>VLOOKUP($Z443,'oddspedia-matches'!$A:$AD,AD$2,0)</f>
        <v>#N/A</v>
      </c>
      <c r="AE443" t="e">
        <f>VLOOKUP($Z443,'oddspedia-matches'!$A:$AD,AE$2,0)</f>
        <v>#N/A</v>
      </c>
      <c r="AF443" t="e">
        <f>VLOOKUP($Z443,'oddspedia-matches'!$A:$AD,AF$2,0)</f>
        <v>#N/A</v>
      </c>
      <c r="AG443" t="e">
        <f>VLOOKUP($Z443,'oddspedia-matches'!$A:$AD,AG$2,0)</f>
        <v>#N/A</v>
      </c>
      <c r="AH443" t="e">
        <f>VLOOKUP($Z443,'oddspedia-matches'!$A:$AD,AH$2,0)</f>
        <v>#N/A</v>
      </c>
      <c r="AI443" t="e">
        <f>VLOOKUP($Z443,'oddspedia-matches'!$A:$AD,AI$2,0)</f>
        <v>#N/A</v>
      </c>
      <c r="AJ443" t="e">
        <f>VLOOKUP($Z443,'oddspedia-matches'!$A:$AD,AJ$2,0)</f>
        <v>#N/A</v>
      </c>
      <c r="AK443" t="e">
        <f>VLOOKUP($Z443,'oddspedia-matches'!$A:$AD,AK$2,0)</f>
        <v>#N/A</v>
      </c>
      <c r="AL443" t="e">
        <f>VLOOKUP($Z443,'oddspedia-matches'!$A:$AD,AL$2,0)</f>
        <v>#N/A</v>
      </c>
      <c r="AM443" t="e">
        <f>VLOOKUP($Z443,'oddspedia-matches'!$A:$AD,AM$2,0)</f>
        <v>#N/A</v>
      </c>
      <c r="AN443" t="e">
        <f>VLOOKUP($Z443,'oddspedia-matches'!$A:$AD,AN$2,0)</f>
        <v>#N/A</v>
      </c>
      <c r="AO443" t="e">
        <f>VLOOKUP($Z443,'oddspedia-matches'!$A:$AD,AO$2,0)</f>
        <v>#N/A</v>
      </c>
      <c r="AP443" t="e">
        <f>VLOOKUP($Z443,'oddspedia-matches'!$A:$AD,AP$2,0)</f>
        <v>#N/A</v>
      </c>
      <c r="AQ443" t="e">
        <f>VLOOKUP($Z443,'oddspedia-matches'!$A:$AD,AQ$2,0)</f>
        <v>#N/A</v>
      </c>
    </row>
    <row r="444" spans="2:43" x14ac:dyDescent="0.2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>C444&amp;X444&amp;Y444</f>
        <v>26/07/2026CruzeiroBotafogo RJ</v>
      </c>
      <c r="AA444" t="e">
        <f>VLOOKUP($Z444,'oddspedia-matches'!$A:$AD,AA$2,0)</f>
        <v>#N/A</v>
      </c>
      <c r="AB444" t="e">
        <f>VLOOKUP($Z444,'oddspedia-matches'!$A:$AD,AB$2,0)</f>
        <v>#N/A</v>
      </c>
      <c r="AC444" t="e">
        <f>VLOOKUP($Z444,'oddspedia-matches'!$A:$AD,AC$2,0)</f>
        <v>#N/A</v>
      </c>
      <c r="AD444" t="e">
        <f>VLOOKUP($Z444,'oddspedia-matches'!$A:$AD,AD$2,0)</f>
        <v>#N/A</v>
      </c>
      <c r="AE444" t="e">
        <f>VLOOKUP($Z444,'oddspedia-matches'!$A:$AD,AE$2,0)</f>
        <v>#N/A</v>
      </c>
      <c r="AF444" t="e">
        <f>VLOOKUP($Z444,'oddspedia-matches'!$A:$AD,AF$2,0)</f>
        <v>#N/A</v>
      </c>
      <c r="AG444" t="e">
        <f>VLOOKUP($Z444,'oddspedia-matches'!$A:$AD,AG$2,0)</f>
        <v>#N/A</v>
      </c>
      <c r="AH444" t="e">
        <f>VLOOKUP($Z444,'oddspedia-matches'!$A:$AD,AH$2,0)</f>
        <v>#N/A</v>
      </c>
      <c r="AI444" t="e">
        <f>VLOOKUP($Z444,'oddspedia-matches'!$A:$AD,AI$2,0)</f>
        <v>#N/A</v>
      </c>
      <c r="AJ444" t="e">
        <f>VLOOKUP($Z444,'oddspedia-matches'!$A:$AD,AJ$2,0)</f>
        <v>#N/A</v>
      </c>
      <c r="AK444" t="e">
        <f>VLOOKUP($Z444,'oddspedia-matches'!$A:$AD,AK$2,0)</f>
        <v>#N/A</v>
      </c>
      <c r="AL444" t="e">
        <f>VLOOKUP($Z444,'oddspedia-matches'!$A:$AD,AL$2,0)</f>
        <v>#N/A</v>
      </c>
      <c r="AM444" t="e">
        <f>VLOOKUP($Z444,'oddspedia-matches'!$A:$AD,AM$2,0)</f>
        <v>#N/A</v>
      </c>
      <c r="AN444" t="e">
        <f>VLOOKUP($Z444,'oddspedia-matches'!$A:$AD,AN$2,0)</f>
        <v>#N/A</v>
      </c>
      <c r="AO444" t="e">
        <f>VLOOKUP($Z444,'oddspedia-matches'!$A:$AD,AO$2,0)</f>
        <v>#N/A</v>
      </c>
      <c r="AP444" t="e">
        <f>VLOOKUP($Z444,'oddspedia-matches'!$A:$AD,AP$2,0)</f>
        <v>#N/A</v>
      </c>
      <c r="AQ444" t="e">
        <f>VLOOKUP($Z444,'oddspedia-matches'!$A:$AD,AQ$2,0)</f>
        <v>#N/A</v>
      </c>
    </row>
    <row r="445" spans="2:43" x14ac:dyDescent="0.2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>C445&amp;X445&amp;Y445</f>
        <v>26/07/2026CriciumaNautico</v>
      </c>
      <c r="AA445" t="e">
        <f>VLOOKUP($Z445,'oddspedia-matches'!$A:$AD,AA$2,0)</f>
        <v>#N/A</v>
      </c>
      <c r="AB445" t="e">
        <f>VLOOKUP($Z445,'oddspedia-matches'!$A:$AD,AB$2,0)</f>
        <v>#N/A</v>
      </c>
      <c r="AC445" t="e">
        <f>VLOOKUP($Z445,'oddspedia-matches'!$A:$AD,AC$2,0)</f>
        <v>#N/A</v>
      </c>
      <c r="AD445" t="e">
        <f>VLOOKUP($Z445,'oddspedia-matches'!$A:$AD,AD$2,0)</f>
        <v>#N/A</v>
      </c>
      <c r="AE445" t="e">
        <f>VLOOKUP($Z445,'oddspedia-matches'!$A:$AD,AE$2,0)</f>
        <v>#N/A</v>
      </c>
      <c r="AF445" t="e">
        <f>VLOOKUP($Z445,'oddspedia-matches'!$A:$AD,AF$2,0)</f>
        <v>#N/A</v>
      </c>
      <c r="AG445" t="e">
        <f>VLOOKUP($Z445,'oddspedia-matches'!$A:$AD,AG$2,0)</f>
        <v>#N/A</v>
      </c>
      <c r="AH445" t="e">
        <f>VLOOKUP($Z445,'oddspedia-matches'!$A:$AD,AH$2,0)</f>
        <v>#N/A</v>
      </c>
      <c r="AI445" t="e">
        <f>VLOOKUP($Z445,'oddspedia-matches'!$A:$AD,AI$2,0)</f>
        <v>#N/A</v>
      </c>
      <c r="AJ445" t="e">
        <f>VLOOKUP($Z445,'oddspedia-matches'!$A:$AD,AJ$2,0)</f>
        <v>#N/A</v>
      </c>
      <c r="AK445" t="e">
        <f>VLOOKUP($Z445,'oddspedia-matches'!$A:$AD,AK$2,0)</f>
        <v>#N/A</v>
      </c>
      <c r="AL445" t="e">
        <f>VLOOKUP($Z445,'oddspedia-matches'!$A:$AD,AL$2,0)</f>
        <v>#N/A</v>
      </c>
      <c r="AM445" t="e">
        <f>VLOOKUP($Z445,'oddspedia-matches'!$A:$AD,AM$2,0)</f>
        <v>#N/A</v>
      </c>
      <c r="AN445" t="e">
        <f>VLOOKUP($Z445,'oddspedia-matches'!$A:$AD,AN$2,0)</f>
        <v>#N/A</v>
      </c>
      <c r="AO445" t="e">
        <f>VLOOKUP($Z445,'oddspedia-matches'!$A:$AD,AO$2,0)</f>
        <v>#N/A</v>
      </c>
      <c r="AP445" t="e">
        <f>VLOOKUP($Z445,'oddspedia-matches'!$A:$AD,AP$2,0)</f>
        <v>#N/A</v>
      </c>
      <c r="AQ445" t="e">
        <f>VLOOKUP($Z445,'oddspedia-matches'!$A:$AD,AQ$2,0)</f>
        <v>#N/A</v>
      </c>
    </row>
    <row r="446" spans="2:43" x14ac:dyDescent="0.2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>C446&amp;X446&amp;Y446</f>
        <v>26/07/2026Sao Bernardo FC SPCeara</v>
      </c>
      <c r="AA446" t="e">
        <f>VLOOKUP($Z446,'oddspedia-matches'!$A:$AD,AA$2,0)</f>
        <v>#N/A</v>
      </c>
      <c r="AB446" t="e">
        <f>VLOOKUP($Z446,'oddspedia-matches'!$A:$AD,AB$2,0)</f>
        <v>#N/A</v>
      </c>
      <c r="AC446" t="e">
        <f>VLOOKUP($Z446,'oddspedia-matches'!$A:$AD,AC$2,0)</f>
        <v>#N/A</v>
      </c>
      <c r="AD446" t="e">
        <f>VLOOKUP($Z446,'oddspedia-matches'!$A:$AD,AD$2,0)</f>
        <v>#N/A</v>
      </c>
      <c r="AE446" t="e">
        <f>VLOOKUP($Z446,'oddspedia-matches'!$A:$AD,AE$2,0)</f>
        <v>#N/A</v>
      </c>
      <c r="AF446" t="e">
        <f>VLOOKUP($Z446,'oddspedia-matches'!$A:$AD,AF$2,0)</f>
        <v>#N/A</v>
      </c>
      <c r="AG446" t="e">
        <f>VLOOKUP($Z446,'oddspedia-matches'!$A:$AD,AG$2,0)</f>
        <v>#N/A</v>
      </c>
      <c r="AH446" t="e">
        <f>VLOOKUP($Z446,'oddspedia-matches'!$A:$AD,AH$2,0)</f>
        <v>#N/A</v>
      </c>
      <c r="AI446" t="e">
        <f>VLOOKUP($Z446,'oddspedia-matches'!$A:$AD,AI$2,0)</f>
        <v>#N/A</v>
      </c>
      <c r="AJ446" t="e">
        <f>VLOOKUP($Z446,'oddspedia-matches'!$A:$AD,AJ$2,0)</f>
        <v>#N/A</v>
      </c>
      <c r="AK446" t="e">
        <f>VLOOKUP($Z446,'oddspedia-matches'!$A:$AD,AK$2,0)</f>
        <v>#N/A</v>
      </c>
      <c r="AL446" t="e">
        <f>VLOOKUP($Z446,'oddspedia-matches'!$A:$AD,AL$2,0)</f>
        <v>#N/A</v>
      </c>
      <c r="AM446" t="e">
        <f>VLOOKUP($Z446,'oddspedia-matches'!$A:$AD,AM$2,0)</f>
        <v>#N/A</v>
      </c>
      <c r="AN446" t="e">
        <f>VLOOKUP($Z446,'oddspedia-matches'!$A:$AD,AN$2,0)</f>
        <v>#N/A</v>
      </c>
      <c r="AO446" t="e">
        <f>VLOOKUP($Z446,'oddspedia-matches'!$A:$AD,AO$2,0)</f>
        <v>#N/A</v>
      </c>
      <c r="AP446" t="e">
        <f>VLOOKUP($Z446,'oddspedia-matches'!$A:$AD,AP$2,0)</f>
        <v>#N/A</v>
      </c>
      <c r="AQ446" t="e">
        <f>VLOOKUP($Z446,'oddspedia-matches'!$A:$AD,AQ$2,0)</f>
        <v>#N/A</v>
      </c>
    </row>
    <row r="447" spans="2:43" x14ac:dyDescent="0.2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Brest</v>
      </c>
      <c r="Y447" t="e">
        <f>VLOOKUP(F447,'Transform table'!A:B,2,0)</f>
        <v>#N/A</v>
      </c>
      <c r="Z447" t="e">
        <f>C447&amp;X447&amp;Y447</f>
        <v>#N/A</v>
      </c>
      <c r="AA447" t="e">
        <f>VLOOKUP($Z447,'oddspedia-matches'!$A:$AD,AA$2,0)</f>
        <v>#N/A</v>
      </c>
      <c r="AB447" t="e">
        <f>VLOOKUP($Z447,'oddspedia-matches'!$A:$AD,AB$2,0)</f>
        <v>#N/A</v>
      </c>
      <c r="AC447" t="e">
        <f>VLOOKUP($Z447,'oddspedia-matches'!$A:$AD,AC$2,0)</f>
        <v>#N/A</v>
      </c>
      <c r="AD447" t="e">
        <f>VLOOKUP($Z447,'oddspedia-matches'!$A:$AD,AD$2,0)</f>
        <v>#N/A</v>
      </c>
      <c r="AE447" t="e">
        <f>VLOOKUP($Z447,'oddspedia-matches'!$A:$AD,AE$2,0)</f>
        <v>#N/A</v>
      </c>
      <c r="AF447" t="e">
        <f>VLOOKUP($Z447,'oddspedia-matches'!$A:$AD,AF$2,0)</f>
        <v>#N/A</v>
      </c>
      <c r="AG447" t="e">
        <f>VLOOKUP($Z447,'oddspedia-matches'!$A:$AD,AG$2,0)</f>
        <v>#N/A</v>
      </c>
      <c r="AH447" t="e">
        <f>VLOOKUP($Z447,'oddspedia-matches'!$A:$AD,AH$2,0)</f>
        <v>#N/A</v>
      </c>
      <c r="AI447" t="e">
        <f>VLOOKUP($Z447,'oddspedia-matches'!$A:$AD,AI$2,0)</f>
        <v>#N/A</v>
      </c>
      <c r="AJ447" t="e">
        <f>VLOOKUP($Z447,'oddspedia-matches'!$A:$AD,AJ$2,0)</f>
        <v>#N/A</v>
      </c>
      <c r="AK447" t="e">
        <f>VLOOKUP($Z447,'oddspedia-matches'!$A:$AD,AK$2,0)</f>
        <v>#N/A</v>
      </c>
      <c r="AL447" t="e">
        <f>VLOOKUP($Z447,'oddspedia-matches'!$A:$AD,AL$2,0)</f>
        <v>#N/A</v>
      </c>
      <c r="AM447" t="e">
        <f>VLOOKUP($Z447,'oddspedia-matches'!$A:$AD,AM$2,0)</f>
        <v>#N/A</v>
      </c>
      <c r="AN447" t="e">
        <f>VLOOKUP($Z447,'oddspedia-matches'!$A:$AD,AN$2,0)</f>
        <v>#N/A</v>
      </c>
      <c r="AO447" t="e">
        <f>VLOOKUP($Z447,'oddspedia-matches'!$A:$AD,AO$2,0)</f>
        <v>#N/A</v>
      </c>
      <c r="AP447" t="e">
        <f>VLOOKUP($Z447,'oddspedia-matches'!$A:$AD,AP$2,0)</f>
        <v>#N/A</v>
      </c>
      <c r="AQ447" t="e">
        <f>VLOOKUP($Z447,'oddspedia-matches'!$A:$AD,AQ$2,0)</f>
        <v>#N/A</v>
      </c>
    </row>
    <row r="448" spans="2:43" x14ac:dyDescent="0.2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YPA</v>
      </c>
      <c r="Y448" t="e">
        <f>VLOOKUP(F448,'Transform table'!A:B,2,0)</f>
        <v>#N/A</v>
      </c>
      <c r="Z448" t="e">
        <f>C448&amp;X448&amp;Y448</f>
        <v>#N/A</v>
      </c>
      <c r="AA448" t="e">
        <f>VLOOKUP($Z448,'oddspedia-matches'!$A:$AD,AA$2,0)</f>
        <v>#N/A</v>
      </c>
      <c r="AB448" t="e">
        <f>VLOOKUP($Z448,'oddspedia-matches'!$A:$AD,AB$2,0)</f>
        <v>#N/A</v>
      </c>
      <c r="AC448" t="e">
        <f>VLOOKUP($Z448,'oddspedia-matches'!$A:$AD,AC$2,0)</f>
        <v>#N/A</v>
      </c>
      <c r="AD448" t="e">
        <f>VLOOKUP($Z448,'oddspedia-matches'!$A:$AD,AD$2,0)</f>
        <v>#N/A</v>
      </c>
      <c r="AE448" t="e">
        <f>VLOOKUP($Z448,'oddspedia-matches'!$A:$AD,AE$2,0)</f>
        <v>#N/A</v>
      </c>
      <c r="AF448" t="e">
        <f>VLOOKUP($Z448,'oddspedia-matches'!$A:$AD,AF$2,0)</f>
        <v>#N/A</v>
      </c>
      <c r="AG448" t="e">
        <f>VLOOKUP($Z448,'oddspedia-matches'!$A:$AD,AG$2,0)</f>
        <v>#N/A</v>
      </c>
      <c r="AH448" t="e">
        <f>VLOOKUP($Z448,'oddspedia-matches'!$A:$AD,AH$2,0)</f>
        <v>#N/A</v>
      </c>
      <c r="AI448" t="e">
        <f>VLOOKUP($Z448,'oddspedia-matches'!$A:$AD,AI$2,0)</f>
        <v>#N/A</v>
      </c>
      <c r="AJ448" t="e">
        <f>VLOOKUP($Z448,'oddspedia-matches'!$A:$AD,AJ$2,0)</f>
        <v>#N/A</v>
      </c>
      <c r="AK448" t="e">
        <f>VLOOKUP($Z448,'oddspedia-matches'!$A:$AD,AK$2,0)</f>
        <v>#N/A</v>
      </c>
      <c r="AL448" t="e">
        <f>VLOOKUP($Z448,'oddspedia-matches'!$A:$AD,AL$2,0)</f>
        <v>#N/A</v>
      </c>
      <c r="AM448" t="e">
        <f>VLOOKUP($Z448,'oddspedia-matches'!$A:$AD,AM$2,0)</f>
        <v>#N/A</v>
      </c>
      <c r="AN448" t="e">
        <f>VLOOKUP($Z448,'oddspedia-matches'!$A:$AD,AN$2,0)</f>
        <v>#N/A</v>
      </c>
      <c r="AO448" t="e">
        <f>VLOOKUP($Z448,'oddspedia-matches'!$A:$AD,AO$2,0)</f>
        <v>#N/A</v>
      </c>
      <c r="AP448" t="e">
        <f>VLOOKUP($Z448,'oddspedia-matches'!$A:$AD,AP$2,0)</f>
        <v>#N/A</v>
      </c>
      <c r="AQ448" t="e">
        <f>VLOOKUP($Z448,'oddspedia-matches'!$A:$AD,AQ$2,0)</f>
        <v>#N/A</v>
      </c>
    </row>
    <row r="449" spans="2:43" x14ac:dyDescent="0.2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CSKA</v>
      </c>
      <c r="Y449" t="e">
        <f>VLOOKUP(F449,'Transform table'!A:B,2,0)</f>
        <v>#N/A</v>
      </c>
      <c r="Z449" t="e">
        <f>C449&amp;X449&amp;Y449</f>
        <v>#N/A</v>
      </c>
      <c r="AA449" t="e">
        <f>VLOOKUP($Z449,'oddspedia-matches'!$A:$AD,AA$2,0)</f>
        <v>#N/A</v>
      </c>
      <c r="AB449" t="e">
        <f>VLOOKUP($Z449,'oddspedia-matches'!$A:$AD,AB$2,0)</f>
        <v>#N/A</v>
      </c>
      <c r="AC449" t="e">
        <f>VLOOKUP($Z449,'oddspedia-matches'!$A:$AD,AC$2,0)</f>
        <v>#N/A</v>
      </c>
      <c r="AD449" t="e">
        <f>VLOOKUP($Z449,'oddspedia-matches'!$A:$AD,AD$2,0)</f>
        <v>#N/A</v>
      </c>
      <c r="AE449" t="e">
        <f>VLOOKUP($Z449,'oddspedia-matches'!$A:$AD,AE$2,0)</f>
        <v>#N/A</v>
      </c>
      <c r="AF449" t="e">
        <f>VLOOKUP($Z449,'oddspedia-matches'!$A:$AD,AF$2,0)</f>
        <v>#N/A</v>
      </c>
      <c r="AG449" t="e">
        <f>VLOOKUP($Z449,'oddspedia-matches'!$A:$AD,AG$2,0)</f>
        <v>#N/A</v>
      </c>
      <c r="AH449" t="e">
        <f>VLOOKUP($Z449,'oddspedia-matches'!$A:$AD,AH$2,0)</f>
        <v>#N/A</v>
      </c>
      <c r="AI449" t="e">
        <f>VLOOKUP($Z449,'oddspedia-matches'!$A:$AD,AI$2,0)</f>
        <v>#N/A</v>
      </c>
      <c r="AJ449" t="e">
        <f>VLOOKUP($Z449,'oddspedia-matches'!$A:$AD,AJ$2,0)</f>
        <v>#N/A</v>
      </c>
      <c r="AK449" t="e">
        <f>VLOOKUP($Z449,'oddspedia-matches'!$A:$AD,AK$2,0)</f>
        <v>#N/A</v>
      </c>
      <c r="AL449" t="e">
        <f>VLOOKUP($Z449,'oddspedia-matches'!$A:$AD,AL$2,0)</f>
        <v>#N/A</v>
      </c>
      <c r="AM449" t="e">
        <f>VLOOKUP($Z449,'oddspedia-matches'!$A:$AD,AM$2,0)</f>
        <v>#N/A</v>
      </c>
      <c r="AN449" t="e">
        <f>VLOOKUP($Z449,'oddspedia-matches'!$A:$AD,AN$2,0)</f>
        <v>#N/A</v>
      </c>
      <c r="AO449" t="e">
        <f>VLOOKUP($Z449,'oddspedia-matches'!$A:$AD,AO$2,0)</f>
        <v>#N/A</v>
      </c>
      <c r="AP449" t="e">
        <f>VLOOKUP($Z449,'oddspedia-matches'!$A:$AD,AP$2,0)</f>
        <v>#N/A</v>
      </c>
      <c r="AQ449" t="e">
        <f>VLOOKUP($Z449,'oddspedia-matches'!$A:$AD,AQ$2,0)</f>
        <v>#N/A</v>
      </c>
    </row>
    <row r="450" spans="2:43" x14ac:dyDescent="0.2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>
        <f>VLOOKUP(E450,'Transform table'!A:B,2,0)</f>
        <v>0</v>
      </c>
      <c r="Y450" t="e">
        <f>VLOOKUP(F450,'Transform table'!A:B,2,0)</f>
        <v>#N/A</v>
      </c>
      <c r="Z450" t="e">
        <f>C450&amp;X450&amp;Y450</f>
        <v>#N/A</v>
      </c>
      <c r="AA450" t="e">
        <f>VLOOKUP($Z450,'oddspedia-matches'!$A:$AD,AA$2,0)</f>
        <v>#N/A</v>
      </c>
      <c r="AB450" t="e">
        <f>VLOOKUP($Z450,'oddspedia-matches'!$A:$AD,AB$2,0)</f>
        <v>#N/A</v>
      </c>
      <c r="AC450" t="e">
        <f>VLOOKUP($Z450,'oddspedia-matches'!$A:$AD,AC$2,0)</f>
        <v>#N/A</v>
      </c>
      <c r="AD450" t="e">
        <f>VLOOKUP($Z450,'oddspedia-matches'!$A:$AD,AD$2,0)</f>
        <v>#N/A</v>
      </c>
      <c r="AE450" t="e">
        <f>VLOOKUP($Z450,'oddspedia-matches'!$A:$AD,AE$2,0)</f>
        <v>#N/A</v>
      </c>
      <c r="AF450" t="e">
        <f>VLOOKUP($Z450,'oddspedia-matches'!$A:$AD,AF$2,0)</f>
        <v>#N/A</v>
      </c>
      <c r="AG450" t="e">
        <f>VLOOKUP($Z450,'oddspedia-matches'!$A:$AD,AG$2,0)</f>
        <v>#N/A</v>
      </c>
      <c r="AH450" t="e">
        <f>VLOOKUP($Z450,'oddspedia-matches'!$A:$AD,AH$2,0)</f>
        <v>#N/A</v>
      </c>
      <c r="AI450" t="e">
        <f>VLOOKUP($Z450,'oddspedia-matches'!$A:$AD,AI$2,0)</f>
        <v>#N/A</v>
      </c>
      <c r="AJ450" t="e">
        <f>VLOOKUP($Z450,'oddspedia-matches'!$A:$AD,AJ$2,0)</f>
        <v>#N/A</v>
      </c>
      <c r="AK450" t="e">
        <f>VLOOKUP($Z450,'oddspedia-matches'!$A:$AD,AK$2,0)</f>
        <v>#N/A</v>
      </c>
      <c r="AL450" t="e">
        <f>VLOOKUP($Z450,'oddspedia-matches'!$A:$AD,AL$2,0)</f>
        <v>#N/A</v>
      </c>
      <c r="AM450" t="e">
        <f>VLOOKUP($Z450,'oddspedia-matches'!$A:$AD,AM$2,0)</f>
        <v>#N/A</v>
      </c>
      <c r="AN450" t="e">
        <f>VLOOKUP($Z450,'oddspedia-matches'!$A:$AD,AN$2,0)</f>
        <v>#N/A</v>
      </c>
      <c r="AO450" t="e">
        <f>VLOOKUP($Z450,'oddspedia-matches'!$A:$AD,AO$2,0)</f>
        <v>#N/A</v>
      </c>
      <c r="AP450" t="e">
        <f>VLOOKUP($Z450,'oddspedia-matches'!$A:$AD,AP$2,0)</f>
        <v>#N/A</v>
      </c>
      <c r="AQ450" t="e">
        <f>VLOOKUP($Z450,'oddspedia-matches'!$A:$AD,AQ$2,0)</f>
        <v>#N/A</v>
      </c>
    </row>
    <row r="451" spans="2:43" x14ac:dyDescent="0.2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>
        <f>VLOOKUP(E451,'Transform table'!A:B,2,0)</f>
        <v>0</v>
      </c>
      <c r="Y451" t="e">
        <f>VLOOKUP(F451,'Transform table'!A:B,2,0)</f>
        <v>#N/A</v>
      </c>
      <c r="Z451" t="e">
        <f>C451&amp;X451&amp;Y451</f>
        <v>#N/A</v>
      </c>
      <c r="AA451" t="e">
        <f>VLOOKUP($Z451,'oddspedia-matches'!$A:$AD,AA$2,0)</f>
        <v>#N/A</v>
      </c>
      <c r="AB451" t="e">
        <f>VLOOKUP($Z451,'oddspedia-matches'!$A:$AD,AB$2,0)</f>
        <v>#N/A</v>
      </c>
      <c r="AC451" t="e">
        <f>VLOOKUP($Z451,'oddspedia-matches'!$A:$AD,AC$2,0)</f>
        <v>#N/A</v>
      </c>
      <c r="AD451" t="e">
        <f>VLOOKUP($Z451,'oddspedia-matches'!$A:$AD,AD$2,0)</f>
        <v>#N/A</v>
      </c>
      <c r="AE451" t="e">
        <f>VLOOKUP($Z451,'oddspedia-matches'!$A:$AD,AE$2,0)</f>
        <v>#N/A</v>
      </c>
      <c r="AF451" t="e">
        <f>VLOOKUP($Z451,'oddspedia-matches'!$A:$AD,AF$2,0)</f>
        <v>#N/A</v>
      </c>
      <c r="AG451" t="e">
        <f>VLOOKUP($Z451,'oddspedia-matches'!$A:$AD,AG$2,0)</f>
        <v>#N/A</v>
      </c>
      <c r="AH451" t="e">
        <f>VLOOKUP($Z451,'oddspedia-matches'!$A:$AD,AH$2,0)</f>
        <v>#N/A</v>
      </c>
      <c r="AI451" t="e">
        <f>VLOOKUP($Z451,'oddspedia-matches'!$A:$AD,AI$2,0)</f>
        <v>#N/A</v>
      </c>
      <c r="AJ451" t="e">
        <f>VLOOKUP($Z451,'oddspedia-matches'!$A:$AD,AJ$2,0)</f>
        <v>#N/A</v>
      </c>
      <c r="AK451" t="e">
        <f>VLOOKUP($Z451,'oddspedia-matches'!$A:$AD,AK$2,0)</f>
        <v>#N/A</v>
      </c>
      <c r="AL451" t="e">
        <f>VLOOKUP($Z451,'oddspedia-matches'!$A:$AD,AL$2,0)</f>
        <v>#N/A</v>
      </c>
      <c r="AM451" t="e">
        <f>VLOOKUP($Z451,'oddspedia-matches'!$A:$AD,AM$2,0)</f>
        <v>#N/A</v>
      </c>
      <c r="AN451" t="e">
        <f>VLOOKUP($Z451,'oddspedia-matches'!$A:$AD,AN$2,0)</f>
        <v>#N/A</v>
      </c>
      <c r="AO451" t="e">
        <f>VLOOKUP($Z451,'oddspedia-matches'!$A:$AD,AO$2,0)</f>
        <v>#N/A</v>
      </c>
      <c r="AP451" t="e">
        <f>VLOOKUP($Z451,'oddspedia-matches'!$A:$AD,AP$2,0)</f>
        <v>#N/A</v>
      </c>
      <c r="AQ451" t="e">
        <f>VLOOKUP($Z451,'oddspedia-matches'!$A:$AD,AQ$2,0)</f>
        <v>#N/A</v>
      </c>
    </row>
    <row r="452" spans="2:43" x14ac:dyDescent="0.2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e">
        <f>VLOOKUP(F452,'Transform table'!A:B,2,0)</f>
        <v>#N/A</v>
      </c>
      <c r="Z452" t="e">
        <f>C452&amp;X452&amp;Y452</f>
        <v>#N/A</v>
      </c>
      <c r="AA452" t="e">
        <f>VLOOKUP($Z452,'oddspedia-matches'!$A:$AD,AA$2,0)</f>
        <v>#N/A</v>
      </c>
      <c r="AB452" t="e">
        <f>VLOOKUP($Z452,'oddspedia-matches'!$A:$AD,AB$2,0)</f>
        <v>#N/A</v>
      </c>
      <c r="AC452" t="e">
        <f>VLOOKUP($Z452,'oddspedia-matches'!$A:$AD,AC$2,0)</f>
        <v>#N/A</v>
      </c>
      <c r="AD452" t="e">
        <f>VLOOKUP($Z452,'oddspedia-matches'!$A:$AD,AD$2,0)</f>
        <v>#N/A</v>
      </c>
      <c r="AE452" t="e">
        <f>VLOOKUP($Z452,'oddspedia-matches'!$A:$AD,AE$2,0)</f>
        <v>#N/A</v>
      </c>
      <c r="AF452" t="e">
        <f>VLOOKUP($Z452,'oddspedia-matches'!$A:$AD,AF$2,0)</f>
        <v>#N/A</v>
      </c>
      <c r="AG452" t="e">
        <f>VLOOKUP($Z452,'oddspedia-matches'!$A:$AD,AG$2,0)</f>
        <v>#N/A</v>
      </c>
      <c r="AH452" t="e">
        <f>VLOOKUP($Z452,'oddspedia-matches'!$A:$AD,AH$2,0)</f>
        <v>#N/A</v>
      </c>
      <c r="AI452" t="e">
        <f>VLOOKUP($Z452,'oddspedia-matches'!$A:$AD,AI$2,0)</f>
        <v>#N/A</v>
      </c>
      <c r="AJ452" t="e">
        <f>VLOOKUP($Z452,'oddspedia-matches'!$A:$AD,AJ$2,0)</f>
        <v>#N/A</v>
      </c>
      <c r="AK452" t="e">
        <f>VLOOKUP($Z452,'oddspedia-matches'!$A:$AD,AK$2,0)</f>
        <v>#N/A</v>
      </c>
      <c r="AL452" t="e">
        <f>VLOOKUP($Z452,'oddspedia-matches'!$A:$AD,AL$2,0)</f>
        <v>#N/A</v>
      </c>
      <c r="AM452" t="e">
        <f>VLOOKUP($Z452,'oddspedia-matches'!$A:$AD,AM$2,0)</f>
        <v>#N/A</v>
      </c>
      <c r="AN452" t="e">
        <f>VLOOKUP($Z452,'oddspedia-matches'!$A:$AD,AN$2,0)</f>
        <v>#N/A</v>
      </c>
      <c r="AO452" t="e">
        <f>VLOOKUP($Z452,'oddspedia-matches'!$A:$AD,AO$2,0)</f>
        <v>#N/A</v>
      </c>
      <c r="AP452" t="e">
        <f>VLOOKUP($Z452,'oddspedia-matches'!$A:$AD,AP$2,0)</f>
        <v>#N/A</v>
      </c>
      <c r="AQ452" t="e">
        <f>VLOOKUP($Z452,'oddspedia-matches'!$A:$AD,AQ$2,0)</f>
        <v>#N/A</v>
      </c>
    </row>
    <row r="453" spans="2:43" x14ac:dyDescent="0.2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>
        <f>VLOOKUP(E453,'Transform table'!A:B,2,0)</f>
        <v>0</v>
      </c>
      <c r="Y453" t="e">
        <f>VLOOKUP(F453,'Transform table'!A:B,2,0)</f>
        <v>#N/A</v>
      </c>
      <c r="Z453" t="e">
        <f>C453&amp;X453&amp;Y453</f>
        <v>#N/A</v>
      </c>
      <c r="AA453" t="e">
        <f>VLOOKUP($Z453,'oddspedia-matches'!$A:$AD,AA$2,0)</f>
        <v>#N/A</v>
      </c>
      <c r="AB453" t="e">
        <f>VLOOKUP($Z453,'oddspedia-matches'!$A:$AD,AB$2,0)</f>
        <v>#N/A</v>
      </c>
      <c r="AC453" t="e">
        <f>VLOOKUP($Z453,'oddspedia-matches'!$A:$AD,AC$2,0)</f>
        <v>#N/A</v>
      </c>
      <c r="AD453" t="e">
        <f>VLOOKUP($Z453,'oddspedia-matches'!$A:$AD,AD$2,0)</f>
        <v>#N/A</v>
      </c>
      <c r="AE453" t="e">
        <f>VLOOKUP($Z453,'oddspedia-matches'!$A:$AD,AE$2,0)</f>
        <v>#N/A</v>
      </c>
      <c r="AF453" t="e">
        <f>VLOOKUP($Z453,'oddspedia-matches'!$A:$AD,AF$2,0)</f>
        <v>#N/A</v>
      </c>
      <c r="AG453" t="e">
        <f>VLOOKUP($Z453,'oddspedia-matches'!$A:$AD,AG$2,0)</f>
        <v>#N/A</v>
      </c>
      <c r="AH453" t="e">
        <f>VLOOKUP($Z453,'oddspedia-matches'!$A:$AD,AH$2,0)</f>
        <v>#N/A</v>
      </c>
      <c r="AI453" t="e">
        <f>VLOOKUP($Z453,'oddspedia-matches'!$A:$AD,AI$2,0)</f>
        <v>#N/A</v>
      </c>
      <c r="AJ453" t="e">
        <f>VLOOKUP($Z453,'oddspedia-matches'!$A:$AD,AJ$2,0)</f>
        <v>#N/A</v>
      </c>
      <c r="AK453" t="e">
        <f>VLOOKUP($Z453,'oddspedia-matches'!$A:$AD,AK$2,0)</f>
        <v>#N/A</v>
      </c>
      <c r="AL453" t="e">
        <f>VLOOKUP($Z453,'oddspedia-matches'!$A:$AD,AL$2,0)</f>
        <v>#N/A</v>
      </c>
      <c r="AM453" t="e">
        <f>VLOOKUP($Z453,'oddspedia-matches'!$A:$AD,AM$2,0)</f>
        <v>#N/A</v>
      </c>
      <c r="AN453" t="e">
        <f>VLOOKUP($Z453,'oddspedia-matches'!$A:$AD,AN$2,0)</f>
        <v>#N/A</v>
      </c>
      <c r="AO453" t="e">
        <f>VLOOKUP($Z453,'oddspedia-matches'!$A:$AD,AO$2,0)</f>
        <v>#N/A</v>
      </c>
      <c r="AP453" t="e">
        <f>VLOOKUP($Z453,'oddspedia-matches'!$A:$AD,AP$2,0)</f>
        <v>#N/A</v>
      </c>
      <c r="AQ453" t="e">
        <f>VLOOKUP($Z453,'oddspedia-matches'!$A:$AD,AQ$2,0)</f>
        <v>#N/A</v>
      </c>
    </row>
    <row r="454" spans="2:43" x14ac:dyDescent="0.2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>
        <f>VLOOKUP(E454,'Transform table'!A:B,2,0)</f>
        <v>0</v>
      </c>
      <c r="Y454" t="e">
        <f>VLOOKUP(F454,'Transform table'!A:B,2,0)</f>
        <v>#N/A</v>
      </c>
      <c r="Z454" t="e">
        <f>C454&amp;X454&amp;Y454</f>
        <v>#N/A</v>
      </c>
      <c r="AA454" t="e">
        <f>VLOOKUP($Z454,'oddspedia-matches'!$A:$AD,AA$2,0)</f>
        <v>#N/A</v>
      </c>
      <c r="AB454" t="e">
        <f>VLOOKUP($Z454,'oddspedia-matches'!$A:$AD,AB$2,0)</f>
        <v>#N/A</v>
      </c>
      <c r="AC454" t="e">
        <f>VLOOKUP($Z454,'oddspedia-matches'!$A:$AD,AC$2,0)</f>
        <v>#N/A</v>
      </c>
      <c r="AD454" t="e">
        <f>VLOOKUP($Z454,'oddspedia-matches'!$A:$AD,AD$2,0)</f>
        <v>#N/A</v>
      </c>
      <c r="AE454" t="e">
        <f>VLOOKUP($Z454,'oddspedia-matches'!$A:$AD,AE$2,0)</f>
        <v>#N/A</v>
      </c>
      <c r="AF454" t="e">
        <f>VLOOKUP($Z454,'oddspedia-matches'!$A:$AD,AF$2,0)</f>
        <v>#N/A</v>
      </c>
      <c r="AG454" t="e">
        <f>VLOOKUP($Z454,'oddspedia-matches'!$A:$AD,AG$2,0)</f>
        <v>#N/A</v>
      </c>
      <c r="AH454" t="e">
        <f>VLOOKUP($Z454,'oddspedia-matches'!$A:$AD,AH$2,0)</f>
        <v>#N/A</v>
      </c>
      <c r="AI454" t="e">
        <f>VLOOKUP($Z454,'oddspedia-matches'!$A:$AD,AI$2,0)</f>
        <v>#N/A</v>
      </c>
      <c r="AJ454" t="e">
        <f>VLOOKUP($Z454,'oddspedia-matches'!$A:$AD,AJ$2,0)</f>
        <v>#N/A</v>
      </c>
      <c r="AK454" t="e">
        <f>VLOOKUP($Z454,'oddspedia-matches'!$A:$AD,AK$2,0)</f>
        <v>#N/A</v>
      </c>
      <c r="AL454" t="e">
        <f>VLOOKUP($Z454,'oddspedia-matches'!$A:$AD,AL$2,0)</f>
        <v>#N/A</v>
      </c>
      <c r="AM454" t="e">
        <f>VLOOKUP($Z454,'oddspedia-matches'!$A:$AD,AM$2,0)</f>
        <v>#N/A</v>
      </c>
      <c r="AN454" t="e">
        <f>VLOOKUP($Z454,'oddspedia-matches'!$A:$AD,AN$2,0)</f>
        <v>#N/A</v>
      </c>
      <c r="AO454" t="e">
        <f>VLOOKUP($Z454,'oddspedia-matches'!$A:$AD,AO$2,0)</f>
        <v>#N/A</v>
      </c>
      <c r="AP454" t="e">
        <f>VLOOKUP($Z454,'oddspedia-matches'!$A:$AD,AP$2,0)</f>
        <v>#N/A</v>
      </c>
      <c r="AQ454" t="e">
        <f>VLOOKUP($Z454,'oddspedia-matches'!$A:$AD,AQ$2,0)</f>
        <v>#N/A</v>
      </c>
    </row>
    <row r="455" spans="2:43" x14ac:dyDescent="0.2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Fylkir</v>
      </c>
      <c r="Y455" t="str">
        <f>VLOOKUP(F455,'Transform table'!A:B,2,0)</f>
        <v>Hafnarfjordur</v>
      </c>
      <c r="Z455" t="str">
        <f>C455&amp;X455&amp;Y455</f>
        <v>26/07/2026FylkirHafnarfjordur</v>
      </c>
      <c r="AA455" t="e">
        <f>VLOOKUP($Z455,'oddspedia-matches'!$A:$AD,AA$2,0)</f>
        <v>#N/A</v>
      </c>
      <c r="AB455" t="e">
        <f>VLOOKUP($Z455,'oddspedia-matches'!$A:$AD,AB$2,0)</f>
        <v>#N/A</v>
      </c>
      <c r="AC455" t="e">
        <f>VLOOKUP($Z455,'oddspedia-matches'!$A:$AD,AC$2,0)</f>
        <v>#N/A</v>
      </c>
      <c r="AD455" t="e">
        <f>VLOOKUP($Z455,'oddspedia-matches'!$A:$AD,AD$2,0)</f>
        <v>#N/A</v>
      </c>
      <c r="AE455" t="e">
        <f>VLOOKUP($Z455,'oddspedia-matches'!$A:$AD,AE$2,0)</f>
        <v>#N/A</v>
      </c>
      <c r="AF455" t="e">
        <f>VLOOKUP($Z455,'oddspedia-matches'!$A:$AD,AF$2,0)</f>
        <v>#N/A</v>
      </c>
      <c r="AG455" t="e">
        <f>VLOOKUP($Z455,'oddspedia-matches'!$A:$AD,AG$2,0)</f>
        <v>#N/A</v>
      </c>
      <c r="AH455" t="e">
        <f>VLOOKUP($Z455,'oddspedia-matches'!$A:$AD,AH$2,0)</f>
        <v>#N/A</v>
      </c>
      <c r="AI455" t="e">
        <f>VLOOKUP($Z455,'oddspedia-matches'!$A:$AD,AI$2,0)</f>
        <v>#N/A</v>
      </c>
      <c r="AJ455" t="e">
        <f>VLOOKUP($Z455,'oddspedia-matches'!$A:$AD,AJ$2,0)</f>
        <v>#N/A</v>
      </c>
      <c r="AK455" t="e">
        <f>VLOOKUP($Z455,'oddspedia-matches'!$A:$AD,AK$2,0)</f>
        <v>#N/A</v>
      </c>
      <c r="AL455" t="e">
        <f>VLOOKUP($Z455,'oddspedia-matches'!$A:$AD,AL$2,0)</f>
        <v>#N/A</v>
      </c>
      <c r="AM455" t="e">
        <f>VLOOKUP($Z455,'oddspedia-matches'!$A:$AD,AM$2,0)</f>
        <v>#N/A</v>
      </c>
      <c r="AN455" t="e">
        <f>VLOOKUP($Z455,'oddspedia-matches'!$A:$AD,AN$2,0)</f>
        <v>#N/A</v>
      </c>
      <c r="AO455" t="e">
        <f>VLOOKUP($Z455,'oddspedia-matches'!$A:$AD,AO$2,0)</f>
        <v>#N/A</v>
      </c>
      <c r="AP455" t="e">
        <f>VLOOKUP($Z455,'oddspedia-matches'!$A:$AD,AP$2,0)</f>
        <v>#N/A</v>
      </c>
      <c r="AQ455" t="e">
        <f>VLOOKUP($Z455,'oddspedia-matches'!$A:$AD,AQ$2,0)</f>
        <v>#N/A</v>
      </c>
    </row>
    <row r="456" spans="2:43" x14ac:dyDescent="0.2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e">
        <f>VLOOKUP(F456,'Transform table'!A:B,2,0)</f>
        <v>#N/A</v>
      </c>
      <c r="Z456" t="e">
        <f>C456&amp;X456&amp;Y456</f>
        <v>#N/A</v>
      </c>
      <c r="AA456" t="e">
        <f>VLOOKUP($Z456,'oddspedia-matches'!$A:$AD,AA$2,0)</f>
        <v>#N/A</v>
      </c>
      <c r="AB456" t="e">
        <f>VLOOKUP($Z456,'oddspedia-matches'!$A:$AD,AB$2,0)</f>
        <v>#N/A</v>
      </c>
      <c r="AC456" t="e">
        <f>VLOOKUP($Z456,'oddspedia-matches'!$A:$AD,AC$2,0)</f>
        <v>#N/A</v>
      </c>
      <c r="AD456" t="e">
        <f>VLOOKUP($Z456,'oddspedia-matches'!$A:$AD,AD$2,0)</f>
        <v>#N/A</v>
      </c>
      <c r="AE456" t="e">
        <f>VLOOKUP($Z456,'oddspedia-matches'!$A:$AD,AE$2,0)</f>
        <v>#N/A</v>
      </c>
      <c r="AF456" t="e">
        <f>VLOOKUP($Z456,'oddspedia-matches'!$A:$AD,AF$2,0)</f>
        <v>#N/A</v>
      </c>
      <c r="AG456" t="e">
        <f>VLOOKUP($Z456,'oddspedia-matches'!$A:$AD,AG$2,0)</f>
        <v>#N/A</v>
      </c>
      <c r="AH456" t="e">
        <f>VLOOKUP($Z456,'oddspedia-matches'!$A:$AD,AH$2,0)</f>
        <v>#N/A</v>
      </c>
      <c r="AI456" t="e">
        <f>VLOOKUP($Z456,'oddspedia-matches'!$A:$AD,AI$2,0)</f>
        <v>#N/A</v>
      </c>
      <c r="AJ456" t="e">
        <f>VLOOKUP($Z456,'oddspedia-matches'!$A:$AD,AJ$2,0)</f>
        <v>#N/A</v>
      </c>
      <c r="AK456" t="e">
        <f>VLOOKUP($Z456,'oddspedia-matches'!$A:$AD,AK$2,0)</f>
        <v>#N/A</v>
      </c>
      <c r="AL456" t="e">
        <f>VLOOKUP($Z456,'oddspedia-matches'!$A:$AD,AL$2,0)</f>
        <v>#N/A</v>
      </c>
      <c r="AM456" t="e">
        <f>VLOOKUP($Z456,'oddspedia-matches'!$A:$AD,AM$2,0)</f>
        <v>#N/A</v>
      </c>
      <c r="AN456" t="e">
        <f>VLOOKUP($Z456,'oddspedia-matches'!$A:$AD,AN$2,0)</f>
        <v>#N/A</v>
      </c>
      <c r="AO456" t="e">
        <f>VLOOKUP($Z456,'oddspedia-matches'!$A:$AD,AO$2,0)</f>
        <v>#N/A</v>
      </c>
      <c r="AP456" t="e">
        <f>VLOOKUP($Z456,'oddspedia-matches'!$A:$AD,AP$2,0)</f>
        <v>#N/A</v>
      </c>
      <c r="AQ456" t="e">
        <f>VLOOKUP($Z456,'oddspedia-matches'!$A:$AD,AQ$2,0)</f>
        <v>#N/A</v>
      </c>
    </row>
    <row r="457" spans="2:43" x14ac:dyDescent="0.2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e">
        <f>VLOOKUP(F457,'Transform table'!A:B,2,0)</f>
        <v>#N/A</v>
      </c>
      <c r="Z457" t="e">
        <f>C457&amp;X457&amp;Y457</f>
        <v>#N/A</v>
      </c>
      <c r="AA457" t="e">
        <f>VLOOKUP($Z457,'oddspedia-matches'!$A:$AD,AA$2,0)</f>
        <v>#N/A</v>
      </c>
      <c r="AB457" t="e">
        <f>VLOOKUP($Z457,'oddspedia-matches'!$A:$AD,AB$2,0)</f>
        <v>#N/A</v>
      </c>
      <c r="AC457" t="e">
        <f>VLOOKUP($Z457,'oddspedia-matches'!$A:$AD,AC$2,0)</f>
        <v>#N/A</v>
      </c>
      <c r="AD457" t="e">
        <f>VLOOKUP($Z457,'oddspedia-matches'!$A:$AD,AD$2,0)</f>
        <v>#N/A</v>
      </c>
      <c r="AE457" t="e">
        <f>VLOOKUP($Z457,'oddspedia-matches'!$A:$AD,AE$2,0)</f>
        <v>#N/A</v>
      </c>
      <c r="AF457" t="e">
        <f>VLOOKUP($Z457,'oddspedia-matches'!$A:$AD,AF$2,0)</f>
        <v>#N/A</v>
      </c>
      <c r="AG457" t="e">
        <f>VLOOKUP($Z457,'oddspedia-matches'!$A:$AD,AG$2,0)</f>
        <v>#N/A</v>
      </c>
      <c r="AH457" t="e">
        <f>VLOOKUP($Z457,'oddspedia-matches'!$A:$AD,AH$2,0)</f>
        <v>#N/A</v>
      </c>
      <c r="AI457" t="e">
        <f>VLOOKUP($Z457,'oddspedia-matches'!$A:$AD,AI$2,0)</f>
        <v>#N/A</v>
      </c>
      <c r="AJ457" t="e">
        <f>VLOOKUP($Z457,'oddspedia-matches'!$A:$AD,AJ$2,0)</f>
        <v>#N/A</v>
      </c>
      <c r="AK457" t="e">
        <f>VLOOKUP($Z457,'oddspedia-matches'!$A:$AD,AK$2,0)</f>
        <v>#N/A</v>
      </c>
      <c r="AL457" t="e">
        <f>VLOOKUP($Z457,'oddspedia-matches'!$A:$AD,AL$2,0)</f>
        <v>#N/A</v>
      </c>
      <c r="AM457" t="e">
        <f>VLOOKUP($Z457,'oddspedia-matches'!$A:$AD,AM$2,0)</f>
        <v>#N/A</v>
      </c>
      <c r="AN457" t="e">
        <f>VLOOKUP($Z457,'oddspedia-matches'!$A:$AD,AN$2,0)</f>
        <v>#N/A</v>
      </c>
      <c r="AO457" t="e">
        <f>VLOOKUP($Z457,'oddspedia-matches'!$A:$AD,AO$2,0)</f>
        <v>#N/A</v>
      </c>
      <c r="AP457" t="e">
        <f>VLOOKUP($Z457,'oddspedia-matches'!$A:$AD,AP$2,0)</f>
        <v>#N/A</v>
      </c>
      <c r="AQ457" t="e">
        <f>VLOOKUP($Z457,'oddspedia-matches'!$A:$AD,AQ$2,0)</f>
        <v>#N/A</v>
      </c>
    </row>
    <row r="458" spans="2:43" x14ac:dyDescent="0.2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f>VLOOKUP(E458,'Transform table'!A:B,2,0)</f>
        <v>0</v>
      </c>
      <c r="Y458" t="e">
        <f>VLOOKUP(F458,'Transform table'!A:B,2,0)</f>
        <v>#N/A</v>
      </c>
      <c r="Z458" t="e">
        <f>C458&amp;X458&amp;Y458</f>
        <v>#N/A</v>
      </c>
      <c r="AA458" t="e">
        <f>VLOOKUP($Z458,'oddspedia-matches'!$A:$AD,AA$2,0)</f>
        <v>#N/A</v>
      </c>
      <c r="AB458" t="e">
        <f>VLOOKUP($Z458,'oddspedia-matches'!$A:$AD,AB$2,0)</f>
        <v>#N/A</v>
      </c>
      <c r="AC458" t="e">
        <f>VLOOKUP($Z458,'oddspedia-matches'!$A:$AD,AC$2,0)</f>
        <v>#N/A</v>
      </c>
      <c r="AD458" t="e">
        <f>VLOOKUP($Z458,'oddspedia-matches'!$A:$AD,AD$2,0)</f>
        <v>#N/A</v>
      </c>
      <c r="AE458" t="e">
        <f>VLOOKUP($Z458,'oddspedia-matches'!$A:$AD,AE$2,0)</f>
        <v>#N/A</v>
      </c>
      <c r="AF458" t="e">
        <f>VLOOKUP($Z458,'oddspedia-matches'!$A:$AD,AF$2,0)</f>
        <v>#N/A</v>
      </c>
      <c r="AG458" t="e">
        <f>VLOOKUP($Z458,'oddspedia-matches'!$A:$AD,AG$2,0)</f>
        <v>#N/A</v>
      </c>
      <c r="AH458" t="e">
        <f>VLOOKUP($Z458,'oddspedia-matches'!$A:$AD,AH$2,0)</f>
        <v>#N/A</v>
      </c>
      <c r="AI458" t="e">
        <f>VLOOKUP($Z458,'oddspedia-matches'!$A:$AD,AI$2,0)</f>
        <v>#N/A</v>
      </c>
      <c r="AJ458" t="e">
        <f>VLOOKUP($Z458,'oddspedia-matches'!$A:$AD,AJ$2,0)</f>
        <v>#N/A</v>
      </c>
      <c r="AK458" t="e">
        <f>VLOOKUP($Z458,'oddspedia-matches'!$A:$AD,AK$2,0)</f>
        <v>#N/A</v>
      </c>
      <c r="AL458" t="e">
        <f>VLOOKUP($Z458,'oddspedia-matches'!$A:$AD,AL$2,0)</f>
        <v>#N/A</v>
      </c>
      <c r="AM458" t="e">
        <f>VLOOKUP($Z458,'oddspedia-matches'!$A:$AD,AM$2,0)</f>
        <v>#N/A</v>
      </c>
      <c r="AN458" t="e">
        <f>VLOOKUP($Z458,'oddspedia-matches'!$A:$AD,AN$2,0)</f>
        <v>#N/A</v>
      </c>
      <c r="AO458" t="e">
        <f>VLOOKUP($Z458,'oddspedia-matches'!$A:$AD,AO$2,0)</f>
        <v>#N/A</v>
      </c>
      <c r="AP458" t="e">
        <f>VLOOKUP($Z458,'oddspedia-matches'!$A:$AD,AP$2,0)</f>
        <v>#N/A</v>
      </c>
      <c r="AQ458" t="e">
        <f>VLOOKUP($Z458,'oddspedia-matches'!$A:$AD,AQ$2,0)</f>
        <v>#N/A</v>
      </c>
    </row>
    <row r="459" spans="2:43" x14ac:dyDescent="0.2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 Avellino</v>
      </c>
      <c r="Y459" t="e">
        <f>VLOOKUP(F459,'Transform table'!A:B,2,0)</f>
        <v>#N/A</v>
      </c>
      <c r="Z459" t="e">
        <f>C459&amp;X459&amp;Y459</f>
        <v>#N/A</v>
      </c>
      <c r="AA459" t="e">
        <f>VLOOKUP($Z459,'oddspedia-matches'!$A:$AD,AA$2,0)</f>
        <v>#N/A</v>
      </c>
      <c r="AB459" t="e">
        <f>VLOOKUP($Z459,'oddspedia-matches'!$A:$AD,AB$2,0)</f>
        <v>#N/A</v>
      </c>
      <c r="AC459" t="e">
        <f>VLOOKUP($Z459,'oddspedia-matches'!$A:$AD,AC$2,0)</f>
        <v>#N/A</v>
      </c>
      <c r="AD459" t="e">
        <f>VLOOKUP($Z459,'oddspedia-matches'!$A:$AD,AD$2,0)</f>
        <v>#N/A</v>
      </c>
      <c r="AE459" t="e">
        <f>VLOOKUP($Z459,'oddspedia-matches'!$A:$AD,AE$2,0)</f>
        <v>#N/A</v>
      </c>
      <c r="AF459" t="e">
        <f>VLOOKUP($Z459,'oddspedia-matches'!$A:$AD,AF$2,0)</f>
        <v>#N/A</v>
      </c>
      <c r="AG459" t="e">
        <f>VLOOKUP($Z459,'oddspedia-matches'!$A:$AD,AG$2,0)</f>
        <v>#N/A</v>
      </c>
      <c r="AH459" t="e">
        <f>VLOOKUP($Z459,'oddspedia-matches'!$A:$AD,AH$2,0)</f>
        <v>#N/A</v>
      </c>
      <c r="AI459" t="e">
        <f>VLOOKUP($Z459,'oddspedia-matches'!$A:$AD,AI$2,0)</f>
        <v>#N/A</v>
      </c>
      <c r="AJ459" t="e">
        <f>VLOOKUP($Z459,'oddspedia-matches'!$A:$AD,AJ$2,0)</f>
        <v>#N/A</v>
      </c>
      <c r="AK459" t="e">
        <f>VLOOKUP($Z459,'oddspedia-matches'!$A:$AD,AK$2,0)</f>
        <v>#N/A</v>
      </c>
      <c r="AL459" t="e">
        <f>VLOOKUP($Z459,'oddspedia-matches'!$A:$AD,AL$2,0)</f>
        <v>#N/A</v>
      </c>
      <c r="AM459" t="e">
        <f>VLOOKUP($Z459,'oddspedia-matches'!$A:$AD,AM$2,0)</f>
        <v>#N/A</v>
      </c>
      <c r="AN459" t="e">
        <f>VLOOKUP($Z459,'oddspedia-matches'!$A:$AD,AN$2,0)</f>
        <v>#N/A</v>
      </c>
      <c r="AO459" t="e">
        <f>VLOOKUP($Z459,'oddspedia-matches'!$A:$AD,AO$2,0)</f>
        <v>#N/A</v>
      </c>
      <c r="AP459" t="e">
        <f>VLOOKUP($Z459,'oddspedia-matches'!$A:$AD,AP$2,0)</f>
        <v>#N/A</v>
      </c>
      <c r="AQ459" t="e">
        <f>VLOOKUP($Z459,'oddspedia-matches'!$A:$AD,AQ$2,0)</f>
        <v>#N/A</v>
      </c>
    </row>
    <row r="460" spans="2:43" x14ac:dyDescent="0.2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Ferrocarril Midland</v>
      </c>
      <c r="Y460" t="e">
        <f>VLOOKUP(F460,'Transform table'!A:B,2,0)</f>
        <v>#N/A</v>
      </c>
      <c r="Z460" t="e">
        <f>C460&amp;X460&amp;Y460</f>
        <v>#N/A</v>
      </c>
      <c r="AA460" t="e">
        <f>VLOOKUP($Z460,'oddspedia-matches'!$A:$AD,AA$2,0)</f>
        <v>#N/A</v>
      </c>
      <c r="AB460" t="e">
        <f>VLOOKUP($Z460,'oddspedia-matches'!$A:$AD,AB$2,0)</f>
        <v>#N/A</v>
      </c>
      <c r="AC460" t="e">
        <f>VLOOKUP($Z460,'oddspedia-matches'!$A:$AD,AC$2,0)</f>
        <v>#N/A</v>
      </c>
      <c r="AD460" t="e">
        <f>VLOOKUP($Z460,'oddspedia-matches'!$A:$AD,AD$2,0)</f>
        <v>#N/A</v>
      </c>
      <c r="AE460" t="e">
        <f>VLOOKUP($Z460,'oddspedia-matches'!$A:$AD,AE$2,0)</f>
        <v>#N/A</v>
      </c>
      <c r="AF460" t="e">
        <f>VLOOKUP($Z460,'oddspedia-matches'!$A:$AD,AF$2,0)</f>
        <v>#N/A</v>
      </c>
      <c r="AG460" t="e">
        <f>VLOOKUP($Z460,'oddspedia-matches'!$A:$AD,AG$2,0)</f>
        <v>#N/A</v>
      </c>
      <c r="AH460" t="e">
        <f>VLOOKUP($Z460,'oddspedia-matches'!$A:$AD,AH$2,0)</f>
        <v>#N/A</v>
      </c>
      <c r="AI460" t="e">
        <f>VLOOKUP($Z460,'oddspedia-matches'!$A:$AD,AI$2,0)</f>
        <v>#N/A</v>
      </c>
      <c r="AJ460" t="e">
        <f>VLOOKUP($Z460,'oddspedia-matches'!$A:$AD,AJ$2,0)</f>
        <v>#N/A</v>
      </c>
      <c r="AK460" t="e">
        <f>VLOOKUP($Z460,'oddspedia-matches'!$A:$AD,AK$2,0)</f>
        <v>#N/A</v>
      </c>
      <c r="AL460" t="e">
        <f>VLOOKUP($Z460,'oddspedia-matches'!$A:$AD,AL$2,0)</f>
        <v>#N/A</v>
      </c>
      <c r="AM460" t="e">
        <f>VLOOKUP($Z460,'oddspedia-matches'!$A:$AD,AM$2,0)</f>
        <v>#N/A</v>
      </c>
      <c r="AN460" t="e">
        <f>VLOOKUP($Z460,'oddspedia-matches'!$A:$AD,AN$2,0)</f>
        <v>#N/A</v>
      </c>
      <c r="AO460" t="e">
        <f>VLOOKUP($Z460,'oddspedia-matches'!$A:$AD,AO$2,0)</f>
        <v>#N/A</v>
      </c>
      <c r="AP460" t="e">
        <f>VLOOKUP($Z460,'oddspedia-matches'!$A:$AD,AP$2,0)</f>
        <v>#N/A</v>
      </c>
      <c r="AQ460" t="e">
        <f>VLOOKUP($Z460,'oddspedia-matches'!$A:$AD,AQ$2,0)</f>
        <v>#N/A</v>
      </c>
    </row>
    <row r="461" spans="2:43" x14ac:dyDescent="0.2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Treibach</v>
      </c>
      <c r="Y461" t="e">
        <f>VLOOKUP(F461,'Transform table'!A:B,2,0)</f>
        <v>#N/A</v>
      </c>
      <c r="Z461" t="e">
        <f>C461&amp;X461&amp;Y461</f>
        <v>#N/A</v>
      </c>
      <c r="AA461" t="e">
        <f>VLOOKUP($Z461,'oddspedia-matches'!$A:$AD,AA$2,0)</f>
        <v>#N/A</v>
      </c>
      <c r="AB461" t="e">
        <f>VLOOKUP($Z461,'oddspedia-matches'!$A:$AD,AB$2,0)</f>
        <v>#N/A</v>
      </c>
      <c r="AC461" t="e">
        <f>VLOOKUP($Z461,'oddspedia-matches'!$A:$AD,AC$2,0)</f>
        <v>#N/A</v>
      </c>
      <c r="AD461" t="e">
        <f>VLOOKUP($Z461,'oddspedia-matches'!$A:$AD,AD$2,0)</f>
        <v>#N/A</v>
      </c>
      <c r="AE461" t="e">
        <f>VLOOKUP($Z461,'oddspedia-matches'!$A:$AD,AE$2,0)</f>
        <v>#N/A</v>
      </c>
      <c r="AF461" t="e">
        <f>VLOOKUP($Z461,'oddspedia-matches'!$A:$AD,AF$2,0)</f>
        <v>#N/A</v>
      </c>
      <c r="AG461" t="e">
        <f>VLOOKUP($Z461,'oddspedia-matches'!$A:$AD,AG$2,0)</f>
        <v>#N/A</v>
      </c>
      <c r="AH461" t="e">
        <f>VLOOKUP($Z461,'oddspedia-matches'!$A:$AD,AH$2,0)</f>
        <v>#N/A</v>
      </c>
      <c r="AI461" t="e">
        <f>VLOOKUP($Z461,'oddspedia-matches'!$A:$AD,AI$2,0)</f>
        <v>#N/A</v>
      </c>
      <c r="AJ461" t="e">
        <f>VLOOKUP($Z461,'oddspedia-matches'!$A:$AD,AJ$2,0)</f>
        <v>#N/A</v>
      </c>
      <c r="AK461" t="e">
        <f>VLOOKUP($Z461,'oddspedia-matches'!$A:$AD,AK$2,0)</f>
        <v>#N/A</v>
      </c>
      <c r="AL461" t="e">
        <f>VLOOKUP($Z461,'oddspedia-matches'!$A:$AD,AL$2,0)</f>
        <v>#N/A</v>
      </c>
      <c r="AM461" t="e">
        <f>VLOOKUP($Z461,'oddspedia-matches'!$A:$AD,AM$2,0)</f>
        <v>#N/A</v>
      </c>
      <c r="AN461" t="e">
        <f>VLOOKUP($Z461,'oddspedia-matches'!$A:$AD,AN$2,0)</f>
        <v>#N/A</v>
      </c>
      <c r="AO461" t="e">
        <f>VLOOKUP($Z461,'oddspedia-matches'!$A:$AD,AO$2,0)</f>
        <v>#N/A</v>
      </c>
      <c r="AP461" t="e">
        <f>VLOOKUP($Z461,'oddspedia-matches'!$A:$AD,AP$2,0)</f>
        <v>#N/A</v>
      </c>
      <c r="AQ461" t="e">
        <f>VLOOKUP($Z461,'oddspedia-matches'!$A:$AD,AQ$2,0)</f>
        <v>#N/A</v>
      </c>
    </row>
    <row r="462" spans="2:43" x14ac:dyDescent="0.2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>C462&amp;X462&amp;Y462</f>
        <v>26/07/2026Barcelona SCLDU Quito</v>
      </c>
      <c r="AA462" t="e">
        <f>VLOOKUP($Z462,'oddspedia-matches'!$A:$AD,AA$2,0)</f>
        <v>#N/A</v>
      </c>
      <c r="AB462" t="e">
        <f>VLOOKUP($Z462,'oddspedia-matches'!$A:$AD,AB$2,0)</f>
        <v>#N/A</v>
      </c>
      <c r="AC462" t="e">
        <f>VLOOKUP($Z462,'oddspedia-matches'!$A:$AD,AC$2,0)</f>
        <v>#N/A</v>
      </c>
      <c r="AD462" t="e">
        <f>VLOOKUP($Z462,'oddspedia-matches'!$A:$AD,AD$2,0)</f>
        <v>#N/A</v>
      </c>
      <c r="AE462" t="e">
        <f>VLOOKUP($Z462,'oddspedia-matches'!$A:$AD,AE$2,0)</f>
        <v>#N/A</v>
      </c>
      <c r="AF462" t="e">
        <f>VLOOKUP($Z462,'oddspedia-matches'!$A:$AD,AF$2,0)</f>
        <v>#N/A</v>
      </c>
      <c r="AG462" t="e">
        <f>VLOOKUP($Z462,'oddspedia-matches'!$A:$AD,AG$2,0)</f>
        <v>#N/A</v>
      </c>
      <c r="AH462" t="e">
        <f>VLOOKUP($Z462,'oddspedia-matches'!$A:$AD,AH$2,0)</f>
        <v>#N/A</v>
      </c>
      <c r="AI462" t="e">
        <f>VLOOKUP($Z462,'oddspedia-matches'!$A:$AD,AI$2,0)</f>
        <v>#N/A</v>
      </c>
      <c r="AJ462" t="e">
        <f>VLOOKUP($Z462,'oddspedia-matches'!$A:$AD,AJ$2,0)</f>
        <v>#N/A</v>
      </c>
      <c r="AK462" t="e">
        <f>VLOOKUP($Z462,'oddspedia-matches'!$A:$AD,AK$2,0)</f>
        <v>#N/A</v>
      </c>
      <c r="AL462" t="e">
        <f>VLOOKUP($Z462,'oddspedia-matches'!$A:$AD,AL$2,0)</f>
        <v>#N/A</v>
      </c>
      <c r="AM462" t="e">
        <f>VLOOKUP($Z462,'oddspedia-matches'!$A:$AD,AM$2,0)</f>
        <v>#N/A</v>
      </c>
      <c r="AN462" t="e">
        <f>VLOOKUP($Z462,'oddspedia-matches'!$A:$AD,AN$2,0)</f>
        <v>#N/A</v>
      </c>
      <c r="AO462" t="e">
        <f>VLOOKUP($Z462,'oddspedia-matches'!$A:$AD,AO$2,0)</f>
        <v>#N/A</v>
      </c>
      <c r="AP462" t="e">
        <f>VLOOKUP($Z462,'oddspedia-matches'!$A:$AD,AP$2,0)</f>
        <v>#N/A</v>
      </c>
      <c r="AQ462" t="e">
        <f>VLOOKUP($Z462,'oddspedia-matches'!$A:$AD,AQ$2,0)</f>
        <v>#N/A</v>
      </c>
    </row>
    <row r="463" spans="2:43" x14ac:dyDescent="0.2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>C463&amp;X463&amp;Y463</f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x14ac:dyDescent="0.2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Hearts of Pine</v>
      </c>
      <c r="Y464" t="e">
        <f>VLOOKUP(F464,'Transform table'!A:B,2,0)</f>
        <v>#N/A</v>
      </c>
      <c r="Z464" t="e">
        <f>C464&amp;X464&amp;Y464</f>
        <v>#N/A</v>
      </c>
      <c r="AA464" t="e">
        <f>VLOOKUP($Z464,'oddspedia-matches'!$A:$AD,AA$2,0)</f>
        <v>#N/A</v>
      </c>
      <c r="AB464" t="e">
        <f>VLOOKUP($Z464,'oddspedia-matches'!$A:$AD,AB$2,0)</f>
        <v>#N/A</v>
      </c>
      <c r="AC464" t="e">
        <f>VLOOKUP($Z464,'oddspedia-matches'!$A:$AD,AC$2,0)</f>
        <v>#N/A</v>
      </c>
      <c r="AD464" t="e">
        <f>VLOOKUP($Z464,'oddspedia-matches'!$A:$AD,AD$2,0)</f>
        <v>#N/A</v>
      </c>
      <c r="AE464" t="e">
        <f>VLOOKUP($Z464,'oddspedia-matches'!$A:$AD,AE$2,0)</f>
        <v>#N/A</v>
      </c>
      <c r="AF464" t="e">
        <f>VLOOKUP($Z464,'oddspedia-matches'!$A:$AD,AF$2,0)</f>
        <v>#N/A</v>
      </c>
      <c r="AG464" t="e">
        <f>VLOOKUP($Z464,'oddspedia-matches'!$A:$AD,AG$2,0)</f>
        <v>#N/A</v>
      </c>
      <c r="AH464" t="e">
        <f>VLOOKUP($Z464,'oddspedia-matches'!$A:$AD,AH$2,0)</f>
        <v>#N/A</v>
      </c>
      <c r="AI464" t="e">
        <f>VLOOKUP($Z464,'oddspedia-matches'!$A:$AD,AI$2,0)</f>
        <v>#N/A</v>
      </c>
      <c r="AJ464" t="e">
        <f>VLOOKUP($Z464,'oddspedia-matches'!$A:$AD,AJ$2,0)</f>
        <v>#N/A</v>
      </c>
      <c r="AK464" t="e">
        <f>VLOOKUP($Z464,'oddspedia-matches'!$A:$AD,AK$2,0)</f>
        <v>#N/A</v>
      </c>
      <c r="AL464" t="e">
        <f>VLOOKUP($Z464,'oddspedia-matches'!$A:$AD,AL$2,0)</f>
        <v>#N/A</v>
      </c>
      <c r="AM464" t="e">
        <f>VLOOKUP($Z464,'oddspedia-matches'!$A:$AD,AM$2,0)</f>
        <v>#N/A</v>
      </c>
      <c r="AN464" t="e">
        <f>VLOOKUP($Z464,'oddspedia-matches'!$A:$AD,AN$2,0)</f>
        <v>#N/A</v>
      </c>
      <c r="AO464" t="e">
        <f>VLOOKUP($Z464,'oddspedia-matches'!$A:$AD,AO$2,0)</f>
        <v>#N/A</v>
      </c>
      <c r="AP464" t="e">
        <f>VLOOKUP($Z464,'oddspedia-matches'!$A:$AD,AP$2,0)</f>
        <v>#N/A</v>
      </c>
      <c r="AQ464" t="e">
        <f>VLOOKUP($Z464,'oddspedia-matches'!$A:$AD,AQ$2,0)</f>
        <v>#N/A</v>
      </c>
    </row>
    <row r="465" spans="2:43" x14ac:dyDescent="0.2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e">
        <f>VLOOKUP(F465,'Transform table'!A:B,2,0)</f>
        <v>#N/A</v>
      </c>
      <c r="Z465" t="e">
        <f>C465&amp;X465&amp;Y465</f>
        <v>#N/A</v>
      </c>
      <c r="AA465" t="e">
        <f>VLOOKUP($Z465,'oddspedia-matches'!$A:$AD,AA$2,0)</f>
        <v>#N/A</v>
      </c>
      <c r="AB465" t="e">
        <f>VLOOKUP($Z465,'oddspedia-matches'!$A:$AD,AB$2,0)</f>
        <v>#N/A</v>
      </c>
      <c r="AC465" t="e">
        <f>VLOOKUP($Z465,'oddspedia-matches'!$A:$AD,AC$2,0)</f>
        <v>#N/A</v>
      </c>
      <c r="AD465" t="e">
        <f>VLOOKUP($Z465,'oddspedia-matches'!$A:$AD,AD$2,0)</f>
        <v>#N/A</v>
      </c>
      <c r="AE465" t="e">
        <f>VLOOKUP($Z465,'oddspedia-matches'!$A:$AD,AE$2,0)</f>
        <v>#N/A</v>
      </c>
      <c r="AF465" t="e">
        <f>VLOOKUP($Z465,'oddspedia-matches'!$A:$AD,AF$2,0)</f>
        <v>#N/A</v>
      </c>
      <c r="AG465" t="e">
        <f>VLOOKUP($Z465,'oddspedia-matches'!$A:$AD,AG$2,0)</f>
        <v>#N/A</v>
      </c>
      <c r="AH465" t="e">
        <f>VLOOKUP($Z465,'oddspedia-matches'!$A:$AD,AH$2,0)</f>
        <v>#N/A</v>
      </c>
      <c r="AI465" t="e">
        <f>VLOOKUP($Z465,'oddspedia-matches'!$A:$AD,AI$2,0)</f>
        <v>#N/A</v>
      </c>
      <c r="AJ465" t="e">
        <f>VLOOKUP($Z465,'oddspedia-matches'!$A:$AD,AJ$2,0)</f>
        <v>#N/A</v>
      </c>
      <c r="AK465" t="e">
        <f>VLOOKUP($Z465,'oddspedia-matches'!$A:$AD,AK$2,0)</f>
        <v>#N/A</v>
      </c>
      <c r="AL465" t="e">
        <f>VLOOKUP($Z465,'oddspedia-matches'!$A:$AD,AL$2,0)</f>
        <v>#N/A</v>
      </c>
      <c r="AM465" t="e">
        <f>VLOOKUP($Z465,'oddspedia-matches'!$A:$AD,AM$2,0)</f>
        <v>#N/A</v>
      </c>
      <c r="AN465" t="e">
        <f>VLOOKUP($Z465,'oddspedia-matches'!$A:$AD,AN$2,0)</f>
        <v>#N/A</v>
      </c>
      <c r="AO465" t="e">
        <f>VLOOKUP($Z465,'oddspedia-matches'!$A:$AD,AO$2,0)</f>
        <v>#N/A</v>
      </c>
      <c r="AP465" t="e">
        <f>VLOOKUP($Z465,'oddspedia-matches'!$A:$AD,AP$2,0)</f>
        <v>#N/A</v>
      </c>
      <c r="AQ465" t="e">
        <f>VLOOKUP($Z465,'oddspedia-matches'!$A:$AD,AQ$2,0)</f>
        <v>#N/A</v>
      </c>
    </row>
    <row r="466" spans="2:43" x14ac:dyDescent="0.2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Cienciano</v>
      </c>
      <c r="Y466" t="e">
        <f>VLOOKUP(F466,'Transform table'!A:B,2,0)</f>
        <v>#N/A</v>
      </c>
      <c r="Z466" t="e">
        <f>C466&amp;X466&amp;Y466</f>
        <v>#N/A</v>
      </c>
      <c r="AA466" t="e">
        <f>VLOOKUP($Z466,'oddspedia-matches'!$A:$AD,AA$2,0)</f>
        <v>#N/A</v>
      </c>
      <c r="AB466" t="e">
        <f>VLOOKUP($Z466,'oddspedia-matches'!$A:$AD,AB$2,0)</f>
        <v>#N/A</v>
      </c>
      <c r="AC466" t="e">
        <f>VLOOKUP($Z466,'oddspedia-matches'!$A:$AD,AC$2,0)</f>
        <v>#N/A</v>
      </c>
      <c r="AD466" t="e">
        <f>VLOOKUP($Z466,'oddspedia-matches'!$A:$AD,AD$2,0)</f>
        <v>#N/A</v>
      </c>
      <c r="AE466" t="e">
        <f>VLOOKUP($Z466,'oddspedia-matches'!$A:$AD,AE$2,0)</f>
        <v>#N/A</v>
      </c>
      <c r="AF466" t="e">
        <f>VLOOKUP($Z466,'oddspedia-matches'!$A:$AD,AF$2,0)</f>
        <v>#N/A</v>
      </c>
      <c r="AG466" t="e">
        <f>VLOOKUP($Z466,'oddspedia-matches'!$A:$AD,AG$2,0)</f>
        <v>#N/A</v>
      </c>
      <c r="AH466" t="e">
        <f>VLOOKUP($Z466,'oddspedia-matches'!$A:$AD,AH$2,0)</f>
        <v>#N/A</v>
      </c>
      <c r="AI466" t="e">
        <f>VLOOKUP($Z466,'oddspedia-matches'!$A:$AD,AI$2,0)</f>
        <v>#N/A</v>
      </c>
      <c r="AJ466" t="e">
        <f>VLOOKUP($Z466,'oddspedia-matches'!$A:$AD,AJ$2,0)</f>
        <v>#N/A</v>
      </c>
      <c r="AK466" t="e">
        <f>VLOOKUP($Z466,'oddspedia-matches'!$A:$AD,AK$2,0)</f>
        <v>#N/A</v>
      </c>
      <c r="AL466" t="e">
        <f>VLOOKUP($Z466,'oddspedia-matches'!$A:$AD,AL$2,0)</f>
        <v>#N/A</v>
      </c>
      <c r="AM466" t="e">
        <f>VLOOKUP($Z466,'oddspedia-matches'!$A:$AD,AM$2,0)</f>
        <v>#N/A</v>
      </c>
      <c r="AN466" t="e">
        <f>VLOOKUP($Z466,'oddspedia-matches'!$A:$AD,AN$2,0)</f>
        <v>#N/A</v>
      </c>
      <c r="AO466" t="e">
        <f>VLOOKUP($Z466,'oddspedia-matches'!$A:$AD,AO$2,0)</f>
        <v>#N/A</v>
      </c>
      <c r="AP466" t="e">
        <f>VLOOKUP($Z466,'oddspedia-matches'!$A:$AD,AP$2,0)</f>
        <v>#N/A</v>
      </c>
      <c r="AQ466" t="e">
        <f>VLOOKUP($Z466,'oddspedia-matches'!$A:$AD,AQ$2,0)</f>
        <v>#N/A</v>
      </c>
    </row>
    <row r="467" spans="2:43" x14ac:dyDescent="0.2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>C467&amp;X467&amp;Y467</f>
        <v>26/07/2026Orense SCIndependiente del Valle</v>
      </c>
      <c r="AA467" t="e">
        <f>VLOOKUP($Z467,'oddspedia-matches'!$A:$AD,AA$2,0)</f>
        <v>#N/A</v>
      </c>
      <c r="AB467" t="e">
        <f>VLOOKUP($Z467,'oddspedia-matches'!$A:$AD,AB$2,0)</f>
        <v>#N/A</v>
      </c>
      <c r="AC467" t="e">
        <f>VLOOKUP($Z467,'oddspedia-matches'!$A:$AD,AC$2,0)</f>
        <v>#N/A</v>
      </c>
      <c r="AD467" t="e">
        <f>VLOOKUP($Z467,'oddspedia-matches'!$A:$AD,AD$2,0)</f>
        <v>#N/A</v>
      </c>
      <c r="AE467" t="e">
        <f>VLOOKUP($Z467,'oddspedia-matches'!$A:$AD,AE$2,0)</f>
        <v>#N/A</v>
      </c>
      <c r="AF467" t="e">
        <f>VLOOKUP($Z467,'oddspedia-matches'!$A:$AD,AF$2,0)</f>
        <v>#N/A</v>
      </c>
      <c r="AG467" t="e">
        <f>VLOOKUP($Z467,'oddspedia-matches'!$A:$AD,AG$2,0)</f>
        <v>#N/A</v>
      </c>
      <c r="AH467" t="e">
        <f>VLOOKUP($Z467,'oddspedia-matches'!$A:$AD,AH$2,0)</f>
        <v>#N/A</v>
      </c>
      <c r="AI467" t="e">
        <f>VLOOKUP($Z467,'oddspedia-matches'!$A:$AD,AI$2,0)</f>
        <v>#N/A</v>
      </c>
      <c r="AJ467" t="e">
        <f>VLOOKUP($Z467,'oddspedia-matches'!$A:$AD,AJ$2,0)</f>
        <v>#N/A</v>
      </c>
      <c r="AK467" t="e">
        <f>VLOOKUP($Z467,'oddspedia-matches'!$A:$AD,AK$2,0)</f>
        <v>#N/A</v>
      </c>
      <c r="AL467" t="e">
        <f>VLOOKUP($Z467,'oddspedia-matches'!$A:$AD,AL$2,0)</f>
        <v>#N/A</v>
      </c>
      <c r="AM467" t="e">
        <f>VLOOKUP($Z467,'oddspedia-matches'!$A:$AD,AM$2,0)</f>
        <v>#N/A</v>
      </c>
      <c r="AN467" t="e">
        <f>VLOOKUP($Z467,'oddspedia-matches'!$A:$AD,AN$2,0)</f>
        <v>#N/A</v>
      </c>
      <c r="AO467" t="e">
        <f>VLOOKUP($Z467,'oddspedia-matches'!$A:$AD,AO$2,0)</f>
        <v>#N/A</v>
      </c>
      <c r="AP467" t="e">
        <f>VLOOKUP($Z467,'oddspedia-matches'!$A:$AD,AP$2,0)</f>
        <v>#N/A</v>
      </c>
      <c r="AQ467" t="e">
        <f>VLOOKUP($Z467,'oddspedia-matches'!$A:$AD,AQ$2,0)</f>
        <v>#N/A</v>
      </c>
    </row>
    <row r="468" spans="2:43" x14ac:dyDescent="0.2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e">
        <f>VLOOKUP(F468,'Transform table'!A:B,2,0)</f>
        <v>#N/A</v>
      </c>
      <c r="Z468" t="e">
        <f>C468&amp;X468&amp;Y468</f>
        <v>#N/A</v>
      </c>
      <c r="AA468" t="e">
        <f>VLOOKUP($Z468,'oddspedia-matches'!$A:$AD,AA$2,0)</f>
        <v>#N/A</v>
      </c>
      <c r="AB468" t="e">
        <f>VLOOKUP($Z468,'oddspedia-matches'!$A:$AD,AB$2,0)</f>
        <v>#N/A</v>
      </c>
      <c r="AC468" t="e">
        <f>VLOOKUP($Z468,'oddspedia-matches'!$A:$AD,AC$2,0)</f>
        <v>#N/A</v>
      </c>
      <c r="AD468" t="e">
        <f>VLOOKUP($Z468,'oddspedia-matches'!$A:$AD,AD$2,0)</f>
        <v>#N/A</v>
      </c>
      <c r="AE468" t="e">
        <f>VLOOKUP($Z468,'oddspedia-matches'!$A:$AD,AE$2,0)</f>
        <v>#N/A</v>
      </c>
      <c r="AF468" t="e">
        <f>VLOOKUP($Z468,'oddspedia-matches'!$A:$AD,AF$2,0)</f>
        <v>#N/A</v>
      </c>
      <c r="AG468" t="e">
        <f>VLOOKUP($Z468,'oddspedia-matches'!$A:$AD,AG$2,0)</f>
        <v>#N/A</v>
      </c>
      <c r="AH468" t="e">
        <f>VLOOKUP($Z468,'oddspedia-matches'!$A:$AD,AH$2,0)</f>
        <v>#N/A</v>
      </c>
      <c r="AI468" t="e">
        <f>VLOOKUP($Z468,'oddspedia-matches'!$A:$AD,AI$2,0)</f>
        <v>#N/A</v>
      </c>
      <c r="AJ468" t="e">
        <f>VLOOKUP($Z468,'oddspedia-matches'!$A:$AD,AJ$2,0)</f>
        <v>#N/A</v>
      </c>
      <c r="AK468" t="e">
        <f>VLOOKUP($Z468,'oddspedia-matches'!$A:$AD,AK$2,0)</f>
        <v>#N/A</v>
      </c>
      <c r="AL468" t="e">
        <f>VLOOKUP($Z468,'oddspedia-matches'!$A:$AD,AL$2,0)</f>
        <v>#N/A</v>
      </c>
      <c r="AM468" t="e">
        <f>VLOOKUP($Z468,'oddspedia-matches'!$A:$AD,AM$2,0)</f>
        <v>#N/A</v>
      </c>
      <c r="AN468" t="e">
        <f>VLOOKUP($Z468,'oddspedia-matches'!$A:$AD,AN$2,0)</f>
        <v>#N/A</v>
      </c>
      <c r="AO468" t="e">
        <f>VLOOKUP($Z468,'oddspedia-matches'!$A:$AD,AO$2,0)</f>
        <v>#N/A</v>
      </c>
      <c r="AP468" t="e">
        <f>VLOOKUP($Z468,'oddspedia-matches'!$A:$AD,AP$2,0)</f>
        <v>#N/A</v>
      </c>
      <c r="AQ468" t="e">
        <f>VLOOKUP($Z468,'oddspedia-matches'!$A:$AD,AQ$2,0)</f>
        <v>#N/A</v>
      </c>
    </row>
    <row r="469" spans="2:43" x14ac:dyDescent="0.2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>
        <f>VLOOKUP(E469,'Transform table'!A:B,2,0)</f>
        <v>0</v>
      </c>
      <c r="Y469" t="e">
        <f>VLOOKUP(F469,'Transform table'!A:B,2,0)</f>
        <v>#N/A</v>
      </c>
      <c r="Z469" t="e">
        <f>C469&amp;X469&amp;Y469</f>
        <v>#N/A</v>
      </c>
      <c r="AA469" t="e">
        <f>VLOOKUP($Z469,'oddspedia-matches'!$A:$AD,AA$2,0)</f>
        <v>#N/A</v>
      </c>
      <c r="AB469" t="e">
        <f>VLOOKUP($Z469,'oddspedia-matches'!$A:$AD,AB$2,0)</f>
        <v>#N/A</v>
      </c>
      <c r="AC469" t="e">
        <f>VLOOKUP($Z469,'oddspedia-matches'!$A:$AD,AC$2,0)</f>
        <v>#N/A</v>
      </c>
      <c r="AD469" t="e">
        <f>VLOOKUP($Z469,'oddspedia-matches'!$A:$AD,AD$2,0)</f>
        <v>#N/A</v>
      </c>
      <c r="AE469" t="e">
        <f>VLOOKUP($Z469,'oddspedia-matches'!$A:$AD,AE$2,0)</f>
        <v>#N/A</v>
      </c>
      <c r="AF469" t="e">
        <f>VLOOKUP($Z469,'oddspedia-matches'!$A:$AD,AF$2,0)</f>
        <v>#N/A</v>
      </c>
      <c r="AG469" t="e">
        <f>VLOOKUP($Z469,'oddspedia-matches'!$A:$AD,AG$2,0)</f>
        <v>#N/A</v>
      </c>
      <c r="AH469" t="e">
        <f>VLOOKUP($Z469,'oddspedia-matches'!$A:$AD,AH$2,0)</f>
        <v>#N/A</v>
      </c>
      <c r="AI469" t="e">
        <f>VLOOKUP($Z469,'oddspedia-matches'!$A:$AD,AI$2,0)</f>
        <v>#N/A</v>
      </c>
      <c r="AJ469" t="e">
        <f>VLOOKUP($Z469,'oddspedia-matches'!$A:$AD,AJ$2,0)</f>
        <v>#N/A</v>
      </c>
      <c r="AK469" t="e">
        <f>VLOOKUP($Z469,'oddspedia-matches'!$A:$AD,AK$2,0)</f>
        <v>#N/A</v>
      </c>
      <c r="AL469" t="e">
        <f>VLOOKUP($Z469,'oddspedia-matches'!$A:$AD,AL$2,0)</f>
        <v>#N/A</v>
      </c>
      <c r="AM469" t="e">
        <f>VLOOKUP($Z469,'oddspedia-matches'!$A:$AD,AM$2,0)</f>
        <v>#N/A</v>
      </c>
      <c r="AN469" t="e">
        <f>VLOOKUP($Z469,'oddspedia-matches'!$A:$AD,AN$2,0)</f>
        <v>#N/A</v>
      </c>
      <c r="AO469" t="e">
        <f>VLOOKUP($Z469,'oddspedia-matches'!$A:$AD,AO$2,0)</f>
        <v>#N/A</v>
      </c>
      <c r="AP469" t="e">
        <f>VLOOKUP($Z469,'oddspedia-matches'!$A:$AD,AP$2,0)</f>
        <v>#N/A</v>
      </c>
      <c r="AQ469" t="e">
        <f>VLOOKUP($Z469,'oddspedia-matches'!$A:$AD,AQ$2,0)</f>
        <v>#N/A</v>
      </c>
    </row>
    <row r="470" spans="2:43" x14ac:dyDescent="0.2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Peterborough United</v>
      </c>
      <c r="Y470" t="e">
        <f>VLOOKUP(F470,'Transform table'!A:B,2,0)</f>
        <v>#N/A</v>
      </c>
      <c r="Z470" t="e">
        <f>C470&amp;X470&amp;Y470</f>
        <v>#N/A</v>
      </c>
      <c r="AA470" t="e">
        <f>VLOOKUP($Z470,'oddspedia-matches'!$A:$AD,AA$2,0)</f>
        <v>#N/A</v>
      </c>
      <c r="AB470" t="e">
        <f>VLOOKUP($Z470,'oddspedia-matches'!$A:$AD,AB$2,0)</f>
        <v>#N/A</v>
      </c>
      <c r="AC470" t="e">
        <f>VLOOKUP($Z470,'oddspedia-matches'!$A:$AD,AC$2,0)</f>
        <v>#N/A</v>
      </c>
      <c r="AD470" t="e">
        <f>VLOOKUP($Z470,'oddspedia-matches'!$A:$AD,AD$2,0)</f>
        <v>#N/A</v>
      </c>
      <c r="AE470" t="e">
        <f>VLOOKUP($Z470,'oddspedia-matches'!$A:$AD,AE$2,0)</f>
        <v>#N/A</v>
      </c>
      <c r="AF470" t="e">
        <f>VLOOKUP($Z470,'oddspedia-matches'!$A:$AD,AF$2,0)</f>
        <v>#N/A</v>
      </c>
      <c r="AG470" t="e">
        <f>VLOOKUP($Z470,'oddspedia-matches'!$A:$AD,AG$2,0)</f>
        <v>#N/A</v>
      </c>
      <c r="AH470" t="e">
        <f>VLOOKUP($Z470,'oddspedia-matches'!$A:$AD,AH$2,0)</f>
        <v>#N/A</v>
      </c>
      <c r="AI470" t="e">
        <f>VLOOKUP($Z470,'oddspedia-matches'!$A:$AD,AI$2,0)</f>
        <v>#N/A</v>
      </c>
      <c r="AJ470" t="e">
        <f>VLOOKUP($Z470,'oddspedia-matches'!$A:$AD,AJ$2,0)</f>
        <v>#N/A</v>
      </c>
      <c r="AK470" t="e">
        <f>VLOOKUP($Z470,'oddspedia-matches'!$A:$AD,AK$2,0)</f>
        <v>#N/A</v>
      </c>
      <c r="AL470" t="e">
        <f>VLOOKUP($Z470,'oddspedia-matches'!$A:$AD,AL$2,0)</f>
        <v>#N/A</v>
      </c>
      <c r="AM470" t="e">
        <f>VLOOKUP($Z470,'oddspedia-matches'!$A:$AD,AM$2,0)</f>
        <v>#N/A</v>
      </c>
      <c r="AN470" t="e">
        <f>VLOOKUP($Z470,'oddspedia-matches'!$A:$AD,AN$2,0)</f>
        <v>#N/A</v>
      </c>
      <c r="AO470" t="e">
        <f>VLOOKUP($Z470,'oddspedia-matches'!$A:$AD,AO$2,0)</f>
        <v>#N/A</v>
      </c>
      <c r="AP470" t="e">
        <f>VLOOKUP($Z470,'oddspedia-matches'!$A:$AD,AP$2,0)</f>
        <v>#N/A</v>
      </c>
      <c r="AQ470" t="e">
        <f>VLOOKUP($Z470,'oddspedia-matches'!$A:$AD,AQ$2,0)</f>
        <v>#N/A</v>
      </c>
    </row>
    <row r="471" spans="2:43" x14ac:dyDescent="0.2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Hertha BSC</v>
      </c>
      <c r="Y471" t="e">
        <f>VLOOKUP(F471,'Transform table'!A:B,2,0)</f>
        <v>#N/A</v>
      </c>
      <c r="Z471" t="e">
        <f>C471&amp;X471&amp;Y471</f>
        <v>#N/A</v>
      </c>
      <c r="AA471" t="e">
        <f>VLOOKUP($Z471,'oddspedia-matches'!$A:$AD,AA$2,0)</f>
        <v>#N/A</v>
      </c>
      <c r="AB471" t="e">
        <f>VLOOKUP($Z471,'oddspedia-matches'!$A:$AD,AB$2,0)</f>
        <v>#N/A</v>
      </c>
      <c r="AC471" t="e">
        <f>VLOOKUP($Z471,'oddspedia-matches'!$A:$AD,AC$2,0)</f>
        <v>#N/A</v>
      </c>
      <c r="AD471" t="e">
        <f>VLOOKUP($Z471,'oddspedia-matches'!$A:$AD,AD$2,0)</f>
        <v>#N/A</v>
      </c>
      <c r="AE471" t="e">
        <f>VLOOKUP($Z471,'oddspedia-matches'!$A:$AD,AE$2,0)</f>
        <v>#N/A</v>
      </c>
      <c r="AF471" t="e">
        <f>VLOOKUP($Z471,'oddspedia-matches'!$A:$AD,AF$2,0)</f>
        <v>#N/A</v>
      </c>
      <c r="AG471" t="e">
        <f>VLOOKUP($Z471,'oddspedia-matches'!$A:$AD,AG$2,0)</f>
        <v>#N/A</v>
      </c>
      <c r="AH471" t="e">
        <f>VLOOKUP($Z471,'oddspedia-matches'!$A:$AD,AH$2,0)</f>
        <v>#N/A</v>
      </c>
      <c r="AI471" t="e">
        <f>VLOOKUP($Z471,'oddspedia-matches'!$A:$AD,AI$2,0)</f>
        <v>#N/A</v>
      </c>
      <c r="AJ471" t="e">
        <f>VLOOKUP($Z471,'oddspedia-matches'!$A:$AD,AJ$2,0)</f>
        <v>#N/A</v>
      </c>
      <c r="AK471" t="e">
        <f>VLOOKUP($Z471,'oddspedia-matches'!$A:$AD,AK$2,0)</f>
        <v>#N/A</v>
      </c>
      <c r="AL471" t="e">
        <f>VLOOKUP($Z471,'oddspedia-matches'!$A:$AD,AL$2,0)</f>
        <v>#N/A</v>
      </c>
      <c r="AM471" t="e">
        <f>VLOOKUP($Z471,'oddspedia-matches'!$A:$AD,AM$2,0)</f>
        <v>#N/A</v>
      </c>
      <c r="AN471" t="e">
        <f>VLOOKUP($Z471,'oddspedia-matches'!$A:$AD,AN$2,0)</f>
        <v>#N/A</v>
      </c>
      <c r="AO471" t="e">
        <f>VLOOKUP($Z471,'oddspedia-matches'!$A:$AD,AO$2,0)</f>
        <v>#N/A</v>
      </c>
      <c r="AP471" t="e">
        <f>VLOOKUP($Z471,'oddspedia-matches'!$A:$AD,AP$2,0)</f>
        <v>#N/A</v>
      </c>
      <c r="AQ471" t="e">
        <f>VLOOKUP($Z471,'oddspedia-matches'!$A:$AD,AQ$2,0)</f>
        <v>#N/A</v>
      </c>
    </row>
    <row r="472" spans="2:43" x14ac:dyDescent="0.2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Riga FC</v>
      </c>
      <c r="Y472" t="e">
        <f>VLOOKUP(F472,'Transform table'!A:B,2,0)</f>
        <v>#N/A</v>
      </c>
      <c r="Z472" t="e">
        <f>C472&amp;X472&amp;Y472</f>
        <v>#N/A</v>
      </c>
      <c r="AA472" t="e">
        <f>VLOOKUP($Z472,'oddspedia-matches'!$A:$AD,AA$2,0)</f>
        <v>#N/A</v>
      </c>
      <c r="AB472" t="e">
        <f>VLOOKUP($Z472,'oddspedia-matches'!$A:$AD,AB$2,0)</f>
        <v>#N/A</v>
      </c>
      <c r="AC472" t="e">
        <f>VLOOKUP($Z472,'oddspedia-matches'!$A:$AD,AC$2,0)</f>
        <v>#N/A</v>
      </c>
      <c r="AD472" t="e">
        <f>VLOOKUP($Z472,'oddspedia-matches'!$A:$AD,AD$2,0)</f>
        <v>#N/A</v>
      </c>
      <c r="AE472" t="e">
        <f>VLOOKUP($Z472,'oddspedia-matches'!$A:$AD,AE$2,0)</f>
        <v>#N/A</v>
      </c>
      <c r="AF472" t="e">
        <f>VLOOKUP($Z472,'oddspedia-matches'!$A:$AD,AF$2,0)</f>
        <v>#N/A</v>
      </c>
      <c r="AG472" t="e">
        <f>VLOOKUP($Z472,'oddspedia-matches'!$A:$AD,AG$2,0)</f>
        <v>#N/A</v>
      </c>
      <c r="AH472" t="e">
        <f>VLOOKUP($Z472,'oddspedia-matches'!$A:$AD,AH$2,0)</f>
        <v>#N/A</v>
      </c>
      <c r="AI472" t="e">
        <f>VLOOKUP($Z472,'oddspedia-matches'!$A:$AD,AI$2,0)</f>
        <v>#N/A</v>
      </c>
      <c r="AJ472" t="e">
        <f>VLOOKUP($Z472,'oddspedia-matches'!$A:$AD,AJ$2,0)</f>
        <v>#N/A</v>
      </c>
      <c r="AK472" t="e">
        <f>VLOOKUP($Z472,'oddspedia-matches'!$A:$AD,AK$2,0)</f>
        <v>#N/A</v>
      </c>
      <c r="AL472" t="e">
        <f>VLOOKUP($Z472,'oddspedia-matches'!$A:$AD,AL$2,0)</f>
        <v>#N/A</v>
      </c>
      <c r="AM472" t="e">
        <f>VLOOKUP($Z472,'oddspedia-matches'!$A:$AD,AM$2,0)</f>
        <v>#N/A</v>
      </c>
      <c r="AN472" t="e">
        <f>VLOOKUP($Z472,'oddspedia-matches'!$A:$AD,AN$2,0)</f>
        <v>#N/A</v>
      </c>
      <c r="AO472" t="e">
        <f>VLOOKUP($Z472,'oddspedia-matches'!$A:$AD,AO$2,0)</f>
        <v>#N/A</v>
      </c>
      <c r="AP472" t="e">
        <f>VLOOKUP($Z472,'oddspedia-matches'!$A:$AD,AP$2,0)</f>
        <v>#N/A</v>
      </c>
      <c r="AQ472" t="e">
        <f>VLOOKUP($Z472,'oddspedia-matches'!$A:$AD,AQ$2,0)</f>
        <v>#N/A</v>
      </c>
    </row>
    <row r="473" spans="2:43" x14ac:dyDescent="0.2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>C473&amp;X473&amp;Y473</f>
        <v>26/07/2026Club BolivarReal Potosi</v>
      </c>
      <c r="AA473" t="e">
        <f>VLOOKUP($Z473,'oddspedia-matches'!$A:$AD,AA$2,0)</f>
        <v>#N/A</v>
      </c>
      <c r="AB473" t="e">
        <f>VLOOKUP($Z473,'oddspedia-matches'!$A:$AD,AB$2,0)</f>
        <v>#N/A</v>
      </c>
      <c r="AC473" t="e">
        <f>VLOOKUP($Z473,'oddspedia-matches'!$A:$AD,AC$2,0)</f>
        <v>#N/A</v>
      </c>
      <c r="AD473" t="e">
        <f>VLOOKUP($Z473,'oddspedia-matches'!$A:$AD,AD$2,0)</f>
        <v>#N/A</v>
      </c>
      <c r="AE473" t="e">
        <f>VLOOKUP($Z473,'oddspedia-matches'!$A:$AD,AE$2,0)</f>
        <v>#N/A</v>
      </c>
      <c r="AF473" t="e">
        <f>VLOOKUP($Z473,'oddspedia-matches'!$A:$AD,AF$2,0)</f>
        <v>#N/A</v>
      </c>
      <c r="AG473" t="e">
        <f>VLOOKUP($Z473,'oddspedia-matches'!$A:$AD,AG$2,0)</f>
        <v>#N/A</v>
      </c>
      <c r="AH473" t="e">
        <f>VLOOKUP($Z473,'oddspedia-matches'!$A:$AD,AH$2,0)</f>
        <v>#N/A</v>
      </c>
      <c r="AI473" t="e">
        <f>VLOOKUP($Z473,'oddspedia-matches'!$A:$AD,AI$2,0)</f>
        <v>#N/A</v>
      </c>
      <c r="AJ473" t="e">
        <f>VLOOKUP($Z473,'oddspedia-matches'!$A:$AD,AJ$2,0)</f>
        <v>#N/A</v>
      </c>
      <c r="AK473" t="e">
        <f>VLOOKUP($Z473,'oddspedia-matches'!$A:$AD,AK$2,0)</f>
        <v>#N/A</v>
      </c>
      <c r="AL473" t="e">
        <f>VLOOKUP($Z473,'oddspedia-matches'!$A:$AD,AL$2,0)</f>
        <v>#N/A</v>
      </c>
      <c r="AM473" t="e">
        <f>VLOOKUP($Z473,'oddspedia-matches'!$A:$AD,AM$2,0)</f>
        <v>#N/A</v>
      </c>
      <c r="AN473" t="e">
        <f>VLOOKUP($Z473,'oddspedia-matches'!$A:$AD,AN$2,0)</f>
        <v>#N/A</v>
      </c>
      <c r="AO473" t="e">
        <f>VLOOKUP($Z473,'oddspedia-matches'!$A:$AD,AO$2,0)</f>
        <v>#N/A</v>
      </c>
      <c r="AP473" t="e">
        <f>VLOOKUP($Z473,'oddspedia-matches'!$A:$AD,AP$2,0)</f>
        <v>#N/A</v>
      </c>
      <c r="AQ473" t="e">
        <f>VLOOKUP($Z473,'oddspedia-matches'!$A:$AD,AQ$2,0)</f>
        <v>#N/A</v>
      </c>
    </row>
    <row r="474" spans="2:43" x14ac:dyDescent="0.2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>C474&amp;X474&amp;Y474</f>
        <v>26/07/2026Red Bull BragantinoCoritiba PR</v>
      </c>
      <c r="AA474" t="e">
        <f>VLOOKUP($Z474,'oddspedia-matches'!$A:$AD,AA$2,0)</f>
        <v>#N/A</v>
      </c>
      <c r="AB474" t="e">
        <f>VLOOKUP($Z474,'oddspedia-matches'!$A:$AD,AB$2,0)</f>
        <v>#N/A</v>
      </c>
      <c r="AC474" t="e">
        <f>VLOOKUP($Z474,'oddspedia-matches'!$A:$AD,AC$2,0)</f>
        <v>#N/A</v>
      </c>
      <c r="AD474" t="e">
        <f>VLOOKUP($Z474,'oddspedia-matches'!$A:$AD,AD$2,0)</f>
        <v>#N/A</v>
      </c>
      <c r="AE474" t="e">
        <f>VLOOKUP($Z474,'oddspedia-matches'!$A:$AD,AE$2,0)</f>
        <v>#N/A</v>
      </c>
      <c r="AF474" t="e">
        <f>VLOOKUP($Z474,'oddspedia-matches'!$A:$AD,AF$2,0)</f>
        <v>#N/A</v>
      </c>
      <c r="AG474" t="e">
        <f>VLOOKUP($Z474,'oddspedia-matches'!$A:$AD,AG$2,0)</f>
        <v>#N/A</v>
      </c>
      <c r="AH474" t="e">
        <f>VLOOKUP($Z474,'oddspedia-matches'!$A:$AD,AH$2,0)</f>
        <v>#N/A</v>
      </c>
      <c r="AI474" t="e">
        <f>VLOOKUP($Z474,'oddspedia-matches'!$A:$AD,AI$2,0)</f>
        <v>#N/A</v>
      </c>
      <c r="AJ474" t="e">
        <f>VLOOKUP($Z474,'oddspedia-matches'!$A:$AD,AJ$2,0)</f>
        <v>#N/A</v>
      </c>
      <c r="AK474" t="e">
        <f>VLOOKUP($Z474,'oddspedia-matches'!$A:$AD,AK$2,0)</f>
        <v>#N/A</v>
      </c>
      <c r="AL474" t="e">
        <f>VLOOKUP($Z474,'oddspedia-matches'!$A:$AD,AL$2,0)</f>
        <v>#N/A</v>
      </c>
      <c r="AM474" t="e">
        <f>VLOOKUP($Z474,'oddspedia-matches'!$A:$AD,AM$2,0)</f>
        <v>#N/A</v>
      </c>
      <c r="AN474" t="e">
        <f>VLOOKUP($Z474,'oddspedia-matches'!$A:$AD,AN$2,0)</f>
        <v>#N/A</v>
      </c>
      <c r="AO474" t="e">
        <f>VLOOKUP($Z474,'oddspedia-matches'!$A:$AD,AO$2,0)</f>
        <v>#N/A</v>
      </c>
      <c r="AP474" t="e">
        <f>VLOOKUP($Z474,'oddspedia-matches'!$A:$AD,AP$2,0)</f>
        <v>#N/A</v>
      </c>
      <c r="AQ474" t="e">
        <f>VLOOKUP($Z474,'oddspedia-matches'!$A:$AD,AQ$2,0)</f>
        <v>#N/A</v>
      </c>
    </row>
    <row r="475" spans="2:43" x14ac:dyDescent="0.2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>C475&amp;X475&amp;Y475</f>
        <v>26/07/2026Flamengo RJSao Paulo</v>
      </c>
      <c r="AA475" t="e">
        <f>VLOOKUP($Z475,'oddspedia-matches'!$A:$AD,AA$2,0)</f>
        <v>#N/A</v>
      </c>
      <c r="AB475" t="e">
        <f>VLOOKUP($Z475,'oddspedia-matches'!$A:$AD,AB$2,0)</f>
        <v>#N/A</v>
      </c>
      <c r="AC475" t="e">
        <f>VLOOKUP($Z475,'oddspedia-matches'!$A:$AD,AC$2,0)</f>
        <v>#N/A</v>
      </c>
      <c r="AD475" t="e">
        <f>VLOOKUP($Z475,'oddspedia-matches'!$A:$AD,AD$2,0)</f>
        <v>#N/A</v>
      </c>
      <c r="AE475" t="e">
        <f>VLOOKUP($Z475,'oddspedia-matches'!$A:$AD,AE$2,0)</f>
        <v>#N/A</v>
      </c>
      <c r="AF475" t="e">
        <f>VLOOKUP($Z475,'oddspedia-matches'!$A:$AD,AF$2,0)</f>
        <v>#N/A</v>
      </c>
      <c r="AG475" t="e">
        <f>VLOOKUP($Z475,'oddspedia-matches'!$A:$AD,AG$2,0)</f>
        <v>#N/A</v>
      </c>
      <c r="AH475" t="e">
        <f>VLOOKUP($Z475,'oddspedia-matches'!$A:$AD,AH$2,0)</f>
        <v>#N/A</v>
      </c>
      <c r="AI475" t="e">
        <f>VLOOKUP($Z475,'oddspedia-matches'!$A:$AD,AI$2,0)</f>
        <v>#N/A</v>
      </c>
      <c r="AJ475" t="e">
        <f>VLOOKUP($Z475,'oddspedia-matches'!$A:$AD,AJ$2,0)</f>
        <v>#N/A</v>
      </c>
      <c r="AK475" t="e">
        <f>VLOOKUP($Z475,'oddspedia-matches'!$A:$AD,AK$2,0)</f>
        <v>#N/A</v>
      </c>
      <c r="AL475" t="e">
        <f>VLOOKUP($Z475,'oddspedia-matches'!$A:$AD,AL$2,0)</f>
        <v>#N/A</v>
      </c>
      <c r="AM475" t="e">
        <f>VLOOKUP($Z475,'oddspedia-matches'!$A:$AD,AM$2,0)</f>
        <v>#N/A</v>
      </c>
      <c r="AN475" t="e">
        <f>VLOOKUP($Z475,'oddspedia-matches'!$A:$AD,AN$2,0)</f>
        <v>#N/A</v>
      </c>
      <c r="AO475" t="e">
        <f>VLOOKUP($Z475,'oddspedia-matches'!$A:$AD,AO$2,0)</f>
        <v>#N/A</v>
      </c>
      <c r="AP475" t="e">
        <f>VLOOKUP($Z475,'oddspedia-matches'!$A:$AD,AP$2,0)</f>
        <v>#N/A</v>
      </c>
      <c r="AQ475" t="e">
        <f>VLOOKUP($Z475,'oddspedia-matches'!$A:$AD,AQ$2,0)</f>
        <v>#N/A</v>
      </c>
    </row>
    <row r="476" spans="2:43" x14ac:dyDescent="0.2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e">
        <f>VLOOKUP(F476,'Transform table'!A:B,2,0)</f>
        <v>#N/A</v>
      </c>
      <c r="Z476" t="e">
        <f>C476&amp;X476&amp;Y476</f>
        <v>#N/A</v>
      </c>
      <c r="AA476" t="e">
        <f>VLOOKUP($Z476,'oddspedia-matches'!$A:$AD,AA$2,0)</f>
        <v>#N/A</v>
      </c>
      <c r="AB476" t="e">
        <f>VLOOKUP($Z476,'oddspedia-matches'!$A:$AD,AB$2,0)</f>
        <v>#N/A</v>
      </c>
      <c r="AC476" t="e">
        <f>VLOOKUP($Z476,'oddspedia-matches'!$A:$AD,AC$2,0)</f>
        <v>#N/A</v>
      </c>
      <c r="AD476" t="e">
        <f>VLOOKUP($Z476,'oddspedia-matches'!$A:$AD,AD$2,0)</f>
        <v>#N/A</v>
      </c>
      <c r="AE476" t="e">
        <f>VLOOKUP($Z476,'oddspedia-matches'!$A:$AD,AE$2,0)</f>
        <v>#N/A</v>
      </c>
      <c r="AF476" t="e">
        <f>VLOOKUP($Z476,'oddspedia-matches'!$A:$AD,AF$2,0)</f>
        <v>#N/A</v>
      </c>
      <c r="AG476" t="e">
        <f>VLOOKUP($Z476,'oddspedia-matches'!$A:$AD,AG$2,0)</f>
        <v>#N/A</v>
      </c>
      <c r="AH476" t="e">
        <f>VLOOKUP($Z476,'oddspedia-matches'!$A:$AD,AH$2,0)</f>
        <v>#N/A</v>
      </c>
      <c r="AI476" t="e">
        <f>VLOOKUP($Z476,'oddspedia-matches'!$A:$AD,AI$2,0)</f>
        <v>#N/A</v>
      </c>
      <c r="AJ476" t="e">
        <f>VLOOKUP($Z476,'oddspedia-matches'!$A:$AD,AJ$2,0)</f>
        <v>#N/A</v>
      </c>
      <c r="AK476" t="e">
        <f>VLOOKUP($Z476,'oddspedia-matches'!$A:$AD,AK$2,0)</f>
        <v>#N/A</v>
      </c>
      <c r="AL476" t="e">
        <f>VLOOKUP($Z476,'oddspedia-matches'!$A:$AD,AL$2,0)</f>
        <v>#N/A</v>
      </c>
      <c r="AM476" t="e">
        <f>VLOOKUP($Z476,'oddspedia-matches'!$A:$AD,AM$2,0)</f>
        <v>#N/A</v>
      </c>
      <c r="AN476" t="e">
        <f>VLOOKUP($Z476,'oddspedia-matches'!$A:$AD,AN$2,0)</f>
        <v>#N/A</v>
      </c>
      <c r="AO476" t="e">
        <f>VLOOKUP($Z476,'oddspedia-matches'!$A:$AD,AO$2,0)</f>
        <v>#N/A</v>
      </c>
      <c r="AP476" t="e">
        <f>VLOOKUP($Z476,'oddspedia-matches'!$A:$AD,AP$2,0)</f>
        <v>#N/A</v>
      </c>
      <c r="AQ476" t="e">
        <f>VLOOKUP($Z476,'oddspedia-matches'!$A:$AD,AQ$2,0)</f>
        <v>#N/A</v>
      </c>
    </row>
    <row r="477" spans="2:43" x14ac:dyDescent="0.2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>C477&amp;X477&amp;Y477</f>
        <v>26/07/2026America MineiroGoias</v>
      </c>
      <c r="AA477" t="e">
        <f>VLOOKUP($Z477,'oddspedia-matches'!$A:$AD,AA$2,0)</f>
        <v>#N/A</v>
      </c>
      <c r="AB477" t="e">
        <f>VLOOKUP($Z477,'oddspedia-matches'!$A:$AD,AB$2,0)</f>
        <v>#N/A</v>
      </c>
      <c r="AC477" t="e">
        <f>VLOOKUP($Z477,'oddspedia-matches'!$A:$AD,AC$2,0)</f>
        <v>#N/A</v>
      </c>
      <c r="AD477" t="e">
        <f>VLOOKUP($Z477,'oddspedia-matches'!$A:$AD,AD$2,0)</f>
        <v>#N/A</v>
      </c>
      <c r="AE477" t="e">
        <f>VLOOKUP($Z477,'oddspedia-matches'!$A:$AD,AE$2,0)</f>
        <v>#N/A</v>
      </c>
      <c r="AF477" t="e">
        <f>VLOOKUP($Z477,'oddspedia-matches'!$A:$AD,AF$2,0)</f>
        <v>#N/A</v>
      </c>
      <c r="AG477" t="e">
        <f>VLOOKUP($Z477,'oddspedia-matches'!$A:$AD,AG$2,0)</f>
        <v>#N/A</v>
      </c>
      <c r="AH477" t="e">
        <f>VLOOKUP($Z477,'oddspedia-matches'!$A:$AD,AH$2,0)</f>
        <v>#N/A</v>
      </c>
      <c r="AI477" t="e">
        <f>VLOOKUP($Z477,'oddspedia-matches'!$A:$AD,AI$2,0)</f>
        <v>#N/A</v>
      </c>
      <c r="AJ477" t="e">
        <f>VLOOKUP($Z477,'oddspedia-matches'!$A:$AD,AJ$2,0)</f>
        <v>#N/A</v>
      </c>
      <c r="AK477" t="e">
        <f>VLOOKUP($Z477,'oddspedia-matches'!$A:$AD,AK$2,0)</f>
        <v>#N/A</v>
      </c>
      <c r="AL477" t="e">
        <f>VLOOKUP($Z477,'oddspedia-matches'!$A:$AD,AL$2,0)</f>
        <v>#N/A</v>
      </c>
      <c r="AM477" t="e">
        <f>VLOOKUP($Z477,'oddspedia-matches'!$A:$AD,AM$2,0)</f>
        <v>#N/A</v>
      </c>
      <c r="AN477" t="e">
        <f>VLOOKUP($Z477,'oddspedia-matches'!$A:$AD,AN$2,0)</f>
        <v>#N/A</v>
      </c>
      <c r="AO477" t="e">
        <f>VLOOKUP($Z477,'oddspedia-matches'!$A:$AD,AO$2,0)</f>
        <v>#N/A</v>
      </c>
      <c r="AP477" t="e">
        <f>VLOOKUP($Z477,'oddspedia-matches'!$A:$AD,AP$2,0)</f>
        <v>#N/A</v>
      </c>
      <c r="AQ477" t="e">
        <f>VLOOKUP($Z477,'oddspedia-matches'!$A:$AD,AQ$2,0)</f>
        <v>#N/A</v>
      </c>
    </row>
    <row r="478" spans="2:43" x14ac:dyDescent="0.2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>C478&amp;X478&amp;Y478</f>
        <v>26/07/2026Londrina ECNovorizontino SP</v>
      </c>
      <c r="AA478" t="e">
        <f>VLOOKUP($Z478,'oddspedia-matches'!$A:$AD,AA$2,0)</f>
        <v>#N/A</v>
      </c>
      <c r="AB478" t="e">
        <f>VLOOKUP($Z478,'oddspedia-matches'!$A:$AD,AB$2,0)</f>
        <v>#N/A</v>
      </c>
      <c r="AC478" t="e">
        <f>VLOOKUP($Z478,'oddspedia-matches'!$A:$AD,AC$2,0)</f>
        <v>#N/A</v>
      </c>
      <c r="AD478" t="e">
        <f>VLOOKUP($Z478,'oddspedia-matches'!$A:$AD,AD$2,0)</f>
        <v>#N/A</v>
      </c>
      <c r="AE478" t="e">
        <f>VLOOKUP($Z478,'oddspedia-matches'!$A:$AD,AE$2,0)</f>
        <v>#N/A</v>
      </c>
      <c r="AF478" t="e">
        <f>VLOOKUP($Z478,'oddspedia-matches'!$A:$AD,AF$2,0)</f>
        <v>#N/A</v>
      </c>
      <c r="AG478" t="e">
        <f>VLOOKUP($Z478,'oddspedia-matches'!$A:$AD,AG$2,0)</f>
        <v>#N/A</v>
      </c>
      <c r="AH478" t="e">
        <f>VLOOKUP($Z478,'oddspedia-matches'!$A:$AD,AH$2,0)</f>
        <v>#N/A</v>
      </c>
      <c r="AI478" t="e">
        <f>VLOOKUP($Z478,'oddspedia-matches'!$A:$AD,AI$2,0)</f>
        <v>#N/A</v>
      </c>
      <c r="AJ478" t="e">
        <f>VLOOKUP($Z478,'oddspedia-matches'!$A:$AD,AJ$2,0)</f>
        <v>#N/A</v>
      </c>
      <c r="AK478" t="e">
        <f>VLOOKUP($Z478,'oddspedia-matches'!$A:$AD,AK$2,0)</f>
        <v>#N/A</v>
      </c>
      <c r="AL478" t="e">
        <f>VLOOKUP($Z478,'oddspedia-matches'!$A:$AD,AL$2,0)</f>
        <v>#N/A</v>
      </c>
      <c r="AM478" t="e">
        <f>VLOOKUP($Z478,'oddspedia-matches'!$A:$AD,AM$2,0)</f>
        <v>#N/A</v>
      </c>
      <c r="AN478" t="e">
        <f>VLOOKUP($Z478,'oddspedia-matches'!$A:$AD,AN$2,0)</f>
        <v>#N/A</v>
      </c>
      <c r="AO478" t="e">
        <f>VLOOKUP($Z478,'oddspedia-matches'!$A:$AD,AO$2,0)</f>
        <v>#N/A</v>
      </c>
      <c r="AP478" t="e">
        <f>VLOOKUP($Z478,'oddspedia-matches'!$A:$AD,AP$2,0)</f>
        <v>#N/A</v>
      </c>
      <c r="AQ478" t="e">
        <f>VLOOKUP($Z478,'oddspedia-matches'!$A:$AD,AQ$2,0)</f>
        <v>#N/A</v>
      </c>
    </row>
    <row r="479" spans="2:43" x14ac:dyDescent="0.2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f>VLOOKUP(E479,'Transform table'!A:B,2,0)</f>
        <v>0</v>
      </c>
      <c r="Y479" t="e">
        <f>VLOOKUP(F479,'Transform table'!A:B,2,0)</f>
        <v>#N/A</v>
      </c>
      <c r="Z479" t="e">
        <f>C479&amp;X479&amp;Y479</f>
        <v>#N/A</v>
      </c>
      <c r="AA479" t="e">
        <f>VLOOKUP($Z479,'oddspedia-matches'!$A:$AD,AA$2,0)</f>
        <v>#N/A</v>
      </c>
      <c r="AB479" t="e">
        <f>VLOOKUP($Z479,'oddspedia-matches'!$A:$AD,AB$2,0)</f>
        <v>#N/A</v>
      </c>
      <c r="AC479" t="e">
        <f>VLOOKUP($Z479,'oddspedia-matches'!$A:$AD,AC$2,0)</f>
        <v>#N/A</v>
      </c>
      <c r="AD479" t="e">
        <f>VLOOKUP($Z479,'oddspedia-matches'!$A:$AD,AD$2,0)</f>
        <v>#N/A</v>
      </c>
      <c r="AE479" t="e">
        <f>VLOOKUP($Z479,'oddspedia-matches'!$A:$AD,AE$2,0)</f>
        <v>#N/A</v>
      </c>
      <c r="AF479" t="e">
        <f>VLOOKUP($Z479,'oddspedia-matches'!$A:$AD,AF$2,0)</f>
        <v>#N/A</v>
      </c>
      <c r="AG479" t="e">
        <f>VLOOKUP($Z479,'oddspedia-matches'!$A:$AD,AG$2,0)</f>
        <v>#N/A</v>
      </c>
      <c r="AH479" t="e">
        <f>VLOOKUP($Z479,'oddspedia-matches'!$A:$AD,AH$2,0)</f>
        <v>#N/A</v>
      </c>
      <c r="AI479" t="e">
        <f>VLOOKUP($Z479,'oddspedia-matches'!$A:$AD,AI$2,0)</f>
        <v>#N/A</v>
      </c>
      <c r="AJ479" t="e">
        <f>VLOOKUP($Z479,'oddspedia-matches'!$A:$AD,AJ$2,0)</f>
        <v>#N/A</v>
      </c>
      <c r="AK479" t="e">
        <f>VLOOKUP($Z479,'oddspedia-matches'!$A:$AD,AK$2,0)</f>
        <v>#N/A</v>
      </c>
      <c r="AL479" t="e">
        <f>VLOOKUP($Z479,'oddspedia-matches'!$A:$AD,AL$2,0)</f>
        <v>#N/A</v>
      </c>
      <c r="AM479" t="e">
        <f>VLOOKUP($Z479,'oddspedia-matches'!$A:$AD,AM$2,0)</f>
        <v>#N/A</v>
      </c>
      <c r="AN479" t="e">
        <f>VLOOKUP($Z479,'oddspedia-matches'!$A:$AD,AN$2,0)</f>
        <v>#N/A</v>
      </c>
      <c r="AO479" t="e">
        <f>VLOOKUP($Z479,'oddspedia-matches'!$A:$AD,AO$2,0)</f>
        <v>#N/A</v>
      </c>
      <c r="AP479" t="e">
        <f>VLOOKUP($Z479,'oddspedia-matches'!$A:$AD,AP$2,0)</f>
        <v>#N/A</v>
      </c>
      <c r="AQ479" t="e">
        <f>VLOOKUP($Z479,'oddspedia-matches'!$A:$AD,AQ$2,0)</f>
        <v>#N/A</v>
      </c>
    </row>
    <row r="480" spans="2:43" x14ac:dyDescent="0.2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Sao Mateus</v>
      </c>
      <c r="Y480" t="e">
        <f>VLOOKUP(F480,'Transform table'!A:B,2,0)</f>
        <v>#N/A</v>
      </c>
      <c r="Z480" t="e">
        <f>C480&amp;X480&amp;Y480</f>
        <v>#N/A</v>
      </c>
      <c r="AA480" t="e">
        <f>VLOOKUP($Z480,'oddspedia-matches'!$A:$AD,AA$2,0)</f>
        <v>#N/A</v>
      </c>
      <c r="AB480" t="e">
        <f>VLOOKUP($Z480,'oddspedia-matches'!$A:$AD,AB$2,0)</f>
        <v>#N/A</v>
      </c>
      <c r="AC480" t="e">
        <f>VLOOKUP($Z480,'oddspedia-matches'!$A:$AD,AC$2,0)</f>
        <v>#N/A</v>
      </c>
      <c r="AD480" t="e">
        <f>VLOOKUP($Z480,'oddspedia-matches'!$A:$AD,AD$2,0)</f>
        <v>#N/A</v>
      </c>
      <c r="AE480" t="e">
        <f>VLOOKUP($Z480,'oddspedia-matches'!$A:$AD,AE$2,0)</f>
        <v>#N/A</v>
      </c>
      <c r="AF480" t="e">
        <f>VLOOKUP($Z480,'oddspedia-matches'!$A:$AD,AF$2,0)</f>
        <v>#N/A</v>
      </c>
      <c r="AG480" t="e">
        <f>VLOOKUP($Z480,'oddspedia-matches'!$A:$AD,AG$2,0)</f>
        <v>#N/A</v>
      </c>
      <c r="AH480" t="e">
        <f>VLOOKUP($Z480,'oddspedia-matches'!$A:$AD,AH$2,0)</f>
        <v>#N/A</v>
      </c>
      <c r="AI480" t="e">
        <f>VLOOKUP($Z480,'oddspedia-matches'!$A:$AD,AI$2,0)</f>
        <v>#N/A</v>
      </c>
      <c r="AJ480" t="e">
        <f>VLOOKUP($Z480,'oddspedia-matches'!$A:$AD,AJ$2,0)</f>
        <v>#N/A</v>
      </c>
      <c r="AK480" t="e">
        <f>VLOOKUP($Z480,'oddspedia-matches'!$A:$AD,AK$2,0)</f>
        <v>#N/A</v>
      </c>
      <c r="AL480" t="e">
        <f>VLOOKUP($Z480,'oddspedia-matches'!$A:$AD,AL$2,0)</f>
        <v>#N/A</v>
      </c>
      <c r="AM480" t="e">
        <f>VLOOKUP($Z480,'oddspedia-matches'!$A:$AD,AM$2,0)</f>
        <v>#N/A</v>
      </c>
      <c r="AN480" t="e">
        <f>VLOOKUP($Z480,'oddspedia-matches'!$A:$AD,AN$2,0)</f>
        <v>#N/A</v>
      </c>
      <c r="AO480" t="e">
        <f>VLOOKUP($Z480,'oddspedia-matches'!$A:$AD,AO$2,0)</f>
        <v>#N/A</v>
      </c>
      <c r="AP480" t="e">
        <f>VLOOKUP($Z480,'oddspedia-matches'!$A:$AD,AP$2,0)</f>
        <v>#N/A</v>
      </c>
      <c r="AQ480" t="e">
        <f>VLOOKUP($Z480,'oddspedia-matches'!$A:$AD,AQ$2,0)</f>
        <v>#N/A</v>
      </c>
    </row>
    <row r="481" spans="2:43" x14ac:dyDescent="0.2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f>VLOOKUP(E481,'Transform table'!A:B,2,0)</f>
        <v>0</v>
      </c>
      <c r="Y481" t="e">
        <f>VLOOKUP(F481,'Transform table'!A:B,2,0)</f>
        <v>#N/A</v>
      </c>
      <c r="Z481" t="e">
        <f>C481&amp;X481&amp;Y481</f>
        <v>#N/A</v>
      </c>
      <c r="AA481" t="e">
        <f>VLOOKUP($Z481,'oddspedia-matches'!$A:$AD,AA$2,0)</f>
        <v>#N/A</v>
      </c>
      <c r="AB481" t="e">
        <f>VLOOKUP($Z481,'oddspedia-matches'!$A:$AD,AB$2,0)</f>
        <v>#N/A</v>
      </c>
      <c r="AC481" t="e">
        <f>VLOOKUP($Z481,'oddspedia-matches'!$A:$AD,AC$2,0)</f>
        <v>#N/A</v>
      </c>
      <c r="AD481" t="e">
        <f>VLOOKUP($Z481,'oddspedia-matches'!$A:$AD,AD$2,0)</f>
        <v>#N/A</v>
      </c>
      <c r="AE481" t="e">
        <f>VLOOKUP($Z481,'oddspedia-matches'!$A:$AD,AE$2,0)</f>
        <v>#N/A</v>
      </c>
      <c r="AF481" t="e">
        <f>VLOOKUP($Z481,'oddspedia-matches'!$A:$AD,AF$2,0)</f>
        <v>#N/A</v>
      </c>
      <c r="AG481" t="e">
        <f>VLOOKUP($Z481,'oddspedia-matches'!$A:$AD,AG$2,0)</f>
        <v>#N/A</v>
      </c>
      <c r="AH481" t="e">
        <f>VLOOKUP($Z481,'oddspedia-matches'!$A:$AD,AH$2,0)</f>
        <v>#N/A</v>
      </c>
      <c r="AI481" t="e">
        <f>VLOOKUP($Z481,'oddspedia-matches'!$A:$AD,AI$2,0)</f>
        <v>#N/A</v>
      </c>
      <c r="AJ481" t="e">
        <f>VLOOKUP($Z481,'oddspedia-matches'!$A:$AD,AJ$2,0)</f>
        <v>#N/A</v>
      </c>
      <c r="AK481" t="e">
        <f>VLOOKUP($Z481,'oddspedia-matches'!$A:$AD,AK$2,0)</f>
        <v>#N/A</v>
      </c>
      <c r="AL481" t="e">
        <f>VLOOKUP($Z481,'oddspedia-matches'!$A:$AD,AL$2,0)</f>
        <v>#N/A</v>
      </c>
      <c r="AM481" t="e">
        <f>VLOOKUP($Z481,'oddspedia-matches'!$A:$AD,AM$2,0)</f>
        <v>#N/A</v>
      </c>
      <c r="AN481" t="e">
        <f>VLOOKUP($Z481,'oddspedia-matches'!$A:$AD,AN$2,0)</f>
        <v>#N/A</v>
      </c>
      <c r="AO481" t="e">
        <f>VLOOKUP($Z481,'oddspedia-matches'!$A:$AD,AO$2,0)</f>
        <v>#N/A</v>
      </c>
      <c r="AP481" t="e">
        <f>VLOOKUP($Z481,'oddspedia-matches'!$A:$AD,AP$2,0)</f>
        <v>#N/A</v>
      </c>
      <c r="AQ481" t="e">
        <f>VLOOKUP($Z481,'oddspedia-matches'!$A:$AD,AQ$2,0)</f>
        <v>#N/A</v>
      </c>
    </row>
    <row r="482" spans="2:43" x14ac:dyDescent="0.2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Guairena FC</v>
      </c>
      <c r="Y482" t="e">
        <f>VLOOKUP(F482,'Transform table'!A:B,2,0)</f>
        <v>#N/A</v>
      </c>
      <c r="Z482" t="e">
        <f>C482&amp;X482&amp;Y482</f>
        <v>#N/A</v>
      </c>
      <c r="AA482" t="e">
        <f>VLOOKUP($Z482,'oddspedia-matches'!$A:$AD,AA$2,0)</f>
        <v>#N/A</v>
      </c>
      <c r="AB482" t="e">
        <f>VLOOKUP($Z482,'oddspedia-matches'!$A:$AD,AB$2,0)</f>
        <v>#N/A</v>
      </c>
      <c r="AC482" t="e">
        <f>VLOOKUP($Z482,'oddspedia-matches'!$A:$AD,AC$2,0)</f>
        <v>#N/A</v>
      </c>
      <c r="AD482" t="e">
        <f>VLOOKUP($Z482,'oddspedia-matches'!$A:$AD,AD$2,0)</f>
        <v>#N/A</v>
      </c>
      <c r="AE482" t="e">
        <f>VLOOKUP($Z482,'oddspedia-matches'!$A:$AD,AE$2,0)</f>
        <v>#N/A</v>
      </c>
      <c r="AF482" t="e">
        <f>VLOOKUP($Z482,'oddspedia-matches'!$A:$AD,AF$2,0)</f>
        <v>#N/A</v>
      </c>
      <c r="AG482" t="e">
        <f>VLOOKUP($Z482,'oddspedia-matches'!$A:$AD,AG$2,0)</f>
        <v>#N/A</v>
      </c>
      <c r="AH482" t="e">
        <f>VLOOKUP($Z482,'oddspedia-matches'!$A:$AD,AH$2,0)</f>
        <v>#N/A</v>
      </c>
      <c r="AI482" t="e">
        <f>VLOOKUP($Z482,'oddspedia-matches'!$A:$AD,AI$2,0)</f>
        <v>#N/A</v>
      </c>
      <c r="AJ482" t="e">
        <f>VLOOKUP($Z482,'oddspedia-matches'!$A:$AD,AJ$2,0)</f>
        <v>#N/A</v>
      </c>
      <c r="AK482" t="e">
        <f>VLOOKUP($Z482,'oddspedia-matches'!$A:$AD,AK$2,0)</f>
        <v>#N/A</v>
      </c>
      <c r="AL482" t="e">
        <f>VLOOKUP($Z482,'oddspedia-matches'!$A:$AD,AL$2,0)</f>
        <v>#N/A</v>
      </c>
      <c r="AM482" t="e">
        <f>VLOOKUP($Z482,'oddspedia-matches'!$A:$AD,AM$2,0)</f>
        <v>#N/A</v>
      </c>
      <c r="AN482" t="e">
        <f>VLOOKUP($Z482,'oddspedia-matches'!$A:$AD,AN$2,0)</f>
        <v>#N/A</v>
      </c>
      <c r="AO482" t="e">
        <f>VLOOKUP($Z482,'oddspedia-matches'!$A:$AD,AO$2,0)</f>
        <v>#N/A</v>
      </c>
      <c r="AP482" t="e">
        <f>VLOOKUP($Z482,'oddspedia-matches'!$A:$AD,AP$2,0)</f>
        <v>#N/A</v>
      </c>
      <c r="AQ482" t="e">
        <f>VLOOKUP($Z482,'oddspedia-matches'!$A:$AD,AQ$2,0)</f>
        <v>#N/A</v>
      </c>
    </row>
    <row r="483" spans="2:43" x14ac:dyDescent="0.2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f>VLOOKUP(E483,'Transform table'!A:B,2,0)</f>
        <v>0</v>
      </c>
      <c r="Y483" t="e">
        <f>VLOOKUP(F483,'Transform table'!A:B,2,0)</f>
        <v>#N/A</v>
      </c>
      <c r="Z483" t="e">
        <f>C483&amp;X483&amp;Y483</f>
        <v>#N/A</v>
      </c>
      <c r="AA483" t="e">
        <f>VLOOKUP($Z483,'oddspedia-matches'!$A:$AD,AA$2,0)</f>
        <v>#N/A</v>
      </c>
      <c r="AB483" t="e">
        <f>VLOOKUP($Z483,'oddspedia-matches'!$A:$AD,AB$2,0)</f>
        <v>#N/A</v>
      </c>
      <c r="AC483" t="e">
        <f>VLOOKUP($Z483,'oddspedia-matches'!$A:$AD,AC$2,0)</f>
        <v>#N/A</v>
      </c>
      <c r="AD483" t="e">
        <f>VLOOKUP($Z483,'oddspedia-matches'!$A:$AD,AD$2,0)</f>
        <v>#N/A</v>
      </c>
      <c r="AE483" t="e">
        <f>VLOOKUP($Z483,'oddspedia-matches'!$A:$AD,AE$2,0)</f>
        <v>#N/A</v>
      </c>
      <c r="AF483" t="e">
        <f>VLOOKUP($Z483,'oddspedia-matches'!$A:$AD,AF$2,0)</f>
        <v>#N/A</v>
      </c>
      <c r="AG483" t="e">
        <f>VLOOKUP($Z483,'oddspedia-matches'!$A:$AD,AG$2,0)</f>
        <v>#N/A</v>
      </c>
      <c r="AH483" t="e">
        <f>VLOOKUP($Z483,'oddspedia-matches'!$A:$AD,AH$2,0)</f>
        <v>#N/A</v>
      </c>
      <c r="AI483" t="e">
        <f>VLOOKUP($Z483,'oddspedia-matches'!$A:$AD,AI$2,0)</f>
        <v>#N/A</v>
      </c>
      <c r="AJ483" t="e">
        <f>VLOOKUP($Z483,'oddspedia-matches'!$A:$AD,AJ$2,0)</f>
        <v>#N/A</v>
      </c>
      <c r="AK483" t="e">
        <f>VLOOKUP($Z483,'oddspedia-matches'!$A:$AD,AK$2,0)</f>
        <v>#N/A</v>
      </c>
      <c r="AL483" t="e">
        <f>VLOOKUP($Z483,'oddspedia-matches'!$A:$AD,AL$2,0)</f>
        <v>#N/A</v>
      </c>
      <c r="AM483" t="e">
        <f>VLOOKUP($Z483,'oddspedia-matches'!$A:$AD,AM$2,0)</f>
        <v>#N/A</v>
      </c>
      <c r="AN483" t="e">
        <f>VLOOKUP($Z483,'oddspedia-matches'!$A:$AD,AN$2,0)</f>
        <v>#N/A</v>
      </c>
      <c r="AO483" t="e">
        <f>VLOOKUP($Z483,'oddspedia-matches'!$A:$AD,AO$2,0)</f>
        <v>#N/A</v>
      </c>
      <c r="AP483" t="e">
        <f>VLOOKUP($Z483,'oddspedia-matches'!$A:$AD,AP$2,0)</f>
        <v>#N/A</v>
      </c>
      <c r="AQ483" t="e">
        <f>VLOOKUP($Z483,'oddspedia-matches'!$A:$AD,AQ$2,0)</f>
        <v>#N/A</v>
      </c>
    </row>
    <row r="484" spans="2:43" x14ac:dyDescent="0.2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>
        <f>VLOOKUP(E484,'Transform table'!A:B,2,0)</f>
        <v>0</v>
      </c>
      <c r="Y484" t="e">
        <f>VLOOKUP(F484,'Transform table'!A:B,2,0)</f>
        <v>#N/A</v>
      </c>
      <c r="Z484" t="e">
        <f>C484&amp;X484&amp;Y484</f>
        <v>#N/A</v>
      </c>
      <c r="AA484" t="e">
        <f>VLOOKUP($Z484,'oddspedia-matches'!$A:$AD,AA$2,0)</f>
        <v>#N/A</v>
      </c>
      <c r="AB484" t="e">
        <f>VLOOKUP($Z484,'oddspedia-matches'!$A:$AD,AB$2,0)</f>
        <v>#N/A</v>
      </c>
      <c r="AC484" t="e">
        <f>VLOOKUP($Z484,'oddspedia-matches'!$A:$AD,AC$2,0)</f>
        <v>#N/A</v>
      </c>
      <c r="AD484" t="e">
        <f>VLOOKUP($Z484,'oddspedia-matches'!$A:$AD,AD$2,0)</f>
        <v>#N/A</v>
      </c>
      <c r="AE484" t="e">
        <f>VLOOKUP($Z484,'oddspedia-matches'!$A:$AD,AE$2,0)</f>
        <v>#N/A</v>
      </c>
      <c r="AF484" t="e">
        <f>VLOOKUP($Z484,'oddspedia-matches'!$A:$AD,AF$2,0)</f>
        <v>#N/A</v>
      </c>
      <c r="AG484" t="e">
        <f>VLOOKUP($Z484,'oddspedia-matches'!$A:$AD,AG$2,0)</f>
        <v>#N/A</v>
      </c>
      <c r="AH484" t="e">
        <f>VLOOKUP($Z484,'oddspedia-matches'!$A:$AD,AH$2,0)</f>
        <v>#N/A</v>
      </c>
      <c r="AI484" t="e">
        <f>VLOOKUP($Z484,'oddspedia-matches'!$A:$AD,AI$2,0)</f>
        <v>#N/A</v>
      </c>
      <c r="AJ484" t="e">
        <f>VLOOKUP($Z484,'oddspedia-matches'!$A:$AD,AJ$2,0)</f>
        <v>#N/A</v>
      </c>
      <c r="AK484" t="e">
        <f>VLOOKUP($Z484,'oddspedia-matches'!$A:$AD,AK$2,0)</f>
        <v>#N/A</v>
      </c>
      <c r="AL484" t="e">
        <f>VLOOKUP($Z484,'oddspedia-matches'!$A:$AD,AL$2,0)</f>
        <v>#N/A</v>
      </c>
      <c r="AM484" t="e">
        <f>VLOOKUP($Z484,'oddspedia-matches'!$A:$AD,AM$2,0)</f>
        <v>#N/A</v>
      </c>
      <c r="AN484" t="e">
        <f>VLOOKUP($Z484,'oddspedia-matches'!$A:$AD,AN$2,0)</f>
        <v>#N/A</v>
      </c>
      <c r="AO484" t="e">
        <f>VLOOKUP($Z484,'oddspedia-matches'!$A:$AD,AO$2,0)</f>
        <v>#N/A</v>
      </c>
      <c r="AP484" t="e">
        <f>VLOOKUP($Z484,'oddspedia-matches'!$A:$AD,AP$2,0)</f>
        <v>#N/A</v>
      </c>
      <c r="AQ484" t="e">
        <f>VLOOKUP($Z484,'oddspedia-matches'!$A:$AD,AQ$2,0)</f>
        <v>#N/A</v>
      </c>
    </row>
    <row r="485" spans="2:43" x14ac:dyDescent="0.2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>
        <f>VLOOKUP(E485,'Transform table'!A:B,2,0)</f>
        <v>0</v>
      </c>
      <c r="Y485" t="str">
        <f>VLOOKUP(F485,'Transform table'!A:B,2,0)</f>
        <v>New England Revolution II</v>
      </c>
      <c r="Z485" t="str">
        <f>C485&amp;X485&amp;Y485</f>
        <v>26/07/20260New England Revolution II</v>
      </c>
      <c r="AA485" t="e">
        <f>VLOOKUP($Z485,'oddspedia-matches'!$A:$AD,AA$2,0)</f>
        <v>#N/A</v>
      </c>
      <c r="AB485" t="e">
        <f>VLOOKUP($Z485,'oddspedia-matches'!$A:$AD,AB$2,0)</f>
        <v>#N/A</v>
      </c>
      <c r="AC485" t="e">
        <f>VLOOKUP($Z485,'oddspedia-matches'!$A:$AD,AC$2,0)</f>
        <v>#N/A</v>
      </c>
      <c r="AD485" t="e">
        <f>VLOOKUP($Z485,'oddspedia-matches'!$A:$AD,AD$2,0)</f>
        <v>#N/A</v>
      </c>
      <c r="AE485" t="e">
        <f>VLOOKUP($Z485,'oddspedia-matches'!$A:$AD,AE$2,0)</f>
        <v>#N/A</v>
      </c>
      <c r="AF485" t="e">
        <f>VLOOKUP($Z485,'oddspedia-matches'!$A:$AD,AF$2,0)</f>
        <v>#N/A</v>
      </c>
      <c r="AG485" t="e">
        <f>VLOOKUP($Z485,'oddspedia-matches'!$A:$AD,AG$2,0)</f>
        <v>#N/A</v>
      </c>
      <c r="AH485" t="e">
        <f>VLOOKUP($Z485,'oddspedia-matches'!$A:$AD,AH$2,0)</f>
        <v>#N/A</v>
      </c>
      <c r="AI485" t="e">
        <f>VLOOKUP($Z485,'oddspedia-matches'!$A:$AD,AI$2,0)</f>
        <v>#N/A</v>
      </c>
      <c r="AJ485" t="e">
        <f>VLOOKUP($Z485,'oddspedia-matches'!$A:$AD,AJ$2,0)</f>
        <v>#N/A</v>
      </c>
      <c r="AK485" t="e">
        <f>VLOOKUP($Z485,'oddspedia-matches'!$A:$AD,AK$2,0)</f>
        <v>#N/A</v>
      </c>
      <c r="AL485" t="e">
        <f>VLOOKUP($Z485,'oddspedia-matches'!$A:$AD,AL$2,0)</f>
        <v>#N/A</v>
      </c>
      <c r="AM485" t="e">
        <f>VLOOKUP($Z485,'oddspedia-matches'!$A:$AD,AM$2,0)</f>
        <v>#N/A</v>
      </c>
      <c r="AN485" t="e">
        <f>VLOOKUP($Z485,'oddspedia-matches'!$A:$AD,AN$2,0)</f>
        <v>#N/A</v>
      </c>
      <c r="AO485" t="e">
        <f>VLOOKUP($Z485,'oddspedia-matches'!$A:$AD,AO$2,0)</f>
        <v>#N/A</v>
      </c>
      <c r="AP485" t="e">
        <f>VLOOKUP($Z485,'oddspedia-matches'!$A:$AD,AP$2,0)</f>
        <v>#N/A</v>
      </c>
      <c r="AQ485" t="e">
        <f>VLOOKUP($Z485,'oddspedia-matches'!$A:$AD,AQ$2,0)</f>
        <v>#N/A</v>
      </c>
    </row>
    <row r="486" spans="2:43" x14ac:dyDescent="0.2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f>VLOOKUP(E486,'Transform table'!A:B,2,0)</f>
        <v>0</v>
      </c>
      <c r="Y486" t="e">
        <f>VLOOKUP(F486,'Transform table'!A:B,2,0)</f>
        <v>#N/A</v>
      </c>
      <c r="Z486" t="e">
        <f>C486&amp;X486&amp;Y486</f>
        <v>#N/A</v>
      </c>
      <c r="AA486" t="e">
        <f>VLOOKUP($Z486,'oddspedia-matches'!$A:$AD,AA$2,0)</f>
        <v>#N/A</v>
      </c>
      <c r="AB486" t="e">
        <f>VLOOKUP($Z486,'oddspedia-matches'!$A:$AD,AB$2,0)</f>
        <v>#N/A</v>
      </c>
      <c r="AC486" t="e">
        <f>VLOOKUP($Z486,'oddspedia-matches'!$A:$AD,AC$2,0)</f>
        <v>#N/A</v>
      </c>
      <c r="AD486" t="e">
        <f>VLOOKUP($Z486,'oddspedia-matches'!$A:$AD,AD$2,0)</f>
        <v>#N/A</v>
      </c>
      <c r="AE486" t="e">
        <f>VLOOKUP($Z486,'oddspedia-matches'!$A:$AD,AE$2,0)</f>
        <v>#N/A</v>
      </c>
      <c r="AF486" t="e">
        <f>VLOOKUP($Z486,'oddspedia-matches'!$A:$AD,AF$2,0)</f>
        <v>#N/A</v>
      </c>
      <c r="AG486" t="e">
        <f>VLOOKUP($Z486,'oddspedia-matches'!$A:$AD,AG$2,0)</f>
        <v>#N/A</v>
      </c>
      <c r="AH486" t="e">
        <f>VLOOKUP($Z486,'oddspedia-matches'!$A:$AD,AH$2,0)</f>
        <v>#N/A</v>
      </c>
      <c r="AI486" t="e">
        <f>VLOOKUP($Z486,'oddspedia-matches'!$A:$AD,AI$2,0)</f>
        <v>#N/A</v>
      </c>
      <c r="AJ486" t="e">
        <f>VLOOKUP($Z486,'oddspedia-matches'!$A:$AD,AJ$2,0)</f>
        <v>#N/A</v>
      </c>
      <c r="AK486" t="e">
        <f>VLOOKUP($Z486,'oddspedia-matches'!$A:$AD,AK$2,0)</f>
        <v>#N/A</v>
      </c>
      <c r="AL486" t="e">
        <f>VLOOKUP($Z486,'oddspedia-matches'!$A:$AD,AL$2,0)</f>
        <v>#N/A</v>
      </c>
      <c r="AM486" t="e">
        <f>VLOOKUP($Z486,'oddspedia-matches'!$A:$AD,AM$2,0)</f>
        <v>#N/A</v>
      </c>
      <c r="AN486" t="e">
        <f>VLOOKUP($Z486,'oddspedia-matches'!$A:$AD,AN$2,0)</f>
        <v>#N/A</v>
      </c>
      <c r="AO486" t="e">
        <f>VLOOKUP($Z486,'oddspedia-matches'!$A:$AD,AO$2,0)</f>
        <v>#N/A</v>
      </c>
      <c r="AP486" t="e">
        <f>VLOOKUP($Z486,'oddspedia-matches'!$A:$AD,AP$2,0)</f>
        <v>#N/A</v>
      </c>
      <c r="AQ486" t="e">
        <f>VLOOKUP($Z486,'oddspedia-matches'!$A:$AD,AQ$2,0)</f>
        <v>#N/A</v>
      </c>
    </row>
    <row r="487" spans="2:43" x14ac:dyDescent="0.2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>C487&amp;X487&amp;Y487</f>
        <v>26/07/2026PalmeirasAtletico Mineiro</v>
      </c>
      <c r="AA487" t="e">
        <f>VLOOKUP($Z487,'oddspedia-matches'!$A:$AD,AA$2,0)</f>
        <v>#N/A</v>
      </c>
      <c r="AB487" t="e">
        <f>VLOOKUP($Z487,'oddspedia-matches'!$A:$AD,AB$2,0)</f>
        <v>#N/A</v>
      </c>
      <c r="AC487" t="e">
        <f>VLOOKUP($Z487,'oddspedia-matches'!$A:$AD,AC$2,0)</f>
        <v>#N/A</v>
      </c>
      <c r="AD487" t="e">
        <f>VLOOKUP($Z487,'oddspedia-matches'!$A:$AD,AD$2,0)</f>
        <v>#N/A</v>
      </c>
      <c r="AE487" t="e">
        <f>VLOOKUP($Z487,'oddspedia-matches'!$A:$AD,AE$2,0)</f>
        <v>#N/A</v>
      </c>
      <c r="AF487" t="e">
        <f>VLOOKUP($Z487,'oddspedia-matches'!$A:$AD,AF$2,0)</f>
        <v>#N/A</v>
      </c>
      <c r="AG487" t="e">
        <f>VLOOKUP($Z487,'oddspedia-matches'!$A:$AD,AG$2,0)</f>
        <v>#N/A</v>
      </c>
      <c r="AH487" t="e">
        <f>VLOOKUP($Z487,'oddspedia-matches'!$A:$AD,AH$2,0)</f>
        <v>#N/A</v>
      </c>
      <c r="AI487" t="e">
        <f>VLOOKUP($Z487,'oddspedia-matches'!$A:$AD,AI$2,0)</f>
        <v>#N/A</v>
      </c>
      <c r="AJ487" t="e">
        <f>VLOOKUP($Z487,'oddspedia-matches'!$A:$AD,AJ$2,0)</f>
        <v>#N/A</v>
      </c>
      <c r="AK487" t="e">
        <f>VLOOKUP($Z487,'oddspedia-matches'!$A:$AD,AK$2,0)</f>
        <v>#N/A</v>
      </c>
      <c r="AL487" t="e">
        <f>VLOOKUP($Z487,'oddspedia-matches'!$A:$AD,AL$2,0)</f>
        <v>#N/A</v>
      </c>
      <c r="AM487" t="e">
        <f>VLOOKUP($Z487,'oddspedia-matches'!$A:$AD,AM$2,0)</f>
        <v>#N/A</v>
      </c>
      <c r="AN487" t="e">
        <f>VLOOKUP($Z487,'oddspedia-matches'!$A:$AD,AN$2,0)</f>
        <v>#N/A</v>
      </c>
      <c r="AO487" t="e">
        <f>VLOOKUP($Z487,'oddspedia-matches'!$A:$AD,AO$2,0)</f>
        <v>#N/A</v>
      </c>
      <c r="AP487" t="e">
        <f>VLOOKUP($Z487,'oddspedia-matches'!$A:$AD,AP$2,0)</f>
        <v>#N/A</v>
      </c>
      <c r="AQ487" t="e">
        <f>VLOOKUP($Z487,'oddspedia-matches'!$A:$AD,AQ$2,0)</f>
        <v>#N/A</v>
      </c>
    </row>
    <row r="488" spans="2:43" x14ac:dyDescent="0.2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>C488&amp;X488&amp;Y488</f>
        <v>26/07/2026Clube Do RemoVitoria BA</v>
      </c>
      <c r="AA488" t="e">
        <f>VLOOKUP($Z488,'oddspedia-matches'!$A:$AD,AA$2,0)</f>
        <v>#N/A</v>
      </c>
      <c r="AB488" t="e">
        <f>VLOOKUP($Z488,'oddspedia-matches'!$A:$AD,AB$2,0)</f>
        <v>#N/A</v>
      </c>
      <c r="AC488" t="e">
        <f>VLOOKUP($Z488,'oddspedia-matches'!$A:$AD,AC$2,0)</f>
        <v>#N/A</v>
      </c>
      <c r="AD488" t="e">
        <f>VLOOKUP($Z488,'oddspedia-matches'!$A:$AD,AD$2,0)</f>
        <v>#N/A</v>
      </c>
      <c r="AE488" t="e">
        <f>VLOOKUP($Z488,'oddspedia-matches'!$A:$AD,AE$2,0)</f>
        <v>#N/A</v>
      </c>
      <c r="AF488" t="e">
        <f>VLOOKUP($Z488,'oddspedia-matches'!$A:$AD,AF$2,0)</f>
        <v>#N/A</v>
      </c>
      <c r="AG488" t="e">
        <f>VLOOKUP($Z488,'oddspedia-matches'!$A:$AD,AG$2,0)</f>
        <v>#N/A</v>
      </c>
      <c r="AH488" t="e">
        <f>VLOOKUP($Z488,'oddspedia-matches'!$A:$AD,AH$2,0)</f>
        <v>#N/A</v>
      </c>
      <c r="AI488" t="e">
        <f>VLOOKUP($Z488,'oddspedia-matches'!$A:$AD,AI$2,0)</f>
        <v>#N/A</v>
      </c>
      <c r="AJ488" t="e">
        <f>VLOOKUP($Z488,'oddspedia-matches'!$A:$AD,AJ$2,0)</f>
        <v>#N/A</v>
      </c>
      <c r="AK488" t="e">
        <f>VLOOKUP($Z488,'oddspedia-matches'!$A:$AD,AK$2,0)</f>
        <v>#N/A</v>
      </c>
      <c r="AL488" t="e">
        <f>VLOOKUP($Z488,'oddspedia-matches'!$A:$AD,AL$2,0)</f>
        <v>#N/A</v>
      </c>
      <c r="AM488" t="e">
        <f>VLOOKUP($Z488,'oddspedia-matches'!$A:$AD,AM$2,0)</f>
        <v>#N/A</v>
      </c>
      <c r="AN488" t="e">
        <f>VLOOKUP($Z488,'oddspedia-matches'!$A:$AD,AN$2,0)</f>
        <v>#N/A</v>
      </c>
      <c r="AO488" t="e">
        <f>VLOOKUP($Z488,'oddspedia-matches'!$A:$AD,AO$2,0)</f>
        <v>#N/A</v>
      </c>
      <c r="AP488" t="e">
        <f>VLOOKUP($Z488,'oddspedia-matches'!$A:$AD,AP$2,0)</f>
        <v>#N/A</v>
      </c>
      <c r="AQ488" t="e">
        <f>VLOOKUP($Z488,'oddspedia-matches'!$A:$AD,AQ$2,0)</f>
        <v>#N/A</v>
      </c>
    </row>
    <row r="489" spans="2:43" x14ac:dyDescent="0.2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f>VLOOKUP(E489,'Transform table'!A:B,2,0)</f>
        <v>0</v>
      </c>
      <c r="Y489" t="e">
        <f>VLOOKUP(F489,'Transform table'!A:B,2,0)</f>
        <v>#N/A</v>
      </c>
      <c r="Z489" t="e">
        <f>C489&amp;X489&amp;Y489</f>
        <v>#N/A</v>
      </c>
      <c r="AA489" t="e">
        <f>VLOOKUP($Z489,'oddspedia-matches'!$A:$AD,AA$2,0)</f>
        <v>#N/A</v>
      </c>
      <c r="AB489" t="e">
        <f>VLOOKUP($Z489,'oddspedia-matches'!$A:$AD,AB$2,0)</f>
        <v>#N/A</v>
      </c>
      <c r="AC489" t="e">
        <f>VLOOKUP($Z489,'oddspedia-matches'!$A:$AD,AC$2,0)</f>
        <v>#N/A</v>
      </c>
      <c r="AD489" t="e">
        <f>VLOOKUP($Z489,'oddspedia-matches'!$A:$AD,AD$2,0)</f>
        <v>#N/A</v>
      </c>
      <c r="AE489" t="e">
        <f>VLOOKUP($Z489,'oddspedia-matches'!$A:$AD,AE$2,0)</f>
        <v>#N/A</v>
      </c>
      <c r="AF489" t="e">
        <f>VLOOKUP($Z489,'oddspedia-matches'!$A:$AD,AF$2,0)</f>
        <v>#N/A</v>
      </c>
      <c r="AG489" t="e">
        <f>VLOOKUP($Z489,'oddspedia-matches'!$A:$AD,AG$2,0)</f>
        <v>#N/A</v>
      </c>
      <c r="AH489" t="e">
        <f>VLOOKUP($Z489,'oddspedia-matches'!$A:$AD,AH$2,0)</f>
        <v>#N/A</v>
      </c>
      <c r="AI489" t="e">
        <f>VLOOKUP($Z489,'oddspedia-matches'!$A:$AD,AI$2,0)</f>
        <v>#N/A</v>
      </c>
      <c r="AJ489" t="e">
        <f>VLOOKUP($Z489,'oddspedia-matches'!$A:$AD,AJ$2,0)</f>
        <v>#N/A</v>
      </c>
      <c r="AK489" t="e">
        <f>VLOOKUP($Z489,'oddspedia-matches'!$A:$AD,AK$2,0)</f>
        <v>#N/A</v>
      </c>
      <c r="AL489" t="e">
        <f>VLOOKUP($Z489,'oddspedia-matches'!$A:$AD,AL$2,0)</f>
        <v>#N/A</v>
      </c>
      <c r="AM489" t="e">
        <f>VLOOKUP($Z489,'oddspedia-matches'!$A:$AD,AM$2,0)</f>
        <v>#N/A</v>
      </c>
      <c r="AN489" t="e">
        <f>VLOOKUP($Z489,'oddspedia-matches'!$A:$AD,AN$2,0)</f>
        <v>#N/A</v>
      </c>
      <c r="AO489" t="e">
        <f>VLOOKUP($Z489,'oddspedia-matches'!$A:$AD,AO$2,0)</f>
        <v>#N/A</v>
      </c>
      <c r="AP489" t="e">
        <f>VLOOKUP($Z489,'oddspedia-matches'!$A:$AD,AP$2,0)</f>
        <v>#N/A</v>
      </c>
      <c r="AQ489" t="e">
        <f>VLOOKUP($Z489,'oddspedia-matches'!$A:$AD,AQ$2,0)</f>
        <v>#N/A</v>
      </c>
    </row>
    <row r="490" spans="2:43" x14ac:dyDescent="0.2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>
        <f>VLOOKUP(E490,'Transform table'!A:B,2,0)</f>
        <v>0</v>
      </c>
      <c r="Y490" t="str">
        <f>VLOOKUP(F490,'Transform table'!A:B,2,0)</f>
        <v>Austin FC II</v>
      </c>
      <c r="Z490" t="str">
        <f>C490&amp;X490&amp;Y490</f>
        <v>26/07/20260Austin FC II</v>
      </c>
      <c r="AA490" t="e">
        <f>VLOOKUP($Z490,'oddspedia-matches'!$A:$AD,AA$2,0)</f>
        <v>#N/A</v>
      </c>
      <c r="AB490" t="e">
        <f>VLOOKUP($Z490,'oddspedia-matches'!$A:$AD,AB$2,0)</f>
        <v>#N/A</v>
      </c>
      <c r="AC490" t="e">
        <f>VLOOKUP($Z490,'oddspedia-matches'!$A:$AD,AC$2,0)</f>
        <v>#N/A</v>
      </c>
      <c r="AD490" t="e">
        <f>VLOOKUP($Z490,'oddspedia-matches'!$A:$AD,AD$2,0)</f>
        <v>#N/A</v>
      </c>
      <c r="AE490" t="e">
        <f>VLOOKUP($Z490,'oddspedia-matches'!$A:$AD,AE$2,0)</f>
        <v>#N/A</v>
      </c>
      <c r="AF490" t="e">
        <f>VLOOKUP($Z490,'oddspedia-matches'!$A:$AD,AF$2,0)</f>
        <v>#N/A</v>
      </c>
      <c r="AG490" t="e">
        <f>VLOOKUP($Z490,'oddspedia-matches'!$A:$AD,AG$2,0)</f>
        <v>#N/A</v>
      </c>
      <c r="AH490" t="e">
        <f>VLOOKUP($Z490,'oddspedia-matches'!$A:$AD,AH$2,0)</f>
        <v>#N/A</v>
      </c>
      <c r="AI490" t="e">
        <f>VLOOKUP($Z490,'oddspedia-matches'!$A:$AD,AI$2,0)</f>
        <v>#N/A</v>
      </c>
      <c r="AJ490" t="e">
        <f>VLOOKUP($Z490,'oddspedia-matches'!$A:$AD,AJ$2,0)</f>
        <v>#N/A</v>
      </c>
      <c r="AK490" t="e">
        <f>VLOOKUP($Z490,'oddspedia-matches'!$A:$AD,AK$2,0)</f>
        <v>#N/A</v>
      </c>
      <c r="AL490" t="e">
        <f>VLOOKUP($Z490,'oddspedia-matches'!$A:$AD,AL$2,0)</f>
        <v>#N/A</v>
      </c>
      <c r="AM490" t="e">
        <f>VLOOKUP($Z490,'oddspedia-matches'!$A:$AD,AM$2,0)</f>
        <v>#N/A</v>
      </c>
      <c r="AN490" t="e">
        <f>VLOOKUP($Z490,'oddspedia-matches'!$A:$AD,AN$2,0)</f>
        <v>#N/A</v>
      </c>
      <c r="AO490" t="e">
        <f>VLOOKUP($Z490,'oddspedia-matches'!$A:$AD,AO$2,0)</f>
        <v>#N/A</v>
      </c>
      <c r="AP490" t="e">
        <f>VLOOKUP($Z490,'oddspedia-matches'!$A:$AD,AP$2,0)</f>
        <v>#N/A</v>
      </c>
      <c r="AQ490" t="e">
        <f>VLOOKUP($Z490,'oddspedia-matches'!$A:$AD,AQ$2,0)</f>
        <v>#N/A</v>
      </c>
    </row>
    <row r="491" spans="2:43" x14ac:dyDescent="0.2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f>VLOOKUP(E491,'Transform table'!A:B,2,0)</f>
        <v>0</v>
      </c>
      <c r="Y491" t="e">
        <f>VLOOKUP(F491,'Transform table'!A:B,2,0)</f>
        <v>#N/A</v>
      </c>
      <c r="Z491" t="e">
        <f>C491&amp;X491&amp;Y491</f>
        <v>#N/A</v>
      </c>
      <c r="AA491" t="e">
        <f>VLOOKUP($Z491,'oddspedia-matches'!$A:$AD,AA$2,0)</f>
        <v>#N/A</v>
      </c>
      <c r="AB491" t="e">
        <f>VLOOKUP($Z491,'oddspedia-matches'!$A:$AD,AB$2,0)</f>
        <v>#N/A</v>
      </c>
      <c r="AC491" t="e">
        <f>VLOOKUP($Z491,'oddspedia-matches'!$A:$AD,AC$2,0)</f>
        <v>#N/A</v>
      </c>
      <c r="AD491" t="e">
        <f>VLOOKUP($Z491,'oddspedia-matches'!$A:$AD,AD$2,0)</f>
        <v>#N/A</v>
      </c>
      <c r="AE491" t="e">
        <f>VLOOKUP($Z491,'oddspedia-matches'!$A:$AD,AE$2,0)</f>
        <v>#N/A</v>
      </c>
      <c r="AF491" t="e">
        <f>VLOOKUP($Z491,'oddspedia-matches'!$A:$AD,AF$2,0)</f>
        <v>#N/A</v>
      </c>
      <c r="AG491" t="e">
        <f>VLOOKUP($Z491,'oddspedia-matches'!$A:$AD,AG$2,0)</f>
        <v>#N/A</v>
      </c>
      <c r="AH491" t="e">
        <f>VLOOKUP($Z491,'oddspedia-matches'!$A:$AD,AH$2,0)</f>
        <v>#N/A</v>
      </c>
      <c r="AI491" t="e">
        <f>VLOOKUP($Z491,'oddspedia-matches'!$A:$AD,AI$2,0)</f>
        <v>#N/A</v>
      </c>
      <c r="AJ491" t="e">
        <f>VLOOKUP($Z491,'oddspedia-matches'!$A:$AD,AJ$2,0)</f>
        <v>#N/A</v>
      </c>
      <c r="AK491" t="e">
        <f>VLOOKUP($Z491,'oddspedia-matches'!$A:$AD,AK$2,0)</f>
        <v>#N/A</v>
      </c>
      <c r="AL491" t="e">
        <f>VLOOKUP($Z491,'oddspedia-matches'!$A:$AD,AL$2,0)</f>
        <v>#N/A</v>
      </c>
      <c r="AM491" t="e">
        <f>VLOOKUP($Z491,'oddspedia-matches'!$A:$AD,AM$2,0)</f>
        <v>#N/A</v>
      </c>
      <c r="AN491" t="e">
        <f>VLOOKUP($Z491,'oddspedia-matches'!$A:$AD,AN$2,0)</f>
        <v>#N/A</v>
      </c>
      <c r="AO491" t="e">
        <f>VLOOKUP($Z491,'oddspedia-matches'!$A:$AD,AO$2,0)</f>
        <v>#N/A</v>
      </c>
      <c r="AP491" t="e">
        <f>VLOOKUP($Z491,'oddspedia-matches'!$A:$AD,AP$2,0)</f>
        <v>#N/A</v>
      </c>
      <c r="AQ491" t="e">
        <f>VLOOKUP($Z491,'oddspedia-matches'!$A:$AD,AQ$2,0)</f>
        <v>#N/A</v>
      </c>
    </row>
    <row r="492" spans="2:43" x14ac:dyDescent="0.2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>
        <f>VLOOKUP(E492,'Transform table'!A:B,2,0)</f>
        <v>0</v>
      </c>
      <c r="Y492" t="str">
        <f>VLOOKUP(F492,'Transform table'!A:B,2,0)</f>
        <v>Vancouver Whitecaps II</v>
      </c>
      <c r="Z492" t="str">
        <f>C492&amp;X492&amp;Y492</f>
        <v>26/07/20260Vancouver Whitecaps II</v>
      </c>
      <c r="AA492" t="e">
        <f>VLOOKUP($Z492,'oddspedia-matches'!$A:$AD,AA$2,0)</f>
        <v>#N/A</v>
      </c>
      <c r="AB492" t="e">
        <f>VLOOKUP($Z492,'oddspedia-matches'!$A:$AD,AB$2,0)</f>
        <v>#N/A</v>
      </c>
      <c r="AC492" t="e">
        <f>VLOOKUP($Z492,'oddspedia-matches'!$A:$AD,AC$2,0)</f>
        <v>#N/A</v>
      </c>
      <c r="AD492" t="e">
        <f>VLOOKUP($Z492,'oddspedia-matches'!$A:$AD,AD$2,0)</f>
        <v>#N/A</v>
      </c>
      <c r="AE492" t="e">
        <f>VLOOKUP($Z492,'oddspedia-matches'!$A:$AD,AE$2,0)</f>
        <v>#N/A</v>
      </c>
      <c r="AF492" t="e">
        <f>VLOOKUP($Z492,'oddspedia-matches'!$A:$AD,AF$2,0)</f>
        <v>#N/A</v>
      </c>
      <c r="AG492" t="e">
        <f>VLOOKUP($Z492,'oddspedia-matches'!$A:$AD,AG$2,0)</f>
        <v>#N/A</v>
      </c>
      <c r="AH492" t="e">
        <f>VLOOKUP($Z492,'oddspedia-matches'!$A:$AD,AH$2,0)</f>
        <v>#N/A</v>
      </c>
      <c r="AI492" t="e">
        <f>VLOOKUP($Z492,'oddspedia-matches'!$A:$AD,AI$2,0)</f>
        <v>#N/A</v>
      </c>
      <c r="AJ492" t="e">
        <f>VLOOKUP($Z492,'oddspedia-matches'!$A:$AD,AJ$2,0)</f>
        <v>#N/A</v>
      </c>
      <c r="AK492" t="e">
        <f>VLOOKUP($Z492,'oddspedia-matches'!$A:$AD,AK$2,0)</f>
        <v>#N/A</v>
      </c>
      <c r="AL492" t="e">
        <f>VLOOKUP($Z492,'oddspedia-matches'!$A:$AD,AL$2,0)</f>
        <v>#N/A</v>
      </c>
      <c r="AM492" t="e">
        <f>VLOOKUP($Z492,'oddspedia-matches'!$A:$AD,AM$2,0)</f>
        <v>#N/A</v>
      </c>
      <c r="AN492" t="e">
        <f>VLOOKUP($Z492,'oddspedia-matches'!$A:$AD,AN$2,0)</f>
        <v>#N/A</v>
      </c>
      <c r="AO492" t="e">
        <f>VLOOKUP($Z492,'oddspedia-matches'!$A:$AD,AO$2,0)</f>
        <v>#N/A</v>
      </c>
      <c r="AP492" t="e">
        <f>VLOOKUP($Z492,'oddspedia-matches'!$A:$AD,AP$2,0)</f>
        <v>#N/A</v>
      </c>
      <c r="AQ492" t="e">
        <f>VLOOKUP($Z492,'oddspedia-matches'!$A:$AD,AQ$2,0)</f>
        <v>#N/A</v>
      </c>
    </row>
    <row r="493" spans="2:43" x14ac:dyDescent="0.2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NK Krka</v>
      </c>
      <c r="Y493" t="e">
        <f>VLOOKUP(F493,'Transform table'!A:B,2,0)</f>
        <v>#N/A</v>
      </c>
      <c r="Z493" t="e">
        <f>C493&amp;X493&amp;Y493</f>
        <v>#N/A</v>
      </c>
      <c r="AA493" t="e">
        <f>VLOOKUP($Z493,'oddspedia-matches'!$A:$AD,AA$2,0)</f>
        <v>#N/A</v>
      </c>
      <c r="AB493" t="e">
        <f>VLOOKUP($Z493,'oddspedia-matches'!$A:$AD,AB$2,0)</f>
        <v>#N/A</v>
      </c>
      <c r="AC493" t="e">
        <f>VLOOKUP($Z493,'oddspedia-matches'!$A:$AD,AC$2,0)</f>
        <v>#N/A</v>
      </c>
      <c r="AD493" t="e">
        <f>VLOOKUP($Z493,'oddspedia-matches'!$A:$AD,AD$2,0)</f>
        <v>#N/A</v>
      </c>
      <c r="AE493" t="e">
        <f>VLOOKUP($Z493,'oddspedia-matches'!$A:$AD,AE$2,0)</f>
        <v>#N/A</v>
      </c>
      <c r="AF493" t="e">
        <f>VLOOKUP($Z493,'oddspedia-matches'!$A:$AD,AF$2,0)</f>
        <v>#N/A</v>
      </c>
      <c r="AG493" t="e">
        <f>VLOOKUP($Z493,'oddspedia-matches'!$A:$AD,AG$2,0)</f>
        <v>#N/A</v>
      </c>
      <c r="AH493" t="e">
        <f>VLOOKUP($Z493,'oddspedia-matches'!$A:$AD,AH$2,0)</f>
        <v>#N/A</v>
      </c>
      <c r="AI493" t="e">
        <f>VLOOKUP($Z493,'oddspedia-matches'!$A:$AD,AI$2,0)</f>
        <v>#N/A</v>
      </c>
      <c r="AJ493" t="e">
        <f>VLOOKUP($Z493,'oddspedia-matches'!$A:$AD,AJ$2,0)</f>
        <v>#N/A</v>
      </c>
      <c r="AK493" t="e">
        <f>VLOOKUP($Z493,'oddspedia-matches'!$A:$AD,AK$2,0)</f>
        <v>#N/A</v>
      </c>
      <c r="AL493" t="e">
        <f>VLOOKUP($Z493,'oddspedia-matches'!$A:$AD,AL$2,0)</f>
        <v>#N/A</v>
      </c>
      <c r="AM493" t="e">
        <f>VLOOKUP($Z493,'oddspedia-matches'!$A:$AD,AM$2,0)</f>
        <v>#N/A</v>
      </c>
      <c r="AN493" t="e">
        <f>VLOOKUP($Z493,'oddspedia-matches'!$A:$AD,AN$2,0)</f>
        <v>#N/A</v>
      </c>
      <c r="AO493" t="e">
        <f>VLOOKUP($Z493,'oddspedia-matches'!$A:$AD,AO$2,0)</f>
        <v>#N/A</v>
      </c>
      <c r="AP493" t="e">
        <f>VLOOKUP($Z493,'oddspedia-matches'!$A:$AD,AP$2,0)</f>
        <v>#N/A</v>
      </c>
      <c r="AQ493" t="e">
        <f>VLOOKUP($Z493,'oddspedia-matches'!$A:$AD,AQ$2,0)</f>
        <v>#N/A</v>
      </c>
    </row>
    <row r="494" spans="2:43" x14ac:dyDescent="0.2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f>VLOOKUP(E494,'Transform table'!A:B,2,0)</f>
        <v>0</v>
      </c>
      <c r="Y494" t="str">
        <f>VLOOKUP(F494,'Transform table'!A:B,2,0)</f>
        <v>Fortaleza EC</v>
      </c>
      <c r="Z494" t="str">
        <f>C494&amp;X494&amp;Y494</f>
        <v>26/07/20260Fortaleza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x14ac:dyDescent="0.2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f>VLOOKUP(E495,'Transform table'!A:B,2,0)</f>
        <v>0</v>
      </c>
      <c r="Y495" t="e">
        <f>VLOOKUP(F495,'Transform table'!A:B,2,0)</f>
        <v>#N/A</v>
      </c>
      <c r="Z495" t="e">
        <f>C495&amp;X495&amp;Y495</f>
        <v>#N/A</v>
      </c>
      <c r="AA495" t="e">
        <f>VLOOKUP($Z495,'oddspedia-matches'!$A:$AD,AA$2,0)</f>
        <v>#N/A</v>
      </c>
      <c r="AB495" t="e">
        <f>VLOOKUP($Z495,'oddspedia-matches'!$A:$AD,AB$2,0)</f>
        <v>#N/A</v>
      </c>
      <c r="AC495" t="e">
        <f>VLOOKUP($Z495,'oddspedia-matches'!$A:$AD,AC$2,0)</f>
        <v>#N/A</v>
      </c>
      <c r="AD495" t="e">
        <f>VLOOKUP($Z495,'oddspedia-matches'!$A:$AD,AD$2,0)</f>
        <v>#N/A</v>
      </c>
      <c r="AE495" t="e">
        <f>VLOOKUP($Z495,'oddspedia-matches'!$A:$AD,AE$2,0)</f>
        <v>#N/A</v>
      </c>
      <c r="AF495" t="e">
        <f>VLOOKUP($Z495,'oddspedia-matches'!$A:$AD,AF$2,0)</f>
        <v>#N/A</v>
      </c>
      <c r="AG495" t="e">
        <f>VLOOKUP($Z495,'oddspedia-matches'!$A:$AD,AG$2,0)</f>
        <v>#N/A</v>
      </c>
      <c r="AH495" t="e">
        <f>VLOOKUP($Z495,'oddspedia-matches'!$A:$AD,AH$2,0)</f>
        <v>#N/A</v>
      </c>
      <c r="AI495" t="e">
        <f>VLOOKUP($Z495,'oddspedia-matches'!$A:$AD,AI$2,0)</f>
        <v>#N/A</v>
      </c>
      <c r="AJ495" t="e">
        <f>VLOOKUP($Z495,'oddspedia-matches'!$A:$AD,AJ$2,0)</f>
        <v>#N/A</v>
      </c>
      <c r="AK495" t="e">
        <f>VLOOKUP($Z495,'oddspedia-matches'!$A:$AD,AK$2,0)</f>
        <v>#N/A</v>
      </c>
      <c r="AL495" t="e">
        <f>VLOOKUP($Z495,'oddspedia-matches'!$A:$AD,AL$2,0)</f>
        <v>#N/A</v>
      </c>
      <c r="AM495" t="e">
        <f>VLOOKUP($Z495,'oddspedia-matches'!$A:$AD,AM$2,0)</f>
        <v>#N/A</v>
      </c>
      <c r="AN495" t="e">
        <f>VLOOKUP($Z495,'oddspedia-matches'!$A:$AD,AN$2,0)</f>
        <v>#N/A</v>
      </c>
      <c r="AO495" t="e">
        <f>VLOOKUP($Z495,'oddspedia-matches'!$A:$AD,AO$2,0)</f>
        <v>#N/A</v>
      </c>
      <c r="AP495" t="e">
        <f>VLOOKUP($Z495,'oddspedia-matches'!$A:$AD,AP$2,0)</f>
        <v>#N/A</v>
      </c>
      <c r="AQ495" t="e">
        <f>VLOOKUP($Z495,'oddspedia-matches'!$A:$AD,AQ$2,0)</f>
        <v>#N/A</v>
      </c>
    </row>
    <row r="496" spans="2:43" x14ac:dyDescent="0.2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Blumenau</v>
      </c>
      <c r="Y496" t="e">
        <f>VLOOKUP(F496,'Transform table'!A:B,2,0)</f>
        <v>#N/A</v>
      </c>
      <c r="Z496" t="e">
        <f>C496&amp;X496&amp;Y496</f>
        <v>#N/A</v>
      </c>
      <c r="AA496" t="e">
        <f>VLOOKUP($Z496,'oddspedia-matches'!$A:$AD,AA$2,0)</f>
        <v>#N/A</v>
      </c>
      <c r="AB496" t="e">
        <f>VLOOKUP($Z496,'oddspedia-matches'!$A:$AD,AB$2,0)</f>
        <v>#N/A</v>
      </c>
      <c r="AC496" t="e">
        <f>VLOOKUP($Z496,'oddspedia-matches'!$A:$AD,AC$2,0)</f>
        <v>#N/A</v>
      </c>
      <c r="AD496" t="e">
        <f>VLOOKUP($Z496,'oddspedia-matches'!$A:$AD,AD$2,0)</f>
        <v>#N/A</v>
      </c>
      <c r="AE496" t="e">
        <f>VLOOKUP($Z496,'oddspedia-matches'!$A:$AD,AE$2,0)</f>
        <v>#N/A</v>
      </c>
      <c r="AF496" t="e">
        <f>VLOOKUP($Z496,'oddspedia-matches'!$A:$AD,AF$2,0)</f>
        <v>#N/A</v>
      </c>
      <c r="AG496" t="e">
        <f>VLOOKUP($Z496,'oddspedia-matches'!$A:$AD,AG$2,0)</f>
        <v>#N/A</v>
      </c>
      <c r="AH496" t="e">
        <f>VLOOKUP($Z496,'oddspedia-matches'!$A:$AD,AH$2,0)</f>
        <v>#N/A</v>
      </c>
      <c r="AI496" t="e">
        <f>VLOOKUP($Z496,'oddspedia-matches'!$A:$AD,AI$2,0)</f>
        <v>#N/A</v>
      </c>
      <c r="AJ496" t="e">
        <f>VLOOKUP($Z496,'oddspedia-matches'!$A:$AD,AJ$2,0)</f>
        <v>#N/A</v>
      </c>
      <c r="AK496" t="e">
        <f>VLOOKUP($Z496,'oddspedia-matches'!$A:$AD,AK$2,0)</f>
        <v>#N/A</v>
      </c>
      <c r="AL496" t="e">
        <f>VLOOKUP($Z496,'oddspedia-matches'!$A:$AD,AL$2,0)</f>
        <v>#N/A</v>
      </c>
      <c r="AM496" t="e">
        <f>VLOOKUP($Z496,'oddspedia-matches'!$A:$AD,AM$2,0)</f>
        <v>#N/A</v>
      </c>
      <c r="AN496" t="e">
        <f>VLOOKUP($Z496,'oddspedia-matches'!$A:$AD,AN$2,0)</f>
        <v>#N/A</v>
      </c>
      <c r="AO496" t="e">
        <f>VLOOKUP($Z496,'oddspedia-matches'!$A:$AD,AO$2,0)</f>
        <v>#N/A</v>
      </c>
      <c r="AP496" t="e">
        <f>VLOOKUP($Z496,'oddspedia-matches'!$A:$AD,AP$2,0)</f>
        <v>#N/A</v>
      </c>
      <c r="AQ496" t="e">
        <f>VLOOKUP($Z496,'oddspedia-matches'!$A:$AD,AQ$2,0)</f>
        <v>#N/A</v>
      </c>
    </row>
    <row r="497" spans="2:43" x14ac:dyDescent="0.2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Amiens</v>
      </c>
      <c r="Y497" t="e">
        <f>VLOOKUP(F497,'Transform table'!A:B,2,0)</f>
        <v>#N/A</v>
      </c>
      <c r="Z497" t="e">
        <f>C497&amp;X497&amp;Y497</f>
        <v>#N/A</v>
      </c>
      <c r="AA497" t="e">
        <f>VLOOKUP($Z497,'oddspedia-matches'!$A:$AD,AA$2,0)</f>
        <v>#N/A</v>
      </c>
      <c r="AB497" t="e">
        <f>VLOOKUP($Z497,'oddspedia-matches'!$A:$AD,AB$2,0)</f>
        <v>#N/A</v>
      </c>
      <c r="AC497" t="e">
        <f>VLOOKUP($Z497,'oddspedia-matches'!$A:$AD,AC$2,0)</f>
        <v>#N/A</v>
      </c>
      <c r="AD497" t="e">
        <f>VLOOKUP($Z497,'oddspedia-matches'!$A:$AD,AD$2,0)</f>
        <v>#N/A</v>
      </c>
      <c r="AE497" t="e">
        <f>VLOOKUP($Z497,'oddspedia-matches'!$A:$AD,AE$2,0)</f>
        <v>#N/A</v>
      </c>
      <c r="AF497" t="e">
        <f>VLOOKUP($Z497,'oddspedia-matches'!$A:$AD,AF$2,0)</f>
        <v>#N/A</v>
      </c>
      <c r="AG497" t="e">
        <f>VLOOKUP($Z497,'oddspedia-matches'!$A:$AD,AG$2,0)</f>
        <v>#N/A</v>
      </c>
      <c r="AH497" t="e">
        <f>VLOOKUP($Z497,'oddspedia-matches'!$A:$AD,AH$2,0)</f>
        <v>#N/A</v>
      </c>
      <c r="AI497" t="e">
        <f>VLOOKUP($Z497,'oddspedia-matches'!$A:$AD,AI$2,0)</f>
        <v>#N/A</v>
      </c>
      <c r="AJ497" t="e">
        <f>VLOOKUP($Z497,'oddspedia-matches'!$A:$AD,AJ$2,0)</f>
        <v>#N/A</v>
      </c>
      <c r="AK497" t="e">
        <f>VLOOKUP($Z497,'oddspedia-matches'!$A:$AD,AK$2,0)</f>
        <v>#N/A</v>
      </c>
      <c r="AL497" t="e">
        <f>VLOOKUP($Z497,'oddspedia-matches'!$A:$AD,AL$2,0)</f>
        <v>#N/A</v>
      </c>
      <c r="AM497" t="e">
        <f>VLOOKUP($Z497,'oddspedia-matches'!$A:$AD,AM$2,0)</f>
        <v>#N/A</v>
      </c>
      <c r="AN497" t="e">
        <f>VLOOKUP($Z497,'oddspedia-matches'!$A:$AD,AN$2,0)</f>
        <v>#N/A</v>
      </c>
      <c r="AO497" t="e">
        <f>VLOOKUP($Z497,'oddspedia-matches'!$A:$AD,AO$2,0)</f>
        <v>#N/A</v>
      </c>
      <c r="AP497" t="e">
        <f>VLOOKUP($Z497,'oddspedia-matches'!$A:$AD,AP$2,0)</f>
        <v>#N/A</v>
      </c>
      <c r="AQ497" t="e">
        <f>VLOOKUP($Z497,'oddspedia-matches'!$A:$AD,AQ$2,0)</f>
        <v>#N/A</v>
      </c>
    </row>
    <row r="498" spans="2:43" x14ac:dyDescent="0.2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tr">
        <f>VLOOKUP(E498,'Transform table'!A:B,2,0)</f>
        <v>Manica Diamonds</v>
      </c>
      <c r="Y498" t="e">
        <f>VLOOKUP(F498,'Transform table'!A:B,2,0)</f>
        <v>#N/A</v>
      </c>
      <c r="Z498" t="e">
        <f>C498&amp;X498&amp;Y498</f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x14ac:dyDescent="0.2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Capiata</v>
      </c>
      <c r="Y499" t="e">
        <f>VLOOKUP(F499,'Transform table'!A:B,2,0)</f>
        <v>#N/A</v>
      </c>
      <c r="Z499" t="e">
        <f>C499&amp;X499&amp;Y499</f>
        <v>#N/A</v>
      </c>
      <c r="AA499" t="e">
        <f>VLOOKUP($Z499,'oddspedia-matches'!$A:$AD,AA$2,0)</f>
        <v>#N/A</v>
      </c>
      <c r="AB499" t="e">
        <f>VLOOKUP($Z499,'oddspedia-matches'!$A:$AD,AB$2,0)</f>
        <v>#N/A</v>
      </c>
      <c r="AC499" t="e">
        <f>VLOOKUP($Z499,'oddspedia-matches'!$A:$AD,AC$2,0)</f>
        <v>#N/A</v>
      </c>
      <c r="AD499" t="e">
        <f>VLOOKUP($Z499,'oddspedia-matches'!$A:$AD,AD$2,0)</f>
        <v>#N/A</v>
      </c>
      <c r="AE499" t="e">
        <f>VLOOKUP($Z499,'oddspedia-matches'!$A:$AD,AE$2,0)</f>
        <v>#N/A</v>
      </c>
      <c r="AF499" t="e">
        <f>VLOOKUP($Z499,'oddspedia-matches'!$A:$AD,AF$2,0)</f>
        <v>#N/A</v>
      </c>
      <c r="AG499" t="e">
        <f>VLOOKUP($Z499,'oddspedia-matches'!$A:$AD,AG$2,0)</f>
        <v>#N/A</v>
      </c>
      <c r="AH499" t="e">
        <f>VLOOKUP($Z499,'oddspedia-matches'!$A:$AD,AH$2,0)</f>
        <v>#N/A</v>
      </c>
      <c r="AI499" t="e">
        <f>VLOOKUP($Z499,'oddspedia-matches'!$A:$AD,AI$2,0)</f>
        <v>#N/A</v>
      </c>
      <c r="AJ499" t="e">
        <f>VLOOKUP($Z499,'oddspedia-matches'!$A:$AD,AJ$2,0)</f>
        <v>#N/A</v>
      </c>
      <c r="AK499" t="e">
        <f>VLOOKUP($Z499,'oddspedia-matches'!$A:$AD,AK$2,0)</f>
        <v>#N/A</v>
      </c>
      <c r="AL499" t="e">
        <f>VLOOKUP($Z499,'oddspedia-matches'!$A:$AD,AL$2,0)</f>
        <v>#N/A</v>
      </c>
      <c r="AM499" t="e">
        <f>VLOOKUP($Z499,'oddspedia-matches'!$A:$AD,AM$2,0)</f>
        <v>#N/A</v>
      </c>
      <c r="AN499" t="e">
        <f>VLOOKUP($Z499,'oddspedia-matches'!$A:$AD,AN$2,0)</f>
        <v>#N/A</v>
      </c>
      <c r="AO499" t="e">
        <f>VLOOKUP($Z499,'oddspedia-matches'!$A:$AD,AO$2,0)</f>
        <v>#N/A</v>
      </c>
      <c r="AP499" t="e">
        <f>VLOOKUP($Z499,'oddspedia-matches'!$A:$AD,AP$2,0)</f>
        <v>#N/A</v>
      </c>
      <c r="AQ499" t="e">
        <f>VLOOKUP($Z499,'oddspedia-matches'!$A:$AD,AQ$2,0)</f>
        <v>#N/A</v>
      </c>
    </row>
    <row r="500" spans="2:43" x14ac:dyDescent="0.2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Concarneau</v>
      </c>
      <c r="Y500" t="e">
        <f>VLOOKUP(F500,'Transform table'!A:B,2,0)</f>
        <v>#N/A</v>
      </c>
      <c r="Z500" t="e">
        <f>C500&amp;X500&amp;Y500</f>
        <v>#N/A</v>
      </c>
      <c r="AA500" t="e">
        <f>VLOOKUP($Z500,'oddspedia-matches'!$A:$AD,AA$2,0)</f>
        <v>#N/A</v>
      </c>
      <c r="AB500" t="e">
        <f>VLOOKUP($Z500,'oddspedia-matches'!$A:$AD,AB$2,0)</f>
        <v>#N/A</v>
      </c>
      <c r="AC500" t="e">
        <f>VLOOKUP($Z500,'oddspedia-matches'!$A:$AD,AC$2,0)</f>
        <v>#N/A</v>
      </c>
      <c r="AD500" t="e">
        <f>VLOOKUP($Z500,'oddspedia-matches'!$A:$AD,AD$2,0)</f>
        <v>#N/A</v>
      </c>
      <c r="AE500" t="e">
        <f>VLOOKUP($Z500,'oddspedia-matches'!$A:$AD,AE$2,0)</f>
        <v>#N/A</v>
      </c>
      <c r="AF500" t="e">
        <f>VLOOKUP($Z500,'oddspedia-matches'!$A:$AD,AF$2,0)</f>
        <v>#N/A</v>
      </c>
      <c r="AG500" t="e">
        <f>VLOOKUP($Z500,'oddspedia-matches'!$A:$AD,AG$2,0)</f>
        <v>#N/A</v>
      </c>
      <c r="AH500" t="e">
        <f>VLOOKUP($Z500,'oddspedia-matches'!$A:$AD,AH$2,0)</f>
        <v>#N/A</v>
      </c>
      <c r="AI500" t="e">
        <f>VLOOKUP($Z500,'oddspedia-matches'!$A:$AD,AI$2,0)</f>
        <v>#N/A</v>
      </c>
      <c r="AJ500" t="e">
        <f>VLOOKUP($Z500,'oddspedia-matches'!$A:$AD,AJ$2,0)</f>
        <v>#N/A</v>
      </c>
      <c r="AK500" t="e">
        <f>VLOOKUP($Z500,'oddspedia-matches'!$A:$AD,AK$2,0)</f>
        <v>#N/A</v>
      </c>
      <c r="AL500" t="e">
        <f>VLOOKUP($Z500,'oddspedia-matches'!$A:$AD,AL$2,0)</f>
        <v>#N/A</v>
      </c>
      <c r="AM500" t="e">
        <f>VLOOKUP($Z500,'oddspedia-matches'!$A:$AD,AM$2,0)</f>
        <v>#N/A</v>
      </c>
      <c r="AN500" t="e">
        <f>VLOOKUP($Z500,'oddspedia-matches'!$A:$AD,AN$2,0)</f>
        <v>#N/A</v>
      </c>
      <c r="AO500" t="e">
        <f>VLOOKUP($Z500,'oddspedia-matches'!$A:$AD,AO$2,0)</f>
        <v>#N/A</v>
      </c>
      <c r="AP500" t="e">
        <f>VLOOKUP($Z500,'oddspedia-matches'!$A:$AD,AP$2,0)</f>
        <v>#N/A</v>
      </c>
      <c r="AQ500" t="e">
        <f>VLOOKUP($Z500,'oddspedia-matches'!$A:$AD,AQ$2,0)</f>
        <v>#N/A</v>
      </c>
    </row>
    <row r="501" spans="2:43" x14ac:dyDescent="0.2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Pau</v>
      </c>
      <c r="Y501" t="e">
        <f>VLOOKUP(F501,'Transform table'!A:B,2,0)</f>
        <v>#N/A</v>
      </c>
      <c r="Z501" t="e">
        <f>C501&amp;X501&amp;Y501</f>
        <v>#N/A</v>
      </c>
      <c r="AA501" t="e">
        <f>VLOOKUP($Z501,'oddspedia-matches'!$A:$AD,AA$2,0)</f>
        <v>#N/A</v>
      </c>
      <c r="AB501" t="e">
        <f>VLOOKUP($Z501,'oddspedia-matches'!$A:$AD,AB$2,0)</f>
        <v>#N/A</v>
      </c>
      <c r="AC501" t="e">
        <f>VLOOKUP($Z501,'oddspedia-matches'!$A:$AD,AC$2,0)</f>
        <v>#N/A</v>
      </c>
      <c r="AD501" t="e">
        <f>VLOOKUP($Z501,'oddspedia-matches'!$A:$AD,AD$2,0)</f>
        <v>#N/A</v>
      </c>
      <c r="AE501" t="e">
        <f>VLOOKUP($Z501,'oddspedia-matches'!$A:$AD,AE$2,0)</f>
        <v>#N/A</v>
      </c>
      <c r="AF501" t="e">
        <f>VLOOKUP($Z501,'oddspedia-matches'!$A:$AD,AF$2,0)</f>
        <v>#N/A</v>
      </c>
      <c r="AG501" t="e">
        <f>VLOOKUP($Z501,'oddspedia-matches'!$A:$AD,AG$2,0)</f>
        <v>#N/A</v>
      </c>
      <c r="AH501" t="e">
        <f>VLOOKUP($Z501,'oddspedia-matches'!$A:$AD,AH$2,0)</f>
        <v>#N/A</v>
      </c>
      <c r="AI501" t="e">
        <f>VLOOKUP($Z501,'oddspedia-matches'!$A:$AD,AI$2,0)</f>
        <v>#N/A</v>
      </c>
      <c r="AJ501" t="e">
        <f>VLOOKUP($Z501,'oddspedia-matches'!$A:$AD,AJ$2,0)</f>
        <v>#N/A</v>
      </c>
      <c r="AK501" t="e">
        <f>VLOOKUP($Z501,'oddspedia-matches'!$A:$AD,AK$2,0)</f>
        <v>#N/A</v>
      </c>
      <c r="AL501" t="e">
        <f>VLOOKUP($Z501,'oddspedia-matches'!$A:$AD,AL$2,0)</f>
        <v>#N/A</v>
      </c>
      <c r="AM501" t="e">
        <f>VLOOKUP($Z501,'oddspedia-matches'!$A:$AD,AM$2,0)</f>
        <v>#N/A</v>
      </c>
      <c r="AN501" t="e">
        <f>VLOOKUP($Z501,'oddspedia-matches'!$A:$AD,AN$2,0)</f>
        <v>#N/A</v>
      </c>
      <c r="AO501" t="e">
        <f>VLOOKUP($Z501,'oddspedia-matches'!$A:$AD,AO$2,0)</f>
        <v>#N/A</v>
      </c>
      <c r="AP501" t="e">
        <f>VLOOKUP($Z501,'oddspedia-matches'!$A:$AD,AP$2,0)</f>
        <v>#N/A</v>
      </c>
      <c r="AQ501" t="e">
        <f>VLOOKUP($Z501,'oddspedia-matches'!$A:$AD,AQ$2,0)</f>
        <v>#N/A</v>
      </c>
    </row>
    <row r="502" spans="2:43" x14ac:dyDescent="0.2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e">
        <f>VLOOKUP(F502,'Transform table'!A:B,2,0)</f>
        <v>#N/A</v>
      </c>
      <c r="Z502" t="e">
        <f>C502&amp;X502&amp;Y502</f>
        <v>#N/A</v>
      </c>
      <c r="AA502" t="e">
        <f>VLOOKUP($Z502,'oddspedia-matches'!$A:$AD,AA$2,0)</f>
        <v>#N/A</v>
      </c>
      <c r="AB502" t="e">
        <f>VLOOKUP($Z502,'oddspedia-matches'!$A:$AD,AB$2,0)</f>
        <v>#N/A</v>
      </c>
      <c r="AC502" t="e">
        <f>VLOOKUP($Z502,'oddspedia-matches'!$A:$AD,AC$2,0)</f>
        <v>#N/A</v>
      </c>
      <c r="AD502" t="e">
        <f>VLOOKUP($Z502,'oddspedia-matches'!$A:$AD,AD$2,0)</f>
        <v>#N/A</v>
      </c>
      <c r="AE502" t="e">
        <f>VLOOKUP($Z502,'oddspedia-matches'!$A:$AD,AE$2,0)</f>
        <v>#N/A</v>
      </c>
      <c r="AF502" t="e">
        <f>VLOOKUP($Z502,'oddspedia-matches'!$A:$AD,AF$2,0)</f>
        <v>#N/A</v>
      </c>
      <c r="AG502" t="e">
        <f>VLOOKUP($Z502,'oddspedia-matches'!$A:$AD,AG$2,0)</f>
        <v>#N/A</v>
      </c>
      <c r="AH502" t="e">
        <f>VLOOKUP($Z502,'oddspedia-matches'!$A:$AD,AH$2,0)</f>
        <v>#N/A</v>
      </c>
      <c r="AI502" t="e">
        <f>VLOOKUP($Z502,'oddspedia-matches'!$A:$AD,AI$2,0)</f>
        <v>#N/A</v>
      </c>
      <c r="AJ502" t="e">
        <f>VLOOKUP($Z502,'oddspedia-matches'!$A:$AD,AJ$2,0)</f>
        <v>#N/A</v>
      </c>
      <c r="AK502" t="e">
        <f>VLOOKUP($Z502,'oddspedia-matches'!$A:$AD,AK$2,0)</f>
        <v>#N/A</v>
      </c>
      <c r="AL502" t="e">
        <f>VLOOKUP($Z502,'oddspedia-matches'!$A:$AD,AL$2,0)</f>
        <v>#N/A</v>
      </c>
      <c r="AM502" t="e">
        <f>VLOOKUP($Z502,'oddspedia-matches'!$A:$AD,AM$2,0)</f>
        <v>#N/A</v>
      </c>
      <c r="AN502" t="e">
        <f>VLOOKUP($Z502,'oddspedia-matches'!$A:$AD,AN$2,0)</f>
        <v>#N/A</v>
      </c>
      <c r="AO502" t="e">
        <f>VLOOKUP($Z502,'oddspedia-matches'!$A:$AD,AO$2,0)</f>
        <v>#N/A</v>
      </c>
      <c r="AP502" t="e">
        <f>VLOOKUP($Z502,'oddspedia-matches'!$A:$AD,AP$2,0)</f>
        <v>#N/A</v>
      </c>
      <c r="AQ502" t="e">
        <f>VLOOKUP($Z502,'oddspedia-matches'!$A:$AD,AQ$2,0)</f>
        <v>#N/A</v>
      </c>
    </row>
    <row r="503" spans="2:43" x14ac:dyDescent="0.2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Torque</v>
      </c>
      <c r="Y503" t="e">
        <f>VLOOKUP(F503,'Transform table'!A:B,2,0)</f>
        <v>#N/A</v>
      </c>
      <c r="Z503" t="e">
        <f>C503&amp;X503&amp;Y503</f>
        <v>#N/A</v>
      </c>
      <c r="AA503" t="e">
        <f>VLOOKUP($Z503,'oddspedia-matches'!$A:$AD,AA$2,0)</f>
        <v>#N/A</v>
      </c>
      <c r="AB503" t="e">
        <f>VLOOKUP($Z503,'oddspedia-matches'!$A:$AD,AB$2,0)</f>
        <v>#N/A</v>
      </c>
      <c r="AC503" t="e">
        <f>VLOOKUP($Z503,'oddspedia-matches'!$A:$AD,AC$2,0)</f>
        <v>#N/A</v>
      </c>
      <c r="AD503" t="e">
        <f>VLOOKUP($Z503,'oddspedia-matches'!$A:$AD,AD$2,0)</f>
        <v>#N/A</v>
      </c>
      <c r="AE503" t="e">
        <f>VLOOKUP($Z503,'oddspedia-matches'!$A:$AD,AE$2,0)</f>
        <v>#N/A</v>
      </c>
      <c r="AF503" t="e">
        <f>VLOOKUP($Z503,'oddspedia-matches'!$A:$AD,AF$2,0)</f>
        <v>#N/A</v>
      </c>
      <c r="AG503" t="e">
        <f>VLOOKUP($Z503,'oddspedia-matches'!$A:$AD,AG$2,0)</f>
        <v>#N/A</v>
      </c>
      <c r="AH503" t="e">
        <f>VLOOKUP($Z503,'oddspedia-matches'!$A:$AD,AH$2,0)</f>
        <v>#N/A</v>
      </c>
      <c r="AI503" t="e">
        <f>VLOOKUP($Z503,'oddspedia-matches'!$A:$AD,AI$2,0)</f>
        <v>#N/A</v>
      </c>
      <c r="AJ503" t="e">
        <f>VLOOKUP($Z503,'oddspedia-matches'!$A:$AD,AJ$2,0)</f>
        <v>#N/A</v>
      </c>
      <c r="AK503" t="e">
        <f>VLOOKUP($Z503,'oddspedia-matches'!$A:$AD,AK$2,0)</f>
        <v>#N/A</v>
      </c>
      <c r="AL503" t="e">
        <f>VLOOKUP($Z503,'oddspedia-matches'!$A:$AD,AL$2,0)</f>
        <v>#N/A</v>
      </c>
      <c r="AM503" t="e">
        <f>VLOOKUP($Z503,'oddspedia-matches'!$A:$AD,AM$2,0)</f>
        <v>#N/A</v>
      </c>
      <c r="AN503" t="e">
        <f>VLOOKUP($Z503,'oddspedia-matches'!$A:$AD,AN$2,0)</f>
        <v>#N/A</v>
      </c>
      <c r="AO503" t="e">
        <f>VLOOKUP($Z503,'oddspedia-matches'!$A:$AD,AO$2,0)</f>
        <v>#N/A</v>
      </c>
      <c r="AP503" t="e">
        <f>VLOOKUP($Z503,'oddspedia-matches'!$A:$AD,AP$2,0)</f>
        <v>#N/A</v>
      </c>
      <c r="AQ503" t="e">
        <f>VLOOKUP($Z503,'oddspedia-matches'!$A:$AD,AQ$2,0)</f>
        <v>#N/A</v>
      </c>
    </row>
    <row r="504" spans="2:43" x14ac:dyDescent="0.2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f>VLOOKUP(E504,'Transform table'!A:B,2,0)</f>
        <v>0</v>
      </c>
      <c r="Y504" t="e">
        <f>VLOOKUP(F504,'Transform table'!A:B,2,0)</f>
        <v>#N/A</v>
      </c>
      <c r="Z504" t="e">
        <f>C504&amp;X504&amp;Y504</f>
        <v>#N/A</v>
      </c>
      <c r="AA504" t="e">
        <f>VLOOKUP($Z504,'oddspedia-matches'!$A:$AD,AA$2,0)</f>
        <v>#N/A</v>
      </c>
      <c r="AB504" t="e">
        <f>VLOOKUP($Z504,'oddspedia-matches'!$A:$AD,AB$2,0)</f>
        <v>#N/A</v>
      </c>
      <c r="AC504" t="e">
        <f>VLOOKUP($Z504,'oddspedia-matches'!$A:$AD,AC$2,0)</f>
        <v>#N/A</v>
      </c>
      <c r="AD504" t="e">
        <f>VLOOKUP($Z504,'oddspedia-matches'!$A:$AD,AD$2,0)</f>
        <v>#N/A</v>
      </c>
      <c r="AE504" t="e">
        <f>VLOOKUP($Z504,'oddspedia-matches'!$A:$AD,AE$2,0)</f>
        <v>#N/A</v>
      </c>
      <c r="AF504" t="e">
        <f>VLOOKUP($Z504,'oddspedia-matches'!$A:$AD,AF$2,0)</f>
        <v>#N/A</v>
      </c>
      <c r="AG504" t="e">
        <f>VLOOKUP($Z504,'oddspedia-matches'!$A:$AD,AG$2,0)</f>
        <v>#N/A</v>
      </c>
      <c r="AH504" t="e">
        <f>VLOOKUP($Z504,'oddspedia-matches'!$A:$AD,AH$2,0)</f>
        <v>#N/A</v>
      </c>
      <c r="AI504" t="e">
        <f>VLOOKUP($Z504,'oddspedia-matches'!$A:$AD,AI$2,0)</f>
        <v>#N/A</v>
      </c>
      <c r="AJ504" t="e">
        <f>VLOOKUP($Z504,'oddspedia-matches'!$A:$AD,AJ$2,0)</f>
        <v>#N/A</v>
      </c>
      <c r="AK504" t="e">
        <f>VLOOKUP($Z504,'oddspedia-matches'!$A:$AD,AK$2,0)</f>
        <v>#N/A</v>
      </c>
      <c r="AL504" t="e">
        <f>VLOOKUP($Z504,'oddspedia-matches'!$A:$AD,AL$2,0)</f>
        <v>#N/A</v>
      </c>
      <c r="AM504" t="e">
        <f>VLOOKUP($Z504,'oddspedia-matches'!$A:$AD,AM$2,0)</f>
        <v>#N/A</v>
      </c>
      <c r="AN504" t="e">
        <f>VLOOKUP($Z504,'oddspedia-matches'!$A:$AD,AN$2,0)</f>
        <v>#N/A</v>
      </c>
      <c r="AO504" t="e">
        <f>VLOOKUP($Z504,'oddspedia-matches'!$A:$AD,AO$2,0)</f>
        <v>#N/A</v>
      </c>
      <c r="AP504" t="e">
        <f>VLOOKUP($Z504,'oddspedia-matches'!$A:$AD,AP$2,0)</f>
        <v>#N/A</v>
      </c>
      <c r="AQ504" t="e">
        <f>VLOOKUP($Z504,'oddspedia-matches'!$A:$AD,AQ$2,0)</f>
        <v>#N/A</v>
      </c>
    </row>
    <row r="505" spans="2:43" x14ac:dyDescent="0.2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Tuggeranong United U23</v>
      </c>
      <c r="Y505" t="str">
        <f>VLOOKUP(F505,'Transform table'!A:B,2,0)</f>
        <v>Rigas Futbola Skola</v>
      </c>
      <c r="Z505" t="str">
        <f>C505&amp;X505&amp;Y505</f>
        <v>27/07/2026Tuggeranong United U23Rigas Futbola Skola</v>
      </c>
      <c r="AA505" t="e">
        <f>VLOOKUP($Z505,'oddspedia-matches'!$A:$AD,AA$2,0)</f>
        <v>#N/A</v>
      </c>
      <c r="AB505" t="e">
        <f>VLOOKUP($Z505,'oddspedia-matches'!$A:$AD,AB$2,0)</f>
        <v>#N/A</v>
      </c>
      <c r="AC505" t="e">
        <f>VLOOKUP($Z505,'oddspedia-matches'!$A:$AD,AC$2,0)</f>
        <v>#N/A</v>
      </c>
      <c r="AD505" t="e">
        <f>VLOOKUP($Z505,'oddspedia-matches'!$A:$AD,AD$2,0)</f>
        <v>#N/A</v>
      </c>
      <c r="AE505" t="e">
        <f>VLOOKUP($Z505,'oddspedia-matches'!$A:$AD,AE$2,0)</f>
        <v>#N/A</v>
      </c>
      <c r="AF505" t="e">
        <f>VLOOKUP($Z505,'oddspedia-matches'!$A:$AD,AF$2,0)</f>
        <v>#N/A</v>
      </c>
      <c r="AG505" t="e">
        <f>VLOOKUP($Z505,'oddspedia-matches'!$A:$AD,AG$2,0)</f>
        <v>#N/A</v>
      </c>
      <c r="AH505" t="e">
        <f>VLOOKUP($Z505,'oddspedia-matches'!$A:$AD,AH$2,0)</f>
        <v>#N/A</v>
      </c>
      <c r="AI505" t="e">
        <f>VLOOKUP($Z505,'oddspedia-matches'!$A:$AD,AI$2,0)</f>
        <v>#N/A</v>
      </c>
      <c r="AJ505" t="e">
        <f>VLOOKUP($Z505,'oddspedia-matches'!$A:$AD,AJ$2,0)</f>
        <v>#N/A</v>
      </c>
      <c r="AK505" t="e">
        <f>VLOOKUP($Z505,'oddspedia-matches'!$A:$AD,AK$2,0)</f>
        <v>#N/A</v>
      </c>
      <c r="AL505" t="e">
        <f>VLOOKUP($Z505,'oddspedia-matches'!$A:$AD,AL$2,0)</f>
        <v>#N/A</v>
      </c>
      <c r="AM505" t="e">
        <f>VLOOKUP($Z505,'oddspedia-matches'!$A:$AD,AM$2,0)</f>
        <v>#N/A</v>
      </c>
      <c r="AN505" t="e">
        <f>VLOOKUP($Z505,'oddspedia-matches'!$A:$AD,AN$2,0)</f>
        <v>#N/A</v>
      </c>
      <c r="AO505" t="e">
        <f>VLOOKUP($Z505,'oddspedia-matches'!$A:$AD,AO$2,0)</f>
        <v>#N/A</v>
      </c>
      <c r="AP505" t="e">
        <f>VLOOKUP($Z505,'oddspedia-matches'!$A:$AD,AP$2,0)</f>
        <v>#N/A</v>
      </c>
      <c r="AQ505" t="e">
        <f>VLOOKUP($Z505,'oddspedia-matches'!$A:$AD,AQ$2,0)</f>
        <v>#N/A</v>
      </c>
    </row>
    <row r="506" spans="2:43" x14ac:dyDescent="0.2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Valletta</v>
      </c>
      <c r="Y506" t="e">
        <f>VLOOKUP(F506,'Transform table'!A:B,2,0)</f>
        <v>#N/A</v>
      </c>
      <c r="Z506" t="e">
        <f>C506&amp;X506&amp;Y506</f>
        <v>#N/A</v>
      </c>
      <c r="AA506" t="e">
        <f>VLOOKUP($Z506,'oddspedia-matches'!$A:$AD,AA$2,0)</f>
        <v>#N/A</v>
      </c>
      <c r="AB506" t="e">
        <f>VLOOKUP($Z506,'oddspedia-matches'!$A:$AD,AB$2,0)</f>
        <v>#N/A</v>
      </c>
      <c r="AC506" t="e">
        <f>VLOOKUP($Z506,'oddspedia-matches'!$A:$AD,AC$2,0)</f>
        <v>#N/A</v>
      </c>
      <c r="AD506" t="e">
        <f>VLOOKUP($Z506,'oddspedia-matches'!$A:$AD,AD$2,0)</f>
        <v>#N/A</v>
      </c>
      <c r="AE506" t="e">
        <f>VLOOKUP($Z506,'oddspedia-matches'!$A:$AD,AE$2,0)</f>
        <v>#N/A</v>
      </c>
      <c r="AF506" t="e">
        <f>VLOOKUP($Z506,'oddspedia-matches'!$A:$AD,AF$2,0)</f>
        <v>#N/A</v>
      </c>
      <c r="AG506" t="e">
        <f>VLOOKUP($Z506,'oddspedia-matches'!$A:$AD,AG$2,0)</f>
        <v>#N/A</v>
      </c>
      <c r="AH506" t="e">
        <f>VLOOKUP($Z506,'oddspedia-matches'!$A:$AD,AH$2,0)</f>
        <v>#N/A</v>
      </c>
      <c r="AI506" t="e">
        <f>VLOOKUP($Z506,'oddspedia-matches'!$A:$AD,AI$2,0)</f>
        <v>#N/A</v>
      </c>
      <c r="AJ506" t="e">
        <f>VLOOKUP($Z506,'oddspedia-matches'!$A:$AD,AJ$2,0)</f>
        <v>#N/A</v>
      </c>
      <c r="AK506" t="e">
        <f>VLOOKUP($Z506,'oddspedia-matches'!$A:$AD,AK$2,0)</f>
        <v>#N/A</v>
      </c>
      <c r="AL506" t="e">
        <f>VLOOKUP($Z506,'oddspedia-matches'!$A:$AD,AL$2,0)</f>
        <v>#N/A</v>
      </c>
      <c r="AM506" t="e">
        <f>VLOOKUP($Z506,'oddspedia-matches'!$A:$AD,AM$2,0)</f>
        <v>#N/A</v>
      </c>
      <c r="AN506" t="e">
        <f>VLOOKUP($Z506,'oddspedia-matches'!$A:$AD,AN$2,0)</f>
        <v>#N/A</v>
      </c>
      <c r="AO506" t="e">
        <f>VLOOKUP($Z506,'oddspedia-matches'!$A:$AD,AO$2,0)</f>
        <v>#N/A</v>
      </c>
      <c r="AP506" t="e">
        <f>VLOOKUP($Z506,'oddspedia-matches'!$A:$AD,AP$2,0)</f>
        <v>#N/A</v>
      </c>
      <c r="AQ506" t="e">
        <f>VLOOKUP($Z506,'oddspedia-matches'!$A:$AD,AQ$2,0)</f>
        <v>#N/A</v>
      </c>
    </row>
    <row r="507" spans="2:43" x14ac:dyDescent="0.2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e">
        <f>VLOOKUP(F507,'Transform table'!A:B,2,0)</f>
        <v>#N/A</v>
      </c>
      <c r="Z507" t="e">
        <f>C507&amp;X507&amp;Y507</f>
        <v>#N/A</v>
      </c>
      <c r="AA507" t="e">
        <f>VLOOKUP($Z507,'oddspedia-matches'!$A:$AD,AA$2,0)</f>
        <v>#N/A</v>
      </c>
      <c r="AB507" t="e">
        <f>VLOOKUP($Z507,'oddspedia-matches'!$A:$AD,AB$2,0)</f>
        <v>#N/A</v>
      </c>
      <c r="AC507" t="e">
        <f>VLOOKUP($Z507,'oddspedia-matches'!$A:$AD,AC$2,0)</f>
        <v>#N/A</v>
      </c>
      <c r="AD507" t="e">
        <f>VLOOKUP($Z507,'oddspedia-matches'!$A:$AD,AD$2,0)</f>
        <v>#N/A</v>
      </c>
      <c r="AE507" t="e">
        <f>VLOOKUP($Z507,'oddspedia-matches'!$A:$AD,AE$2,0)</f>
        <v>#N/A</v>
      </c>
      <c r="AF507" t="e">
        <f>VLOOKUP($Z507,'oddspedia-matches'!$A:$AD,AF$2,0)</f>
        <v>#N/A</v>
      </c>
      <c r="AG507" t="e">
        <f>VLOOKUP($Z507,'oddspedia-matches'!$A:$AD,AG$2,0)</f>
        <v>#N/A</v>
      </c>
      <c r="AH507" t="e">
        <f>VLOOKUP($Z507,'oddspedia-matches'!$A:$AD,AH$2,0)</f>
        <v>#N/A</v>
      </c>
      <c r="AI507" t="e">
        <f>VLOOKUP($Z507,'oddspedia-matches'!$A:$AD,AI$2,0)</f>
        <v>#N/A</v>
      </c>
      <c r="AJ507" t="e">
        <f>VLOOKUP($Z507,'oddspedia-matches'!$A:$AD,AJ$2,0)</f>
        <v>#N/A</v>
      </c>
      <c r="AK507" t="e">
        <f>VLOOKUP($Z507,'oddspedia-matches'!$A:$AD,AK$2,0)</f>
        <v>#N/A</v>
      </c>
      <c r="AL507" t="e">
        <f>VLOOKUP($Z507,'oddspedia-matches'!$A:$AD,AL$2,0)</f>
        <v>#N/A</v>
      </c>
      <c r="AM507" t="e">
        <f>VLOOKUP($Z507,'oddspedia-matches'!$A:$AD,AM$2,0)</f>
        <v>#N/A</v>
      </c>
      <c r="AN507" t="e">
        <f>VLOOKUP($Z507,'oddspedia-matches'!$A:$AD,AN$2,0)</f>
        <v>#N/A</v>
      </c>
      <c r="AO507" t="e">
        <f>VLOOKUP($Z507,'oddspedia-matches'!$A:$AD,AO$2,0)</f>
        <v>#N/A</v>
      </c>
      <c r="AP507" t="e">
        <f>VLOOKUP($Z507,'oddspedia-matches'!$A:$AD,AP$2,0)</f>
        <v>#N/A</v>
      </c>
      <c r="AQ507" t="e">
        <f>VLOOKUP($Z507,'oddspedia-matches'!$A:$AD,AQ$2,0)</f>
        <v>#N/A</v>
      </c>
    </row>
    <row r="508" spans="2:43" x14ac:dyDescent="0.2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e">
        <f>VLOOKUP(F508,'Transform table'!A:B,2,0)</f>
        <v>#N/A</v>
      </c>
      <c r="Z508" t="e">
        <f>C508&amp;X508&amp;Y508</f>
        <v>#N/A</v>
      </c>
      <c r="AA508" t="e">
        <f>VLOOKUP($Z508,'oddspedia-matches'!$A:$AD,AA$2,0)</f>
        <v>#N/A</v>
      </c>
      <c r="AB508" t="e">
        <f>VLOOKUP($Z508,'oddspedia-matches'!$A:$AD,AB$2,0)</f>
        <v>#N/A</v>
      </c>
      <c r="AC508" t="e">
        <f>VLOOKUP($Z508,'oddspedia-matches'!$A:$AD,AC$2,0)</f>
        <v>#N/A</v>
      </c>
      <c r="AD508" t="e">
        <f>VLOOKUP($Z508,'oddspedia-matches'!$A:$AD,AD$2,0)</f>
        <v>#N/A</v>
      </c>
      <c r="AE508" t="e">
        <f>VLOOKUP($Z508,'oddspedia-matches'!$A:$AD,AE$2,0)</f>
        <v>#N/A</v>
      </c>
      <c r="AF508" t="e">
        <f>VLOOKUP($Z508,'oddspedia-matches'!$A:$AD,AF$2,0)</f>
        <v>#N/A</v>
      </c>
      <c r="AG508" t="e">
        <f>VLOOKUP($Z508,'oddspedia-matches'!$A:$AD,AG$2,0)</f>
        <v>#N/A</v>
      </c>
      <c r="AH508" t="e">
        <f>VLOOKUP($Z508,'oddspedia-matches'!$A:$AD,AH$2,0)</f>
        <v>#N/A</v>
      </c>
      <c r="AI508" t="e">
        <f>VLOOKUP($Z508,'oddspedia-matches'!$A:$AD,AI$2,0)</f>
        <v>#N/A</v>
      </c>
      <c r="AJ508" t="e">
        <f>VLOOKUP($Z508,'oddspedia-matches'!$A:$AD,AJ$2,0)</f>
        <v>#N/A</v>
      </c>
      <c r="AK508" t="e">
        <f>VLOOKUP($Z508,'oddspedia-matches'!$A:$AD,AK$2,0)</f>
        <v>#N/A</v>
      </c>
      <c r="AL508" t="e">
        <f>VLOOKUP($Z508,'oddspedia-matches'!$A:$AD,AL$2,0)</f>
        <v>#N/A</v>
      </c>
      <c r="AM508" t="e">
        <f>VLOOKUP($Z508,'oddspedia-matches'!$A:$AD,AM$2,0)</f>
        <v>#N/A</v>
      </c>
      <c r="AN508" t="e">
        <f>VLOOKUP($Z508,'oddspedia-matches'!$A:$AD,AN$2,0)</f>
        <v>#N/A</v>
      </c>
      <c r="AO508" t="e">
        <f>VLOOKUP($Z508,'oddspedia-matches'!$A:$AD,AO$2,0)</f>
        <v>#N/A</v>
      </c>
      <c r="AP508" t="e">
        <f>VLOOKUP($Z508,'oddspedia-matches'!$A:$AD,AP$2,0)</f>
        <v>#N/A</v>
      </c>
      <c r="AQ508" t="e">
        <f>VLOOKUP($Z508,'oddspedia-matches'!$A:$AD,AQ$2,0)</f>
        <v>#N/A</v>
      </c>
    </row>
    <row r="509" spans="2:43" x14ac:dyDescent="0.2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Dunajska Streda</v>
      </c>
      <c r="Y509" t="e">
        <f>VLOOKUP(F509,'Transform table'!A:B,2,0)</f>
        <v>#N/A</v>
      </c>
      <c r="Z509" t="e">
        <f>C509&amp;X509&amp;Y509</f>
        <v>#N/A</v>
      </c>
      <c r="AA509" t="e">
        <f>VLOOKUP($Z509,'oddspedia-matches'!$A:$AD,AA$2,0)</f>
        <v>#N/A</v>
      </c>
      <c r="AB509" t="e">
        <f>VLOOKUP($Z509,'oddspedia-matches'!$A:$AD,AB$2,0)</f>
        <v>#N/A</v>
      </c>
      <c r="AC509" t="e">
        <f>VLOOKUP($Z509,'oddspedia-matches'!$A:$AD,AC$2,0)</f>
        <v>#N/A</v>
      </c>
      <c r="AD509" t="e">
        <f>VLOOKUP($Z509,'oddspedia-matches'!$A:$AD,AD$2,0)</f>
        <v>#N/A</v>
      </c>
      <c r="AE509" t="e">
        <f>VLOOKUP($Z509,'oddspedia-matches'!$A:$AD,AE$2,0)</f>
        <v>#N/A</v>
      </c>
      <c r="AF509" t="e">
        <f>VLOOKUP($Z509,'oddspedia-matches'!$A:$AD,AF$2,0)</f>
        <v>#N/A</v>
      </c>
      <c r="AG509" t="e">
        <f>VLOOKUP($Z509,'oddspedia-matches'!$A:$AD,AG$2,0)</f>
        <v>#N/A</v>
      </c>
      <c r="AH509" t="e">
        <f>VLOOKUP($Z509,'oddspedia-matches'!$A:$AD,AH$2,0)</f>
        <v>#N/A</v>
      </c>
      <c r="AI509" t="e">
        <f>VLOOKUP($Z509,'oddspedia-matches'!$A:$AD,AI$2,0)</f>
        <v>#N/A</v>
      </c>
      <c r="AJ509" t="e">
        <f>VLOOKUP($Z509,'oddspedia-matches'!$A:$AD,AJ$2,0)</f>
        <v>#N/A</v>
      </c>
      <c r="AK509" t="e">
        <f>VLOOKUP($Z509,'oddspedia-matches'!$A:$AD,AK$2,0)</f>
        <v>#N/A</v>
      </c>
      <c r="AL509" t="e">
        <f>VLOOKUP($Z509,'oddspedia-matches'!$A:$AD,AL$2,0)</f>
        <v>#N/A</v>
      </c>
      <c r="AM509" t="e">
        <f>VLOOKUP($Z509,'oddspedia-matches'!$A:$AD,AM$2,0)</f>
        <v>#N/A</v>
      </c>
      <c r="AN509" t="e">
        <f>VLOOKUP($Z509,'oddspedia-matches'!$A:$AD,AN$2,0)</f>
        <v>#N/A</v>
      </c>
      <c r="AO509" t="e">
        <f>VLOOKUP($Z509,'oddspedia-matches'!$A:$AD,AO$2,0)</f>
        <v>#N/A</v>
      </c>
      <c r="AP509" t="e">
        <f>VLOOKUP($Z509,'oddspedia-matches'!$A:$AD,AP$2,0)</f>
        <v>#N/A</v>
      </c>
      <c r="AQ509" t="e">
        <f>VLOOKUP($Z509,'oddspedia-matches'!$A:$AD,AQ$2,0)</f>
        <v>#N/A</v>
      </c>
    </row>
    <row r="510" spans="2:43" x14ac:dyDescent="0.2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</v>
      </c>
      <c r="Y510" t="e">
        <f>VLOOKUP(F510,'Transform table'!A:B,2,0)</f>
        <v>#N/A</v>
      </c>
      <c r="Z510" t="e">
        <f>C510&amp;X510&amp;Y510</f>
        <v>#N/A</v>
      </c>
      <c r="AA510" t="e">
        <f>VLOOKUP($Z510,'oddspedia-matches'!$A:$AD,AA$2,0)</f>
        <v>#N/A</v>
      </c>
      <c r="AB510" t="e">
        <f>VLOOKUP($Z510,'oddspedia-matches'!$A:$AD,AB$2,0)</f>
        <v>#N/A</v>
      </c>
      <c r="AC510" t="e">
        <f>VLOOKUP($Z510,'oddspedia-matches'!$A:$AD,AC$2,0)</f>
        <v>#N/A</v>
      </c>
      <c r="AD510" t="e">
        <f>VLOOKUP($Z510,'oddspedia-matches'!$A:$AD,AD$2,0)</f>
        <v>#N/A</v>
      </c>
      <c r="AE510" t="e">
        <f>VLOOKUP($Z510,'oddspedia-matches'!$A:$AD,AE$2,0)</f>
        <v>#N/A</v>
      </c>
      <c r="AF510" t="e">
        <f>VLOOKUP($Z510,'oddspedia-matches'!$A:$AD,AF$2,0)</f>
        <v>#N/A</v>
      </c>
      <c r="AG510" t="e">
        <f>VLOOKUP($Z510,'oddspedia-matches'!$A:$AD,AG$2,0)</f>
        <v>#N/A</v>
      </c>
      <c r="AH510" t="e">
        <f>VLOOKUP($Z510,'oddspedia-matches'!$A:$AD,AH$2,0)</f>
        <v>#N/A</v>
      </c>
      <c r="AI510" t="e">
        <f>VLOOKUP($Z510,'oddspedia-matches'!$A:$AD,AI$2,0)</f>
        <v>#N/A</v>
      </c>
      <c r="AJ510" t="e">
        <f>VLOOKUP($Z510,'oddspedia-matches'!$A:$AD,AJ$2,0)</f>
        <v>#N/A</v>
      </c>
      <c r="AK510" t="e">
        <f>VLOOKUP($Z510,'oddspedia-matches'!$A:$AD,AK$2,0)</f>
        <v>#N/A</v>
      </c>
      <c r="AL510" t="e">
        <f>VLOOKUP($Z510,'oddspedia-matches'!$A:$AD,AL$2,0)</f>
        <v>#N/A</v>
      </c>
      <c r="AM510" t="e">
        <f>VLOOKUP($Z510,'oddspedia-matches'!$A:$AD,AM$2,0)</f>
        <v>#N/A</v>
      </c>
      <c r="AN510" t="e">
        <f>VLOOKUP($Z510,'oddspedia-matches'!$A:$AD,AN$2,0)</f>
        <v>#N/A</v>
      </c>
      <c r="AO510" t="e">
        <f>VLOOKUP($Z510,'oddspedia-matches'!$A:$AD,AO$2,0)</f>
        <v>#N/A</v>
      </c>
      <c r="AP510" t="e">
        <f>VLOOKUP($Z510,'oddspedia-matches'!$A:$AD,AP$2,0)</f>
        <v>#N/A</v>
      </c>
      <c r="AQ510" t="e">
        <f>VLOOKUP($Z510,'oddspedia-matches'!$A:$AD,AQ$2,0)</f>
        <v>#N/A</v>
      </c>
    </row>
    <row r="511" spans="2:43" x14ac:dyDescent="0.2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e">
        <f>VLOOKUP(F511,'Transform table'!A:B,2,0)</f>
        <v>#N/A</v>
      </c>
      <c r="Z511" t="e">
        <f>C511&amp;X511&amp;Y511</f>
        <v>#N/A</v>
      </c>
      <c r="AA511" t="e">
        <f>VLOOKUP($Z511,'oddspedia-matches'!$A:$AD,AA$2,0)</f>
        <v>#N/A</v>
      </c>
      <c r="AB511" t="e">
        <f>VLOOKUP($Z511,'oddspedia-matches'!$A:$AD,AB$2,0)</f>
        <v>#N/A</v>
      </c>
      <c r="AC511" t="e">
        <f>VLOOKUP($Z511,'oddspedia-matches'!$A:$AD,AC$2,0)</f>
        <v>#N/A</v>
      </c>
      <c r="AD511" t="e">
        <f>VLOOKUP($Z511,'oddspedia-matches'!$A:$AD,AD$2,0)</f>
        <v>#N/A</v>
      </c>
      <c r="AE511" t="e">
        <f>VLOOKUP($Z511,'oddspedia-matches'!$A:$AD,AE$2,0)</f>
        <v>#N/A</v>
      </c>
      <c r="AF511" t="e">
        <f>VLOOKUP($Z511,'oddspedia-matches'!$A:$AD,AF$2,0)</f>
        <v>#N/A</v>
      </c>
      <c r="AG511" t="e">
        <f>VLOOKUP($Z511,'oddspedia-matches'!$A:$AD,AG$2,0)</f>
        <v>#N/A</v>
      </c>
      <c r="AH511" t="e">
        <f>VLOOKUP($Z511,'oddspedia-matches'!$A:$AD,AH$2,0)</f>
        <v>#N/A</v>
      </c>
      <c r="AI511" t="e">
        <f>VLOOKUP($Z511,'oddspedia-matches'!$A:$AD,AI$2,0)</f>
        <v>#N/A</v>
      </c>
      <c r="AJ511" t="e">
        <f>VLOOKUP($Z511,'oddspedia-matches'!$A:$AD,AJ$2,0)</f>
        <v>#N/A</v>
      </c>
      <c r="AK511" t="e">
        <f>VLOOKUP($Z511,'oddspedia-matches'!$A:$AD,AK$2,0)</f>
        <v>#N/A</v>
      </c>
      <c r="AL511" t="e">
        <f>VLOOKUP($Z511,'oddspedia-matches'!$A:$AD,AL$2,0)</f>
        <v>#N/A</v>
      </c>
      <c r="AM511" t="e">
        <f>VLOOKUP($Z511,'oddspedia-matches'!$A:$AD,AM$2,0)</f>
        <v>#N/A</v>
      </c>
      <c r="AN511" t="e">
        <f>VLOOKUP($Z511,'oddspedia-matches'!$A:$AD,AN$2,0)</f>
        <v>#N/A</v>
      </c>
      <c r="AO511" t="e">
        <f>VLOOKUP($Z511,'oddspedia-matches'!$A:$AD,AO$2,0)</f>
        <v>#N/A</v>
      </c>
      <c r="AP511" t="e">
        <f>VLOOKUP($Z511,'oddspedia-matches'!$A:$AD,AP$2,0)</f>
        <v>#N/A</v>
      </c>
      <c r="AQ511" t="e">
        <f>VLOOKUP($Z511,'oddspedia-matches'!$A:$AD,AQ$2,0)</f>
        <v>#N/A</v>
      </c>
    </row>
    <row r="512" spans="2:43" x14ac:dyDescent="0.2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Metz</v>
      </c>
      <c r="Y512" t="str">
        <f>VLOOKUP(F512,'Transform table'!A:B,2,0)</f>
        <v>FK Tukums 2000 II</v>
      </c>
      <c r="Z512" t="str">
        <f>C512&amp;X512&amp;Y512</f>
        <v>27/07/2026MetzFK Tukums 2000 II</v>
      </c>
      <c r="AA512" t="e">
        <f>VLOOKUP($Z512,'oddspedia-matches'!$A:$AD,AA$2,0)</f>
        <v>#N/A</v>
      </c>
      <c r="AB512" t="e">
        <f>VLOOKUP($Z512,'oddspedia-matches'!$A:$AD,AB$2,0)</f>
        <v>#N/A</v>
      </c>
      <c r="AC512" t="e">
        <f>VLOOKUP($Z512,'oddspedia-matches'!$A:$AD,AC$2,0)</f>
        <v>#N/A</v>
      </c>
      <c r="AD512" t="e">
        <f>VLOOKUP($Z512,'oddspedia-matches'!$A:$AD,AD$2,0)</f>
        <v>#N/A</v>
      </c>
      <c r="AE512" t="e">
        <f>VLOOKUP($Z512,'oddspedia-matches'!$A:$AD,AE$2,0)</f>
        <v>#N/A</v>
      </c>
      <c r="AF512" t="e">
        <f>VLOOKUP($Z512,'oddspedia-matches'!$A:$AD,AF$2,0)</f>
        <v>#N/A</v>
      </c>
      <c r="AG512" t="e">
        <f>VLOOKUP($Z512,'oddspedia-matches'!$A:$AD,AG$2,0)</f>
        <v>#N/A</v>
      </c>
      <c r="AH512" t="e">
        <f>VLOOKUP($Z512,'oddspedia-matches'!$A:$AD,AH$2,0)</f>
        <v>#N/A</v>
      </c>
      <c r="AI512" t="e">
        <f>VLOOKUP($Z512,'oddspedia-matches'!$A:$AD,AI$2,0)</f>
        <v>#N/A</v>
      </c>
      <c r="AJ512" t="e">
        <f>VLOOKUP($Z512,'oddspedia-matches'!$A:$AD,AJ$2,0)</f>
        <v>#N/A</v>
      </c>
      <c r="AK512" t="e">
        <f>VLOOKUP($Z512,'oddspedia-matches'!$A:$AD,AK$2,0)</f>
        <v>#N/A</v>
      </c>
      <c r="AL512" t="e">
        <f>VLOOKUP($Z512,'oddspedia-matches'!$A:$AD,AL$2,0)</f>
        <v>#N/A</v>
      </c>
      <c r="AM512" t="e">
        <f>VLOOKUP($Z512,'oddspedia-matches'!$A:$AD,AM$2,0)</f>
        <v>#N/A</v>
      </c>
      <c r="AN512" t="e">
        <f>VLOOKUP($Z512,'oddspedia-matches'!$A:$AD,AN$2,0)</f>
        <v>#N/A</v>
      </c>
      <c r="AO512" t="e">
        <f>VLOOKUP($Z512,'oddspedia-matches'!$A:$AD,AO$2,0)</f>
        <v>#N/A</v>
      </c>
      <c r="AP512" t="e">
        <f>VLOOKUP($Z512,'oddspedia-matches'!$A:$AD,AP$2,0)</f>
        <v>#N/A</v>
      </c>
      <c r="AQ512" t="e">
        <f>VLOOKUP($Z512,'oddspedia-matches'!$A:$AD,AQ$2,0)</f>
        <v>#N/A</v>
      </c>
    </row>
    <row r="513" spans="2:43" x14ac:dyDescent="0.2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Rangers</v>
      </c>
      <c r="Y513" t="e">
        <f>VLOOKUP(F513,'Transform table'!A:B,2,0)</f>
        <v>#N/A</v>
      </c>
      <c r="Z513" t="e">
        <f>C513&amp;X513&amp;Y513</f>
        <v>#N/A</v>
      </c>
      <c r="AA513" t="e">
        <f>VLOOKUP($Z513,'oddspedia-matches'!$A:$AD,AA$2,0)</f>
        <v>#N/A</v>
      </c>
      <c r="AB513" t="e">
        <f>VLOOKUP($Z513,'oddspedia-matches'!$A:$AD,AB$2,0)</f>
        <v>#N/A</v>
      </c>
      <c r="AC513" t="e">
        <f>VLOOKUP($Z513,'oddspedia-matches'!$A:$AD,AC$2,0)</f>
        <v>#N/A</v>
      </c>
      <c r="AD513" t="e">
        <f>VLOOKUP($Z513,'oddspedia-matches'!$A:$AD,AD$2,0)</f>
        <v>#N/A</v>
      </c>
      <c r="AE513" t="e">
        <f>VLOOKUP($Z513,'oddspedia-matches'!$A:$AD,AE$2,0)</f>
        <v>#N/A</v>
      </c>
      <c r="AF513" t="e">
        <f>VLOOKUP($Z513,'oddspedia-matches'!$A:$AD,AF$2,0)</f>
        <v>#N/A</v>
      </c>
      <c r="AG513" t="e">
        <f>VLOOKUP($Z513,'oddspedia-matches'!$A:$AD,AG$2,0)</f>
        <v>#N/A</v>
      </c>
      <c r="AH513" t="e">
        <f>VLOOKUP($Z513,'oddspedia-matches'!$A:$AD,AH$2,0)</f>
        <v>#N/A</v>
      </c>
      <c r="AI513" t="e">
        <f>VLOOKUP($Z513,'oddspedia-matches'!$A:$AD,AI$2,0)</f>
        <v>#N/A</v>
      </c>
      <c r="AJ513" t="e">
        <f>VLOOKUP($Z513,'oddspedia-matches'!$A:$AD,AJ$2,0)</f>
        <v>#N/A</v>
      </c>
      <c r="AK513" t="e">
        <f>VLOOKUP($Z513,'oddspedia-matches'!$A:$AD,AK$2,0)</f>
        <v>#N/A</v>
      </c>
      <c r="AL513" t="e">
        <f>VLOOKUP($Z513,'oddspedia-matches'!$A:$AD,AL$2,0)</f>
        <v>#N/A</v>
      </c>
      <c r="AM513" t="e">
        <f>VLOOKUP($Z513,'oddspedia-matches'!$A:$AD,AM$2,0)</f>
        <v>#N/A</v>
      </c>
      <c r="AN513" t="e">
        <f>VLOOKUP($Z513,'oddspedia-matches'!$A:$AD,AN$2,0)</f>
        <v>#N/A</v>
      </c>
      <c r="AO513" t="e">
        <f>VLOOKUP($Z513,'oddspedia-matches'!$A:$AD,AO$2,0)</f>
        <v>#N/A</v>
      </c>
      <c r="AP513" t="e">
        <f>VLOOKUP($Z513,'oddspedia-matches'!$A:$AD,AP$2,0)</f>
        <v>#N/A</v>
      </c>
      <c r="AQ513" t="e">
        <f>VLOOKUP($Z513,'oddspedia-matches'!$A:$AD,AQ$2,0)</f>
        <v>#N/A</v>
      </c>
    </row>
    <row r="514" spans="2:43" x14ac:dyDescent="0.2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Rotherham United</v>
      </c>
      <c r="Y514" t="e">
        <f>VLOOKUP(F514,'Transform table'!A:B,2,0)</f>
        <v>#N/A</v>
      </c>
      <c r="Z514" t="e">
        <f>C514&amp;X514&amp;Y514</f>
        <v>#N/A</v>
      </c>
      <c r="AA514" t="e">
        <f>VLOOKUP($Z514,'oddspedia-matches'!$A:$AD,AA$2,0)</f>
        <v>#N/A</v>
      </c>
      <c r="AB514" t="e">
        <f>VLOOKUP($Z514,'oddspedia-matches'!$A:$AD,AB$2,0)</f>
        <v>#N/A</v>
      </c>
      <c r="AC514" t="e">
        <f>VLOOKUP($Z514,'oddspedia-matches'!$A:$AD,AC$2,0)</f>
        <v>#N/A</v>
      </c>
      <c r="AD514" t="e">
        <f>VLOOKUP($Z514,'oddspedia-matches'!$A:$AD,AD$2,0)</f>
        <v>#N/A</v>
      </c>
      <c r="AE514" t="e">
        <f>VLOOKUP($Z514,'oddspedia-matches'!$A:$AD,AE$2,0)</f>
        <v>#N/A</v>
      </c>
      <c r="AF514" t="e">
        <f>VLOOKUP($Z514,'oddspedia-matches'!$A:$AD,AF$2,0)</f>
        <v>#N/A</v>
      </c>
      <c r="AG514" t="e">
        <f>VLOOKUP($Z514,'oddspedia-matches'!$A:$AD,AG$2,0)</f>
        <v>#N/A</v>
      </c>
      <c r="AH514" t="e">
        <f>VLOOKUP($Z514,'oddspedia-matches'!$A:$AD,AH$2,0)</f>
        <v>#N/A</v>
      </c>
      <c r="AI514" t="e">
        <f>VLOOKUP($Z514,'oddspedia-matches'!$A:$AD,AI$2,0)</f>
        <v>#N/A</v>
      </c>
      <c r="AJ514" t="e">
        <f>VLOOKUP($Z514,'oddspedia-matches'!$A:$AD,AJ$2,0)</f>
        <v>#N/A</v>
      </c>
      <c r="AK514" t="e">
        <f>VLOOKUP($Z514,'oddspedia-matches'!$A:$AD,AK$2,0)</f>
        <v>#N/A</v>
      </c>
      <c r="AL514" t="e">
        <f>VLOOKUP($Z514,'oddspedia-matches'!$A:$AD,AL$2,0)</f>
        <v>#N/A</v>
      </c>
      <c r="AM514" t="e">
        <f>VLOOKUP($Z514,'oddspedia-matches'!$A:$AD,AM$2,0)</f>
        <v>#N/A</v>
      </c>
      <c r="AN514" t="e">
        <f>VLOOKUP($Z514,'oddspedia-matches'!$A:$AD,AN$2,0)</f>
        <v>#N/A</v>
      </c>
      <c r="AO514" t="e">
        <f>VLOOKUP($Z514,'oddspedia-matches'!$A:$AD,AO$2,0)</f>
        <v>#N/A</v>
      </c>
      <c r="AP514" t="e">
        <f>VLOOKUP($Z514,'oddspedia-matches'!$A:$AD,AP$2,0)</f>
        <v>#N/A</v>
      </c>
      <c r="AQ514" t="e">
        <f>VLOOKUP($Z514,'oddspedia-matches'!$A:$AD,AQ$2,0)</f>
        <v>#N/A</v>
      </c>
    </row>
    <row r="515" spans="2:43" x14ac:dyDescent="0.2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Stamford</v>
      </c>
      <c r="Y515" t="e">
        <f>VLOOKUP(F515,'Transform table'!A:B,2,0)</f>
        <v>#N/A</v>
      </c>
      <c r="Z515" t="e">
        <f>C515&amp;X515&amp;Y515</f>
        <v>#N/A</v>
      </c>
      <c r="AA515" t="e">
        <f>VLOOKUP($Z515,'oddspedia-matches'!$A:$AD,AA$2,0)</f>
        <v>#N/A</v>
      </c>
      <c r="AB515" t="e">
        <f>VLOOKUP($Z515,'oddspedia-matches'!$A:$AD,AB$2,0)</f>
        <v>#N/A</v>
      </c>
      <c r="AC515" t="e">
        <f>VLOOKUP($Z515,'oddspedia-matches'!$A:$AD,AC$2,0)</f>
        <v>#N/A</v>
      </c>
      <c r="AD515" t="e">
        <f>VLOOKUP($Z515,'oddspedia-matches'!$A:$AD,AD$2,0)</f>
        <v>#N/A</v>
      </c>
      <c r="AE515" t="e">
        <f>VLOOKUP($Z515,'oddspedia-matches'!$A:$AD,AE$2,0)</f>
        <v>#N/A</v>
      </c>
      <c r="AF515" t="e">
        <f>VLOOKUP($Z515,'oddspedia-matches'!$A:$AD,AF$2,0)</f>
        <v>#N/A</v>
      </c>
      <c r="AG515" t="e">
        <f>VLOOKUP($Z515,'oddspedia-matches'!$A:$AD,AG$2,0)</f>
        <v>#N/A</v>
      </c>
      <c r="AH515" t="e">
        <f>VLOOKUP($Z515,'oddspedia-matches'!$A:$AD,AH$2,0)</f>
        <v>#N/A</v>
      </c>
      <c r="AI515" t="e">
        <f>VLOOKUP($Z515,'oddspedia-matches'!$A:$AD,AI$2,0)</f>
        <v>#N/A</v>
      </c>
      <c r="AJ515" t="e">
        <f>VLOOKUP($Z515,'oddspedia-matches'!$A:$AD,AJ$2,0)</f>
        <v>#N/A</v>
      </c>
      <c r="AK515" t="e">
        <f>VLOOKUP($Z515,'oddspedia-matches'!$A:$AD,AK$2,0)</f>
        <v>#N/A</v>
      </c>
      <c r="AL515" t="e">
        <f>VLOOKUP($Z515,'oddspedia-matches'!$A:$AD,AL$2,0)</f>
        <v>#N/A</v>
      </c>
      <c r="AM515" t="e">
        <f>VLOOKUP($Z515,'oddspedia-matches'!$A:$AD,AM$2,0)</f>
        <v>#N/A</v>
      </c>
      <c r="AN515" t="e">
        <f>VLOOKUP($Z515,'oddspedia-matches'!$A:$AD,AN$2,0)</f>
        <v>#N/A</v>
      </c>
      <c r="AO515" t="e">
        <f>VLOOKUP($Z515,'oddspedia-matches'!$A:$AD,AO$2,0)</f>
        <v>#N/A</v>
      </c>
      <c r="AP515" t="e">
        <f>VLOOKUP($Z515,'oddspedia-matches'!$A:$AD,AP$2,0)</f>
        <v>#N/A</v>
      </c>
      <c r="AQ515" t="e">
        <f>VLOOKUP($Z515,'oddspedia-matches'!$A:$AD,AQ$2,0)</f>
        <v>#N/A</v>
      </c>
    </row>
    <row r="516" spans="2:43" x14ac:dyDescent="0.2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Zlatibor Cajetina</v>
      </c>
      <c r="Y516" t="e">
        <f>VLOOKUP(F516,'Transform table'!A:B,2,0)</f>
        <v>#N/A</v>
      </c>
      <c r="Z516" t="e">
        <f>C516&amp;X516&amp;Y516</f>
        <v>#N/A</v>
      </c>
      <c r="AA516" t="e">
        <f>VLOOKUP($Z516,'oddspedia-matches'!$A:$AD,AA$2,0)</f>
        <v>#N/A</v>
      </c>
      <c r="AB516" t="e">
        <f>VLOOKUP($Z516,'oddspedia-matches'!$A:$AD,AB$2,0)</f>
        <v>#N/A</v>
      </c>
      <c r="AC516" t="e">
        <f>VLOOKUP($Z516,'oddspedia-matches'!$A:$AD,AC$2,0)</f>
        <v>#N/A</v>
      </c>
      <c r="AD516" t="e">
        <f>VLOOKUP($Z516,'oddspedia-matches'!$A:$AD,AD$2,0)</f>
        <v>#N/A</v>
      </c>
      <c r="AE516" t="e">
        <f>VLOOKUP($Z516,'oddspedia-matches'!$A:$AD,AE$2,0)</f>
        <v>#N/A</v>
      </c>
      <c r="AF516" t="e">
        <f>VLOOKUP($Z516,'oddspedia-matches'!$A:$AD,AF$2,0)</f>
        <v>#N/A</v>
      </c>
      <c r="AG516" t="e">
        <f>VLOOKUP($Z516,'oddspedia-matches'!$A:$AD,AG$2,0)</f>
        <v>#N/A</v>
      </c>
      <c r="AH516" t="e">
        <f>VLOOKUP($Z516,'oddspedia-matches'!$A:$AD,AH$2,0)</f>
        <v>#N/A</v>
      </c>
      <c r="AI516" t="e">
        <f>VLOOKUP($Z516,'oddspedia-matches'!$A:$AD,AI$2,0)</f>
        <v>#N/A</v>
      </c>
      <c r="AJ516" t="e">
        <f>VLOOKUP($Z516,'oddspedia-matches'!$A:$AD,AJ$2,0)</f>
        <v>#N/A</v>
      </c>
      <c r="AK516" t="e">
        <f>VLOOKUP($Z516,'oddspedia-matches'!$A:$AD,AK$2,0)</f>
        <v>#N/A</v>
      </c>
      <c r="AL516" t="e">
        <f>VLOOKUP($Z516,'oddspedia-matches'!$A:$AD,AL$2,0)</f>
        <v>#N/A</v>
      </c>
      <c r="AM516" t="e">
        <f>VLOOKUP($Z516,'oddspedia-matches'!$A:$AD,AM$2,0)</f>
        <v>#N/A</v>
      </c>
      <c r="AN516" t="e">
        <f>VLOOKUP($Z516,'oddspedia-matches'!$A:$AD,AN$2,0)</f>
        <v>#N/A</v>
      </c>
      <c r="AO516" t="e">
        <f>VLOOKUP($Z516,'oddspedia-matches'!$A:$AD,AO$2,0)</f>
        <v>#N/A</v>
      </c>
      <c r="AP516" t="e">
        <f>VLOOKUP($Z516,'oddspedia-matches'!$A:$AD,AP$2,0)</f>
        <v>#N/A</v>
      </c>
      <c r="AQ516" t="e">
        <f>VLOOKUP($Z516,'oddspedia-matches'!$A:$AD,AQ$2,0)</f>
        <v>#N/A</v>
      </c>
    </row>
    <row r="517" spans="2:43" x14ac:dyDescent="0.2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>
        <f>VLOOKUP(E517,'Transform table'!A:B,2,0)</f>
        <v>0</v>
      </c>
      <c r="Y517" t="e">
        <f>VLOOKUP(F517,'Transform table'!A:B,2,0)</f>
        <v>#N/A</v>
      </c>
      <c r="Z517" t="e">
        <f>C517&amp;X517&amp;Y517</f>
        <v>#N/A</v>
      </c>
      <c r="AA517" t="e">
        <f>VLOOKUP($Z517,'oddspedia-matches'!$A:$AD,AA$2,0)</f>
        <v>#N/A</v>
      </c>
      <c r="AB517" t="e">
        <f>VLOOKUP($Z517,'oddspedia-matches'!$A:$AD,AB$2,0)</f>
        <v>#N/A</v>
      </c>
      <c r="AC517" t="e">
        <f>VLOOKUP($Z517,'oddspedia-matches'!$A:$AD,AC$2,0)</f>
        <v>#N/A</v>
      </c>
      <c r="AD517" t="e">
        <f>VLOOKUP($Z517,'oddspedia-matches'!$A:$AD,AD$2,0)</f>
        <v>#N/A</v>
      </c>
      <c r="AE517" t="e">
        <f>VLOOKUP($Z517,'oddspedia-matches'!$A:$AD,AE$2,0)</f>
        <v>#N/A</v>
      </c>
      <c r="AF517" t="e">
        <f>VLOOKUP($Z517,'oddspedia-matches'!$A:$AD,AF$2,0)</f>
        <v>#N/A</v>
      </c>
      <c r="AG517" t="e">
        <f>VLOOKUP($Z517,'oddspedia-matches'!$A:$AD,AG$2,0)</f>
        <v>#N/A</v>
      </c>
      <c r="AH517" t="e">
        <f>VLOOKUP($Z517,'oddspedia-matches'!$A:$AD,AH$2,0)</f>
        <v>#N/A</v>
      </c>
      <c r="AI517" t="e">
        <f>VLOOKUP($Z517,'oddspedia-matches'!$A:$AD,AI$2,0)</f>
        <v>#N/A</v>
      </c>
      <c r="AJ517" t="e">
        <f>VLOOKUP($Z517,'oddspedia-matches'!$A:$AD,AJ$2,0)</f>
        <v>#N/A</v>
      </c>
      <c r="AK517" t="e">
        <f>VLOOKUP($Z517,'oddspedia-matches'!$A:$AD,AK$2,0)</f>
        <v>#N/A</v>
      </c>
      <c r="AL517" t="e">
        <f>VLOOKUP($Z517,'oddspedia-matches'!$A:$AD,AL$2,0)</f>
        <v>#N/A</v>
      </c>
      <c r="AM517" t="e">
        <f>VLOOKUP($Z517,'oddspedia-matches'!$A:$AD,AM$2,0)</f>
        <v>#N/A</v>
      </c>
      <c r="AN517" t="e">
        <f>VLOOKUP($Z517,'oddspedia-matches'!$A:$AD,AN$2,0)</f>
        <v>#N/A</v>
      </c>
      <c r="AO517" t="e">
        <f>VLOOKUP($Z517,'oddspedia-matches'!$A:$AD,AO$2,0)</f>
        <v>#N/A</v>
      </c>
      <c r="AP517" t="e">
        <f>VLOOKUP($Z517,'oddspedia-matches'!$A:$AD,AP$2,0)</f>
        <v>#N/A</v>
      </c>
      <c r="AQ517" t="e">
        <f>VLOOKUP($Z517,'oddspedia-matches'!$A:$AD,AQ$2,0)</f>
        <v>#N/A</v>
      </c>
    </row>
    <row r="518" spans="2:43" x14ac:dyDescent="0.2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KAPYLAN PALLO</v>
      </c>
      <c r="Y518" t="e">
        <f>VLOOKUP(F518,'Transform table'!A:B,2,0)</f>
        <v>#N/A</v>
      </c>
      <c r="Z518" t="e">
        <f>C518&amp;X518&amp;Y518</f>
        <v>#N/A</v>
      </c>
      <c r="AA518" t="e">
        <f>VLOOKUP($Z518,'oddspedia-matches'!$A:$AD,AA$2,0)</f>
        <v>#N/A</v>
      </c>
      <c r="AB518" t="e">
        <f>VLOOKUP($Z518,'oddspedia-matches'!$A:$AD,AB$2,0)</f>
        <v>#N/A</v>
      </c>
      <c r="AC518" t="e">
        <f>VLOOKUP($Z518,'oddspedia-matches'!$A:$AD,AC$2,0)</f>
        <v>#N/A</v>
      </c>
      <c r="AD518" t="e">
        <f>VLOOKUP($Z518,'oddspedia-matches'!$A:$AD,AD$2,0)</f>
        <v>#N/A</v>
      </c>
      <c r="AE518" t="e">
        <f>VLOOKUP($Z518,'oddspedia-matches'!$A:$AD,AE$2,0)</f>
        <v>#N/A</v>
      </c>
      <c r="AF518" t="e">
        <f>VLOOKUP($Z518,'oddspedia-matches'!$A:$AD,AF$2,0)</f>
        <v>#N/A</v>
      </c>
      <c r="AG518" t="e">
        <f>VLOOKUP($Z518,'oddspedia-matches'!$A:$AD,AG$2,0)</f>
        <v>#N/A</v>
      </c>
      <c r="AH518" t="e">
        <f>VLOOKUP($Z518,'oddspedia-matches'!$A:$AD,AH$2,0)</f>
        <v>#N/A</v>
      </c>
      <c r="AI518" t="e">
        <f>VLOOKUP($Z518,'oddspedia-matches'!$A:$AD,AI$2,0)</f>
        <v>#N/A</v>
      </c>
      <c r="AJ518" t="e">
        <f>VLOOKUP($Z518,'oddspedia-matches'!$A:$AD,AJ$2,0)</f>
        <v>#N/A</v>
      </c>
      <c r="AK518" t="e">
        <f>VLOOKUP($Z518,'oddspedia-matches'!$A:$AD,AK$2,0)</f>
        <v>#N/A</v>
      </c>
      <c r="AL518" t="e">
        <f>VLOOKUP($Z518,'oddspedia-matches'!$A:$AD,AL$2,0)</f>
        <v>#N/A</v>
      </c>
      <c r="AM518" t="e">
        <f>VLOOKUP($Z518,'oddspedia-matches'!$A:$AD,AM$2,0)</f>
        <v>#N/A</v>
      </c>
      <c r="AN518" t="e">
        <f>VLOOKUP($Z518,'oddspedia-matches'!$A:$AD,AN$2,0)</f>
        <v>#N/A</v>
      </c>
      <c r="AO518" t="e">
        <f>VLOOKUP($Z518,'oddspedia-matches'!$A:$AD,AO$2,0)</f>
        <v>#N/A</v>
      </c>
      <c r="AP518" t="e">
        <f>VLOOKUP($Z518,'oddspedia-matches'!$A:$AD,AP$2,0)</f>
        <v>#N/A</v>
      </c>
      <c r="AQ518" t="e">
        <f>VLOOKUP($Z518,'oddspedia-matches'!$A:$AD,AQ$2,0)</f>
        <v>#N/A</v>
      </c>
    </row>
    <row r="519" spans="2:43" x14ac:dyDescent="0.2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BK Hacken</v>
      </c>
      <c r="Y519" t="e">
        <f>VLOOKUP(F519,'Transform table'!A:B,2,0)</f>
        <v>#N/A</v>
      </c>
      <c r="Z519" t="e">
        <f>C519&amp;X519&amp;Y519</f>
        <v>#N/A</v>
      </c>
      <c r="AA519" t="e">
        <f>VLOOKUP($Z519,'oddspedia-matches'!$A:$AD,AA$2,0)</f>
        <v>#N/A</v>
      </c>
      <c r="AB519" t="e">
        <f>VLOOKUP($Z519,'oddspedia-matches'!$A:$AD,AB$2,0)</f>
        <v>#N/A</v>
      </c>
      <c r="AC519" t="e">
        <f>VLOOKUP($Z519,'oddspedia-matches'!$A:$AD,AC$2,0)</f>
        <v>#N/A</v>
      </c>
      <c r="AD519" t="e">
        <f>VLOOKUP($Z519,'oddspedia-matches'!$A:$AD,AD$2,0)</f>
        <v>#N/A</v>
      </c>
      <c r="AE519" t="e">
        <f>VLOOKUP($Z519,'oddspedia-matches'!$A:$AD,AE$2,0)</f>
        <v>#N/A</v>
      </c>
      <c r="AF519" t="e">
        <f>VLOOKUP($Z519,'oddspedia-matches'!$A:$AD,AF$2,0)</f>
        <v>#N/A</v>
      </c>
      <c r="AG519" t="e">
        <f>VLOOKUP($Z519,'oddspedia-matches'!$A:$AD,AG$2,0)</f>
        <v>#N/A</v>
      </c>
      <c r="AH519" t="e">
        <f>VLOOKUP($Z519,'oddspedia-matches'!$A:$AD,AH$2,0)</f>
        <v>#N/A</v>
      </c>
      <c r="AI519" t="e">
        <f>VLOOKUP($Z519,'oddspedia-matches'!$A:$AD,AI$2,0)</f>
        <v>#N/A</v>
      </c>
      <c r="AJ519" t="e">
        <f>VLOOKUP($Z519,'oddspedia-matches'!$A:$AD,AJ$2,0)</f>
        <v>#N/A</v>
      </c>
      <c r="AK519" t="e">
        <f>VLOOKUP($Z519,'oddspedia-matches'!$A:$AD,AK$2,0)</f>
        <v>#N/A</v>
      </c>
      <c r="AL519" t="e">
        <f>VLOOKUP($Z519,'oddspedia-matches'!$A:$AD,AL$2,0)</f>
        <v>#N/A</v>
      </c>
      <c r="AM519" t="e">
        <f>VLOOKUP($Z519,'oddspedia-matches'!$A:$AD,AM$2,0)</f>
        <v>#N/A</v>
      </c>
      <c r="AN519" t="e">
        <f>VLOOKUP($Z519,'oddspedia-matches'!$A:$AD,AN$2,0)</f>
        <v>#N/A</v>
      </c>
      <c r="AO519" t="e">
        <f>VLOOKUP($Z519,'oddspedia-matches'!$A:$AD,AO$2,0)</f>
        <v>#N/A</v>
      </c>
      <c r="AP519" t="e">
        <f>VLOOKUP($Z519,'oddspedia-matches'!$A:$AD,AP$2,0)</f>
        <v>#N/A</v>
      </c>
      <c r="AQ519" t="e">
        <f>VLOOKUP($Z519,'oddspedia-matches'!$A:$AD,AQ$2,0)</f>
        <v>#N/A</v>
      </c>
    </row>
    <row r="520" spans="2:43" x14ac:dyDescent="0.2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Oldham</v>
      </c>
      <c r="Y520" t="e">
        <f>VLOOKUP(F520,'Transform table'!A:B,2,0)</f>
        <v>#N/A</v>
      </c>
      <c r="Z520" t="e">
        <f>C520&amp;X520&amp;Y520</f>
        <v>#N/A</v>
      </c>
      <c r="AA520" t="e">
        <f>VLOOKUP($Z520,'oddspedia-matches'!$A:$AD,AA$2,0)</f>
        <v>#N/A</v>
      </c>
      <c r="AB520" t="e">
        <f>VLOOKUP($Z520,'oddspedia-matches'!$A:$AD,AB$2,0)</f>
        <v>#N/A</v>
      </c>
      <c r="AC520" t="e">
        <f>VLOOKUP($Z520,'oddspedia-matches'!$A:$AD,AC$2,0)</f>
        <v>#N/A</v>
      </c>
      <c r="AD520" t="e">
        <f>VLOOKUP($Z520,'oddspedia-matches'!$A:$AD,AD$2,0)</f>
        <v>#N/A</v>
      </c>
      <c r="AE520" t="e">
        <f>VLOOKUP($Z520,'oddspedia-matches'!$A:$AD,AE$2,0)</f>
        <v>#N/A</v>
      </c>
      <c r="AF520" t="e">
        <f>VLOOKUP($Z520,'oddspedia-matches'!$A:$AD,AF$2,0)</f>
        <v>#N/A</v>
      </c>
      <c r="AG520" t="e">
        <f>VLOOKUP($Z520,'oddspedia-matches'!$A:$AD,AG$2,0)</f>
        <v>#N/A</v>
      </c>
      <c r="AH520" t="e">
        <f>VLOOKUP($Z520,'oddspedia-matches'!$A:$AD,AH$2,0)</f>
        <v>#N/A</v>
      </c>
      <c r="AI520" t="e">
        <f>VLOOKUP($Z520,'oddspedia-matches'!$A:$AD,AI$2,0)</f>
        <v>#N/A</v>
      </c>
      <c r="AJ520" t="e">
        <f>VLOOKUP($Z520,'oddspedia-matches'!$A:$AD,AJ$2,0)</f>
        <v>#N/A</v>
      </c>
      <c r="AK520" t="e">
        <f>VLOOKUP($Z520,'oddspedia-matches'!$A:$AD,AK$2,0)</f>
        <v>#N/A</v>
      </c>
      <c r="AL520" t="e">
        <f>VLOOKUP($Z520,'oddspedia-matches'!$A:$AD,AL$2,0)</f>
        <v>#N/A</v>
      </c>
      <c r="AM520" t="e">
        <f>VLOOKUP($Z520,'oddspedia-matches'!$A:$AD,AM$2,0)</f>
        <v>#N/A</v>
      </c>
      <c r="AN520" t="e">
        <f>VLOOKUP($Z520,'oddspedia-matches'!$A:$AD,AN$2,0)</f>
        <v>#N/A</v>
      </c>
      <c r="AO520" t="e">
        <f>VLOOKUP($Z520,'oddspedia-matches'!$A:$AD,AO$2,0)</f>
        <v>#N/A</v>
      </c>
      <c r="AP520" t="e">
        <f>VLOOKUP($Z520,'oddspedia-matches'!$A:$AD,AP$2,0)</f>
        <v>#N/A</v>
      </c>
      <c r="AQ520" t="e">
        <f>VLOOKUP($Z520,'oddspedia-matches'!$A:$AD,AQ$2,0)</f>
        <v>#N/A</v>
      </c>
    </row>
    <row r="521" spans="2:43" x14ac:dyDescent="0.2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Oxford United</v>
      </c>
      <c r="Y521" t="e">
        <f>VLOOKUP(F521,'Transform table'!A:B,2,0)</f>
        <v>#N/A</v>
      </c>
      <c r="Z521" t="e">
        <f>C521&amp;X521&amp;Y521</f>
        <v>#N/A</v>
      </c>
      <c r="AA521" t="e">
        <f>VLOOKUP($Z521,'oddspedia-matches'!$A:$AD,AA$2,0)</f>
        <v>#N/A</v>
      </c>
      <c r="AB521" t="e">
        <f>VLOOKUP($Z521,'oddspedia-matches'!$A:$AD,AB$2,0)</f>
        <v>#N/A</v>
      </c>
      <c r="AC521" t="e">
        <f>VLOOKUP($Z521,'oddspedia-matches'!$A:$AD,AC$2,0)</f>
        <v>#N/A</v>
      </c>
      <c r="AD521" t="e">
        <f>VLOOKUP($Z521,'oddspedia-matches'!$A:$AD,AD$2,0)</f>
        <v>#N/A</v>
      </c>
      <c r="AE521" t="e">
        <f>VLOOKUP($Z521,'oddspedia-matches'!$A:$AD,AE$2,0)</f>
        <v>#N/A</v>
      </c>
      <c r="AF521" t="e">
        <f>VLOOKUP($Z521,'oddspedia-matches'!$A:$AD,AF$2,0)</f>
        <v>#N/A</v>
      </c>
      <c r="AG521" t="e">
        <f>VLOOKUP($Z521,'oddspedia-matches'!$A:$AD,AG$2,0)</f>
        <v>#N/A</v>
      </c>
      <c r="AH521" t="e">
        <f>VLOOKUP($Z521,'oddspedia-matches'!$A:$AD,AH$2,0)</f>
        <v>#N/A</v>
      </c>
      <c r="AI521" t="e">
        <f>VLOOKUP($Z521,'oddspedia-matches'!$A:$AD,AI$2,0)</f>
        <v>#N/A</v>
      </c>
      <c r="AJ521" t="e">
        <f>VLOOKUP($Z521,'oddspedia-matches'!$A:$AD,AJ$2,0)</f>
        <v>#N/A</v>
      </c>
      <c r="AK521" t="e">
        <f>VLOOKUP($Z521,'oddspedia-matches'!$A:$AD,AK$2,0)</f>
        <v>#N/A</v>
      </c>
      <c r="AL521" t="e">
        <f>VLOOKUP($Z521,'oddspedia-matches'!$A:$AD,AL$2,0)</f>
        <v>#N/A</v>
      </c>
      <c r="AM521" t="e">
        <f>VLOOKUP($Z521,'oddspedia-matches'!$A:$AD,AM$2,0)</f>
        <v>#N/A</v>
      </c>
      <c r="AN521" t="e">
        <f>VLOOKUP($Z521,'oddspedia-matches'!$A:$AD,AN$2,0)</f>
        <v>#N/A</v>
      </c>
      <c r="AO521" t="e">
        <f>VLOOKUP($Z521,'oddspedia-matches'!$A:$AD,AO$2,0)</f>
        <v>#N/A</v>
      </c>
      <c r="AP521" t="e">
        <f>VLOOKUP($Z521,'oddspedia-matches'!$A:$AD,AP$2,0)</f>
        <v>#N/A</v>
      </c>
      <c r="AQ521" t="e">
        <f>VLOOKUP($Z521,'oddspedia-matches'!$A:$AD,AQ$2,0)</f>
        <v>#N/A</v>
      </c>
    </row>
    <row r="522" spans="2:43" x14ac:dyDescent="0.2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f>VLOOKUP(E522,'Transform table'!A:B,2,0)</f>
        <v>0</v>
      </c>
      <c r="Y522" t="e">
        <f>VLOOKUP(F522,'Transform table'!A:B,2,0)</f>
        <v>#N/A</v>
      </c>
      <c r="Z522" t="e">
        <f>C522&amp;X522&amp;Y522</f>
        <v>#N/A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tr">
        <f>VLOOKUP(E523,'Transform table'!A:B,2,0)</f>
        <v>Fenerbahce</v>
      </c>
      <c r="Y523" t="e">
        <f>VLOOKUP(F523,'Transform table'!A:B,2,0)</f>
        <v>#N/A</v>
      </c>
      <c r="Z523" t="e">
        <f>C523&amp;X523&amp;Y523</f>
        <v>#N/A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str">
        <f>VLOOKUP(E524,'Transform table'!A:B,2,0)</f>
        <v>Sacachispas</v>
      </c>
      <c r="Y524" t="e">
        <f>VLOOKUP(F524,'Transform table'!A:B,2,0)</f>
        <v>#N/A</v>
      </c>
      <c r="Z524" t="e">
        <f>C524&amp;X524&amp;Y524</f>
        <v>#N/A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e">
        <f>VLOOKUP(F525,'Transform table'!A:B,2,0)</f>
        <v>#N/A</v>
      </c>
      <c r="Z525" t="e">
        <f>C525&amp;X525&amp;Y525</f>
        <v>#N/A</v>
      </c>
      <c r="AA525" t="e">
        <f>VLOOKUP($Z525,'oddspedia-matches'!$A:$AD,AA$2,0)</f>
        <v>#N/A</v>
      </c>
      <c r="AB525" t="e">
        <f>VLOOKUP($Z525,'oddspedia-matches'!$A:$AD,AB$2,0)</f>
        <v>#N/A</v>
      </c>
      <c r="AC525" t="e">
        <f>VLOOKUP($Z525,'oddspedia-matches'!$A:$AD,AC$2,0)</f>
        <v>#N/A</v>
      </c>
      <c r="AD525" t="e">
        <f>VLOOKUP($Z525,'oddspedia-matches'!$A:$AD,AD$2,0)</f>
        <v>#N/A</v>
      </c>
      <c r="AE525" t="e">
        <f>VLOOKUP($Z525,'oddspedia-matches'!$A:$AD,AE$2,0)</f>
        <v>#N/A</v>
      </c>
      <c r="AF525" t="e">
        <f>VLOOKUP($Z525,'oddspedia-matches'!$A:$AD,AF$2,0)</f>
        <v>#N/A</v>
      </c>
      <c r="AG525" t="e">
        <f>VLOOKUP($Z525,'oddspedia-matches'!$A:$AD,AG$2,0)</f>
        <v>#N/A</v>
      </c>
      <c r="AH525" t="e">
        <f>VLOOKUP($Z525,'oddspedia-matches'!$A:$AD,AH$2,0)</f>
        <v>#N/A</v>
      </c>
      <c r="AI525" t="e">
        <f>VLOOKUP($Z525,'oddspedia-matches'!$A:$AD,AI$2,0)</f>
        <v>#N/A</v>
      </c>
      <c r="AJ525" t="e">
        <f>VLOOKUP($Z525,'oddspedia-matches'!$A:$AD,AJ$2,0)</f>
        <v>#N/A</v>
      </c>
      <c r="AK525" t="e">
        <f>VLOOKUP($Z525,'oddspedia-matches'!$A:$AD,AK$2,0)</f>
        <v>#N/A</v>
      </c>
      <c r="AL525" t="e">
        <f>VLOOKUP($Z525,'oddspedia-matches'!$A:$AD,AL$2,0)</f>
        <v>#N/A</v>
      </c>
      <c r="AM525" t="e">
        <f>VLOOKUP($Z525,'oddspedia-matches'!$A:$AD,AM$2,0)</f>
        <v>#N/A</v>
      </c>
      <c r="AN525" t="e">
        <f>VLOOKUP($Z525,'oddspedia-matches'!$A:$AD,AN$2,0)</f>
        <v>#N/A</v>
      </c>
      <c r="AO525" t="e">
        <f>VLOOKUP($Z525,'oddspedia-matches'!$A:$AD,AO$2,0)</f>
        <v>#N/A</v>
      </c>
      <c r="AP525" t="e">
        <f>VLOOKUP($Z525,'oddspedia-matches'!$A:$AD,AP$2,0)</f>
        <v>#N/A</v>
      </c>
      <c r="AQ525" t="e">
        <f>VLOOKUP($Z525,'oddspedia-matches'!$A:$AD,AQ$2,0)</f>
        <v>#N/A</v>
      </c>
    </row>
    <row r="526" spans="2:43" x14ac:dyDescent="0.2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e">
        <f>VLOOKUP(F526,'Transform table'!A:B,2,0)</f>
        <v>#N/A</v>
      </c>
      <c r="Z526" t="e">
        <f>C526&amp;X526&amp;Y526</f>
        <v>#N/A</v>
      </c>
      <c r="AA526" t="e">
        <f>VLOOKUP($Z526,'oddspedia-matches'!$A:$AD,AA$2,0)</f>
        <v>#N/A</v>
      </c>
      <c r="AB526" t="e">
        <f>VLOOKUP($Z526,'oddspedia-matches'!$A:$AD,AB$2,0)</f>
        <v>#N/A</v>
      </c>
      <c r="AC526" t="e">
        <f>VLOOKUP($Z526,'oddspedia-matches'!$A:$AD,AC$2,0)</f>
        <v>#N/A</v>
      </c>
      <c r="AD526" t="e">
        <f>VLOOKUP($Z526,'oddspedia-matches'!$A:$AD,AD$2,0)</f>
        <v>#N/A</v>
      </c>
      <c r="AE526" t="e">
        <f>VLOOKUP($Z526,'oddspedia-matches'!$A:$AD,AE$2,0)</f>
        <v>#N/A</v>
      </c>
      <c r="AF526" t="e">
        <f>VLOOKUP($Z526,'oddspedia-matches'!$A:$AD,AF$2,0)</f>
        <v>#N/A</v>
      </c>
      <c r="AG526" t="e">
        <f>VLOOKUP($Z526,'oddspedia-matches'!$A:$AD,AG$2,0)</f>
        <v>#N/A</v>
      </c>
      <c r="AH526" t="e">
        <f>VLOOKUP($Z526,'oddspedia-matches'!$A:$AD,AH$2,0)</f>
        <v>#N/A</v>
      </c>
      <c r="AI526" t="e">
        <f>VLOOKUP($Z526,'oddspedia-matches'!$A:$AD,AI$2,0)</f>
        <v>#N/A</v>
      </c>
      <c r="AJ526" t="e">
        <f>VLOOKUP($Z526,'oddspedia-matches'!$A:$AD,AJ$2,0)</f>
        <v>#N/A</v>
      </c>
      <c r="AK526" t="e">
        <f>VLOOKUP($Z526,'oddspedia-matches'!$A:$AD,AK$2,0)</f>
        <v>#N/A</v>
      </c>
      <c r="AL526" t="e">
        <f>VLOOKUP($Z526,'oddspedia-matches'!$A:$AD,AL$2,0)</f>
        <v>#N/A</v>
      </c>
      <c r="AM526" t="e">
        <f>VLOOKUP($Z526,'oddspedia-matches'!$A:$AD,AM$2,0)</f>
        <v>#N/A</v>
      </c>
      <c r="AN526" t="e">
        <f>VLOOKUP($Z526,'oddspedia-matches'!$A:$AD,AN$2,0)</f>
        <v>#N/A</v>
      </c>
      <c r="AO526" t="e">
        <f>VLOOKUP($Z526,'oddspedia-matches'!$A:$AD,AO$2,0)</f>
        <v>#N/A</v>
      </c>
      <c r="AP526" t="e">
        <f>VLOOKUP($Z526,'oddspedia-matches'!$A:$AD,AP$2,0)</f>
        <v>#N/A</v>
      </c>
      <c r="AQ526" t="e">
        <f>VLOOKUP($Z526,'oddspedia-matches'!$A:$AD,AQ$2,0)</f>
        <v>#N/A</v>
      </c>
    </row>
    <row r="527" spans="2:43" x14ac:dyDescent="0.2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Bohemian</v>
      </c>
      <c r="Y527" t="e">
        <f>VLOOKUP(F527,'Transform table'!A:B,2,0)</f>
        <v>#N/A</v>
      </c>
      <c r="Z527" t="e">
        <f>C527&amp;X527&amp;Y527</f>
        <v>#N/A</v>
      </c>
      <c r="AA527" t="e">
        <f>VLOOKUP($Z527,'oddspedia-matches'!$A:$AD,AA$2,0)</f>
        <v>#N/A</v>
      </c>
      <c r="AB527" t="e">
        <f>VLOOKUP($Z527,'oddspedia-matches'!$A:$AD,AB$2,0)</f>
        <v>#N/A</v>
      </c>
      <c r="AC527" t="e">
        <f>VLOOKUP($Z527,'oddspedia-matches'!$A:$AD,AC$2,0)</f>
        <v>#N/A</v>
      </c>
      <c r="AD527" t="e">
        <f>VLOOKUP($Z527,'oddspedia-matches'!$A:$AD,AD$2,0)</f>
        <v>#N/A</v>
      </c>
      <c r="AE527" t="e">
        <f>VLOOKUP($Z527,'oddspedia-matches'!$A:$AD,AE$2,0)</f>
        <v>#N/A</v>
      </c>
      <c r="AF527" t="e">
        <f>VLOOKUP($Z527,'oddspedia-matches'!$A:$AD,AF$2,0)</f>
        <v>#N/A</v>
      </c>
      <c r="AG527" t="e">
        <f>VLOOKUP($Z527,'oddspedia-matches'!$A:$AD,AG$2,0)</f>
        <v>#N/A</v>
      </c>
      <c r="AH527" t="e">
        <f>VLOOKUP($Z527,'oddspedia-matches'!$A:$AD,AH$2,0)</f>
        <v>#N/A</v>
      </c>
      <c r="AI527" t="e">
        <f>VLOOKUP($Z527,'oddspedia-matches'!$A:$AD,AI$2,0)</f>
        <v>#N/A</v>
      </c>
      <c r="AJ527" t="e">
        <f>VLOOKUP($Z527,'oddspedia-matches'!$A:$AD,AJ$2,0)</f>
        <v>#N/A</v>
      </c>
      <c r="AK527" t="e">
        <f>VLOOKUP($Z527,'oddspedia-matches'!$A:$AD,AK$2,0)</f>
        <v>#N/A</v>
      </c>
      <c r="AL527" t="e">
        <f>VLOOKUP($Z527,'oddspedia-matches'!$A:$AD,AL$2,0)</f>
        <v>#N/A</v>
      </c>
      <c r="AM527" t="e">
        <f>VLOOKUP($Z527,'oddspedia-matches'!$A:$AD,AM$2,0)</f>
        <v>#N/A</v>
      </c>
      <c r="AN527" t="e">
        <f>VLOOKUP($Z527,'oddspedia-matches'!$A:$AD,AN$2,0)</f>
        <v>#N/A</v>
      </c>
      <c r="AO527" t="e">
        <f>VLOOKUP($Z527,'oddspedia-matches'!$A:$AD,AO$2,0)</f>
        <v>#N/A</v>
      </c>
      <c r="AP527" t="e">
        <f>VLOOKUP($Z527,'oddspedia-matches'!$A:$AD,AP$2,0)</f>
        <v>#N/A</v>
      </c>
      <c r="AQ527" t="e">
        <f>VLOOKUP($Z527,'oddspedia-matches'!$A:$AD,AQ$2,0)</f>
        <v>#N/A</v>
      </c>
    </row>
    <row r="528" spans="2:43" x14ac:dyDescent="0.2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San Antonio Cotacachi</v>
      </c>
      <c r="Y528" t="e">
        <f>VLOOKUP(F528,'Transform table'!A:B,2,0)</f>
        <v>#N/A</v>
      </c>
      <c r="Z528" t="e">
        <f>C528&amp;X528&amp;Y528</f>
        <v>#N/A</v>
      </c>
      <c r="AA528" t="e">
        <f>VLOOKUP($Z528,'oddspedia-matches'!$A:$AD,AA$2,0)</f>
        <v>#N/A</v>
      </c>
      <c r="AB528" t="e">
        <f>VLOOKUP($Z528,'oddspedia-matches'!$A:$AD,AB$2,0)</f>
        <v>#N/A</v>
      </c>
      <c r="AC528" t="e">
        <f>VLOOKUP($Z528,'oddspedia-matches'!$A:$AD,AC$2,0)</f>
        <v>#N/A</v>
      </c>
      <c r="AD528" t="e">
        <f>VLOOKUP($Z528,'oddspedia-matches'!$A:$AD,AD$2,0)</f>
        <v>#N/A</v>
      </c>
      <c r="AE528" t="e">
        <f>VLOOKUP($Z528,'oddspedia-matches'!$A:$AD,AE$2,0)</f>
        <v>#N/A</v>
      </c>
      <c r="AF528" t="e">
        <f>VLOOKUP($Z528,'oddspedia-matches'!$A:$AD,AF$2,0)</f>
        <v>#N/A</v>
      </c>
      <c r="AG528" t="e">
        <f>VLOOKUP($Z528,'oddspedia-matches'!$A:$AD,AG$2,0)</f>
        <v>#N/A</v>
      </c>
      <c r="AH528" t="e">
        <f>VLOOKUP($Z528,'oddspedia-matches'!$A:$AD,AH$2,0)</f>
        <v>#N/A</v>
      </c>
      <c r="AI528" t="e">
        <f>VLOOKUP($Z528,'oddspedia-matches'!$A:$AD,AI$2,0)</f>
        <v>#N/A</v>
      </c>
      <c r="AJ528" t="e">
        <f>VLOOKUP($Z528,'oddspedia-matches'!$A:$AD,AJ$2,0)</f>
        <v>#N/A</v>
      </c>
      <c r="AK528" t="e">
        <f>VLOOKUP($Z528,'oddspedia-matches'!$A:$AD,AK$2,0)</f>
        <v>#N/A</v>
      </c>
      <c r="AL528" t="e">
        <f>VLOOKUP($Z528,'oddspedia-matches'!$A:$AD,AL$2,0)</f>
        <v>#N/A</v>
      </c>
      <c r="AM528" t="e">
        <f>VLOOKUP($Z528,'oddspedia-matches'!$A:$AD,AM$2,0)</f>
        <v>#N/A</v>
      </c>
      <c r="AN528" t="e">
        <f>VLOOKUP($Z528,'oddspedia-matches'!$A:$AD,AN$2,0)</f>
        <v>#N/A</v>
      </c>
      <c r="AO528" t="e">
        <f>VLOOKUP($Z528,'oddspedia-matches'!$A:$AD,AO$2,0)</f>
        <v>#N/A</v>
      </c>
      <c r="AP528" t="e">
        <f>VLOOKUP($Z528,'oddspedia-matches'!$A:$AD,AP$2,0)</f>
        <v>#N/A</v>
      </c>
      <c r="AQ528" t="e">
        <f>VLOOKUP($Z528,'oddspedia-matches'!$A:$AD,AQ$2,0)</f>
        <v>#N/A</v>
      </c>
    </row>
    <row r="529" spans="2:43" x14ac:dyDescent="0.2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>C529&amp;X529&amp;Y529</f>
        <v>27/07/2026Mushuc RunaLibertad Loja</v>
      </c>
      <c r="AA529" t="e">
        <f>VLOOKUP($Z529,'oddspedia-matches'!$A:$AD,AA$2,0)</f>
        <v>#N/A</v>
      </c>
      <c r="AB529" t="e">
        <f>VLOOKUP($Z529,'oddspedia-matches'!$A:$AD,AB$2,0)</f>
        <v>#N/A</v>
      </c>
      <c r="AC529" t="e">
        <f>VLOOKUP($Z529,'oddspedia-matches'!$A:$AD,AC$2,0)</f>
        <v>#N/A</v>
      </c>
      <c r="AD529" t="e">
        <f>VLOOKUP($Z529,'oddspedia-matches'!$A:$AD,AD$2,0)</f>
        <v>#N/A</v>
      </c>
      <c r="AE529" t="e">
        <f>VLOOKUP($Z529,'oddspedia-matches'!$A:$AD,AE$2,0)</f>
        <v>#N/A</v>
      </c>
      <c r="AF529" t="e">
        <f>VLOOKUP($Z529,'oddspedia-matches'!$A:$AD,AF$2,0)</f>
        <v>#N/A</v>
      </c>
      <c r="AG529" t="e">
        <f>VLOOKUP($Z529,'oddspedia-matches'!$A:$AD,AG$2,0)</f>
        <v>#N/A</v>
      </c>
      <c r="AH529" t="e">
        <f>VLOOKUP($Z529,'oddspedia-matches'!$A:$AD,AH$2,0)</f>
        <v>#N/A</v>
      </c>
      <c r="AI529" t="e">
        <f>VLOOKUP($Z529,'oddspedia-matches'!$A:$AD,AI$2,0)</f>
        <v>#N/A</v>
      </c>
      <c r="AJ529" t="e">
        <f>VLOOKUP($Z529,'oddspedia-matches'!$A:$AD,AJ$2,0)</f>
        <v>#N/A</v>
      </c>
      <c r="AK529" t="e">
        <f>VLOOKUP($Z529,'oddspedia-matches'!$A:$AD,AK$2,0)</f>
        <v>#N/A</v>
      </c>
      <c r="AL529" t="e">
        <f>VLOOKUP($Z529,'oddspedia-matches'!$A:$AD,AL$2,0)</f>
        <v>#N/A</v>
      </c>
      <c r="AM529" t="e">
        <f>VLOOKUP($Z529,'oddspedia-matches'!$A:$AD,AM$2,0)</f>
        <v>#N/A</v>
      </c>
      <c r="AN529" t="e">
        <f>VLOOKUP($Z529,'oddspedia-matches'!$A:$AD,AN$2,0)</f>
        <v>#N/A</v>
      </c>
      <c r="AO529" t="e">
        <f>VLOOKUP($Z529,'oddspedia-matches'!$A:$AD,AO$2,0)</f>
        <v>#N/A</v>
      </c>
      <c r="AP529" t="e">
        <f>VLOOKUP($Z529,'oddspedia-matches'!$A:$AD,AP$2,0)</f>
        <v>#N/A</v>
      </c>
      <c r="AQ529" t="e">
        <f>VLOOKUP($Z529,'oddspedia-matches'!$A:$AD,AQ$2,0)</f>
        <v>#N/A</v>
      </c>
    </row>
    <row r="530" spans="2:43" x14ac:dyDescent="0.2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Hafnarfjordur</v>
      </c>
      <c r="Y530" t="e">
        <f>VLOOKUP(F530,'Transform table'!A:B,2,0)</f>
        <v>#N/A</v>
      </c>
      <c r="Z530" t="e">
        <f>C530&amp;X530&amp;Y530</f>
        <v>#N/A</v>
      </c>
      <c r="AA530" t="e">
        <f>VLOOKUP($Z530,'oddspedia-matches'!$A:$AD,AA$2,0)</f>
        <v>#N/A</v>
      </c>
      <c r="AB530" t="e">
        <f>VLOOKUP($Z530,'oddspedia-matches'!$A:$AD,AB$2,0)</f>
        <v>#N/A</v>
      </c>
      <c r="AC530" t="e">
        <f>VLOOKUP($Z530,'oddspedia-matches'!$A:$AD,AC$2,0)</f>
        <v>#N/A</v>
      </c>
      <c r="AD530" t="e">
        <f>VLOOKUP($Z530,'oddspedia-matches'!$A:$AD,AD$2,0)</f>
        <v>#N/A</v>
      </c>
      <c r="AE530" t="e">
        <f>VLOOKUP($Z530,'oddspedia-matches'!$A:$AD,AE$2,0)</f>
        <v>#N/A</v>
      </c>
      <c r="AF530" t="e">
        <f>VLOOKUP($Z530,'oddspedia-matches'!$A:$AD,AF$2,0)</f>
        <v>#N/A</v>
      </c>
      <c r="AG530" t="e">
        <f>VLOOKUP($Z530,'oddspedia-matches'!$A:$AD,AG$2,0)</f>
        <v>#N/A</v>
      </c>
      <c r="AH530" t="e">
        <f>VLOOKUP($Z530,'oddspedia-matches'!$A:$AD,AH$2,0)</f>
        <v>#N/A</v>
      </c>
      <c r="AI530" t="e">
        <f>VLOOKUP($Z530,'oddspedia-matches'!$A:$AD,AI$2,0)</f>
        <v>#N/A</v>
      </c>
      <c r="AJ530" t="e">
        <f>VLOOKUP($Z530,'oddspedia-matches'!$A:$AD,AJ$2,0)</f>
        <v>#N/A</v>
      </c>
      <c r="AK530" t="e">
        <f>VLOOKUP($Z530,'oddspedia-matches'!$A:$AD,AK$2,0)</f>
        <v>#N/A</v>
      </c>
      <c r="AL530" t="e">
        <f>VLOOKUP($Z530,'oddspedia-matches'!$A:$AD,AL$2,0)</f>
        <v>#N/A</v>
      </c>
      <c r="AM530" t="e">
        <f>VLOOKUP($Z530,'oddspedia-matches'!$A:$AD,AM$2,0)</f>
        <v>#N/A</v>
      </c>
      <c r="AN530" t="e">
        <f>VLOOKUP($Z530,'oddspedia-matches'!$A:$AD,AN$2,0)</f>
        <v>#N/A</v>
      </c>
      <c r="AO530" t="e">
        <f>VLOOKUP($Z530,'oddspedia-matches'!$A:$AD,AO$2,0)</f>
        <v>#N/A</v>
      </c>
      <c r="AP530" t="e">
        <f>VLOOKUP($Z530,'oddspedia-matches'!$A:$AD,AP$2,0)</f>
        <v>#N/A</v>
      </c>
      <c r="AQ530" t="e">
        <f>VLOOKUP($Z530,'oddspedia-matches'!$A:$AD,AQ$2,0)</f>
        <v>#N/A</v>
      </c>
    </row>
    <row r="531" spans="2:43" x14ac:dyDescent="0.2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e">
        <f>VLOOKUP(F531,'Transform table'!A:B,2,0)</f>
        <v>#N/A</v>
      </c>
      <c r="Z531" t="e">
        <f>C531&amp;X531&amp;Y531</f>
        <v>#N/A</v>
      </c>
      <c r="AA531" t="e">
        <f>VLOOKUP($Z531,'oddspedia-matches'!$A:$AD,AA$2,0)</f>
        <v>#N/A</v>
      </c>
      <c r="AB531" t="e">
        <f>VLOOKUP($Z531,'oddspedia-matches'!$A:$AD,AB$2,0)</f>
        <v>#N/A</v>
      </c>
      <c r="AC531" t="e">
        <f>VLOOKUP($Z531,'oddspedia-matches'!$A:$AD,AC$2,0)</f>
        <v>#N/A</v>
      </c>
      <c r="AD531" t="e">
        <f>VLOOKUP($Z531,'oddspedia-matches'!$A:$AD,AD$2,0)</f>
        <v>#N/A</v>
      </c>
      <c r="AE531" t="e">
        <f>VLOOKUP($Z531,'oddspedia-matches'!$A:$AD,AE$2,0)</f>
        <v>#N/A</v>
      </c>
      <c r="AF531" t="e">
        <f>VLOOKUP($Z531,'oddspedia-matches'!$A:$AD,AF$2,0)</f>
        <v>#N/A</v>
      </c>
      <c r="AG531" t="e">
        <f>VLOOKUP($Z531,'oddspedia-matches'!$A:$AD,AG$2,0)</f>
        <v>#N/A</v>
      </c>
      <c r="AH531" t="e">
        <f>VLOOKUP($Z531,'oddspedia-matches'!$A:$AD,AH$2,0)</f>
        <v>#N/A</v>
      </c>
      <c r="AI531" t="e">
        <f>VLOOKUP($Z531,'oddspedia-matches'!$A:$AD,AI$2,0)</f>
        <v>#N/A</v>
      </c>
      <c r="AJ531" t="e">
        <f>VLOOKUP($Z531,'oddspedia-matches'!$A:$AD,AJ$2,0)</f>
        <v>#N/A</v>
      </c>
      <c r="AK531" t="e">
        <f>VLOOKUP($Z531,'oddspedia-matches'!$A:$AD,AK$2,0)</f>
        <v>#N/A</v>
      </c>
      <c r="AL531" t="e">
        <f>VLOOKUP($Z531,'oddspedia-matches'!$A:$AD,AL$2,0)</f>
        <v>#N/A</v>
      </c>
      <c r="AM531" t="e">
        <f>VLOOKUP($Z531,'oddspedia-matches'!$A:$AD,AM$2,0)</f>
        <v>#N/A</v>
      </c>
      <c r="AN531" t="e">
        <f>VLOOKUP($Z531,'oddspedia-matches'!$A:$AD,AN$2,0)</f>
        <v>#N/A</v>
      </c>
      <c r="AO531" t="e">
        <f>VLOOKUP($Z531,'oddspedia-matches'!$A:$AD,AO$2,0)</f>
        <v>#N/A</v>
      </c>
      <c r="AP531" t="e">
        <f>VLOOKUP($Z531,'oddspedia-matches'!$A:$AD,AP$2,0)</f>
        <v>#N/A</v>
      </c>
      <c r="AQ531" t="e">
        <f>VLOOKUP($Z531,'oddspedia-matches'!$A:$AD,AQ$2,0)</f>
        <v>#N/A</v>
      </c>
    </row>
    <row r="532" spans="2:43" x14ac:dyDescent="0.2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>C532&amp;X532&amp;Y532</f>
        <v>27/07/2026Guayaquil City FCCD Uni Catolica del Ecuador</v>
      </c>
      <c r="AA532" t="e">
        <f>VLOOKUP($Z532,'oddspedia-matches'!$A:$AD,AA$2,0)</f>
        <v>#N/A</v>
      </c>
      <c r="AB532" t="e">
        <f>VLOOKUP($Z532,'oddspedia-matches'!$A:$AD,AB$2,0)</f>
        <v>#N/A</v>
      </c>
      <c r="AC532" t="e">
        <f>VLOOKUP($Z532,'oddspedia-matches'!$A:$AD,AC$2,0)</f>
        <v>#N/A</v>
      </c>
      <c r="AD532" t="e">
        <f>VLOOKUP($Z532,'oddspedia-matches'!$A:$AD,AD$2,0)</f>
        <v>#N/A</v>
      </c>
      <c r="AE532" t="e">
        <f>VLOOKUP($Z532,'oddspedia-matches'!$A:$AD,AE$2,0)</f>
        <v>#N/A</v>
      </c>
      <c r="AF532" t="e">
        <f>VLOOKUP($Z532,'oddspedia-matches'!$A:$AD,AF$2,0)</f>
        <v>#N/A</v>
      </c>
      <c r="AG532" t="e">
        <f>VLOOKUP($Z532,'oddspedia-matches'!$A:$AD,AG$2,0)</f>
        <v>#N/A</v>
      </c>
      <c r="AH532" t="e">
        <f>VLOOKUP($Z532,'oddspedia-matches'!$A:$AD,AH$2,0)</f>
        <v>#N/A</v>
      </c>
      <c r="AI532" t="e">
        <f>VLOOKUP($Z532,'oddspedia-matches'!$A:$AD,AI$2,0)</f>
        <v>#N/A</v>
      </c>
      <c r="AJ532" t="e">
        <f>VLOOKUP($Z532,'oddspedia-matches'!$A:$AD,AJ$2,0)</f>
        <v>#N/A</v>
      </c>
      <c r="AK532" t="e">
        <f>VLOOKUP($Z532,'oddspedia-matches'!$A:$AD,AK$2,0)</f>
        <v>#N/A</v>
      </c>
      <c r="AL532" t="e">
        <f>VLOOKUP($Z532,'oddspedia-matches'!$A:$AD,AL$2,0)</f>
        <v>#N/A</v>
      </c>
      <c r="AM532" t="e">
        <f>VLOOKUP($Z532,'oddspedia-matches'!$A:$AD,AM$2,0)</f>
        <v>#N/A</v>
      </c>
      <c r="AN532" t="e">
        <f>VLOOKUP($Z532,'oddspedia-matches'!$A:$AD,AN$2,0)</f>
        <v>#N/A</v>
      </c>
      <c r="AO532" t="e">
        <f>VLOOKUP($Z532,'oddspedia-matches'!$A:$AD,AO$2,0)</f>
        <v>#N/A</v>
      </c>
      <c r="AP532" t="e">
        <f>VLOOKUP($Z532,'oddspedia-matches'!$A:$AD,AP$2,0)</f>
        <v>#N/A</v>
      </c>
      <c r="AQ532" t="e">
        <f>VLOOKUP($Z532,'oddspedia-matches'!$A:$AD,AQ$2,0)</f>
        <v>#N/A</v>
      </c>
    </row>
    <row r="533" spans="2:43" x14ac:dyDescent="0.2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Pau</v>
      </c>
      <c r="Y533" t="e">
        <f>VLOOKUP(F533,'Transform table'!A:B,2,0)</f>
        <v>#N/A</v>
      </c>
      <c r="Z533" t="e">
        <f>C533&amp;X533&amp;Y533</f>
        <v>#N/A</v>
      </c>
      <c r="AA533" t="e">
        <f>VLOOKUP($Z533,'oddspedia-matches'!$A:$AD,AA$2,0)</f>
        <v>#N/A</v>
      </c>
      <c r="AB533" t="e">
        <f>VLOOKUP($Z533,'oddspedia-matches'!$A:$AD,AB$2,0)</f>
        <v>#N/A</v>
      </c>
      <c r="AC533" t="e">
        <f>VLOOKUP($Z533,'oddspedia-matches'!$A:$AD,AC$2,0)</f>
        <v>#N/A</v>
      </c>
      <c r="AD533" t="e">
        <f>VLOOKUP($Z533,'oddspedia-matches'!$A:$AD,AD$2,0)</f>
        <v>#N/A</v>
      </c>
      <c r="AE533" t="e">
        <f>VLOOKUP($Z533,'oddspedia-matches'!$A:$AD,AE$2,0)</f>
        <v>#N/A</v>
      </c>
      <c r="AF533" t="e">
        <f>VLOOKUP($Z533,'oddspedia-matches'!$A:$AD,AF$2,0)</f>
        <v>#N/A</v>
      </c>
      <c r="AG533" t="e">
        <f>VLOOKUP($Z533,'oddspedia-matches'!$A:$AD,AG$2,0)</f>
        <v>#N/A</v>
      </c>
      <c r="AH533" t="e">
        <f>VLOOKUP($Z533,'oddspedia-matches'!$A:$AD,AH$2,0)</f>
        <v>#N/A</v>
      </c>
      <c r="AI533" t="e">
        <f>VLOOKUP($Z533,'oddspedia-matches'!$A:$AD,AI$2,0)</f>
        <v>#N/A</v>
      </c>
      <c r="AJ533" t="e">
        <f>VLOOKUP($Z533,'oddspedia-matches'!$A:$AD,AJ$2,0)</f>
        <v>#N/A</v>
      </c>
      <c r="AK533" t="e">
        <f>VLOOKUP($Z533,'oddspedia-matches'!$A:$AD,AK$2,0)</f>
        <v>#N/A</v>
      </c>
      <c r="AL533" t="e">
        <f>VLOOKUP($Z533,'oddspedia-matches'!$A:$AD,AL$2,0)</f>
        <v>#N/A</v>
      </c>
      <c r="AM533" t="e">
        <f>VLOOKUP($Z533,'oddspedia-matches'!$A:$AD,AM$2,0)</f>
        <v>#N/A</v>
      </c>
      <c r="AN533" t="e">
        <f>VLOOKUP($Z533,'oddspedia-matches'!$A:$AD,AN$2,0)</f>
        <v>#N/A</v>
      </c>
      <c r="AO533" t="e">
        <f>VLOOKUP($Z533,'oddspedia-matches'!$A:$AD,AO$2,0)</f>
        <v>#N/A</v>
      </c>
      <c r="AP533" t="e">
        <f>VLOOKUP($Z533,'oddspedia-matches'!$A:$AD,AP$2,0)</f>
        <v>#N/A</v>
      </c>
      <c r="AQ533" t="e">
        <f>VLOOKUP($Z533,'oddspedia-matches'!$A:$AD,AQ$2,0)</f>
        <v>#N/A</v>
      </c>
    </row>
    <row r="534" spans="2:43" x14ac:dyDescent="0.2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>C534&amp;X534&amp;Y534</f>
        <v>27/07/2026Atletico GoianienseOperario PR</v>
      </c>
      <c r="AA534" t="e">
        <f>VLOOKUP($Z534,'oddspedia-matches'!$A:$AD,AA$2,0)</f>
        <v>#N/A</v>
      </c>
      <c r="AB534" t="e">
        <f>VLOOKUP($Z534,'oddspedia-matches'!$A:$AD,AB$2,0)</f>
        <v>#N/A</v>
      </c>
      <c r="AC534" t="e">
        <f>VLOOKUP($Z534,'oddspedia-matches'!$A:$AD,AC$2,0)</f>
        <v>#N/A</v>
      </c>
      <c r="AD534" t="e">
        <f>VLOOKUP($Z534,'oddspedia-matches'!$A:$AD,AD$2,0)</f>
        <v>#N/A</v>
      </c>
      <c r="AE534" t="e">
        <f>VLOOKUP($Z534,'oddspedia-matches'!$A:$AD,AE$2,0)</f>
        <v>#N/A</v>
      </c>
      <c r="AF534" t="e">
        <f>VLOOKUP($Z534,'oddspedia-matches'!$A:$AD,AF$2,0)</f>
        <v>#N/A</v>
      </c>
      <c r="AG534" t="e">
        <f>VLOOKUP($Z534,'oddspedia-matches'!$A:$AD,AG$2,0)</f>
        <v>#N/A</v>
      </c>
      <c r="AH534" t="e">
        <f>VLOOKUP($Z534,'oddspedia-matches'!$A:$AD,AH$2,0)</f>
        <v>#N/A</v>
      </c>
      <c r="AI534" t="e">
        <f>VLOOKUP($Z534,'oddspedia-matches'!$A:$AD,AI$2,0)</f>
        <v>#N/A</v>
      </c>
      <c r="AJ534" t="e">
        <f>VLOOKUP($Z534,'oddspedia-matches'!$A:$AD,AJ$2,0)</f>
        <v>#N/A</v>
      </c>
      <c r="AK534" t="e">
        <f>VLOOKUP($Z534,'oddspedia-matches'!$A:$AD,AK$2,0)</f>
        <v>#N/A</v>
      </c>
      <c r="AL534" t="e">
        <f>VLOOKUP($Z534,'oddspedia-matches'!$A:$AD,AL$2,0)</f>
        <v>#N/A</v>
      </c>
      <c r="AM534" t="e">
        <f>VLOOKUP($Z534,'oddspedia-matches'!$A:$AD,AM$2,0)</f>
        <v>#N/A</v>
      </c>
      <c r="AN534" t="e">
        <f>VLOOKUP($Z534,'oddspedia-matches'!$A:$AD,AN$2,0)</f>
        <v>#N/A</v>
      </c>
      <c r="AO534" t="e">
        <f>VLOOKUP($Z534,'oddspedia-matches'!$A:$AD,AO$2,0)</f>
        <v>#N/A</v>
      </c>
      <c r="AP534" t="e">
        <f>VLOOKUP($Z534,'oddspedia-matches'!$A:$AD,AP$2,0)</f>
        <v>#N/A</v>
      </c>
      <c r="AQ534" t="e">
        <f>VLOOKUP($Z534,'oddspedia-matches'!$A:$AD,AQ$2,0)</f>
        <v>#N/A</v>
      </c>
    </row>
    <row r="535" spans="2:43" x14ac:dyDescent="0.2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>C535&amp;X535&amp;Y535</f>
        <v>27/07/2026Clube de Regatas BrasilVila Nova GO</v>
      </c>
      <c r="AA535" t="e">
        <f>VLOOKUP($Z535,'oddspedia-matches'!$A:$AD,AA$2,0)</f>
        <v>#N/A</v>
      </c>
      <c r="AB535" t="e">
        <f>VLOOKUP($Z535,'oddspedia-matches'!$A:$AD,AB$2,0)</f>
        <v>#N/A</v>
      </c>
      <c r="AC535" t="e">
        <f>VLOOKUP($Z535,'oddspedia-matches'!$A:$AD,AC$2,0)</f>
        <v>#N/A</v>
      </c>
      <c r="AD535" t="e">
        <f>VLOOKUP($Z535,'oddspedia-matches'!$A:$AD,AD$2,0)</f>
        <v>#N/A</v>
      </c>
      <c r="AE535" t="e">
        <f>VLOOKUP($Z535,'oddspedia-matches'!$A:$AD,AE$2,0)</f>
        <v>#N/A</v>
      </c>
      <c r="AF535" t="e">
        <f>VLOOKUP($Z535,'oddspedia-matches'!$A:$AD,AF$2,0)</f>
        <v>#N/A</v>
      </c>
      <c r="AG535" t="e">
        <f>VLOOKUP($Z535,'oddspedia-matches'!$A:$AD,AG$2,0)</f>
        <v>#N/A</v>
      </c>
      <c r="AH535" t="e">
        <f>VLOOKUP($Z535,'oddspedia-matches'!$A:$AD,AH$2,0)</f>
        <v>#N/A</v>
      </c>
      <c r="AI535" t="e">
        <f>VLOOKUP($Z535,'oddspedia-matches'!$A:$AD,AI$2,0)</f>
        <v>#N/A</v>
      </c>
      <c r="AJ535" t="e">
        <f>VLOOKUP($Z535,'oddspedia-matches'!$A:$AD,AJ$2,0)</f>
        <v>#N/A</v>
      </c>
      <c r="AK535" t="e">
        <f>VLOOKUP($Z535,'oddspedia-matches'!$A:$AD,AK$2,0)</f>
        <v>#N/A</v>
      </c>
      <c r="AL535" t="e">
        <f>VLOOKUP($Z535,'oddspedia-matches'!$A:$AD,AL$2,0)</f>
        <v>#N/A</v>
      </c>
      <c r="AM535" t="e">
        <f>VLOOKUP($Z535,'oddspedia-matches'!$A:$AD,AM$2,0)</f>
        <v>#N/A</v>
      </c>
      <c r="AN535" t="e">
        <f>VLOOKUP($Z535,'oddspedia-matches'!$A:$AD,AN$2,0)</f>
        <v>#N/A</v>
      </c>
      <c r="AO535" t="e">
        <f>VLOOKUP($Z535,'oddspedia-matches'!$A:$AD,AO$2,0)</f>
        <v>#N/A</v>
      </c>
      <c r="AP535" t="e">
        <f>VLOOKUP($Z535,'oddspedia-matches'!$A:$AD,AP$2,0)</f>
        <v>#N/A</v>
      </c>
      <c r="AQ535" t="e">
        <f>VLOOKUP($Z535,'oddspedia-matches'!$A:$AD,AQ$2,0)</f>
        <v>#N/A</v>
      </c>
    </row>
    <row r="536" spans="2:43" x14ac:dyDescent="0.2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>C536&amp;X536&amp;Y536</f>
        <v>27/07/2026Sport RecifeCuiaba</v>
      </c>
      <c r="AA536" t="e">
        <f>VLOOKUP($Z536,'oddspedia-matches'!$A:$AD,AA$2,0)</f>
        <v>#N/A</v>
      </c>
      <c r="AB536" t="e">
        <f>VLOOKUP($Z536,'oddspedia-matches'!$A:$AD,AB$2,0)</f>
        <v>#N/A</v>
      </c>
      <c r="AC536" t="e">
        <f>VLOOKUP($Z536,'oddspedia-matches'!$A:$AD,AC$2,0)</f>
        <v>#N/A</v>
      </c>
      <c r="AD536" t="e">
        <f>VLOOKUP($Z536,'oddspedia-matches'!$A:$AD,AD$2,0)</f>
        <v>#N/A</v>
      </c>
      <c r="AE536" t="e">
        <f>VLOOKUP($Z536,'oddspedia-matches'!$A:$AD,AE$2,0)</f>
        <v>#N/A</v>
      </c>
      <c r="AF536" t="e">
        <f>VLOOKUP($Z536,'oddspedia-matches'!$A:$AD,AF$2,0)</f>
        <v>#N/A</v>
      </c>
      <c r="AG536" t="e">
        <f>VLOOKUP($Z536,'oddspedia-matches'!$A:$AD,AG$2,0)</f>
        <v>#N/A</v>
      </c>
      <c r="AH536" t="e">
        <f>VLOOKUP($Z536,'oddspedia-matches'!$A:$AD,AH$2,0)</f>
        <v>#N/A</v>
      </c>
      <c r="AI536" t="e">
        <f>VLOOKUP($Z536,'oddspedia-matches'!$A:$AD,AI$2,0)</f>
        <v>#N/A</v>
      </c>
      <c r="AJ536" t="e">
        <f>VLOOKUP($Z536,'oddspedia-matches'!$A:$AD,AJ$2,0)</f>
        <v>#N/A</v>
      </c>
      <c r="AK536" t="e">
        <f>VLOOKUP($Z536,'oddspedia-matches'!$A:$AD,AK$2,0)</f>
        <v>#N/A</v>
      </c>
      <c r="AL536" t="e">
        <f>VLOOKUP($Z536,'oddspedia-matches'!$A:$AD,AL$2,0)</f>
        <v>#N/A</v>
      </c>
      <c r="AM536" t="e">
        <f>VLOOKUP($Z536,'oddspedia-matches'!$A:$AD,AM$2,0)</f>
        <v>#N/A</v>
      </c>
      <c r="AN536" t="e">
        <f>VLOOKUP($Z536,'oddspedia-matches'!$A:$AD,AN$2,0)</f>
        <v>#N/A</v>
      </c>
      <c r="AO536" t="e">
        <f>VLOOKUP($Z536,'oddspedia-matches'!$A:$AD,AO$2,0)</f>
        <v>#N/A</v>
      </c>
      <c r="AP536" t="e">
        <f>VLOOKUP($Z536,'oddspedia-matches'!$A:$AD,AP$2,0)</f>
        <v>#N/A</v>
      </c>
      <c r="AQ536" t="e">
        <f>VLOOKUP($Z536,'oddspedia-matches'!$A:$AD,AQ$2,0)</f>
        <v>#N/A</v>
      </c>
    </row>
    <row r="537" spans="2:43" x14ac:dyDescent="0.2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Liverpool Montevideo</v>
      </c>
      <c r="Y537" t="e">
        <f>VLOOKUP(F537,'Transform table'!A:B,2,0)</f>
        <v>#N/A</v>
      </c>
      <c r="Z537" t="e">
        <f>C537&amp;X537&amp;Y537</f>
        <v>#N/A</v>
      </c>
      <c r="AA537" t="e">
        <f>VLOOKUP($Z537,'oddspedia-matches'!$A:$AD,AA$2,0)</f>
        <v>#N/A</v>
      </c>
      <c r="AB537" t="e">
        <f>VLOOKUP($Z537,'oddspedia-matches'!$A:$AD,AB$2,0)</f>
        <v>#N/A</v>
      </c>
      <c r="AC537" t="e">
        <f>VLOOKUP($Z537,'oddspedia-matches'!$A:$AD,AC$2,0)</f>
        <v>#N/A</v>
      </c>
      <c r="AD537" t="e">
        <f>VLOOKUP($Z537,'oddspedia-matches'!$A:$AD,AD$2,0)</f>
        <v>#N/A</v>
      </c>
      <c r="AE537" t="e">
        <f>VLOOKUP($Z537,'oddspedia-matches'!$A:$AD,AE$2,0)</f>
        <v>#N/A</v>
      </c>
      <c r="AF537" t="e">
        <f>VLOOKUP($Z537,'oddspedia-matches'!$A:$AD,AF$2,0)</f>
        <v>#N/A</v>
      </c>
      <c r="AG537" t="e">
        <f>VLOOKUP($Z537,'oddspedia-matches'!$A:$AD,AG$2,0)</f>
        <v>#N/A</v>
      </c>
      <c r="AH537" t="e">
        <f>VLOOKUP($Z537,'oddspedia-matches'!$A:$AD,AH$2,0)</f>
        <v>#N/A</v>
      </c>
      <c r="AI537" t="e">
        <f>VLOOKUP($Z537,'oddspedia-matches'!$A:$AD,AI$2,0)</f>
        <v>#N/A</v>
      </c>
      <c r="AJ537" t="e">
        <f>VLOOKUP($Z537,'oddspedia-matches'!$A:$AD,AJ$2,0)</f>
        <v>#N/A</v>
      </c>
      <c r="AK537" t="e">
        <f>VLOOKUP($Z537,'oddspedia-matches'!$A:$AD,AK$2,0)</f>
        <v>#N/A</v>
      </c>
      <c r="AL537" t="e">
        <f>VLOOKUP($Z537,'oddspedia-matches'!$A:$AD,AL$2,0)</f>
        <v>#N/A</v>
      </c>
      <c r="AM537" t="e">
        <f>VLOOKUP($Z537,'oddspedia-matches'!$A:$AD,AM$2,0)</f>
        <v>#N/A</v>
      </c>
      <c r="AN537" t="e">
        <f>VLOOKUP($Z537,'oddspedia-matches'!$A:$AD,AN$2,0)</f>
        <v>#N/A</v>
      </c>
      <c r="AO537" t="e">
        <f>VLOOKUP($Z537,'oddspedia-matches'!$A:$AD,AO$2,0)</f>
        <v>#N/A</v>
      </c>
      <c r="AP537" t="e">
        <f>VLOOKUP($Z537,'oddspedia-matches'!$A:$AD,AP$2,0)</f>
        <v>#N/A</v>
      </c>
      <c r="AQ537" t="e">
        <f>VLOOKUP($Z537,'oddspedia-matches'!$A:$AD,AQ$2,0)</f>
        <v>#N/A</v>
      </c>
    </row>
    <row r="538" spans="2:43" x14ac:dyDescent="0.2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>C538&amp;X538&amp;Y538</f>
        <v>27/07/2026CA AtlantaClub Almagro</v>
      </c>
      <c r="AA538" t="e">
        <f>VLOOKUP($Z538,'oddspedia-matches'!$A:$AD,AA$2,0)</f>
        <v>#N/A</v>
      </c>
      <c r="AB538" t="e">
        <f>VLOOKUP($Z538,'oddspedia-matches'!$A:$AD,AB$2,0)</f>
        <v>#N/A</v>
      </c>
      <c r="AC538" t="e">
        <f>VLOOKUP($Z538,'oddspedia-matches'!$A:$AD,AC$2,0)</f>
        <v>#N/A</v>
      </c>
      <c r="AD538" t="e">
        <f>VLOOKUP($Z538,'oddspedia-matches'!$A:$AD,AD$2,0)</f>
        <v>#N/A</v>
      </c>
      <c r="AE538" t="e">
        <f>VLOOKUP($Z538,'oddspedia-matches'!$A:$AD,AE$2,0)</f>
        <v>#N/A</v>
      </c>
      <c r="AF538" t="e">
        <f>VLOOKUP($Z538,'oddspedia-matches'!$A:$AD,AF$2,0)</f>
        <v>#N/A</v>
      </c>
      <c r="AG538" t="e">
        <f>VLOOKUP($Z538,'oddspedia-matches'!$A:$AD,AG$2,0)</f>
        <v>#N/A</v>
      </c>
      <c r="AH538" t="e">
        <f>VLOOKUP($Z538,'oddspedia-matches'!$A:$AD,AH$2,0)</f>
        <v>#N/A</v>
      </c>
      <c r="AI538" t="e">
        <f>VLOOKUP($Z538,'oddspedia-matches'!$A:$AD,AI$2,0)</f>
        <v>#N/A</v>
      </c>
      <c r="AJ538" t="e">
        <f>VLOOKUP($Z538,'oddspedia-matches'!$A:$AD,AJ$2,0)</f>
        <v>#N/A</v>
      </c>
      <c r="AK538" t="e">
        <f>VLOOKUP($Z538,'oddspedia-matches'!$A:$AD,AK$2,0)</f>
        <v>#N/A</v>
      </c>
      <c r="AL538" t="e">
        <f>VLOOKUP($Z538,'oddspedia-matches'!$A:$AD,AL$2,0)</f>
        <v>#N/A</v>
      </c>
      <c r="AM538" t="e">
        <f>VLOOKUP($Z538,'oddspedia-matches'!$A:$AD,AM$2,0)</f>
        <v>#N/A</v>
      </c>
      <c r="AN538" t="e">
        <f>VLOOKUP($Z538,'oddspedia-matches'!$A:$AD,AN$2,0)</f>
        <v>#N/A</v>
      </c>
      <c r="AO538" t="e">
        <f>VLOOKUP($Z538,'oddspedia-matches'!$A:$AD,AO$2,0)</f>
        <v>#N/A</v>
      </c>
      <c r="AP538" t="e">
        <f>VLOOKUP($Z538,'oddspedia-matches'!$A:$AD,AP$2,0)</f>
        <v>#N/A</v>
      </c>
      <c r="AQ538" t="e">
        <f>VLOOKUP($Z538,'oddspedia-matches'!$A:$AD,AQ$2,0)</f>
        <v>#N/A</v>
      </c>
    </row>
    <row r="539" spans="2:43" x14ac:dyDescent="0.2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Floriana</v>
      </c>
      <c r="Y539" t="e">
        <f>VLOOKUP(F539,'Transform table'!A:B,2,0)</f>
        <v>#N/A</v>
      </c>
      <c r="Z539" t="e">
        <f>C539&amp;X539&amp;Y539</f>
        <v>#N/A</v>
      </c>
      <c r="AA539" t="e">
        <f>VLOOKUP($Z539,'oddspedia-matches'!$A:$AD,AA$2,0)</f>
        <v>#N/A</v>
      </c>
      <c r="AB539" t="e">
        <f>VLOOKUP($Z539,'oddspedia-matches'!$A:$AD,AB$2,0)</f>
        <v>#N/A</v>
      </c>
      <c r="AC539" t="e">
        <f>VLOOKUP($Z539,'oddspedia-matches'!$A:$AD,AC$2,0)</f>
        <v>#N/A</v>
      </c>
      <c r="AD539" t="e">
        <f>VLOOKUP($Z539,'oddspedia-matches'!$A:$AD,AD$2,0)</f>
        <v>#N/A</v>
      </c>
      <c r="AE539" t="e">
        <f>VLOOKUP($Z539,'oddspedia-matches'!$A:$AD,AE$2,0)</f>
        <v>#N/A</v>
      </c>
      <c r="AF539" t="e">
        <f>VLOOKUP($Z539,'oddspedia-matches'!$A:$AD,AF$2,0)</f>
        <v>#N/A</v>
      </c>
      <c r="AG539" t="e">
        <f>VLOOKUP($Z539,'oddspedia-matches'!$A:$AD,AG$2,0)</f>
        <v>#N/A</v>
      </c>
      <c r="AH539" t="e">
        <f>VLOOKUP($Z539,'oddspedia-matches'!$A:$AD,AH$2,0)</f>
        <v>#N/A</v>
      </c>
      <c r="AI539" t="e">
        <f>VLOOKUP($Z539,'oddspedia-matches'!$A:$AD,AI$2,0)</f>
        <v>#N/A</v>
      </c>
      <c r="AJ539" t="e">
        <f>VLOOKUP($Z539,'oddspedia-matches'!$A:$AD,AJ$2,0)</f>
        <v>#N/A</v>
      </c>
      <c r="AK539" t="e">
        <f>VLOOKUP($Z539,'oddspedia-matches'!$A:$AD,AK$2,0)</f>
        <v>#N/A</v>
      </c>
      <c r="AL539" t="e">
        <f>VLOOKUP($Z539,'oddspedia-matches'!$A:$AD,AL$2,0)</f>
        <v>#N/A</v>
      </c>
      <c r="AM539" t="e">
        <f>VLOOKUP($Z539,'oddspedia-matches'!$A:$AD,AM$2,0)</f>
        <v>#N/A</v>
      </c>
      <c r="AN539" t="e">
        <f>VLOOKUP($Z539,'oddspedia-matches'!$A:$AD,AN$2,0)</f>
        <v>#N/A</v>
      </c>
      <c r="AO539" t="e">
        <f>VLOOKUP($Z539,'oddspedia-matches'!$A:$AD,AO$2,0)</f>
        <v>#N/A</v>
      </c>
      <c r="AP539" t="e">
        <f>VLOOKUP($Z539,'oddspedia-matches'!$A:$AD,AP$2,0)</f>
        <v>#N/A</v>
      </c>
      <c r="AQ539" t="e">
        <f>VLOOKUP($Z539,'oddspedia-matches'!$A:$AD,AQ$2,0)</f>
        <v>#N/A</v>
      </c>
    </row>
    <row r="540" spans="2:43" x14ac:dyDescent="0.2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SC</v>
      </c>
      <c r="Y540" t="e">
        <f>VLOOKUP(F540,'Transform table'!A:B,2,0)</f>
        <v>#N/A</v>
      </c>
      <c r="Z540" t="e">
        <f>C540&amp;X540&amp;Y540</f>
        <v>#N/A</v>
      </c>
      <c r="AA540" t="e">
        <f>VLOOKUP($Z540,'oddspedia-matches'!$A:$AD,AA$2,0)</f>
        <v>#N/A</v>
      </c>
      <c r="AB540" t="e">
        <f>VLOOKUP($Z540,'oddspedia-matches'!$A:$AD,AB$2,0)</f>
        <v>#N/A</v>
      </c>
      <c r="AC540" t="e">
        <f>VLOOKUP($Z540,'oddspedia-matches'!$A:$AD,AC$2,0)</f>
        <v>#N/A</v>
      </c>
      <c r="AD540" t="e">
        <f>VLOOKUP($Z540,'oddspedia-matches'!$A:$AD,AD$2,0)</f>
        <v>#N/A</v>
      </c>
      <c r="AE540" t="e">
        <f>VLOOKUP($Z540,'oddspedia-matches'!$A:$AD,AE$2,0)</f>
        <v>#N/A</v>
      </c>
      <c r="AF540" t="e">
        <f>VLOOKUP($Z540,'oddspedia-matches'!$A:$AD,AF$2,0)</f>
        <v>#N/A</v>
      </c>
      <c r="AG540" t="e">
        <f>VLOOKUP($Z540,'oddspedia-matches'!$A:$AD,AG$2,0)</f>
        <v>#N/A</v>
      </c>
      <c r="AH540" t="e">
        <f>VLOOKUP($Z540,'oddspedia-matches'!$A:$AD,AH$2,0)</f>
        <v>#N/A</v>
      </c>
      <c r="AI540" t="e">
        <f>VLOOKUP($Z540,'oddspedia-matches'!$A:$AD,AI$2,0)</f>
        <v>#N/A</v>
      </c>
      <c r="AJ540" t="e">
        <f>VLOOKUP($Z540,'oddspedia-matches'!$A:$AD,AJ$2,0)</f>
        <v>#N/A</v>
      </c>
      <c r="AK540" t="e">
        <f>VLOOKUP($Z540,'oddspedia-matches'!$A:$AD,AK$2,0)</f>
        <v>#N/A</v>
      </c>
      <c r="AL540" t="e">
        <f>VLOOKUP($Z540,'oddspedia-matches'!$A:$AD,AL$2,0)</f>
        <v>#N/A</v>
      </c>
      <c r="AM540" t="e">
        <f>VLOOKUP($Z540,'oddspedia-matches'!$A:$AD,AM$2,0)</f>
        <v>#N/A</v>
      </c>
      <c r="AN540" t="e">
        <f>VLOOKUP($Z540,'oddspedia-matches'!$A:$AD,AN$2,0)</f>
        <v>#N/A</v>
      </c>
      <c r="AO540" t="e">
        <f>VLOOKUP($Z540,'oddspedia-matches'!$A:$AD,AO$2,0)</f>
        <v>#N/A</v>
      </c>
      <c r="AP540" t="e">
        <f>VLOOKUP($Z540,'oddspedia-matches'!$A:$AD,AP$2,0)</f>
        <v>#N/A</v>
      </c>
      <c r="AQ540" t="e">
        <f>VLOOKUP($Z540,'oddspedia-matches'!$A:$AD,AQ$2,0)</f>
        <v>#N/A</v>
      </c>
    </row>
    <row r="541" spans="2:43" x14ac:dyDescent="0.2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>C541&amp;X541&amp;Y541</f>
        <v>27/07/2026Union La CaleraEverton de Vina</v>
      </c>
      <c r="AA541" t="e">
        <f>VLOOKUP($Z541,'oddspedia-matches'!$A:$AD,AA$2,0)</f>
        <v>#N/A</v>
      </c>
      <c r="AB541" t="e">
        <f>VLOOKUP($Z541,'oddspedia-matches'!$A:$AD,AB$2,0)</f>
        <v>#N/A</v>
      </c>
      <c r="AC541" t="e">
        <f>VLOOKUP($Z541,'oddspedia-matches'!$A:$AD,AC$2,0)</f>
        <v>#N/A</v>
      </c>
      <c r="AD541" t="e">
        <f>VLOOKUP($Z541,'oddspedia-matches'!$A:$AD,AD$2,0)</f>
        <v>#N/A</v>
      </c>
      <c r="AE541" t="e">
        <f>VLOOKUP($Z541,'oddspedia-matches'!$A:$AD,AE$2,0)</f>
        <v>#N/A</v>
      </c>
      <c r="AF541" t="e">
        <f>VLOOKUP($Z541,'oddspedia-matches'!$A:$AD,AF$2,0)</f>
        <v>#N/A</v>
      </c>
      <c r="AG541" t="e">
        <f>VLOOKUP($Z541,'oddspedia-matches'!$A:$AD,AG$2,0)</f>
        <v>#N/A</v>
      </c>
      <c r="AH541" t="e">
        <f>VLOOKUP($Z541,'oddspedia-matches'!$A:$AD,AH$2,0)</f>
        <v>#N/A</v>
      </c>
      <c r="AI541" t="e">
        <f>VLOOKUP($Z541,'oddspedia-matches'!$A:$AD,AI$2,0)</f>
        <v>#N/A</v>
      </c>
      <c r="AJ541" t="e">
        <f>VLOOKUP($Z541,'oddspedia-matches'!$A:$AD,AJ$2,0)</f>
        <v>#N/A</v>
      </c>
      <c r="AK541" t="e">
        <f>VLOOKUP($Z541,'oddspedia-matches'!$A:$AD,AK$2,0)</f>
        <v>#N/A</v>
      </c>
      <c r="AL541" t="e">
        <f>VLOOKUP($Z541,'oddspedia-matches'!$A:$AD,AL$2,0)</f>
        <v>#N/A</v>
      </c>
      <c r="AM541" t="e">
        <f>VLOOKUP($Z541,'oddspedia-matches'!$A:$AD,AM$2,0)</f>
        <v>#N/A</v>
      </c>
      <c r="AN541" t="e">
        <f>VLOOKUP($Z541,'oddspedia-matches'!$A:$AD,AN$2,0)</f>
        <v>#N/A</v>
      </c>
      <c r="AO541" t="e">
        <f>VLOOKUP($Z541,'oddspedia-matches'!$A:$AD,AO$2,0)</f>
        <v>#N/A</v>
      </c>
      <c r="AP541" t="e">
        <f>VLOOKUP($Z541,'oddspedia-matches'!$A:$AD,AP$2,0)</f>
        <v>#N/A</v>
      </c>
      <c r="AQ541" t="e">
        <f>VLOOKUP($Z541,'oddspedia-matches'!$A:$AD,AQ$2,0)</f>
        <v>#N/A</v>
      </c>
    </row>
    <row r="542" spans="2:43" x14ac:dyDescent="0.2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de Touarga</v>
      </c>
      <c r="Y542" t="e">
        <f>VLOOKUP(F542,'Transform table'!A:B,2,0)</f>
        <v>#N/A</v>
      </c>
      <c r="Z542" t="e">
        <f>C542&amp;X542&amp;Y542</f>
        <v>#N/A</v>
      </c>
      <c r="AA542" t="e">
        <f>VLOOKUP($Z542,'oddspedia-matches'!$A:$AD,AA$2,0)</f>
        <v>#N/A</v>
      </c>
      <c r="AB542" t="e">
        <f>VLOOKUP($Z542,'oddspedia-matches'!$A:$AD,AB$2,0)</f>
        <v>#N/A</v>
      </c>
      <c r="AC542" t="e">
        <f>VLOOKUP($Z542,'oddspedia-matches'!$A:$AD,AC$2,0)</f>
        <v>#N/A</v>
      </c>
      <c r="AD542" t="e">
        <f>VLOOKUP($Z542,'oddspedia-matches'!$A:$AD,AD$2,0)</f>
        <v>#N/A</v>
      </c>
      <c r="AE542" t="e">
        <f>VLOOKUP($Z542,'oddspedia-matches'!$A:$AD,AE$2,0)</f>
        <v>#N/A</v>
      </c>
      <c r="AF542" t="e">
        <f>VLOOKUP($Z542,'oddspedia-matches'!$A:$AD,AF$2,0)</f>
        <v>#N/A</v>
      </c>
      <c r="AG542" t="e">
        <f>VLOOKUP($Z542,'oddspedia-matches'!$A:$AD,AG$2,0)</f>
        <v>#N/A</v>
      </c>
      <c r="AH542" t="e">
        <f>VLOOKUP($Z542,'oddspedia-matches'!$A:$AD,AH$2,0)</f>
        <v>#N/A</v>
      </c>
      <c r="AI542" t="e">
        <f>VLOOKUP($Z542,'oddspedia-matches'!$A:$AD,AI$2,0)</f>
        <v>#N/A</v>
      </c>
      <c r="AJ542" t="e">
        <f>VLOOKUP($Z542,'oddspedia-matches'!$A:$AD,AJ$2,0)</f>
        <v>#N/A</v>
      </c>
      <c r="AK542" t="e">
        <f>VLOOKUP($Z542,'oddspedia-matches'!$A:$AD,AK$2,0)</f>
        <v>#N/A</v>
      </c>
      <c r="AL542" t="e">
        <f>VLOOKUP($Z542,'oddspedia-matches'!$A:$AD,AL$2,0)</f>
        <v>#N/A</v>
      </c>
      <c r="AM542" t="e">
        <f>VLOOKUP($Z542,'oddspedia-matches'!$A:$AD,AM$2,0)</f>
        <v>#N/A</v>
      </c>
      <c r="AN542" t="e">
        <f>VLOOKUP($Z542,'oddspedia-matches'!$A:$AD,AN$2,0)</f>
        <v>#N/A</v>
      </c>
      <c r="AO542" t="e">
        <f>VLOOKUP($Z542,'oddspedia-matches'!$A:$AD,AO$2,0)</f>
        <v>#N/A</v>
      </c>
      <c r="AP542" t="e">
        <f>VLOOKUP($Z542,'oddspedia-matches'!$A:$AD,AP$2,0)</f>
        <v>#N/A</v>
      </c>
      <c r="AQ542" t="e">
        <f>VLOOKUP($Z542,'oddspedia-matches'!$A:$AD,AQ$2,0)</f>
        <v>#N/A</v>
      </c>
    </row>
    <row r="543" spans="2:43" x14ac:dyDescent="0.2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>C543&amp;X543&amp;Y543</f>
        <v>27/07/2026Deportivo CuencaEmelec</v>
      </c>
      <c r="AA543" t="e">
        <f>VLOOKUP($Z543,'oddspedia-matches'!$A:$AD,AA$2,0)</f>
        <v>#N/A</v>
      </c>
      <c r="AB543" t="e">
        <f>VLOOKUP($Z543,'oddspedia-matches'!$A:$AD,AB$2,0)</f>
        <v>#N/A</v>
      </c>
      <c r="AC543" t="e">
        <f>VLOOKUP($Z543,'oddspedia-matches'!$A:$AD,AC$2,0)</f>
        <v>#N/A</v>
      </c>
      <c r="AD543" t="e">
        <f>VLOOKUP($Z543,'oddspedia-matches'!$A:$AD,AD$2,0)</f>
        <v>#N/A</v>
      </c>
      <c r="AE543" t="e">
        <f>VLOOKUP($Z543,'oddspedia-matches'!$A:$AD,AE$2,0)</f>
        <v>#N/A</v>
      </c>
      <c r="AF543" t="e">
        <f>VLOOKUP($Z543,'oddspedia-matches'!$A:$AD,AF$2,0)</f>
        <v>#N/A</v>
      </c>
      <c r="AG543" t="e">
        <f>VLOOKUP($Z543,'oddspedia-matches'!$A:$AD,AG$2,0)</f>
        <v>#N/A</v>
      </c>
      <c r="AH543" t="e">
        <f>VLOOKUP($Z543,'oddspedia-matches'!$A:$AD,AH$2,0)</f>
        <v>#N/A</v>
      </c>
      <c r="AI543" t="e">
        <f>VLOOKUP($Z543,'oddspedia-matches'!$A:$AD,AI$2,0)</f>
        <v>#N/A</v>
      </c>
      <c r="AJ543" t="e">
        <f>VLOOKUP($Z543,'oddspedia-matches'!$A:$AD,AJ$2,0)</f>
        <v>#N/A</v>
      </c>
      <c r="AK543" t="e">
        <f>VLOOKUP($Z543,'oddspedia-matches'!$A:$AD,AK$2,0)</f>
        <v>#N/A</v>
      </c>
      <c r="AL543" t="e">
        <f>VLOOKUP($Z543,'oddspedia-matches'!$A:$AD,AL$2,0)</f>
        <v>#N/A</v>
      </c>
      <c r="AM543" t="e">
        <f>VLOOKUP($Z543,'oddspedia-matches'!$A:$AD,AM$2,0)</f>
        <v>#N/A</v>
      </c>
      <c r="AN543" t="e">
        <f>VLOOKUP($Z543,'oddspedia-matches'!$A:$AD,AN$2,0)</f>
        <v>#N/A</v>
      </c>
      <c r="AO543" t="e">
        <f>VLOOKUP($Z543,'oddspedia-matches'!$A:$AD,AO$2,0)</f>
        <v>#N/A</v>
      </c>
      <c r="AP543" t="e">
        <f>VLOOKUP($Z543,'oddspedia-matches'!$A:$AD,AP$2,0)</f>
        <v>#N/A</v>
      </c>
      <c r="AQ543" t="e">
        <f>VLOOKUP($Z543,'oddspedia-matches'!$A:$AD,AQ$2,0)</f>
        <v>#N/A</v>
      </c>
    </row>
    <row r="544" spans="2:43" x14ac:dyDescent="0.2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Argentino</v>
      </c>
      <c r="Y544" t="e">
        <f>VLOOKUP(F544,'Transform table'!A:B,2,0)</f>
        <v>#N/A</v>
      </c>
      <c r="Z544" t="e">
        <f>C544&amp;X544&amp;Y544</f>
        <v>#N/A</v>
      </c>
      <c r="AA544" t="e">
        <f>VLOOKUP($Z544,'oddspedia-matches'!$A:$AD,AA$2,0)</f>
        <v>#N/A</v>
      </c>
      <c r="AB544" t="e">
        <f>VLOOKUP($Z544,'oddspedia-matches'!$A:$AD,AB$2,0)</f>
        <v>#N/A</v>
      </c>
      <c r="AC544" t="e">
        <f>VLOOKUP($Z544,'oddspedia-matches'!$A:$AD,AC$2,0)</f>
        <v>#N/A</v>
      </c>
      <c r="AD544" t="e">
        <f>VLOOKUP($Z544,'oddspedia-matches'!$A:$AD,AD$2,0)</f>
        <v>#N/A</v>
      </c>
      <c r="AE544" t="e">
        <f>VLOOKUP($Z544,'oddspedia-matches'!$A:$AD,AE$2,0)</f>
        <v>#N/A</v>
      </c>
      <c r="AF544" t="e">
        <f>VLOOKUP($Z544,'oddspedia-matches'!$A:$AD,AF$2,0)</f>
        <v>#N/A</v>
      </c>
      <c r="AG544" t="e">
        <f>VLOOKUP($Z544,'oddspedia-matches'!$A:$AD,AG$2,0)</f>
        <v>#N/A</v>
      </c>
      <c r="AH544" t="e">
        <f>VLOOKUP($Z544,'oddspedia-matches'!$A:$AD,AH$2,0)</f>
        <v>#N/A</v>
      </c>
      <c r="AI544" t="e">
        <f>VLOOKUP($Z544,'oddspedia-matches'!$A:$AD,AI$2,0)</f>
        <v>#N/A</v>
      </c>
      <c r="AJ544" t="e">
        <f>VLOOKUP($Z544,'oddspedia-matches'!$A:$AD,AJ$2,0)</f>
        <v>#N/A</v>
      </c>
      <c r="AK544" t="e">
        <f>VLOOKUP($Z544,'oddspedia-matches'!$A:$AD,AK$2,0)</f>
        <v>#N/A</v>
      </c>
      <c r="AL544" t="e">
        <f>VLOOKUP($Z544,'oddspedia-matches'!$A:$AD,AL$2,0)</f>
        <v>#N/A</v>
      </c>
      <c r="AM544" t="e">
        <f>VLOOKUP($Z544,'oddspedia-matches'!$A:$AD,AM$2,0)</f>
        <v>#N/A</v>
      </c>
      <c r="AN544" t="e">
        <f>VLOOKUP($Z544,'oddspedia-matches'!$A:$AD,AN$2,0)</f>
        <v>#N/A</v>
      </c>
      <c r="AO544" t="e">
        <f>VLOOKUP($Z544,'oddspedia-matches'!$A:$AD,AO$2,0)</f>
        <v>#N/A</v>
      </c>
      <c r="AP544" t="e">
        <f>VLOOKUP($Z544,'oddspedia-matches'!$A:$AD,AP$2,0)</f>
        <v>#N/A</v>
      </c>
      <c r="AQ544" t="e">
        <f>VLOOKUP($Z544,'oddspedia-matches'!$A:$AD,AQ$2,0)</f>
        <v>#N/A</v>
      </c>
    </row>
    <row r="545" spans="2:43" x14ac:dyDescent="0.2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Torque</v>
      </c>
      <c r="Y545" t="e">
        <f>VLOOKUP(F545,'Transform table'!A:B,2,0)</f>
        <v>#N/A</v>
      </c>
      <c r="Z545" t="e">
        <f>C545&amp;X545&amp;Y545</f>
        <v>#N/A</v>
      </c>
      <c r="AA545" t="e">
        <f>VLOOKUP($Z545,'oddspedia-matches'!$A:$AD,AA$2,0)</f>
        <v>#N/A</v>
      </c>
      <c r="AB545" t="e">
        <f>VLOOKUP($Z545,'oddspedia-matches'!$A:$AD,AB$2,0)</f>
        <v>#N/A</v>
      </c>
      <c r="AC545" t="e">
        <f>VLOOKUP($Z545,'oddspedia-matches'!$A:$AD,AC$2,0)</f>
        <v>#N/A</v>
      </c>
      <c r="AD545" t="e">
        <f>VLOOKUP($Z545,'oddspedia-matches'!$A:$AD,AD$2,0)</f>
        <v>#N/A</v>
      </c>
      <c r="AE545" t="e">
        <f>VLOOKUP($Z545,'oddspedia-matches'!$A:$AD,AE$2,0)</f>
        <v>#N/A</v>
      </c>
      <c r="AF545" t="e">
        <f>VLOOKUP($Z545,'oddspedia-matches'!$A:$AD,AF$2,0)</f>
        <v>#N/A</v>
      </c>
      <c r="AG545" t="e">
        <f>VLOOKUP($Z545,'oddspedia-matches'!$A:$AD,AG$2,0)</f>
        <v>#N/A</v>
      </c>
      <c r="AH545" t="e">
        <f>VLOOKUP($Z545,'oddspedia-matches'!$A:$AD,AH$2,0)</f>
        <v>#N/A</v>
      </c>
      <c r="AI545" t="e">
        <f>VLOOKUP($Z545,'oddspedia-matches'!$A:$AD,AI$2,0)</f>
        <v>#N/A</v>
      </c>
      <c r="AJ545" t="e">
        <f>VLOOKUP($Z545,'oddspedia-matches'!$A:$AD,AJ$2,0)</f>
        <v>#N/A</v>
      </c>
      <c r="AK545" t="e">
        <f>VLOOKUP($Z545,'oddspedia-matches'!$A:$AD,AK$2,0)</f>
        <v>#N/A</v>
      </c>
      <c r="AL545" t="e">
        <f>VLOOKUP($Z545,'oddspedia-matches'!$A:$AD,AL$2,0)</f>
        <v>#N/A</v>
      </c>
      <c r="AM545" t="e">
        <f>VLOOKUP($Z545,'oddspedia-matches'!$A:$AD,AM$2,0)</f>
        <v>#N/A</v>
      </c>
      <c r="AN545" t="e">
        <f>VLOOKUP($Z545,'oddspedia-matches'!$A:$AD,AN$2,0)</f>
        <v>#N/A</v>
      </c>
      <c r="AO545" t="e">
        <f>VLOOKUP($Z545,'oddspedia-matches'!$A:$AD,AO$2,0)</f>
        <v>#N/A</v>
      </c>
      <c r="AP545" t="e">
        <f>VLOOKUP($Z545,'oddspedia-matches'!$A:$AD,AP$2,0)</f>
        <v>#N/A</v>
      </c>
      <c r="AQ545" t="e">
        <f>VLOOKUP($Z545,'oddspedia-matches'!$A:$AD,AQ$2,0)</f>
        <v>#N/A</v>
      </c>
    </row>
    <row r="546" spans="2:43" x14ac:dyDescent="0.2">
      <c r="B546" t="s">
        <v>450</v>
      </c>
      <c r="C546" t="s">
        <v>2227</v>
      </c>
      <c r="D546" s="25">
        <v>0.5</v>
      </c>
      <c r="E546" t="s">
        <v>2228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e">
        <f>VLOOKUP(E546,'Transform table'!A:B,2,0)</f>
        <v>#N/A</v>
      </c>
      <c r="Y546" t="str">
        <f>VLOOKUP(F546,'Transform table'!A:B,2,0)</f>
        <v>FK Transinvest II</v>
      </c>
      <c r="Z546" t="e">
        <f>C546&amp;X546&amp;Y546</f>
        <v>#N/A</v>
      </c>
      <c r="AA546" t="e">
        <f>VLOOKUP($Z546,'oddspedia-matches'!$A:$AD,AA$2,0)</f>
        <v>#N/A</v>
      </c>
      <c r="AB546" t="e">
        <f>VLOOKUP($Z546,'oddspedia-matches'!$A:$AD,AB$2,0)</f>
        <v>#N/A</v>
      </c>
      <c r="AC546" t="e">
        <f>VLOOKUP($Z546,'oddspedia-matches'!$A:$AD,AC$2,0)</f>
        <v>#N/A</v>
      </c>
      <c r="AD546" t="e">
        <f>VLOOKUP($Z546,'oddspedia-matches'!$A:$AD,AD$2,0)</f>
        <v>#N/A</v>
      </c>
      <c r="AE546" t="e">
        <f>VLOOKUP($Z546,'oddspedia-matches'!$A:$AD,AE$2,0)</f>
        <v>#N/A</v>
      </c>
      <c r="AF546" t="e">
        <f>VLOOKUP($Z546,'oddspedia-matches'!$A:$AD,AF$2,0)</f>
        <v>#N/A</v>
      </c>
      <c r="AG546" t="e">
        <f>VLOOKUP($Z546,'oddspedia-matches'!$A:$AD,AG$2,0)</f>
        <v>#N/A</v>
      </c>
      <c r="AH546" t="e">
        <f>VLOOKUP($Z546,'oddspedia-matches'!$A:$AD,AH$2,0)</f>
        <v>#N/A</v>
      </c>
      <c r="AI546" t="e">
        <f>VLOOKUP($Z546,'oddspedia-matches'!$A:$AD,AI$2,0)</f>
        <v>#N/A</v>
      </c>
      <c r="AJ546" t="e">
        <f>VLOOKUP($Z546,'oddspedia-matches'!$A:$AD,AJ$2,0)</f>
        <v>#N/A</v>
      </c>
      <c r="AK546" t="e">
        <f>VLOOKUP($Z546,'oddspedia-matches'!$A:$AD,AK$2,0)</f>
        <v>#N/A</v>
      </c>
      <c r="AL546" t="e">
        <f>VLOOKUP($Z546,'oddspedia-matches'!$A:$AD,AL$2,0)</f>
        <v>#N/A</v>
      </c>
      <c r="AM546" t="e">
        <f>VLOOKUP($Z546,'oddspedia-matches'!$A:$AD,AM$2,0)</f>
        <v>#N/A</v>
      </c>
      <c r="AN546" t="e">
        <f>VLOOKUP($Z546,'oddspedia-matches'!$A:$AD,AN$2,0)</f>
        <v>#N/A</v>
      </c>
      <c r="AO546" t="e">
        <f>VLOOKUP($Z546,'oddspedia-matches'!$A:$AD,AO$2,0)</f>
        <v>#N/A</v>
      </c>
      <c r="AP546" t="e">
        <f>VLOOKUP($Z546,'oddspedia-matches'!$A:$AD,AP$2,0)</f>
        <v>#N/A</v>
      </c>
      <c r="AQ546" t="e">
        <f>VLOOKUP($Z546,'oddspedia-matches'!$A:$AD,AQ$2,0)</f>
        <v>#N/A</v>
      </c>
    </row>
    <row r="547" spans="2:43" x14ac:dyDescent="0.2">
      <c r="B547" t="s">
        <v>450</v>
      </c>
      <c r="C547" t="s">
        <v>2227</v>
      </c>
      <c r="D547" s="25">
        <v>0.54166666666666663</v>
      </c>
      <c r="E547" t="s">
        <v>225</v>
      </c>
      <c r="F547" t="s">
        <v>2229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e">
        <f>VLOOKUP(F547,'Transform table'!A:B,2,0)</f>
        <v>#N/A</v>
      </c>
      <c r="Z547" t="e">
        <f>C547&amp;X547&amp;Y547</f>
        <v>#N/A</v>
      </c>
      <c r="AA547" t="e">
        <f>VLOOKUP($Z547,'oddspedia-matches'!$A:$AD,AA$2,0)</f>
        <v>#N/A</v>
      </c>
      <c r="AB547" t="e">
        <f>VLOOKUP($Z547,'oddspedia-matches'!$A:$AD,AB$2,0)</f>
        <v>#N/A</v>
      </c>
      <c r="AC547" t="e">
        <f>VLOOKUP($Z547,'oddspedia-matches'!$A:$AD,AC$2,0)</f>
        <v>#N/A</v>
      </c>
      <c r="AD547" t="e">
        <f>VLOOKUP($Z547,'oddspedia-matches'!$A:$AD,AD$2,0)</f>
        <v>#N/A</v>
      </c>
      <c r="AE547" t="e">
        <f>VLOOKUP($Z547,'oddspedia-matches'!$A:$AD,AE$2,0)</f>
        <v>#N/A</v>
      </c>
      <c r="AF547" t="e">
        <f>VLOOKUP($Z547,'oddspedia-matches'!$A:$AD,AF$2,0)</f>
        <v>#N/A</v>
      </c>
      <c r="AG547" t="e">
        <f>VLOOKUP($Z547,'oddspedia-matches'!$A:$AD,AG$2,0)</f>
        <v>#N/A</v>
      </c>
      <c r="AH547" t="e">
        <f>VLOOKUP($Z547,'oddspedia-matches'!$A:$AD,AH$2,0)</f>
        <v>#N/A</v>
      </c>
      <c r="AI547" t="e">
        <f>VLOOKUP($Z547,'oddspedia-matches'!$A:$AD,AI$2,0)</f>
        <v>#N/A</v>
      </c>
      <c r="AJ547" t="e">
        <f>VLOOKUP($Z547,'oddspedia-matches'!$A:$AD,AJ$2,0)</f>
        <v>#N/A</v>
      </c>
      <c r="AK547" t="e">
        <f>VLOOKUP($Z547,'oddspedia-matches'!$A:$AD,AK$2,0)</f>
        <v>#N/A</v>
      </c>
      <c r="AL547" t="e">
        <f>VLOOKUP($Z547,'oddspedia-matches'!$A:$AD,AL$2,0)</f>
        <v>#N/A</v>
      </c>
      <c r="AM547" t="e">
        <f>VLOOKUP($Z547,'oddspedia-matches'!$A:$AD,AM$2,0)</f>
        <v>#N/A</v>
      </c>
      <c r="AN547" t="e">
        <f>VLOOKUP($Z547,'oddspedia-matches'!$A:$AD,AN$2,0)</f>
        <v>#N/A</v>
      </c>
      <c r="AO547" t="e">
        <f>VLOOKUP($Z547,'oddspedia-matches'!$A:$AD,AO$2,0)</f>
        <v>#N/A</v>
      </c>
      <c r="AP547" t="e">
        <f>VLOOKUP($Z547,'oddspedia-matches'!$A:$AD,AP$2,0)</f>
        <v>#N/A</v>
      </c>
      <c r="AQ547" t="e">
        <f>VLOOKUP($Z547,'oddspedia-matches'!$A:$AD,AQ$2,0)</f>
        <v>#N/A</v>
      </c>
    </row>
    <row r="548" spans="2:43" x14ac:dyDescent="0.2">
      <c r="B548" t="s">
        <v>451</v>
      </c>
      <c r="C548" t="s">
        <v>2227</v>
      </c>
      <c r="D548" s="25">
        <v>0.58333333333333337</v>
      </c>
      <c r="E548" t="s">
        <v>227</v>
      </c>
      <c r="F548" t="s">
        <v>2230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e">
        <f>VLOOKUP(F548,'Transform table'!A:B,2,0)</f>
        <v>#N/A</v>
      </c>
      <c r="Z548" t="e">
        <f>C548&amp;X548&amp;Y548</f>
        <v>#N/A</v>
      </c>
      <c r="AA548" t="e">
        <f>VLOOKUP($Z548,'oddspedia-matches'!$A:$AD,AA$2,0)</f>
        <v>#N/A</v>
      </c>
      <c r="AB548" t="e">
        <f>VLOOKUP($Z548,'oddspedia-matches'!$A:$AD,AB$2,0)</f>
        <v>#N/A</v>
      </c>
      <c r="AC548" t="e">
        <f>VLOOKUP($Z548,'oddspedia-matches'!$A:$AD,AC$2,0)</f>
        <v>#N/A</v>
      </c>
      <c r="AD548" t="e">
        <f>VLOOKUP($Z548,'oddspedia-matches'!$A:$AD,AD$2,0)</f>
        <v>#N/A</v>
      </c>
      <c r="AE548" t="e">
        <f>VLOOKUP($Z548,'oddspedia-matches'!$A:$AD,AE$2,0)</f>
        <v>#N/A</v>
      </c>
      <c r="AF548" t="e">
        <f>VLOOKUP($Z548,'oddspedia-matches'!$A:$AD,AF$2,0)</f>
        <v>#N/A</v>
      </c>
      <c r="AG548" t="e">
        <f>VLOOKUP($Z548,'oddspedia-matches'!$A:$AD,AG$2,0)</f>
        <v>#N/A</v>
      </c>
      <c r="AH548" t="e">
        <f>VLOOKUP($Z548,'oddspedia-matches'!$A:$AD,AH$2,0)</f>
        <v>#N/A</v>
      </c>
      <c r="AI548" t="e">
        <f>VLOOKUP($Z548,'oddspedia-matches'!$A:$AD,AI$2,0)</f>
        <v>#N/A</v>
      </c>
      <c r="AJ548" t="e">
        <f>VLOOKUP($Z548,'oddspedia-matches'!$A:$AD,AJ$2,0)</f>
        <v>#N/A</v>
      </c>
      <c r="AK548" t="e">
        <f>VLOOKUP($Z548,'oddspedia-matches'!$A:$AD,AK$2,0)</f>
        <v>#N/A</v>
      </c>
      <c r="AL548" t="e">
        <f>VLOOKUP($Z548,'oddspedia-matches'!$A:$AD,AL$2,0)</f>
        <v>#N/A</v>
      </c>
      <c r="AM548" t="e">
        <f>VLOOKUP($Z548,'oddspedia-matches'!$A:$AD,AM$2,0)</f>
        <v>#N/A</v>
      </c>
      <c r="AN548" t="e">
        <f>VLOOKUP($Z548,'oddspedia-matches'!$A:$AD,AN$2,0)</f>
        <v>#N/A</v>
      </c>
      <c r="AO548" t="e">
        <f>VLOOKUP($Z548,'oddspedia-matches'!$A:$AD,AO$2,0)</f>
        <v>#N/A</v>
      </c>
      <c r="AP548" t="e">
        <f>VLOOKUP($Z548,'oddspedia-matches'!$A:$AD,AP$2,0)</f>
        <v>#N/A</v>
      </c>
      <c r="AQ548" t="e">
        <f>VLOOKUP($Z548,'oddspedia-matches'!$A:$AD,AQ$2,0)</f>
        <v>#N/A</v>
      </c>
    </row>
    <row r="549" spans="2:43" x14ac:dyDescent="0.2">
      <c r="B549" t="s">
        <v>451</v>
      </c>
      <c r="C549" t="s">
        <v>2227</v>
      </c>
      <c r="D549" s="25">
        <v>0.58333333333333337</v>
      </c>
      <c r="E549" t="s">
        <v>2231</v>
      </c>
      <c r="F549" t="s">
        <v>2232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e">
        <f>VLOOKUP(E549,'Transform table'!A:B,2,0)</f>
        <v>#N/A</v>
      </c>
      <c r="Y549" t="e">
        <f>VLOOKUP(F549,'Transform table'!A:B,2,0)</f>
        <v>#N/A</v>
      </c>
      <c r="Z549" t="e">
        <f>C549&amp;X549&amp;Y549</f>
        <v>#N/A</v>
      </c>
      <c r="AA549" t="e">
        <f>VLOOKUP($Z549,'oddspedia-matches'!$A:$AD,AA$2,0)</f>
        <v>#N/A</v>
      </c>
      <c r="AB549" t="e">
        <f>VLOOKUP($Z549,'oddspedia-matches'!$A:$AD,AB$2,0)</f>
        <v>#N/A</v>
      </c>
      <c r="AC549" t="e">
        <f>VLOOKUP($Z549,'oddspedia-matches'!$A:$AD,AC$2,0)</f>
        <v>#N/A</v>
      </c>
      <c r="AD549" t="e">
        <f>VLOOKUP($Z549,'oddspedia-matches'!$A:$AD,AD$2,0)</f>
        <v>#N/A</v>
      </c>
      <c r="AE549" t="e">
        <f>VLOOKUP($Z549,'oddspedia-matches'!$A:$AD,AE$2,0)</f>
        <v>#N/A</v>
      </c>
      <c r="AF549" t="e">
        <f>VLOOKUP($Z549,'oddspedia-matches'!$A:$AD,AF$2,0)</f>
        <v>#N/A</v>
      </c>
      <c r="AG549" t="e">
        <f>VLOOKUP($Z549,'oddspedia-matches'!$A:$AD,AG$2,0)</f>
        <v>#N/A</v>
      </c>
      <c r="AH549" t="e">
        <f>VLOOKUP($Z549,'oddspedia-matches'!$A:$AD,AH$2,0)</f>
        <v>#N/A</v>
      </c>
      <c r="AI549" t="e">
        <f>VLOOKUP($Z549,'oddspedia-matches'!$A:$AD,AI$2,0)</f>
        <v>#N/A</v>
      </c>
      <c r="AJ549" t="e">
        <f>VLOOKUP($Z549,'oddspedia-matches'!$A:$AD,AJ$2,0)</f>
        <v>#N/A</v>
      </c>
      <c r="AK549" t="e">
        <f>VLOOKUP($Z549,'oddspedia-matches'!$A:$AD,AK$2,0)</f>
        <v>#N/A</v>
      </c>
      <c r="AL549" t="e">
        <f>VLOOKUP($Z549,'oddspedia-matches'!$A:$AD,AL$2,0)</f>
        <v>#N/A</v>
      </c>
      <c r="AM549" t="e">
        <f>VLOOKUP($Z549,'oddspedia-matches'!$A:$AD,AM$2,0)</f>
        <v>#N/A</v>
      </c>
      <c r="AN549" t="e">
        <f>VLOOKUP($Z549,'oddspedia-matches'!$A:$AD,AN$2,0)</f>
        <v>#N/A</v>
      </c>
      <c r="AO549" t="e">
        <f>VLOOKUP($Z549,'oddspedia-matches'!$A:$AD,AO$2,0)</f>
        <v>#N/A</v>
      </c>
      <c r="AP549" t="e">
        <f>VLOOKUP($Z549,'oddspedia-matches'!$A:$AD,AP$2,0)</f>
        <v>#N/A</v>
      </c>
      <c r="AQ549" t="e">
        <f>VLOOKUP($Z549,'oddspedia-matches'!$A:$AD,AQ$2,0)</f>
        <v>#N/A</v>
      </c>
    </row>
    <row r="550" spans="2:43" x14ac:dyDescent="0.2">
      <c r="B550" t="s">
        <v>479</v>
      </c>
      <c r="C550" t="s">
        <v>2227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Sportivo Iteno</v>
      </c>
      <c r="Z550" t="str">
        <f>C550&amp;X550&amp;Y550</f>
        <v>28/07/2026Rubio NuSportivo Iteno</v>
      </c>
      <c r="AA550" t="e">
        <f>VLOOKUP($Z550,'oddspedia-matches'!$A:$AD,AA$2,0)</f>
        <v>#N/A</v>
      </c>
      <c r="AB550" t="e">
        <f>VLOOKUP($Z550,'oddspedia-matches'!$A:$AD,AB$2,0)</f>
        <v>#N/A</v>
      </c>
      <c r="AC550" t="e">
        <f>VLOOKUP($Z550,'oddspedia-matches'!$A:$AD,AC$2,0)</f>
        <v>#N/A</v>
      </c>
      <c r="AD550" t="e">
        <f>VLOOKUP($Z550,'oddspedia-matches'!$A:$AD,AD$2,0)</f>
        <v>#N/A</v>
      </c>
      <c r="AE550" t="e">
        <f>VLOOKUP($Z550,'oddspedia-matches'!$A:$AD,AE$2,0)</f>
        <v>#N/A</v>
      </c>
      <c r="AF550" t="e">
        <f>VLOOKUP($Z550,'oddspedia-matches'!$A:$AD,AF$2,0)</f>
        <v>#N/A</v>
      </c>
      <c r="AG550" t="e">
        <f>VLOOKUP($Z550,'oddspedia-matches'!$A:$AD,AG$2,0)</f>
        <v>#N/A</v>
      </c>
      <c r="AH550" t="e">
        <f>VLOOKUP($Z550,'oddspedia-matches'!$A:$AD,AH$2,0)</f>
        <v>#N/A</v>
      </c>
      <c r="AI550" t="e">
        <f>VLOOKUP($Z550,'oddspedia-matches'!$A:$AD,AI$2,0)</f>
        <v>#N/A</v>
      </c>
      <c r="AJ550" t="e">
        <f>VLOOKUP($Z550,'oddspedia-matches'!$A:$AD,AJ$2,0)</f>
        <v>#N/A</v>
      </c>
      <c r="AK550" t="e">
        <f>VLOOKUP($Z550,'oddspedia-matches'!$A:$AD,AK$2,0)</f>
        <v>#N/A</v>
      </c>
      <c r="AL550" t="e">
        <f>VLOOKUP($Z550,'oddspedia-matches'!$A:$AD,AL$2,0)</f>
        <v>#N/A</v>
      </c>
      <c r="AM550" t="e">
        <f>VLOOKUP($Z550,'oddspedia-matches'!$A:$AD,AM$2,0)</f>
        <v>#N/A</v>
      </c>
      <c r="AN550" t="e">
        <f>VLOOKUP($Z550,'oddspedia-matches'!$A:$AD,AN$2,0)</f>
        <v>#N/A</v>
      </c>
      <c r="AO550" t="e">
        <f>VLOOKUP($Z550,'oddspedia-matches'!$A:$AD,AO$2,0)</f>
        <v>#N/A</v>
      </c>
      <c r="AP550" t="e">
        <f>VLOOKUP($Z550,'oddspedia-matches'!$A:$AD,AP$2,0)</f>
        <v>#N/A</v>
      </c>
      <c r="AQ550" t="e">
        <f>VLOOKUP($Z550,'oddspedia-matches'!$A:$AD,AQ$2,0)</f>
        <v>#N/A</v>
      </c>
    </row>
    <row r="551" spans="2:43" x14ac:dyDescent="0.2">
      <c r="B551" t="s">
        <v>469</v>
      </c>
      <c r="C551" t="s">
        <v>2227</v>
      </c>
      <c r="D551" s="25">
        <v>0.67708333333333337</v>
      </c>
      <c r="E551" t="s">
        <v>2233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e">
        <f>VLOOKUP(E551,'Transform table'!A:B,2,0)</f>
        <v>#N/A</v>
      </c>
      <c r="Y551">
        <f>VLOOKUP(F551,'Transform table'!A:B,2,0)</f>
        <v>0</v>
      </c>
      <c r="Z551" t="e">
        <f>C551&amp;X551&amp;Y551</f>
        <v>#N/A</v>
      </c>
      <c r="AA551" t="e">
        <f>VLOOKUP($Z551,'oddspedia-matches'!$A:$AD,AA$2,0)</f>
        <v>#N/A</v>
      </c>
      <c r="AB551" t="e">
        <f>VLOOKUP($Z551,'oddspedia-matches'!$A:$AD,AB$2,0)</f>
        <v>#N/A</v>
      </c>
      <c r="AC551" t="e">
        <f>VLOOKUP($Z551,'oddspedia-matches'!$A:$AD,AC$2,0)</f>
        <v>#N/A</v>
      </c>
      <c r="AD551" t="e">
        <f>VLOOKUP($Z551,'oddspedia-matches'!$A:$AD,AD$2,0)</f>
        <v>#N/A</v>
      </c>
      <c r="AE551" t="e">
        <f>VLOOKUP($Z551,'oddspedia-matches'!$A:$AD,AE$2,0)</f>
        <v>#N/A</v>
      </c>
      <c r="AF551" t="e">
        <f>VLOOKUP($Z551,'oddspedia-matches'!$A:$AD,AF$2,0)</f>
        <v>#N/A</v>
      </c>
      <c r="AG551" t="e">
        <f>VLOOKUP($Z551,'oddspedia-matches'!$A:$AD,AG$2,0)</f>
        <v>#N/A</v>
      </c>
      <c r="AH551" t="e">
        <f>VLOOKUP($Z551,'oddspedia-matches'!$A:$AD,AH$2,0)</f>
        <v>#N/A</v>
      </c>
      <c r="AI551" t="e">
        <f>VLOOKUP($Z551,'oddspedia-matches'!$A:$AD,AI$2,0)</f>
        <v>#N/A</v>
      </c>
      <c r="AJ551" t="e">
        <f>VLOOKUP($Z551,'oddspedia-matches'!$A:$AD,AJ$2,0)</f>
        <v>#N/A</v>
      </c>
      <c r="AK551" t="e">
        <f>VLOOKUP($Z551,'oddspedia-matches'!$A:$AD,AK$2,0)</f>
        <v>#N/A</v>
      </c>
      <c r="AL551" t="e">
        <f>VLOOKUP($Z551,'oddspedia-matches'!$A:$AD,AL$2,0)</f>
        <v>#N/A</v>
      </c>
      <c r="AM551" t="e">
        <f>VLOOKUP($Z551,'oddspedia-matches'!$A:$AD,AM$2,0)</f>
        <v>#N/A</v>
      </c>
      <c r="AN551" t="e">
        <f>VLOOKUP($Z551,'oddspedia-matches'!$A:$AD,AN$2,0)</f>
        <v>#N/A</v>
      </c>
      <c r="AO551" t="e">
        <f>VLOOKUP($Z551,'oddspedia-matches'!$A:$AD,AO$2,0)</f>
        <v>#N/A</v>
      </c>
      <c r="AP551" t="e">
        <f>VLOOKUP($Z551,'oddspedia-matches'!$A:$AD,AP$2,0)</f>
        <v>#N/A</v>
      </c>
      <c r="AQ551" t="e">
        <f>VLOOKUP($Z551,'oddspedia-matches'!$A:$AD,AQ$2,0)</f>
        <v>#N/A</v>
      </c>
    </row>
    <row r="552" spans="2:43" x14ac:dyDescent="0.2">
      <c r="B552" t="s">
        <v>479</v>
      </c>
      <c r="C552" t="s">
        <v>2227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>C552&amp;X552&amp;Y552</f>
        <v>28/07/2026CS 2 de MayoCerro Porteno</v>
      </c>
      <c r="AA552" t="e">
        <f>VLOOKUP($Z552,'oddspedia-matches'!$A:$AD,AA$2,0)</f>
        <v>#N/A</v>
      </c>
      <c r="AB552" t="e">
        <f>VLOOKUP($Z552,'oddspedia-matches'!$A:$AD,AB$2,0)</f>
        <v>#N/A</v>
      </c>
      <c r="AC552" t="e">
        <f>VLOOKUP($Z552,'oddspedia-matches'!$A:$AD,AC$2,0)</f>
        <v>#N/A</v>
      </c>
      <c r="AD552" t="e">
        <f>VLOOKUP($Z552,'oddspedia-matches'!$A:$AD,AD$2,0)</f>
        <v>#N/A</v>
      </c>
      <c r="AE552" t="e">
        <f>VLOOKUP($Z552,'oddspedia-matches'!$A:$AD,AE$2,0)</f>
        <v>#N/A</v>
      </c>
      <c r="AF552" t="e">
        <f>VLOOKUP($Z552,'oddspedia-matches'!$A:$AD,AF$2,0)</f>
        <v>#N/A</v>
      </c>
      <c r="AG552" t="e">
        <f>VLOOKUP($Z552,'oddspedia-matches'!$A:$AD,AG$2,0)</f>
        <v>#N/A</v>
      </c>
      <c r="AH552" t="e">
        <f>VLOOKUP($Z552,'oddspedia-matches'!$A:$AD,AH$2,0)</f>
        <v>#N/A</v>
      </c>
      <c r="AI552" t="e">
        <f>VLOOKUP($Z552,'oddspedia-matches'!$A:$AD,AI$2,0)</f>
        <v>#N/A</v>
      </c>
      <c r="AJ552" t="e">
        <f>VLOOKUP($Z552,'oddspedia-matches'!$A:$AD,AJ$2,0)</f>
        <v>#N/A</v>
      </c>
      <c r="AK552" t="e">
        <f>VLOOKUP($Z552,'oddspedia-matches'!$A:$AD,AK$2,0)</f>
        <v>#N/A</v>
      </c>
      <c r="AL552" t="e">
        <f>VLOOKUP($Z552,'oddspedia-matches'!$A:$AD,AL$2,0)</f>
        <v>#N/A</v>
      </c>
      <c r="AM552" t="e">
        <f>VLOOKUP($Z552,'oddspedia-matches'!$A:$AD,AM$2,0)</f>
        <v>#N/A</v>
      </c>
      <c r="AN552" t="e">
        <f>VLOOKUP($Z552,'oddspedia-matches'!$A:$AD,AN$2,0)</f>
        <v>#N/A</v>
      </c>
      <c r="AO552" t="e">
        <f>VLOOKUP($Z552,'oddspedia-matches'!$A:$AD,AO$2,0)</f>
        <v>#N/A</v>
      </c>
      <c r="AP552" t="e">
        <f>VLOOKUP($Z552,'oddspedia-matches'!$A:$AD,AP$2,0)</f>
        <v>#N/A</v>
      </c>
      <c r="AQ552" t="e">
        <f>VLOOKUP($Z552,'oddspedia-matches'!$A:$AD,AQ$2,0)</f>
        <v>#N/A</v>
      </c>
    </row>
    <row r="553" spans="2:43" x14ac:dyDescent="0.2">
      <c r="B553" t="s">
        <v>470</v>
      </c>
      <c r="C553" t="s">
        <v>2227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>C553&amp;X553&amp;Y553</f>
        <v>28/07/2026BanfieldSarmiento</v>
      </c>
      <c r="AA553" t="e">
        <f>VLOOKUP($Z553,'oddspedia-matches'!$A:$AD,AA$2,0)</f>
        <v>#N/A</v>
      </c>
      <c r="AB553" t="e">
        <f>VLOOKUP($Z553,'oddspedia-matches'!$A:$AD,AB$2,0)</f>
        <v>#N/A</v>
      </c>
      <c r="AC553" t="e">
        <f>VLOOKUP($Z553,'oddspedia-matches'!$A:$AD,AC$2,0)</f>
        <v>#N/A</v>
      </c>
      <c r="AD553" t="e">
        <f>VLOOKUP($Z553,'oddspedia-matches'!$A:$AD,AD$2,0)</f>
        <v>#N/A</v>
      </c>
      <c r="AE553" t="e">
        <f>VLOOKUP($Z553,'oddspedia-matches'!$A:$AD,AE$2,0)</f>
        <v>#N/A</v>
      </c>
      <c r="AF553" t="e">
        <f>VLOOKUP($Z553,'oddspedia-matches'!$A:$AD,AF$2,0)</f>
        <v>#N/A</v>
      </c>
      <c r="AG553" t="e">
        <f>VLOOKUP($Z553,'oddspedia-matches'!$A:$AD,AG$2,0)</f>
        <v>#N/A</v>
      </c>
      <c r="AH553" t="e">
        <f>VLOOKUP($Z553,'oddspedia-matches'!$A:$AD,AH$2,0)</f>
        <v>#N/A</v>
      </c>
      <c r="AI553" t="e">
        <f>VLOOKUP($Z553,'oddspedia-matches'!$A:$AD,AI$2,0)</f>
        <v>#N/A</v>
      </c>
      <c r="AJ553" t="e">
        <f>VLOOKUP($Z553,'oddspedia-matches'!$A:$AD,AJ$2,0)</f>
        <v>#N/A</v>
      </c>
      <c r="AK553" t="e">
        <f>VLOOKUP($Z553,'oddspedia-matches'!$A:$AD,AK$2,0)</f>
        <v>#N/A</v>
      </c>
      <c r="AL553" t="e">
        <f>VLOOKUP($Z553,'oddspedia-matches'!$A:$AD,AL$2,0)</f>
        <v>#N/A</v>
      </c>
      <c r="AM553" t="e">
        <f>VLOOKUP($Z553,'oddspedia-matches'!$A:$AD,AM$2,0)</f>
        <v>#N/A</v>
      </c>
      <c r="AN553" t="e">
        <f>VLOOKUP($Z553,'oddspedia-matches'!$A:$AD,AN$2,0)</f>
        <v>#N/A</v>
      </c>
      <c r="AO553" t="e">
        <f>VLOOKUP($Z553,'oddspedia-matches'!$A:$AD,AO$2,0)</f>
        <v>#N/A</v>
      </c>
      <c r="AP553" t="e">
        <f>VLOOKUP($Z553,'oddspedia-matches'!$A:$AD,AP$2,0)</f>
        <v>#N/A</v>
      </c>
      <c r="AQ553" t="e">
        <f>VLOOKUP($Z553,'oddspedia-matches'!$A:$AD,AQ$2,0)</f>
        <v>#N/A</v>
      </c>
    </row>
    <row r="554" spans="2:43" x14ac:dyDescent="0.2">
      <c r="B554" t="s">
        <v>470</v>
      </c>
      <c r="C554" t="s">
        <v>2227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e">
        <f>VLOOKUP(E554,'Transform table'!A:B,2,0)</f>
        <v>#N/A</v>
      </c>
      <c r="Y554" t="str">
        <f>VLOOKUP(F554,'Transform table'!A:B,2,0)</f>
        <v>Gimnasia Mendoza</v>
      </c>
      <c r="Z554" t="e">
        <f>C554&amp;X554&amp;Y554</f>
        <v>#N/A</v>
      </c>
      <c r="AA554" t="e">
        <f>VLOOKUP($Z554,'oddspedia-matches'!$A:$AD,AA$2,0)</f>
        <v>#N/A</v>
      </c>
      <c r="AB554" t="e">
        <f>VLOOKUP($Z554,'oddspedia-matches'!$A:$AD,AB$2,0)</f>
        <v>#N/A</v>
      </c>
      <c r="AC554" t="e">
        <f>VLOOKUP($Z554,'oddspedia-matches'!$A:$AD,AC$2,0)</f>
        <v>#N/A</v>
      </c>
      <c r="AD554" t="e">
        <f>VLOOKUP($Z554,'oddspedia-matches'!$A:$AD,AD$2,0)</f>
        <v>#N/A</v>
      </c>
      <c r="AE554" t="e">
        <f>VLOOKUP($Z554,'oddspedia-matches'!$A:$AD,AE$2,0)</f>
        <v>#N/A</v>
      </c>
      <c r="AF554" t="e">
        <f>VLOOKUP($Z554,'oddspedia-matches'!$A:$AD,AF$2,0)</f>
        <v>#N/A</v>
      </c>
      <c r="AG554" t="e">
        <f>VLOOKUP($Z554,'oddspedia-matches'!$A:$AD,AG$2,0)</f>
        <v>#N/A</v>
      </c>
      <c r="AH554" t="e">
        <f>VLOOKUP($Z554,'oddspedia-matches'!$A:$AD,AH$2,0)</f>
        <v>#N/A</v>
      </c>
      <c r="AI554" t="e">
        <f>VLOOKUP($Z554,'oddspedia-matches'!$A:$AD,AI$2,0)</f>
        <v>#N/A</v>
      </c>
      <c r="AJ554" t="e">
        <f>VLOOKUP($Z554,'oddspedia-matches'!$A:$AD,AJ$2,0)</f>
        <v>#N/A</v>
      </c>
      <c r="AK554" t="e">
        <f>VLOOKUP($Z554,'oddspedia-matches'!$A:$AD,AK$2,0)</f>
        <v>#N/A</v>
      </c>
      <c r="AL554" t="e">
        <f>VLOOKUP($Z554,'oddspedia-matches'!$A:$AD,AL$2,0)</f>
        <v>#N/A</v>
      </c>
      <c r="AM554" t="e">
        <f>VLOOKUP($Z554,'oddspedia-matches'!$A:$AD,AM$2,0)</f>
        <v>#N/A</v>
      </c>
      <c r="AN554" t="e">
        <f>VLOOKUP($Z554,'oddspedia-matches'!$A:$AD,AN$2,0)</f>
        <v>#N/A</v>
      </c>
      <c r="AO554" t="e">
        <f>VLOOKUP($Z554,'oddspedia-matches'!$A:$AD,AO$2,0)</f>
        <v>#N/A</v>
      </c>
      <c r="AP554" t="e">
        <f>VLOOKUP($Z554,'oddspedia-matches'!$A:$AD,AP$2,0)</f>
        <v>#N/A</v>
      </c>
      <c r="AQ554" t="e">
        <f>VLOOKUP($Z554,'oddspedia-matches'!$A:$AD,AQ$2,0)</f>
        <v>#N/A</v>
      </c>
    </row>
    <row r="555" spans="2:43" x14ac:dyDescent="0.2">
      <c r="B555" t="s">
        <v>455</v>
      </c>
      <c r="C555" t="s">
        <v>2227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>C555&amp;X555&amp;Y555</f>
        <v>28/07/2026EC JuventudeAvai</v>
      </c>
      <c r="AA555" t="e">
        <f>VLOOKUP($Z555,'oddspedia-matches'!$A:$AD,AA$2,0)</f>
        <v>#N/A</v>
      </c>
      <c r="AB555" t="e">
        <f>VLOOKUP($Z555,'oddspedia-matches'!$A:$AD,AB$2,0)</f>
        <v>#N/A</v>
      </c>
      <c r="AC555" t="e">
        <f>VLOOKUP($Z555,'oddspedia-matches'!$A:$AD,AC$2,0)</f>
        <v>#N/A</v>
      </c>
      <c r="AD555" t="e">
        <f>VLOOKUP($Z555,'oddspedia-matches'!$A:$AD,AD$2,0)</f>
        <v>#N/A</v>
      </c>
      <c r="AE555" t="e">
        <f>VLOOKUP($Z555,'oddspedia-matches'!$A:$AD,AE$2,0)</f>
        <v>#N/A</v>
      </c>
      <c r="AF555" t="e">
        <f>VLOOKUP($Z555,'oddspedia-matches'!$A:$AD,AF$2,0)</f>
        <v>#N/A</v>
      </c>
      <c r="AG555" t="e">
        <f>VLOOKUP($Z555,'oddspedia-matches'!$A:$AD,AG$2,0)</f>
        <v>#N/A</v>
      </c>
      <c r="AH555" t="e">
        <f>VLOOKUP($Z555,'oddspedia-matches'!$A:$AD,AH$2,0)</f>
        <v>#N/A</v>
      </c>
      <c r="AI555" t="e">
        <f>VLOOKUP($Z555,'oddspedia-matches'!$A:$AD,AI$2,0)</f>
        <v>#N/A</v>
      </c>
      <c r="AJ555" t="e">
        <f>VLOOKUP($Z555,'oddspedia-matches'!$A:$AD,AJ$2,0)</f>
        <v>#N/A</v>
      </c>
      <c r="AK555" t="e">
        <f>VLOOKUP($Z555,'oddspedia-matches'!$A:$AD,AK$2,0)</f>
        <v>#N/A</v>
      </c>
      <c r="AL555" t="e">
        <f>VLOOKUP($Z555,'oddspedia-matches'!$A:$AD,AL$2,0)</f>
        <v>#N/A</v>
      </c>
      <c r="AM555" t="e">
        <f>VLOOKUP($Z555,'oddspedia-matches'!$A:$AD,AM$2,0)</f>
        <v>#N/A</v>
      </c>
      <c r="AN555" t="e">
        <f>VLOOKUP($Z555,'oddspedia-matches'!$A:$AD,AN$2,0)</f>
        <v>#N/A</v>
      </c>
      <c r="AO555" t="e">
        <f>VLOOKUP($Z555,'oddspedia-matches'!$A:$AD,AO$2,0)</f>
        <v>#N/A</v>
      </c>
      <c r="AP555" t="e">
        <f>VLOOKUP($Z555,'oddspedia-matches'!$A:$AD,AP$2,0)</f>
        <v>#N/A</v>
      </c>
      <c r="AQ555" t="e">
        <f>VLOOKUP($Z555,'oddspedia-matches'!$A:$AD,AQ$2,0)</f>
        <v>#N/A</v>
      </c>
    </row>
    <row r="556" spans="2:43" x14ac:dyDescent="0.2">
      <c r="B556" t="s">
        <v>455</v>
      </c>
      <c r="C556" t="s">
        <v>2227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>C556&amp;X556&amp;Y556</f>
        <v>28/07/2026Ponte PretaAthletic Club MG</v>
      </c>
      <c r="AA556" t="e">
        <f>VLOOKUP($Z556,'oddspedia-matches'!$A:$AD,AA$2,0)</f>
        <v>#N/A</v>
      </c>
      <c r="AB556" t="e">
        <f>VLOOKUP($Z556,'oddspedia-matches'!$A:$AD,AB$2,0)</f>
        <v>#N/A</v>
      </c>
      <c r="AC556" t="e">
        <f>VLOOKUP($Z556,'oddspedia-matches'!$A:$AD,AC$2,0)</f>
        <v>#N/A</v>
      </c>
      <c r="AD556" t="e">
        <f>VLOOKUP($Z556,'oddspedia-matches'!$A:$AD,AD$2,0)</f>
        <v>#N/A</v>
      </c>
      <c r="AE556" t="e">
        <f>VLOOKUP($Z556,'oddspedia-matches'!$A:$AD,AE$2,0)</f>
        <v>#N/A</v>
      </c>
      <c r="AF556" t="e">
        <f>VLOOKUP($Z556,'oddspedia-matches'!$A:$AD,AF$2,0)</f>
        <v>#N/A</v>
      </c>
      <c r="AG556" t="e">
        <f>VLOOKUP($Z556,'oddspedia-matches'!$A:$AD,AG$2,0)</f>
        <v>#N/A</v>
      </c>
      <c r="AH556" t="e">
        <f>VLOOKUP($Z556,'oddspedia-matches'!$A:$AD,AH$2,0)</f>
        <v>#N/A</v>
      </c>
      <c r="AI556" t="e">
        <f>VLOOKUP($Z556,'oddspedia-matches'!$A:$AD,AI$2,0)</f>
        <v>#N/A</v>
      </c>
      <c r="AJ556" t="e">
        <f>VLOOKUP($Z556,'oddspedia-matches'!$A:$AD,AJ$2,0)</f>
        <v>#N/A</v>
      </c>
      <c r="AK556" t="e">
        <f>VLOOKUP($Z556,'oddspedia-matches'!$A:$AD,AK$2,0)</f>
        <v>#N/A</v>
      </c>
      <c r="AL556" t="e">
        <f>VLOOKUP($Z556,'oddspedia-matches'!$A:$AD,AL$2,0)</f>
        <v>#N/A</v>
      </c>
      <c r="AM556" t="e">
        <f>VLOOKUP($Z556,'oddspedia-matches'!$A:$AD,AM$2,0)</f>
        <v>#N/A</v>
      </c>
      <c r="AN556" t="e">
        <f>VLOOKUP($Z556,'oddspedia-matches'!$A:$AD,AN$2,0)</f>
        <v>#N/A</v>
      </c>
      <c r="AO556" t="e">
        <f>VLOOKUP($Z556,'oddspedia-matches'!$A:$AD,AO$2,0)</f>
        <v>#N/A</v>
      </c>
      <c r="AP556" t="e">
        <f>VLOOKUP($Z556,'oddspedia-matches'!$A:$AD,AP$2,0)</f>
        <v>#N/A</v>
      </c>
      <c r="AQ556" t="e">
        <f>VLOOKUP($Z556,'oddspedia-matches'!$A:$AD,AQ$2,0)</f>
        <v>#N/A</v>
      </c>
    </row>
    <row r="557" spans="2:43" x14ac:dyDescent="0.2">
      <c r="B557" t="s">
        <v>470</v>
      </c>
      <c r="C557" t="s">
        <v>2227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>
        <f>VLOOKUP(F557,'Transform table'!A:B,2,0)</f>
        <v>0</v>
      </c>
      <c r="Z557" t="str">
        <f>C557&amp;X557&amp;Y557</f>
        <v>28/07/2026Argentinos Juniors0</v>
      </c>
      <c r="AA557" t="e">
        <f>VLOOKUP($Z557,'oddspedia-matches'!$A:$AD,AA$2,0)</f>
        <v>#N/A</v>
      </c>
      <c r="AB557" t="e">
        <f>VLOOKUP($Z557,'oddspedia-matches'!$A:$AD,AB$2,0)</f>
        <v>#N/A</v>
      </c>
      <c r="AC557" t="e">
        <f>VLOOKUP($Z557,'oddspedia-matches'!$A:$AD,AC$2,0)</f>
        <v>#N/A</v>
      </c>
      <c r="AD557" t="e">
        <f>VLOOKUP($Z557,'oddspedia-matches'!$A:$AD,AD$2,0)</f>
        <v>#N/A</v>
      </c>
      <c r="AE557" t="e">
        <f>VLOOKUP($Z557,'oddspedia-matches'!$A:$AD,AE$2,0)</f>
        <v>#N/A</v>
      </c>
      <c r="AF557" t="e">
        <f>VLOOKUP($Z557,'oddspedia-matches'!$A:$AD,AF$2,0)</f>
        <v>#N/A</v>
      </c>
      <c r="AG557" t="e">
        <f>VLOOKUP($Z557,'oddspedia-matches'!$A:$AD,AG$2,0)</f>
        <v>#N/A</v>
      </c>
      <c r="AH557" t="e">
        <f>VLOOKUP($Z557,'oddspedia-matches'!$A:$AD,AH$2,0)</f>
        <v>#N/A</v>
      </c>
      <c r="AI557" t="e">
        <f>VLOOKUP($Z557,'oddspedia-matches'!$A:$AD,AI$2,0)</f>
        <v>#N/A</v>
      </c>
      <c r="AJ557" t="e">
        <f>VLOOKUP($Z557,'oddspedia-matches'!$A:$AD,AJ$2,0)</f>
        <v>#N/A</v>
      </c>
      <c r="AK557" t="e">
        <f>VLOOKUP($Z557,'oddspedia-matches'!$A:$AD,AK$2,0)</f>
        <v>#N/A</v>
      </c>
      <c r="AL557" t="e">
        <f>VLOOKUP($Z557,'oddspedia-matches'!$A:$AD,AL$2,0)</f>
        <v>#N/A</v>
      </c>
      <c r="AM557" t="e">
        <f>VLOOKUP($Z557,'oddspedia-matches'!$A:$AD,AM$2,0)</f>
        <v>#N/A</v>
      </c>
      <c r="AN557" t="e">
        <f>VLOOKUP($Z557,'oddspedia-matches'!$A:$AD,AN$2,0)</f>
        <v>#N/A</v>
      </c>
      <c r="AO557" t="e">
        <f>VLOOKUP($Z557,'oddspedia-matches'!$A:$AD,AO$2,0)</f>
        <v>#N/A</v>
      </c>
      <c r="AP557" t="e">
        <f>VLOOKUP($Z557,'oddspedia-matches'!$A:$AD,AP$2,0)</f>
        <v>#N/A</v>
      </c>
      <c r="AQ557" t="e">
        <f>VLOOKUP($Z557,'oddspedia-matches'!$A:$AD,AQ$2,0)</f>
        <v>#N/A</v>
      </c>
    </row>
    <row r="558" spans="2:43" x14ac:dyDescent="0.2">
      <c r="B558" t="s">
        <v>470</v>
      </c>
      <c r="C558" t="s">
        <v>2227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>C558&amp;X558&amp;Y558</f>
        <v>28/07/2026Rosario CentralRacing Avellaneda</v>
      </c>
      <c r="AA558" t="e">
        <f>VLOOKUP($Z558,'oddspedia-matches'!$A:$AD,AA$2,0)</f>
        <v>#N/A</v>
      </c>
      <c r="AB558" t="e">
        <f>VLOOKUP($Z558,'oddspedia-matches'!$A:$AD,AB$2,0)</f>
        <v>#N/A</v>
      </c>
      <c r="AC558" t="e">
        <f>VLOOKUP($Z558,'oddspedia-matches'!$A:$AD,AC$2,0)</f>
        <v>#N/A</v>
      </c>
      <c r="AD558" t="e">
        <f>VLOOKUP($Z558,'oddspedia-matches'!$A:$AD,AD$2,0)</f>
        <v>#N/A</v>
      </c>
      <c r="AE558" t="e">
        <f>VLOOKUP($Z558,'oddspedia-matches'!$A:$AD,AE$2,0)</f>
        <v>#N/A</v>
      </c>
      <c r="AF558" t="e">
        <f>VLOOKUP($Z558,'oddspedia-matches'!$A:$AD,AF$2,0)</f>
        <v>#N/A</v>
      </c>
      <c r="AG558" t="e">
        <f>VLOOKUP($Z558,'oddspedia-matches'!$A:$AD,AG$2,0)</f>
        <v>#N/A</v>
      </c>
      <c r="AH558" t="e">
        <f>VLOOKUP($Z558,'oddspedia-matches'!$A:$AD,AH$2,0)</f>
        <v>#N/A</v>
      </c>
      <c r="AI558" t="e">
        <f>VLOOKUP($Z558,'oddspedia-matches'!$A:$AD,AI$2,0)</f>
        <v>#N/A</v>
      </c>
      <c r="AJ558" t="e">
        <f>VLOOKUP($Z558,'oddspedia-matches'!$A:$AD,AJ$2,0)</f>
        <v>#N/A</v>
      </c>
      <c r="AK558" t="e">
        <f>VLOOKUP($Z558,'oddspedia-matches'!$A:$AD,AK$2,0)</f>
        <v>#N/A</v>
      </c>
      <c r="AL558" t="e">
        <f>VLOOKUP($Z558,'oddspedia-matches'!$A:$AD,AL$2,0)</f>
        <v>#N/A</v>
      </c>
      <c r="AM558" t="e">
        <f>VLOOKUP($Z558,'oddspedia-matches'!$A:$AD,AM$2,0)</f>
        <v>#N/A</v>
      </c>
      <c r="AN558" t="e">
        <f>VLOOKUP($Z558,'oddspedia-matches'!$A:$AD,AN$2,0)</f>
        <v>#N/A</v>
      </c>
      <c r="AO558" t="e">
        <f>VLOOKUP($Z558,'oddspedia-matches'!$A:$AD,AO$2,0)</f>
        <v>#N/A</v>
      </c>
      <c r="AP558" t="e">
        <f>VLOOKUP($Z558,'oddspedia-matches'!$A:$AD,AP$2,0)</f>
        <v>#N/A</v>
      </c>
      <c r="AQ558" t="e">
        <f>VLOOKUP($Z558,'oddspedia-matches'!$A:$AD,AQ$2,0)</f>
        <v>#N/A</v>
      </c>
    </row>
    <row r="559" spans="2:43" x14ac:dyDescent="0.2">
      <c r="B559" t="s">
        <v>455</v>
      </c>
      <c r="C559" t="s">
        <v>2227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>C559&amp;X559&amp;Y559</f>
        <v>28/07/2026Fortaleza ECBotafogo SP</v>
      </c>
      <c r="AA559" t="e">
        <f>VLOOKUP($Z559,'oddspedia-matches'!$A:$AD,AA$2,0)</f>
        <v>#N/A</v>
      </c>
      <c r="AB559" t="e">
        <f>VLOOKUP($Z559,'oddspedia-matches'!$A:$AD,AB$2,0)</f>
        <v>#N/A</v>
      </c>
      <c r="AC559" t="e">
        <f>VLOOKUP($Z559,'oddspedia-matches'!$A:$AD,AC$2,0)</f>
        <v>#N/A</v>
      </c>
      <c r="AD559" t="e">
        <f>VLOOKUP($Z559,'oddspedia-matches'!$A:$AD,AD$2,0)</f>
        <v>#N/A</v>
      </c>
      <c r="AE559" t="e">
        <f>VLOOKUP($Z559,'oddspedia-matches'!$A:$AD,AE$2,0)</f>
        <v>#N/A</v>
      </c>
      <c r="AF559" t="e">
        <f>VLOOKUP($Z559,'oddspedia-matches'!$A:$AD,AF$2,0)</f>
        <v>#N/A</v>
      </c>
      <c r="AG559" t="e">
        <f>VLOOKUP($Z559,'oddspedia-matches'!$A:$AD,AG$2,0)</f>
        <v>#N/A</v>
      </c>
      <c r="AH559" t="e">
        <f>VLOOKUP($Z559,'oddspedia-matches'!$A:$AD,AH$2,0)</f>
        <v>#N/A</v>
      </c>
      <c r="AI559" t="e">
        <f>VLOOKUP($Z559,'oddspedia-matches'!$A:$AD,AI$2,0)</f>
        <v>#N/A</v>
      </c>
      <c r="AJ559" t="e">
        <f>VLOOKUP($Z559,'oddspedia-matches'!$A:$AD,AJ$2,0)</f>
        <v>#N/A</v>
      </c>
      <c r="AK559" t="e">
        <f>VLOOKUP($Z559,'oddspedia-matches'!$A:$AD,AK$2,0)</f>
        <v>#N/A</v>
      </c>
      <c r="AL559" t="e">
        <f>VLOOKUP($Z559,'oddspedia-matches'!$A:$AD,AL$2,0)</f>
        <v>#N/A</v>
      </c>
      <c r="AM559" t="e">
        <f>VLOOKUP($Z559,'oddspedia-matches'!$A:$AD,AM$2,0)</f>
        <v>#N/A</v>
      </c>
      <c r="AN559" t="e">
        <f>VLOOKUP($Z559,'oddspedia-matches'!$A:$AD,AN$2,0)</f>
        <v>#N/A</v>
      </c>
      <c r="AO559" t="e">
        <f>VLOOKUP($Z559,'oddspedia-matches'!$A:$AD,AO$2,0)</f>
        <v>#N/A</v>
      </c>
      <c r="AP559" t="e">
        <f>VLOOKUP($Z559,'oddspedia-matches'!$A:$AD,AP$2,0)</f>
        <v>#N/A</v>
      </c>
      <c r="AQ559" t="e">
        <f>VLOOKUP($Z559,'oddspedia-matches'!$A:$AD,AQ$2,0)</f>
        <v>#N/A</v>
      </c>
    </row>
  </sheetData>
  <autoFilter ref="A3:AQ559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baseColWidth="10" defaultColWidth="8.83203125" defaultRowHeight="15" x14ac:dyDescent="0.2"/>
  <cols>
    <col min="1" max="1" width="8.83203125" style="1"/>
    <col min="2" max="2" width="26" style="1" bestFit="1" customWidth="1"/>
    <col min="3" max="3" width="10.33203125" style="1" bestFit="1" customWidth="1"/>
    <col min="4" max="4" width="8.164062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5" style="1" customWidth="1"/>
    <col min="10" max="10" width="11.83203125" style="1" customWidth="1"/>
    <col min="11" max="11" width="10.33203125" style="1" bestFit="1" customWidth="1"/>
    <col min="12" max="12" width="8.1640625" style="1" bestFit="1" customWidth="1"/>
    <col min="13" max="13" width="22.5" style="1" bestFit="1" customWidth="1"/>
    <col min="14" max="16384" width="8.83203125" style="1"/>
  </cols>
  <sheetData>
    <row r="1" spans="1:13" x14ac:dyDescent="0.2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878"/>
  <sheetViews>
    <sheetView topLeftCell="A688" workbookViewId="0">
      <selection activeCell="F843" sqref="F843"/>
    </sheetView>
  </sheetViews>
  <sheetFormatPr baseColWidth="10" defaultColWidth="8.83203125" defaultRowHeight="15" x14ac:dyDescent="0.2"/>
  <cols>
    <col min="2" max="2" width="14" bestFit="1" customWidth="1"/>
    <col min="3" max="3" width="28.1640625" bestFit="1" customWidth="1"/>
    <col min="4" max="4" width="10.5" bestFit="1" customWidth="1"/>
    <col min="5" max="5" width="8.1640625" bestFit="1" customWidth="1"/>
    <col min="6" max="6" width="31.83203125" bestFit="1" customWidth="1"/>
    <col min="7" max="7" width="35" bestFit="1" customWidth="1"/>
    <col min="8" max="8" width="14.6640625" bestFit="1" customWidth="1"/>
    <col min="9" max="9" width="14" bestFit="1" customWidth="1"/>
    <col min="10" max="10" width="10.5" bestFit="1" customWidth="1"/>
    <col min="11" max="11" width="9.6640625" bestFit="1" customWidth="1"/>
    <col min="12" max="12" width="10.5" bestFit="1" customWidth="1"/>
    <col min="13" max="13" width="8.1640625" bestFit="1" customWidth="1"/>
    <col min="24" max="24" width="8.1640625" bestFit="1" customWidth="1"/>
    <col min="25" max="28" width="5.5" bestFit="1" customWidth="1"/>
    <col min="29" max="29" width="8.6640625" bestFit="1" customWidth="1"/>
    <col min="30" max="30" width="9" bestFit="1" customWidth="1"/>
  </cols>
  <sheetData>
    <row r="1" spans="1:30" x14ac:dyDescent="0.2">
      <c r="A1" s="5" t="s">
        <v>442</v>
      </c>
      <c r="B1" s="5" t="s">
        <v>800</v>
      </c>
      <c r="C1" s="5" t="s">
        <v>801</v>
      </c>
      <c r="D1" s="5" t="s">
        <v>349</v>
      </c>
      <c r="E1" s="43" t="s">
        <v>348</v>
      </c>
      <c r="F1" s="43" t="s">
        <v>347</v>
      </c>
      <c r="G1" s="43" t="s">
        <v>346</v>
      </c>
      <c r="H1" s="43" t="s">
        <v>345</v>
      </c>
      <c r="I1" s="43" t="s">
        <v>344</v>
      </c>
      <c r="J1" s="43" t="s">
        <v>343</v>
      </c>
      <c r="K1" s="43" t="s">
        <v>342</v>
      </c>
      <c r="L1" s="43" t="s">
        <v>856</v>
      </c>
      <c r="M1" s="43" t="s">
        <v>350</v>
      </c>
      <c r="N1" s="47" t="s">
        <v>444</v>
      </c>
      <c r="O1" s="48" t="s">
        <v>439</v>
      </c>
      <c r="P1" s="48" t="s">
        <v>4</v>
      </c>
      <c r="Q1" s="48" t="s">
        <v>440</v>
      </c>
      <c r="R1" s="48" t="s">
        <v>5</v>
      </c>
      <c r="S1" s="48" t="s">
        <v>6</v>
      </c>
      <c r="T1" s="48" t="s">
        <v>441</v>
      </c>
      <c r="U1" s="48" t="s">
        <v>7</v>
      </c>
      <c r="V1" s="48" t="s">
        <v>8</v>
      </c>
      <c r="W1" s="48" t="s">
        <v>9</v>
      </c>
      <c r="X1" s="48" t="s">
        <v>2115</v>
      </c>
      <c r="Y1" s="48" t="s">
        <v>2116</v>
      </c>
      <c r="Z1" s="48" t="s">
        <v>2117</v>
      </c>
      <c r="AA1" s="48" t="s">
        <v>2118</v>
      </c>
      <c r="AB1" s="48" t="s">
        <v>2119</v>
      </c>
      <c r="AC1" s="48" t="s">
        <v>15</v>
      </c>
      <c r="AD1" s="48" t="s">
        <v>16</v>
      </c>
    </row>
    <row r="2" spans="1:30" x14ac:dyDescent="0.2">
      <c r="A2" t="str">
        <f>L2&amp;F2&amp;G2</f>
        <v>20/07/2026Hapoel Petah TikvaBnei Yehuda Tel Aviv</v>
      </c>
      <c r="D2" s="2">
        <v>46223</v>
      </c>
      <c r="E2" s="42">
        <v>0.33333333333333331</v>
      </c>
      <c r="F2" s="44" t="s">
        <v>1285</v>
      </c>
      <c r="G2" s="44" t="s">
        <v>1286</v>
      </c>
      <c r="H2" s="44">
        <v>1</v>
      </c>
      <c r="I2" s="44">
        <v>0</v>
      </c>
      <c r="J2" s="44">
        <v>1</v>
      </c>
      <c r="K2" s="44">
        <v>1</v>
      </c>
      <c r="L2" s="45" t="str">
        <f>DAY(D2)&amp;"/"&amp;"07"&amp;"/"&amp;YEAR(D2)</f>
        <v>20/07/2026</v>
      </c>
      <c r="M2" s="46">
        <f>E2-TIME(3,0,0)</f>
        <v>0.20833333333333331</v>
      </c>
      <c r="N2" s="44" t="str">
        <f>J2&amp;" - "&amp;K2</f>
        <v>1 - 1</v>
      </c>
      <c r="O2" s="44" t="str">
        <f>IF($J2&gt;$K2,"Green","Red")</f>
        <v>Red</v>
      </c>
      <c r="P2" s="44" t="str">
        <f>IF($J2=$K2,"Green","Red")</f>
        <v>Green</v>
      </c>
      <c r="Q2" s="44" t="str">
        <f>IF($J2&lt;$K2,"Green","Red")</f>
        <v>Red</v>
      </c>
      <c r="R2" s="44" t="str">
        <f>IF($J2&gt;=$K2,"Green","Red")</f>
        <v>Green</v>
      </c>
      <c r="S2" s="44" t="str">
        <f>IF($J2&lt;=$K2,"Green","Red")</f>
        <v>Green</v>
      </c>
      <c r="T2" s="44" t="str">
        <f>IF(OR($J2&gt;$K2,$J2&lt;$K2),"Green","Red")</f>
        <v>Red</v>
      </c>
      <c r="U2" s="44" t="str">
        <f>IF($H2&gt;$I2,"Green","Red")</f>
        <v>Green</v>
      </c>
      <c r="V2" s="44" t="str">
        <f>IF($H2=$I2,"Green","Red")</f>
        <v>Red</v>
      </c>
      <c r="W2" s="44" t="str">
        <f>IF($H2&lt;$I2,"Green","Red")</f>
        <v>Red</v>
      </c>
      <c r="X2" s="44" t="str">
        <f>IF($H2+$I2&gt;0,"Green","Red")</f>
        <v>Green</v>
      </c>
      <c r="Y2" s="44" t="str">
        <f>IF($J2+$K2&gt;1.5,"Green","Red")</f>
        <v>Green</v>
      </c>
      <c r="Z2" s="44" t="str">
        <f>IF($J2+$K2&gt;2.5,"Green","Red")</f>
        <v>Red</v>
      </c>
      <c r="AA2" s="44" t="str">
        <f>IF($J2+$K2&lt;2.5,"Green","Red")</f>
        <v>Green</v>
      </c>
      <c r="AB2" s="44" t="str">
        <f>IF($J2+$K2&lt;3.5,"Green","Red")</f>
        <v>Green</v>
      </c>
      <c r="AC2" s="44" t="str">
        <f>IF(AND($J2&gt;0,$K2&gt;0),"Green","Red")</f>
        <v>Green</v>
      </c>
      <c r="AD2" s="44" t="str">
        <f>IF(OR($J2=0,$K2=0),"Green","Red")</f>
        <v>Red</v>
      </c>
    </row>
    <row r="3" spans="1:30" x14ac:dyDescent="0.2">
      <c r="A3" t="str">
        <f>L3&amp;F3&amp;G3</f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>DAY(D3)&amp;"/"&amp;"07"&amp;"/"&amp;YEAR(D3)</f>
        <v>20/07/2026</v>
      </c>
      <c r="M3" s="23">
        <f>E3-TIME(3,0,0)</f>
        <v>0.25</v>
      </c>
      <c r="N3" t="str">
        <f>J3&amp;" - "&amp;K3</f>
        <v>0 - 2</v>
      </c>
      <c r="O3" t="str">
        <f>IF($J3&gt;$K3,"Green","Red")</f>
        <v>Red</v>
      </c>
      <c r="P3" t="str">
        <f>IF($J3=$K3,"Green","Red")</f>
        <v>Red</v>
      </c>
      <c r="Q3" t="str">
        <f>IF($J3&lt;$K3,"Green","Red")</f>
        <v>Green</v>
      </c>
      <c r="R3" t="str">
        <f>IF($J3&gt;=$K3,"Green","Red")</f>
        <v>Red</v>
      </c>
      <c r="S3" t="str">
        <f>IF($J3&lt;=$K3,"Green","Red")</f>
        <v>Green</v>
      </c>
      <c r="T3" t="str">
        <f>IF(OR($J3&gt;$K3,$J3&lt;$K3),"Green","Red")</f>
        <v>Green</v>
      </c>
      <c r="U3" t="str">
        <f>IF($H3&gt;$I3,"Green","Red")</f>
        <v>Red</v>
      </c>
      <c r="V3" t="str">
        <f>IF($H3=$I3,"Green","Red")</f>
        <v>Red</v>
      </c>
      <c r="W3" t="str">
        <f>IF($H3&lt;$I3,"Green","Red")</f>
        <v>Green</v>
      </c>
      <c r="X3" t="str">
        <f>IF($H3+$I3&gt;0,"Green","Red")</f>
        <v>Green</v>
      </c>
      <c r="Y3" t="str">
        <f>IF($J3+$K3&gt;1.5,"Green","Red")</f>
        <v>Green</v>
      </c>
      <c r="Z3" t="str">
        <f>IF($J3+$K3&gt;2.5,"Green","Red")</f>
        <v>Red</v>
      </c>
      <c r="AA3" t="str">
        <f>IF($J3+$K3&lt;2.5,"Green","Red")</f>
        <v>Green</v>
      </c>
      <c r="AB3" t="str">
        <f>IF($J3+$K3&lt;3.5,"Green","Red")</f>
        <v>Green</v>
      </c>
      <c r="AC3" t="str">
        <f>IF(AND($J3&gt;0,$K3&gt;0),"Green","Red")</f>
        <v>Red</v>
      </c>
      <c r="AD3" t="str">
        <f>IF(OR($J3=0,$K3=0),"Green","Red")</f>
        <v>Green</v>
      </c>
    </row>
    <row r="4" spans="1:30" x14ac:dyDescent="0.2">
      <c r="A4" t="str">
        <f>L4&amp;F4&amp;G4</f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>DAY(D4)&amp;"/"&amp;"07"&amp;"/"&amp;YEAR(D4)</f>
        <v>20/07/2026</v>
      </c>
      <c r="M4" s="23">
        <f>E4-TIME(3,0,0)</f>
        <v>0.33333333333333331</v>
      </c>
      <c r="N4" t="str">
        <f>J4&amp;" - "&amp;K4</f>
        <v xml:space="preserve"> - </v>
      </c>
      <c r="O4" t="str">
        <f>IF($J4&gt;$K4,"Green","Red")</f>
        <v>Red</v>
      </c>
      <c r="P4" t="str">
        <f>IF($J4=$K4,"Green","Red")</f>
        <v>Green</v>
      </c>
      <c r="Q4" t="str">
        <f>IF($J4&lt;$K4,"Green","Red")</f>
        <v>Red</v>
      </c>
      <c r="R4" t="str">
        <f>IF($J4&gt;=$K4,"Green","Red")</f>
        <v>Green</v>
      </c>
      <c r="S4" t="str">
        <f>IF($J4&lt;=$K4,"Green","Red")</f>
        <v>Green</v>
      </c>
      <c r="T4" t="str">
        <f>IF(OR($J4&gt;$K4,$J4&lt;$K4),"Green","Red")</f>
        <v>Red</v>
      </c>
      <c r="U4" t="str">
        <f>IF($H4&gt;$I4,"Green","Red")</f>
        <v>Red</v>
      </c>
      <c r="V4" t="str">
        <f>IF($H4=$I4,"Green","Red")</f>
        <v>Green</v>
      </c>
      <c r="W4" t="str">
        <f>IF($H4&lt;$I4,"Green","Red")</f>
        <v>Red</v>
      </c>
      <c r="X4" t="str">
        <f>IF($H4+$I4&gt;0,"Green","Red")</f>
        <v>Red</v>
      </c>
      <c r="Y4" t="str">
        <f>IF($J4+$K4&gt;1.5,"Green","Red")</f>
        <v>Red</v>
      </c>
      <c r="Z4" t="str">
        <f>IF($J4+$K4&gt;2.5,"Green","Red")</f>
        <v>Red</v>
      </c>
      <c r="AA4" t="str">
        <f>IF($J4+$K4&lt;2.5,"Green","Red")</f>
        <v>Green</v>
      </c>
      <c r="AB4" t="str">
        <f>IF($J4+$K4&lt;3.5,"Green","Red")</f>
        <v>Green</v>
      </c>
      <c r="AC4" t="str">
        <f>IF(AND($J4&gt;0,$K4&gt;0),"Green","Red")</f>
        <v>Red</v>
      </c>
      <c r="AD4" t="str">
        <f>IF(OR($J4=0,$K4=0),"Green","Red")</f>
        <v>Green</v>
      </c>
    </row>
    <row r="5" spans="1:30" x14ac:dyDescent="0.2">
      <c r="A5" t="str">
        <f>L5&amp;F5&amp;G5</f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>DAY(D5)&amp;"/"&amp;"07"&amp;"/"&amp;YEAR(D5)</f>
        <v>20/07/2026</v>
      </c>
      <c r="M5" s="23">
        <f>E5-TIME(3,0,0)</f>
        <v>0.39583333333333337</v>
      </c>
      <c r="N5" t="str">
        <f>J5&amp;" - "&amp;K5</f>
        <v>5 - 0</v>
      </c>
      <c r="O5" t="str">
        <f>IF($J5&gt;$K5,"Green","Red")</f>
        <v>Green</v>
      </c>
      <c r="P5" t="str">
        <f>IF($J5=$K5,"Green","Red")</f>
        <v>Red</v>
      </c>
      <c r="Q5" t="str">
        <f>IF($J5&lt;$K5,"Green","Red")</f>
        <v>Red</v>
      </c>
      <c r="R5" t="str">
        <f>IF($J5&gt;=$K5,"Green","Red")</f>
        <v>Green</v>
      </c>
      <c r="S5" t="str">
        <f>IF($J5&lt;=$K5,"Green","Red")</f>
        <v>Red</v>
      </c>
      <c r="T5" t="str">
        <f>IF(OR($J5&gt;$K5,$J5&lt;$K5),"Green","Red")</f>
        <v>Green</v>
      </c>
      <c r="U5" t="str">
        <f>IF($H5&gt;$I5,"Green","Red")</f>
        <v>Red</v>
      </c>
      <c r="V5" t="str">
        <f>IF($H5=$I5,"Green","Red")</f>
        <v>Green</v>
      </c>
      <c r="W5" t="str">
        <f>IF($H5&lt;$I5,"Green","Red")</f>
        <v>Red</v>
      </c>
      <c r="X5" t="str">
        <f>IF($H5+$I5&gt;0,"Green","Red")</f>
        <v>Red</v>
      </c>
      <c r="Y5" t="str">
        <f>IF($J5+$K5&gt;1.5,"Green","Red")</f>
        <v>Green</v>
      </c>
      <c r="Z5" t="str">
        <f>IF($J5+$K5&gt;2.5,"Green","Red")</f>
        <v>Green</v>
      </c>
      <c r="AA5" t="str">
        <f>IF($J5+$K5&lt;2.5,"Green","Red")</f>
        <v>Red</v>
      </c>
      <c r="AB5" t="str">
        <f>IF($J5+$K5&lt;3.5,"Green","Red")</f>
        <v>Red</v>
      </c>
      <c r="AC5" t="str">
        <f>IF(AND($J5&gt;0,$K5&gt;0),"Green","Red")</f>
        <v>Red</v>
      </c>
      <c r="AD5" t="str">
        <f>IF(OR($J5=0,$K5=0),"Green","Red")</f>
        <v>Green</v>
      </c>
    </row>
    <row r="6" spans="1:30" x14ac:dyDescent="0.2">
      <c r="A6" t="str">
        <f>L6&amp;F6&amp;G6</f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>DAY(D6)&amp;"/"&amp;"07"&amp;"/"&amp;YEAR(D6)</f>
        <v>20/07/2026</v>
      </c>
      <c r="M6" s="23">
        <f>E6-TIME(3,0,0)</f>
        <v>0.41666666666666663</v>
      </c>
      <c r="N6" t="str">
        <f>J6&amp;" - "&amp;K6</f>
        <v>1 - 1</v>
      </c>
      <c r="O6" t="str">
        <f>IF($J6&gt;$K6,"Green","Red")</f>
        <v>Red</v>
      </c>
      <c r="P6" t="str">
        <f>IF($J6=$K6,"Green","Red")</f>
        <v>Green</v>
      </c>
      <c r="Q6" t="str">
        <f>IF($J6&lt;$K6,"Green","Red")</f>
        <v>Red</v>
      </c>
      <c r="R6" t="str">
        <f>IF($J6&gt;=$K6,"Green","Red")</f>
        <v>Green</v>
      </c>
      <c r="S6" t="str">
        <f>IF($J6&lt;=$K6,"Green","Red")</f>
        <v>Green</v>
      </c>
      <c r="T6" t="str">
        <f>IF(OR($J6&gt;$K6,$J6&lt;$K6),"Green","Red")</f>
        <v>Red</v>
      </c>
      <c r="U6" t="str">
        <f>IF($H6&gt;$I6,"Green","Red")</f>
        <v>Red</v>
      </c>
      <c r="V6" t="str">
        <f>IF($H6=$I6,"Green","Red")</f>
        <v>Green</v>
      </c>
      <c r="W6" t="str">
        <f>IF($H6&lt;$I6,"Green","Red")</f>
        <v>Red</v>
      </c>
      <c r="X6" t="str">
        <f>IF($H6+$I6&gt;0,"Green","Red")</f>
        <v>Red</v>
      </c>
      <c r="Y6" t="str">
        <f>IF($J6+$K6&gt;1.5,"Green","Red")</f>
        <v>Green</v>
      </c>
      <c r="Z6" t="str">
        <f>IF($J6+$K6&gt;2.5,"Green","Red")</f>
        <v>Red</v>
      </c>
      <c r="AA6" t="str">
        <f>IF($J6+$K6&lt;2.5,"Green","Red")</f>
        <v>Green</v>
      </c>
      <c r="AB6" t="str">
        <f>IF($J6+$K6&lt;3.5,"Green","Red")</f>
        <v>Green</v>
      </c>
      <c r="AC6" t="str">
        <f>IF(AND($J6&gt;0,$K6&gt;0),"Green","Red")</f>
        <v>Green</v>
      </c>
      <c r="AD6" t="str">
        <f>IF(OR($J6=0,$K6=0),"Green","Red")</f>
        <v>Red</v>
      </c>
    </row>
    <row r="7" spans="1:30" x14ac:dyDescent="0.2">
      <c r="A7" t="str">
        <f>L7&amp;F7&amp;G7</f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>DAY(D7)&amp;"/"&amp;"07"&amp;"/"&amp;YEAR(D7)</f>
        <v>20/07/2026</v>
      </c>
      <c r="M7" s="23">
        <f>E7-TIME(3,0,0)</f>
        <v>0.45833333333333337</v>
      </c>
      <c r="N7" t="str">
        <f>J7&amp;" - "&amp;K7</f>
        <v>5 - 4</v>
      </c>
      <c r="O7" t="str">
        <f>IF($J7&gt;$K7,"Green","Red")</f>
        <v>Green</v>
      </c>
      <c r="P7" t="str">
        <f>IF($J7=$K7,"Green","Red")</f>
        <v>Red</v>
      </c>
      <c r="Q7" t="str">
        <f>IF($J7&lt;$K7,"Green","Red")</f>
        <v>Red</v>
      </c>
      <c r="R7" t="str">
        <f>IF($J7&gt;=$K7,"Green","Red")</f>
        <v>Green</v>
      </c>
      <c r="S7" t="str">
        <f>IF($J7&lt;=$K7,"Green","Red")</f>
        <v>Red</v>
      </c>
      <c r="T7" t="str">
        <f>IF(OR($J7&gt;$K7,$J7&lt;$K7),"Green","Red")</f>
        <v>Green</v>
      </c>
      <c r="U7" t="str">
        <f>IF($H7&gt;$I7,"Green","Red")</f>
        <v>Red</v>
      </c>
      <c r="V7" t="str">
        <f>IF($H7=$I7,"Green","Red")</f>
        <v>Red</v>
      </c>
      <c r="W7" t="str">
        <f>IF($H7&lt;$I7,"Green","Red")</f>
        <v>Green</v>
      </c>
      <c r="X7" t="str">
        <f>IF($H7+$I7&gt;0,"Green","Red")</f>
        <v>Green</v>
      </c>
      <c r="Y7" t="str">
        <f>IF($J7+$K7&gt;1.5,"Green","Red")</f>
        <v>Green</v>
      </c>
      <c r="Z7" t="str">
        <f>IF($J7+$K7&gt;2.5,"Green","Red")</f>
        <v>Green</v>
      </c>
      <c r="AA7" t="str">
        <f>IF($J7+$K7&lt;2.5,"Green","Red")</f>
        <v>Red</v>
      </c>
      <c r="AB7" t="str">
        <f>IF($J7+$K7&lt;3.5,"Green","Red")</f>
        <v>Red</v>
      </c>
      <c r="AC7" t="str">
        <f>IF(AND($J7&gt;0,$K7&gt;0),"Green","Red")</f>
        <v>Green</v>
      </c>
      <c r="AD7" t="str">
        <f>IF(OR($J7=0,$K7=0),"Green","Red")</f>
        <v>Red</v>
      </c>
    </row>
    <row r="8" spans="1:30" x14ac:dyDescent="0.2">
      <c r="A8" t="str">
        <f>L8&amp;F8&amp;G8</f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>DAY(D8)&amp;"/"&amp;"07"&amp;"/"&amp;YEAR(D8)</f>
        <v>20/07/2026</v>
      </c>
      <c r="M8" s="23">
        <f>E8-TIME(3,0,0)</f>
        <v>0.47916666666666663</v>
      </c>
      <c r="N8" t="str">
        <f>J8&amp;" - "&amp;K8</f>
        <v>2 - 0</v>
      </c>
      <c r="O8" t="str">
        <f>IF($J8&gt;$K8,"Green","Red")</f>
        <v>Green</v>
      </c>
      <c r="P8" t="str">
        <f>IF($J8=$K8,"Green","Red")</f>
        <v>Red</v>
      </c>
      <c r="Q8" t="str">
        <f>IF($J8&lt;$K8,"Green","Red")</f>
        <v>Red</v>
      </c>
      <c r="R8" t="str">
        <f>IF($J8&gt;=$K8,"Green","Red")</f>
        <v>Green</v>
      </c>
      <c r="S8" t="str">
        <f>IF($J8&lt;=$K8,"Green","Red")</f>
        <v>Red</v>
      </c>
      <c r="T8" t="str">
        <f>IF(OR($J8&gt;$K8,$J8&lt;$K8),"Green","Red")</f>
        <v>Green</v>
      </c>
      <c r="U8" t="str">
        <f>IF($H8&gt;$I8,"Green","Red")</f>
        <v>Red</v>
      </c>
      <c r="V8" t="str">
        <f>IF($H8=$I8,"Green","Red")</f>
        <v>Green</v>
      </c>
      <c r="W8" t="str">
        <f>IF($H8&lt;$I8,"Green","Red")</f>
        <v>Red</v>
      </c>
      <c r="X8" t="str">
        <f>IF($H8+$I8&gt;0,"Green","Red")</f>
        <v>Red</v>
      </c>
      <c r="Y8" t="str">
        <f>IF($J8+$K8&gt;1.5,"Green","Red")</f>
        <v>Green</v>
      </c>
      <c r="Z8" t="str">
        <f>IF($J8+$K8&gt;2.5,"Green","Red")</f>
        <v>Red</v>
      </c>
      <c r="AA8" t="str">
        <f>IF($J8+$K8&lt;2.5,"Green","Red")</f>
        <v>Green</v>
      </c>
      <c r="AB8" t="str">
        <f>IF($J8+$K8&lt;3.5,"Green","Red")</f>
        <v>Green</v>
      </c>
      <c r="AC8" t="str">
        <f>IF(AND($J8&gt;0,$K8&gt;0),"Green","Red")</f>
        <v>Red</v>
      </c>
      <c r="AD8" t="str">
        <f>IF(OR($J8=0,$K8=0),"Green","Red")</f>
        <v>Green</v>
      </c>
    </row>
    <row r="9" spans="1:30" x14ac:dyDescent="0.2">
      <c r="A9" t="str">
        <f>L9&amp;F9&amp;G9</f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>DAY(D9)&amp;"/"&amp;"07"&amp;"/"&amp;YEAR(D9)</f>
        <v>20/07/2026</v>
      </c>
      <c r="M9" s="23">
        <f>E9-TIME(3,0,0)</f>
        <v>0.5</v>
      </c>
      <c r="N9" t="str">
        <f>J9&amp;" - "&amp;K9</f>
        <v>1 - 3</v>
      </c>
      <c r="O9" t="str">
        <f>IF($J9&gt;$K9,"Green","Red")</f>
        <v>Red</v>
      </c>
      <c r="P9" t="str">
        <f>IF($J9=$K9,"Green","Red")</f>
        <v>Red</v>
      </c>
      <c r="Q9" t="str">
        <f>IF($J9&lt;$K9,"Green","Red")</f>
        <v>Green</v>
      </c>
      <c r="R9" t="str">
        <f>IF($J9&gt;=$K9,"Green","Red")</f>
        <v>Red</v>
      </c>
      <c r="S9" t="str">
        <f>IF($J9&lt;=$K9,"Green","Red")</f>
        <v>Green</v>
      </c>
      <c r="T9" t="str">
        <f>IF(OR($J9&gt;$K9,$J9&lt;$K9),"Green","Red")</f>
        <v>Green</v>
      </c>
      <c r="U9" t="str">
        <f>IF($H9&gt;$I9,"Green","Red")</f>
        <v>Red</v>
      </c>
      <c r="V9" t="str">
        <f>IF($H9=$I9,"Green","Red")</f>
        <v>Red</v>
      </c>
      <c r="W9" t="str">
        <f>IF($H9&lt;$I9,"Green","Red")</f>
        <v>Green</v>
      </c>
      <c r="X9" t="str">
        <f>IF($H9+$I9&gt;0,"Green","Red")</f>
        <v>Green</v>
      </c>
      <c r="Y9" t="str">
        <f>IF($J9+$K9&gt;1.5,"Green","Red")</f>
        <v>Green</v>
      </c>
      <c r="Z9" t="str">
        <f>IF($J9+$K9&gt;2.5,"Green","Red")</f>
        <v>Green</v>
      </c>
      <c r="AA9" t="str">
        <f>IF($J9+$K9&lt;2.5,"Green","Red")</f>
        <v>Red</v>
      </c>
      <c r="AB9" t="str">
        <f>IF($J9+$K9&lt;3.5,"Green","Red")</f>
        <v>Red</v>
      </c>
      <c r="AC9" t="str">
        <f>IF(AND($J9&gt;0,$K9&gt;0),"Green","Red")</f>
        <v>Green</v>
      </c>
      <c r="AD9" t="str">
        <f>IF(OR($J9=0,$K9=0),"Green","Red")</f>
        <v>Red</v>
      </c>
    </row>
    <row r="10" spans="1:30" x14ac:dyDescent="0.2">
      <c r="A10" t="str">
        <f>L10&amp;F10&amp;G10</f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>DAY(D10)&amp;"/"&amp;"07"&amp;"/"&amp;YEAR(D10)</f>
        <v>20/07/2026</v>
      </c>
      <c r="M10" s="23">
        <f>E10-TIME(3,0,0)</f>
        <v>0.5</v>
      </c>
      <c r="N10" t="str">
        <f>J10&amp;" - "&amp;K10</f>
        <v>0 - 1</v>
      </c>
      <c r="O10" t="str">
        <f>IF($J10&gt;$K10,"Green","Red")</f>
        <v>Red</v>
      </c>
      <c r="P10" t="str">
        <f>IF($J10=$K10,"Green","Red")</f>
        <v>Red</v>
      </c>
      <c r="Q10" t="str">
        <f>IF($J10&lt;$K10,"Green","Red")</f>
        <v>Green</v>
      </c>
      <c r="R10" t="str">
        <f>IF($J10&gt;=$K10,"Green","Red")</f>
        <v>Red</v>
      </c>
      <c r="S10" t="str">
        <f>IF($J10&lt;=$K10,"Green","Red")</f>
        <v>Green</v>
      </c>
      <c r="T10" t="str">
        <f>IF(OR($J10&gt;$K10,$J10&lt;$K10),"Green","Red")</f>
        <v>Green</v>
      </c>
      <c r="U10" t="str">
        <f>IF($H10&gt;$I10,"Green","Red")</f>
        <v>Red</v>
      </c>
      <c r="V10" t="str">
        <f>IF($H10=$I10,"Green","Red")</f>
        <v>Red</v>
      </c>
      <c r="W10" t="str">
        <f>IF($H10&lt;$I10,"Green","Red")</f>
        <v>Green</v>
      </c>
      <c r="X10" t="str">
        <f>IF($H10+$I10&gt;0,"Green","Red")</f>
        <v>Green</v>
      </c>
      <c r="Y10" t="str">
        <f>IF($J10+$K10&gt;1.5,"Green","Red")</f>
        <v>Red</v>
      </c>
      <c r="Z10" t="str">
        <f>IF($J10+$K10&gt;2.5,"Green","Red")</f>
        <v>Red</v>
      </c>
      <c r="AA10" t="str">
        <f>IF($J10+$K10&lt;2.5,"Green","Red")</f>
        <v>Green</v>
      </c>
      <c r="AB10" t="str">
        <f>IF($J10+$K10&lt;3.5,"Green","Red")</f>
        <v>Green</v>
      </c>
      <c r="AC10" t="str">
        <f>IF(AND($J10&gt;0,$K10&gt;0),"Green","Red")</f>
        <v>Red</v>
      </c>
      <c r="AD10" t="str">
        <f>IF(OR($J10=0,$K10=0),"Green","Red")</f>
        <v>Green</v>
      </c>
    </row>
    <row r="11" spans="1:30" x14ac:dyDescent="0.2">
      <c r="A11" t="str">
        <f>L11&amp;F11&amp;G11</f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>DAY(D11)&amp;"/"&amp;"07"&amp;"/"&amp;YEAR(D11)</f>
        <v>20/07/2026</v>
      </c>
      <c r="M11" s="23">
        <f>E11-TIME(3,0,0)</f>
        <v>0.5</v>
      </c>
      <c r="N11" t="str">
        <f>J11&amp;" - "&amp;K11</f>
        <v>2 - 2</v>
      </c>
      <c r="O11" t="str">
        <f>IF($J11&gt;$K11,"Green","Red")</f>
        <v>Red</v>
      </c>
      <c r="P11" t="str">
        <f>IF($J11=$K11,"Green","Red")</f>
        <v>Green</v>
      </c>
      <c r="Q11" t="str">
        <f>IF($J11&lt;$K11,"Green","Red")</f>
        <v>Red</v>
      </c>
      <c r="R11" t="str">
        <f>IF($J11&gt;=$K11,"Green","Red")</f>
        <v>Green</v>
      </c>
      <c r="S11" t="str">
        <f>IF($J11&lt;=$K11,"Green","Red")</f>
        <v>Green</v>
      </c>
      <c r="T11" t="str">
        <f>IF(OR($J11&gt;$K11,$J11&lt;$K11),"Green","Red")</f>
        <v>Red</v>
      </c>
      <c r="U11" t="str">
        <f>IF($H11&gt;$I11,"Green","Red")</f>
        <v>Red</v>
      </c>
      <c r="V11" t="str">
        <f>IF($H11=$I11,"Green","Red")</f>
        <v>Green</v>
      </c>
      <c r="W11" t="str">
        <f>IF($H11&lt;$I11,"Green","Red")</f>
        <v>Red</v>
      </c>
      <c r="X11" t="str">
        <f>IF($H11+$I11&gt;0,"Green","Red")</f>
        <v>Green</v>
      </c>
      <c r="Y11" t="str">
        <f>IF($J11+$K11&gt;1.5,"Green","Red")</f>
        <v>Green</v>
      </c>
      <c r="Z11" t="str">
        <f>IF($J11+$K11&gt;2.5,"Green","Red")</f>
        <v>Green</v>
      </c>
      <c r="AA11" t="str">
        <f>IF($J11+$K11&lt;2.5,"Green","Red")</f>
        <v>Red</v>
      </c>
      <c r="AB11" t="str">
        <f>IF($J11+$K11&lt;3.5,"Green","Red")</f>
        <v>Red</v>
      </c>
      <c r="AC11" t="str">
        <f>IF(AND($J11&gt;0,$K11&gt;0),"Green","Red")</f>
        <v>Green</v>
      </c>
      <c r="AD11" t="str">
        <f>IF(OR($J11=0,$K11=0),"Green","Red")</f>
        <v>Red</v>
      </c>
    </row>
    <row r="12" spans="1:30" x14ac:dyDescent="0.2">
      <c r="A12" t="str">
        <f>L12&amp;F12&amp;G12</f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>DAY(D12)&amp;"/"&amp;"07"&amp;"/"&amp;YEAR(D12)</f>
        <v>20/07/2026</v>
      </c>
      <c r="M12" s="23">
        <f>E12-TIME(3,0,0)</f>
        <v>0.52083333333333337</v>
      </c>
      <c r="N12" t="str">
        <f>J12&amp;" - "&amp;K12</f>
        <v>1 - 1</v>
      </c>
      <c r="O12" t="str">
        <f>IF($J12&gt;$K12,"Green","Red")</f>
        <v>Red</v>
      </c>
      <c r="P12" t="str">
        <f>IF($J12=$K12,"Green","Red")</f>
        <v>Green</v>
      </c>
      <c r="Q12" t="str">
        <f>IF($J12&lt;$K12,"Green","Red")</f>
        <v>Red</v>
      </c>
      <c r="R12" t="str">
        <f>IF($J12&gt;=$K12,"Green","Red")</f>
        <v>Green</v>
      </c>
      <c r="S12" t="str">
        <f>IF($J12&lt;=$K12,"Green","Red")</f>
        <v>Green</v>
      </c>
      <c r="T12" t="str">
        <f>IF(OR($J12&gt;$K12,$J12&lt;$K12),"Green","Red")</f>
        <v>Red</v>
      </c>
      <c r="U12" t="str">
        <f>IF($H12&gt;$I12,"Green","Red")</f>
        <v>Green</v>
      </c>
      <c r="V12" t="str">
        <f>IF($H12=$I12,"Green","Red")</f>
        <v>Red</v>
      </c>
      <c r="W12" t="str">
        <f>IF($H12&lt;$I12,"Green","Red")</f>
        <v>Red</v>
      </c>
      <c r="X12" t="str">
        <f>IF($H12+$I12&gt;0,"Green","Red")</f>
        <v>Green</v>
      </c>
      <c r="Y12" t="str">
        <f>IF($J12+$K12&gt;1.5,"Green","Red")</f>
        <v>Green</v>
      </c>
      <c r="Z12" t="str">
        <f>IF($J12+$K12&gt;2.5,"Green","Red")</f>
        <v>Red</v>
      </c>
      <c r="AA12" t="str">
        <f>IF($J12+$K12&lt;2.5,"Green","Red")</f>
        <v>Green</v>
      </c>
      <c r="AB12" t="str">
        <f>IF($J12+$K12&lt;3.5,"Green","Red")</f>
        <v>Green</v>
      </c>
      <c r="AC12" t="str">
        <f>IF(AND($J12&gt;0,$K12&gt;0),"Green","Red")</f>
        <v>Green</v>
      </c>
      <c r="AD12" t="str">
        <f>IF(OR($J12=0,$K12=0),"Green","Red")</f>
        <v>Red</v>
      </c>
    </row>
    <row r="13" spans="1:30" x14ac:dyDescent="0.2">
      <c r="A13" t="str">
        <f>L13&amp;F13&amp;G13</f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>DAY(D13)&amp;"/"&amp;"07"&amp;"/"&amp;YEAR(D13)</f>
        <v>20/07/2026</v>
      </c>
      <c r="M13" s="23">
        <f>E13-TIME(3,0,0)</f>
        <v>0.52083333333333337</v>
      </c>
      <c r="N13" t="str">
        <f>J13&amp;" - "&amp;K13</f>
        <v>3 - 0</v>
      </c>
      <c r="O13" t="str">
        <f>IF($J13&gt;$K13,"Green","Red")</f>
        <v>Green</v>
      </c>
      <c r="P13" t="str">
        <f>IF($J13=$K13,"Green","Red")</f>
        <v>Red</v>
      </c>
      <c r="Q13" t="str">
        <f>IF($J13&lt;$K13,"Green","Red")</f>
        <v>Red</v>
      </c>
      <c r="R13" t="str">
        <f>IF($J13&gt;=$K13,"Green","Red")</f>
        <v>Green</v>
      </c>
      <c r="S13" t="str">
        <f>IF($J13&lt;=$K13,"Green","Red")</f>
        <v>Red</v>
      </c>
      <c r="T13" t="str">
        <f>IF(OR($J13&gt;$K13,$J13&lt;$K13),"Green","Red")</f>
        <v>Green</v>
      </c>
      <c r="U13" t="str">
        <f>IF($H13&gt;$I13,"Green","Red")</f>
        <v>Red</v>
      </c>
      <c r="V13" t="str">
        <f>IF($H13=$I13,"Green","Red")</f>
        <v>Green</v>
      </c>
      <c r="W13" t="str">
        <f>IF($H13&lt;$I13,"Green","Red")</f>
        <v>Red</v>
      </c>
      <c r="X13" t="str">
        <f>IF($H13+$I13&gt;0,"Green","Red")</f>
        <v>Red</v>
      </c>
      <c r="Y13" t="str">
        <f>IF($J13+$K13&gt;1.5,"Green","Red")</f>
        <v>Green</v>
      </c>
      <c r="Z13" t="str">
        <f>IF($J13+$K13&gt;2.5,"Green","Red")</f>
        <v>Green</v>
      </c>
      <c r="AA13" t="str">
        <f>IF($J13+$K13&lt;2.5,"Green","Red")</f>
        <v>Red</v>
      </c>
      <c r="AB13" t="str">
        <f>IF($J13+$K13&lt;3.5,"Green","Red")</f>
        <v>Green</v>
      </c>
      <c r="AC13" t="str">
        <f>IF(AND($J13&gt;0,$K13&gt;0),"Green","Red")</f>
        <v>Red</v>
      </c>
      <c r="AD13" t="str">
        <f>IF(OR($J13=0,$K13=0),"Green","Red")</f>
        <v>Green</v>
      </c>
    </row>
    <row r="14" spans="1:30" x14ac:dyDescent="0.2">
      <c r="A14" t="str">
        <f>L14&amp;F14&amp;G14</f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>DAY(D14)&amp;"/"&amp;"07"&amp;"/"&amp;YEAR(D14)</f>
        <v>20/07/2026</v>
      </c>
      <c r="M14" s="23">
        <f>E14-TIME(3,0,0)</f>
        <v>0.53125</v>
      </c>
      <c r="N14" t="str">
        <f>J14&amp;" - "&amp;K14</f>
        <v>5 - 1</v>
      </c>
      <c r="O14" t="str">
        <f>IF($J14&gt;$K14,"Green","Red")</f>
        <v>Green</v>
      </c>
      <c r="P14" t="str">
        <f>IF($J14=$K14,"Green","Red")</f>
        <v>Red</v>
      </c>
      <c r="Q14" t="str">
        <f>IF($J14&lt;$K14,"Green","Red")</f>
        <v>Red</v>
      </c>
      <c r="R14" t="str">
        <f>IF($J14&gt;=$K14,"Green","Red")</f>
        <v>Green</v>
      </c>
      <c r="S14" t="str">
        <f>IF($J14&lt;=$K14,"Green","Red")</f>
        <v>Red</v>
      </c>
      <c r="T14" t="str">
        <f>IF(OR($J14&gt;$K14,$J14&lt;$K14),"Green","Red")</f>
        <v>Green</v>
      </c>
      <c r="U14" t="str">
        <f>IF($H14&gt;$I14,"Green","Red")</f>
        <v>Green</v>
      </c>
      <c r="V14" t="str">
        <f>IF($H14=$I14,"Green","Red")</f>
        <v>Red</v>
      </c>
      <c r="W14" t="str">
        <f>IF($H14&lt;$I14,"Green","Red")</f>
        <v>Red</v>
      </c>
      <c r="X14" t="str">
        <f>IF($H14+$I14&gt;0,"Green","Red")</f>
        <v>Green</v>
      </c>
      <c r="Y14" t="str">
        <f>IF($J14+$K14&gt;1.5,"Green","Red")</f>
        <v>Green</v>
      </c>
      <c r="Z14" t="str">
        <f>IF($J14+$K14&gt;2.5,"Green","Red")</f>
        <v>Green</v>
      </c>
      <c r="AA14" t="str">
        <f>IF($J14+$K14&lt;2.5,"Green","Red")</f>
        <v>Red</v>
      </c>
      <c r="AB14" t="str">
        <f>IF($J14+$K14&lt;3.5,"Green","Red")</f>
        <v>Red</v>
      </c>
      <c r="AC14" t="str">
        <f>IF(AND($J14&gt;0,$K14&gt;0),"Green","Red")</f>
        <v>Green</v>
      </c>
      <c r="AD14" t="str">
        <f>IF(OR($J14=0,$K14=0),"Green","Red")</f>
        <v>Red</v>
      </c>
    </row>
    <row r="15" spans="1:30" x14ac:dyDescent="0.2">
      <c r="A15" t="str">
        <f>L15&amp;F15&amp;G15</f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>DAY(D15)&amp;"/"&amp;"07"&amp;"/"&amp;YEAR(D15)</f>
        <v>20/07/2026</v>
      </c>
      <c r="M15" s="23">
        <f>E15-TIME(3,0,0)</f>
        <v>0.54166666666666663</v>
      </c>
      <c r="N15" t="str">
        <f>J15&amp;" - "&amp;K15</f>
        <v>0 - 2</v>
      </c>
      <c r="O15" t="str">
        <f>IF($J15&gt;$K15,"Green","Red")</f>
        <v>Red</v>
      </c>
      <c r="P15" t="str">
        <f>IF($J15=$K15,"Green","Red")</f>
        <v>Red</v>
      </c>
      <c r="Q15" t="str">
        <f>IF($J15&lt;$K15,"Green","Red")</f>
        <v>Green</v>
      </c>
      <c r="R15" t="str">
        <f>IF($J15&gt;=$K15,"Green","Red")</f>
        <v>Red</v>
      </c>
      <c r="S15" t="str">
        <f>IF($J15&lt;=$K15,"Green","Red")</f>
        <v>Green</v>
      </c>
      <c r="T15" t="str">
        <f>IF(OR($J15&gt;$K15,$J15&lt;$K15),"Green","Red")</f>
        <v>Green</v>
      </c>
      <c r="U15" t="str">
        <f>IF($H15&gt;$I15,"Green","Red")</f>
        <v>Red</v>
      </c>
      <c r="V15" t="str">
        <f>IF($H15=$I15,"Green","Red")</f>
        <v>Red</v>
      </c>
      <c r="W15" t="str">
        <f>IF($H15&lt;$I15,"Green","Red")</f>
        <v>Green</v>
      </c>
      <c r="X15" t="str">
        <f>IF($H15+$I15&gt;0,"Green","Red")</f>
        <v>Green</v>
      </c>
      <c r="Y15" t="str">
        <f>IF($J15+$K15&gt;1.5,"Green","Red")</f>
        <v>Green</v>
      </c>
      <c r="Z15" t="str">
        <f>IF($J15+$K15&gt;2.5,"Green","Red")</f>
        <v>Red</v>
      </c>
      <c r="AA15" t="str">
        <f>IF($J15+$K15&lt;2.5,"Green","Red")</f>
        <v>Green</v>
      </c>
      <c r="AB15" t="str">
        <f>IF($J15+$K15&lt;3.5,"Green","Red")</f>
        <v>Green</v>
      </c>
      <c r="AC15" t="str">
        <f>IF(AND($J15&gt;0,$K15&gt;0),"Green","Red")</f>
        <v>Red</v>
      </c>
      <c r="AD15" t="str">
        <f>IF(OR($J15=0,$K15=0),"Green","Red")</f>
        <v>Green</v>
      </c>
    </row>
    <row r="16" spans="1:30" x14ac:dyDescent="0.2">
      <c r="A16" t="str">
        <f>L16&amp;F16&amp;G16</f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>DAY(D16)&amp;"/"&amp;"07"&amp;"/"&amp;YEAR(D16)</f>
        <v>20/07/2026</v>
      </c>
      <c r="M16" s="23">
        <f>E16-TIME(3,0,0)</f>
        <v>0.54166666666666663</v>
      </c>
      <c r="N16" t="str">
        <f>J16&amp;" - "&amp;K16</f>
        <v>2 - 0</v>
      </c>
      <c r="O16" t="str">
        <f>IF($J16&gt;$K16,"Green","Red")</f>
        <v>Green</v>
      </c>
      <c r="P16" t="str">
        <f>IF($J16=$K16,"Green","Red")</f>
        <v>Red</v>
      </c>
      <c r="Q16" t="str">
        <f>IF($J16&lt;$K16,"Green","Red")</f>
        <v>Red</v>
      </c>
      <c r="R16" t="str">
        <f>IF($J16&gt;=$K16,"Green","Red")</f>
        <v>Green</v>
      </c>
      <c r="S16" t="str">
        <f>IF($J16&lt;=$K16,"Green","Red")</f>
        <v>Red</v>
      </c>
      <c r="T16" t="str">
        <f>IF(OR($J16&gt;$K16,$J16&lt;$K16),"Green","Red")</f>
        <v>Green</v>
      </c>
      <c r="U16" t="str">
        <f>IF($H16&gt;$I16,"Green","Red")</f>
        <v>Red</v>
      </c>
      <c r="V16" t="str">
        <f>IF($H16=$I16,"Green","Red")</f>
        <v>Green</v>
      </c>
      <c r="W16" t="str">
        <f>IF($H16&lt;$I16,"Green","Red")</f>
        <v>Red</v>
      </c>
      <c r="X16" t="str">
        <f>IF($H16+$I16&gt;0,"Green","Red")</f>
        <v>Red</v>
      </c>
      <c r="Y16" t="str">
        <f>IF($J16+$K16&gt;1.5,"Green","Red")</f>
        <v>Green</v>
      </c>
      <c r="Z16" t="str">
        <f>IF($J16+$K16&gt;2.5,"Green","Red")</f>
        <v>Red</v>
      </c>
      <c r="AA16" t="str">
        <f>IF($J16+$K16&lt;2.5,"Green","Red")</f>
        <v>Green</v>
      </c>
      <c r="AB16" t="str">
        <f>IF($J16+$K16&lt;3.5,"Green","Red")</f>
        <v>Green</v>
      </c>
      <c r="AC16" t="str">
        <f>IF(AND($J16&gt;0,$K16&gt;0),"Green","Red")</f>
        <v>Red</v>
      </c>
      <c r="AD16" t="str">
        <f>IF(OR($J16=0,$K16=0),"Green","Red")</f>
        <v>Green</v>
      </c>
    </row>
    <row r="17" spans="1:30" x14ac:dyDescent="0.2">
      <c r="A17" t="str">
        <f>L17&amp;F17&amp;G17</f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>DAY(D17)&amp;"/"&amp;"07"&amp;"/"&amp;YEAR(D17)</f>
        <v>20/07/2026</v>
      </c>
      <c r="M17" s="23">
        <f>E17-TIME(3,0,0)</f>
        <v>0.54166666666666663</v>
      </c>
      <c r="N17" t="str">
        <f>J17&amp;" - "&amp;K17</f>
        <v>2 - 0</v>
      </c>
      <c r="O17" t="str">
        <f>IF($J17&gt;$K17,"Green","Red")</f>
        <v>Green</v>
      </c>
      <c r="P17" t="str">
        <f>IF($J17=$K17,"Green","Red")</f>
        <v>Red</v>
      </c>
      <c r="Q17" t="str">
        <f>IF($J17&lt;$K17,"Green","Red")</f>
        <v>Red</v>
      </c>
      <c r="R17" t="str">
        <f>IF($J17&gt;=$K17,"Green","Red")</f>
        <v>Green</v>
      </c>
      <c r="S17" t="str">
        <f>IF($J17&lt;=$K17,"Green","Red")</f>
        <v>Red</v>
      </c>
      <c r="T17" t="str">
        <f>IF(OR($J17&gt;$K17,$J17&lt;$K17),"Green","Red")</f>
        <v>Green</v>
      </c>
      <c r="U17" t="str">
        <f>IF($H17&gt;$I17,"Green","Red")</f>
        <v>Red</v>
      </c>
      <c r="V17" t="str">
        <f>IF($H17=$I17,"Green","Red")</f>
        <v>Green</v>
      </c>
      <c r="W17" t="str">
        <f>IF($H17&lt;$I17,"Green","Red")</f>
        <v>Red</v>
      </c>
      <c r="X17" t="str">
        <f>IF($H17+$I17&gt;0,"Green","Red")</f>
        <v>Red</v>
      </c>
      <c r="Y17" t="str">
        <f>IF($J17+$K17&gt;1.5,"Green","Red")</f>
        <v>Green</v>
      </c>
      <c r="Z17" t="str">
        <f>IF($J17+$K17&gt;2.5,"Green","Red")</f>
        <v>Red</v>
      </c>
      <c r="AA17" t="str">
        <f>IF($J17+$K17&lt;2.5,"Green","Red")</f>
        <v>Green</v>
      </c>
      <c r="AB17" t="str">
        <f>IF($J17+$K17&lt;3.5,"Green","Red")</f>
        <v>Green</v>
      </c>
      <c r="AC17" t="str">
        <f>IF(AND($J17&gt;0,$K17&gt;0),"Green","Red")</f>
        <v>Red</v>
      </c>
      <c r="AD17" t="str">
        <f>IF(OR($J17=0,$K17=0),"Green","Red")</f>
        <v>Green</v>
      </c>
    </row>
    <row r="18" spans="1:30" x14ac:dyDescent="0.2">
      <c r="A18" t="str">
        <f>L18&amp;F18&amp;G18</f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>DAY(D18)&amp;"/"&amp;"07"&amp;"/"&amp;YEAR(D18)</f>
        <v>20/07/2026</v>
      </c>
      <c r="M18" s="23">
        <f>E18-TIME(3,0,0)</f>
        <v>0.54166666666666663</v>
      </c>
      <c r="N18" t="str">
        <f>J18&amp;" - "&amp;K18</f>
        <v>3 - 2</v>
      </c>
      <c r="O18" t="str">
        <f>IF($J18&gt;$K18,"Green","Red")</f>
        <v>Green</v>
      </c>
      <c r="P18" t="str">
        <f>IF($J18=$K18,"Green","Red")</f>
        <v>Red</v>
      </c>
      <c r="Q18" t="str">
        <f>IF($J18&lt;$K18,"Green","Red")</f>
        <v>Red</v>
      </c>
      <c r="R18" t="str">
        <f>IF($J18&gt;=$K18,"Green","Red")</f>
        <v>Green</v>
      </c>
      <c r="S18" t="str">
        <f>IF($J18&lt;=$K18,"Green","Red")</f>
        <v>Red</v>
      </c>
      <c r="T18" t="str">
        <f>IF(OR($J18&gt;$K18,$J18&lt;$K18),"Green","Red")</f>
        <v>Green</v>
      </c>
      <c r="U18" t="str">
        <f>IF($H18&gt;$I18,"Green","Red")</f>
        <v>Red</v>
      </c>
      <c r="V18" t="str">
        <f>IF($H18=$I18,"Green","Red")</f>
        <v>Red</v>
      </c>
      <c r="W18" t="str">
        <f>IF($H18&lt;$I18,"Green","Red")</f>
        <v>Green</v>
      </c>
      <c r="X18" t="str">
        <f>IF($H18+$I18&gt;0,"Green","Red")</f>
        <v>Green</v>
      </c>
      <c r="Y18" t="str">
        <f>IF($J18+$K18&gt;1.5,"Green","Red")</f>
        <v>Green</v>
      </c>
      <c r="Z18" t="str">
        <f>IF($J18+$K18&gt;2.5,"Green","Red")</f>
        <v>Green</v>
      </c>
      <c r="AA18" t="str">
        <f>IF($J18+$K18&lt;2.5,"Green","Red")</f>
        <v>Red</v>
      </c>
      <c r="AB18" t="str">
        <f>IF($J18+$K18&lt;3.5,"Green","Red")</f>
        <v>Red</v>
      </c>
      <c r="AC18" t="str">
        <f>IF(AND($J18&gt;0,$K18&gt;0),"Green","Red")</f>
        <v>Green</v>
      </c>
      <c r="AD18" t="str">
        <f>IF(OR($J18=0,$K18=0),"Green","Red")</f>
        <v>Red</v>
      </c>
    </row>
    <row r="19" spans="1:30" x14ac:dyDescent="0.2">
      <c r="A19" t="str">
        <f>L19&amp;F19&amp;G19</f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>DAY(D19)&amp;"/"&amp;"07"&amp;"/"&amp;YEAR(D19)</f>
        <v>20/07/2026</v>
      </c>
      <c r="M19" s="23">
        <f>E19-TIME(3,0,0)</f>
        <v>0.54166666666666663</v>
      </c>
      <c r="N19" t="str">
        <f>J19&amp;" - "&amp;K19</f>
        <v>0 - 4</v>
      </c>
      <c r="O19" t="str">
        <f>IF($J19&gt;$K19,"Green","Red")</f>
        <v>Red</v>
      </c>
      <c r="P19" t="str">
        <f>IF($J19=$K19,"Green","Red")</f>
        <v>Red</v>
      </c>
      <c r="Q19" t="str">
        <f>IF($J19&lt;$K19,"Green","Red")</f>
        <v>Green</v>
      </c>
      <c r="R19" t="str">
        <f>IF($J19&gt;=$K19,"Green","Red")</f>
        <v>Red</v>
      </c>
      <c r="S19" t="str">
        <f>IF($J19&lt;=$K19,"Green","Red")</f>
        <v>Green</v>
      </c>
      <c r="T19" t="str">
        <f>IF(OR($J19&gt;$K19,$J19&lt;$K19),"Green","Red")</f>
        <v>Green</v>
      </c>
      <c r="U19" t="str">
        <f>IF($H19&gt;$I19,"Green","Red")</f>
        <v>Red</v>
      </c>
      <c r="V19" t="str">
        <f>IF($H19=$I19,"Green","Red")</f>
        <v>Red</v>
      </c>
      <c r="W19" t="str">
        <f>IF($H19&lt;$I19,"Green","Red")</f>
        <v>Green</v>
      </c>
      <c r="X19" t="str">
        <f>IF($H19+$I19&gt;0,"Green","Red")</f>
        <v>Green</v>
      </c>
      <c r="Y19" t="str">
        <f>IF($J19+$K19&gt;1.5,"Green","Red")</f>
        <v>Green</v>
      </c>
      <c r="Z19" t="str">
        <f>IF($J19+$K19&gt;2.5,"Green","Red")</f>
        <v>Green</v>
      </c>
      <c r="AA19" t="str">
        <f>IF($J19+$K19&lt;2.5,"Green","Red")</f>
        <v>Red</v>
      </c>
      <c r="AB19" t="str">
        <f>IF($J19+$K19&lt;3.5,"Green","Red")</f>
        <v>Red</v>
      </c>
      <c r="AC19" t="str">
        <f>IF(AND($J19&gt;0,$K19&gt;0),"Green","Red")</f>
        <v>Red</v>
      </c>
      <c r="AD19" t="str">
        <f>IF(OR($J19=0,$K19=0),"Green","Red")</f>
        <v>Green</v>
      </c>
    </row>
    <row r="20" spans="1:30" x14ac:dyDescent="0.2">
      <c r="A20" t="str">
        <f>L20&amp;F20&amp;G20</f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>DAY(D20)&amp;"/"&amp;"07"&amp;"/"&amp;YEAR(D20)</f>
        <v>20/07/2026</v>
      </c>
      <c r="M20" s="23">
        <f>E20-TIME(3,0,0)</f>
        <v>0.54166666666666663</v>
      </c>
      <c r="N20" t="str">
        <f>J20&amp;" - "&amp;K20</f>
        <v>3 - 1</v>
      </c>
      <c r="O20" t="str">
        <f>IF($J20&gt;$K20,"Green","Red")</f>
        <v>Green</v>
      </c>
      <c r="P20" t="str">
        <f>IF($J20=$K20,"Green","Red")</f>
        <v>Red</v>
      </c>
      <c r="Q20" t="str">
        <f>IF($J20&lt;$K20,"Green","Red")</f>
        <v>Red</v>
      </c>
      <c r="R20" t="str">
        <f>IF($J20&gt;=$K20,"Green","Red")</f>
        <v>Green</v>
      </c>
      <c r="S20" t="str">
        <f>IF($J20&lt;=$K20,"Green","Red")</f>
        <v>Red</v>
      </c>
      <c r="T20" t="str">
        <f>IF(OR($J20&gt;$K20,$J20&lt;$K20),"Green","Red")</f>
        <v>Green</v>
      </c>
      <c r="U20" t="str">
        <f>IF($H20&gt;$I20,"Green","Red")</f>
        <v>Red</v>
      </c>
      <c r="V20" t="str">
        <f>IF($H20=$I20,"Green","Red")</f>
        <v>Red</v>
      </c>
      <c r="W20" t="str">
        <f>IF($H20&lt;$I20,"Green","Red")</f>
        <v>Green</v>
      </c>
      <c r="X20" t="str">
        <f>IF($H20+$I20&gt;0,"Green","Red")</f>
        <v>Green</v>
      </c>
      <c r="Y20" t="str">
        <f>IF($J20+$K20&gt;1.5,"Green","Red")</f>
        <v>Green</v>
      </c>
      <c r="Z20" t="str">
        <f>IF($J20+$K20&gt;2.5,"Green","Red")</f>
        <v>Green</v>
      </c>
      <c r="AA20" t="str">
        <f>IF($J20+$K20&lt;2.5,"Green","Red")</f>
        <v>Red</v>
      </c>
      <c r="AB20" t="str">
        <f>IF($J20+$K20&lt;3.5,"Green","Red")</f>
        <v>Red</v>
      </c>
      <c r="AC20" t="str">
        <f>IF(AND($J20&gt;0,$K20&gt;0),"Green","Red")</f>
        <v>Green</v>
      </c>
      <c r="AD20" t="str">
        <f>IF(OR($J20=0,$K20=0),"Green","Red")</f>
        <v>Red</v>
      </c>
    </row>
    <row r="21" spans="1:30" x14ac:dyDescent="0.2">
      <c r="A21" t="str">
        <f>L21&amp;F21&amp;G21</f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>DAY(D21)&amp;"/"&amp;"07"&amp;"/"&amp;YEAR(D21)</f>
        <v>20/07/2026</v>
      </c>
      <c r="M21" s="23">
        <f>E21-TIME(3,0,0)</f>
        <v>0.55208333333333337</v>
      </c>
      <c r="N21" t="str">
        <f>J21&amp;" - "&amp;K21</f>
        <v>0 - 0</v>
      </c>
      <c r="O21" t="str">
        <f>IF($J21&gt;$K21,"Green","Red")</f>
        <v>Red</v>
      </c>
      <c r="P21" t="str">
        <f>IF($J21=$K21,"Green","Red")</f>
        <v>Green</v>
      </c>
      <c r="Q21" t="str">
        <f>IF($J21&lt;$K21,"Green","Red")</f>
        <v>Red</v>
      </c>
      <c r="R21" t="str">
        <f>IF($J21&gt;=$K21,"Green","Red")</f>
        <v>Green</v>
      </c>
      <c r="S21" t="str">
        <f>IF($J21&lt;=$K21,"Green","Red")</f>
        <v>Green</v>
      </c>
      <c r="T21" t="str">
        <f>IF(OR($J21&gt;$K21,$J21&lt;$K21),"Green","Red")</f>
        <v>Red</v>
      </c>
      <c r="U21" t="str">
        <f>IF($H21&gt;$I21,"Green","Red")</f>
        <v>Red</v>
      </c>
      <c r="V21" t="str">
        <f>IF($H21=$I21,"Green","Red")</f>
        <v>Green</v>
      </c>
      <c r="W21" t="str">
        <f>IF($H21&lt;$I21,"Green","Red")</f>
        <v>Red</v>
      </c>
      <c r="X21" t="str">
        <f>IF($H21+$I21&gt;0,"Green","Red")</f>
        <v>Red</v>
      </c>
      <c r="Y21" t="str">
        <f>IF($J21+$K21&gt;1.5,"Green","Red")</f>
        <v>Red</v>
      </c>
      <c r="Z21" t="str">
        <f>IF($J21+$K21&gt;2.5,"Green","Red")</f>
        <v>Red</v>
      </c>
      <c r="AA21" t="str">
        <f>IF($J21+$K21&lt;2.5,"Green","Red")</f>
        <v>Green</v>
      </c>
      <c r="AB21" t="str">
        <f>IF($J21+$K21&lt;3.5,"Green","Red")</f>
        <v>Green</v>
      </c>
      <c r="AC21" t="str">
        <f>IF(AND($J21&gt;0,$K21&gt;0),"Green","Red")</f>
        <v>Red</v>
      </c>
      <c r="AD21" t="str">
        <f>IF(OR($J21=0,$K21=0),"Green","Red")</f>
        <v>Green</v>
      </c>
    </row>
    <row r="22" spans="1:30" x14ac:dyDescent="0.2">
      <c r="A22" t="str">
        <f>L22&amp;F22&amp;G22</f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>DAY(D22)&amp;"/"&amp;"07"&amp;"/"&amp;YEAR(D22)</f>
        <v>20/07/2026</v>
      </c>
      <c r="M22" s="23">
        <f>E22-TIME(3,0,0)</f>
        <v>0.5625</v>
      </c>
      <c r="N22" t="str">
        <f>J22&amp;" - "&amp;K22</f>
        <v>1 - 0</v>
      </c>
      <c r="O22" t="str">
        <f>IF($J22&gt;$K22,"Green","Red")</f>
        <v>Green</v>
      </c>
      <c r="P22" t="str">
        <f>IF($J22=$K22,"Green","Red")</f>
        <v>Red</v>
      </c>
      <c r="Q22" t="str">
        <f>IF($J22&lt;$K22,"Green","Red")</f>
        <v>Red</v>
      </c>
      <c r="R22" t="str">
        <f>IF($J22&gt;=$K22,"Green","Red")</f>
        <v>Green</v>
      </c>
      <c r="S22" t="str">
        <f>IF($J22&lt;=$K22,"Green","Red")</f>
        <v>Red</v>
      </c>
      <c r="T22" t="str">
        <f>IF(OR($J22&gt;$K22,$J22&lt;$K22),"Green","Red")</f>
        <v>Green</v>
      </c>
      <c r="U22" t="str">
        <f>IF($H22&gt;$I22,"Green","Red")</f>
        <v>Red</v>
      </c>
      <c r="V22" t="str">
        <f>IF($H22=$I22,"Green","Red")</f>
        <v>Green</v>
      </c>
      <c r="W22" t="str">
        <f>IF($H22&lt;$I22,"Green","Red")</f>
        <v>Red</v>
      </c>
      <c r="X22" t="str">
        <f>IF($H22+$I22&gt;0,"Green","Red")</f>
        <v>Red</v>
      </c>
      <c r="Y22" t="str">
        <f>IF($J22+$K22&gt;1.5,"Green","Red")</f>
        <v>Red</v>
      </c>
      <c r="Z22" t="str">
        <f>IF($J22+$K22&gt;2.5,"Green","Red")</f>
        <v>Red</v>
      </c>
      <c r="AA22" t="str">
        <f>IF($J22+$K22&lt;2.5,"Green","Red")</f>
        <v>Green</v>
      </c>
      <c r="AB22" t="str">
        <f>IF($J22+$K22&lt;3.5,"Green","Red")</f>
        <v>Green</v>
      </c>
      <c r="AC22" t="str">
        <f>IF(AND($J22&gt;0,$K22&gt;0),"Green","Red")</f>
        <v>Red</v>
      </c>
      <c r="AD22" t="str">
        <f>IF(OR($J22=0,$K22=0),"Green","Red")</f>
        <v>Green</v>
      </c>
    </row>
    <row r="23" spans="1:30" x14ac:dyDescent="0.2">
      <c r="A23" t="str">
        <f>L23&amp;F23&amp;G23</f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>DAY(D23)&amp;"/"&amp;"07"&amp;"/"&amp;YEAR(D23)</f>
        <v>20/07/2026</v>
      </c>
      <c r="M23" s="23">
        <f>E23-TIME(3,0,0)</f>
        <v>0.58333333333333337</v>
      </c>
      <c r="N23" t="str">
        <f>J23&amp;" - "&amp;K23</f>
        <v>2 - 2</v>
      </c>
      <c r="O23" t="str">
        <f>IF($J23&gt;$K23,"Green","Red")</f>
        <v>Red</v>
      </c>
      <c r="P23" t="str">
        <f>IF($J23=$K23,"Green","Red")</f>
        <v>Green</v>
      </c>
      <c r="Q23" t="str">
        <f>IF($J23&lt;$K23,"Green","Red")</f>
        <v>Red</v>
      </c>
      <c r="R23" t="str">
        <f>IF($J23&gt;=$K23,"Green","Red")</f>
        <v>Green</v>
      </c>
      <c r="S23" t="str">
        <f>IF($J23&lt;=$K23,"Green","Red")</f>
        <v>Green</v>
      </c>
      <c r="T23" t="str">
        <f>IF(OR($J23&gt;$K23,$J23&lt;$K23),"Green","Red")</f>
        <v>Red</v>
      </c>
      <c r="U23" t="str">
        <f>IF($H23&gt;$I23,"Green","Red")</f>
        <v>Green</v>
      </c>
      <c r="V23" t="str">
        <f>IF($H23=$I23,"Green","Red")</f>
        <v>Red</v>
      </c>
      <c r="W23" t="str">
        <f>IF($H23&lt;$I23,"Green","Red")</f>
        <v>Red</v>
      </c>
      <c r="X23" t="str">
        <f>IF($H23+$I23&gt;0,"Green","Red")</f>
        <v>Green</v>
      </c>
      <c r="Y23" t="str">
        <f>IF($J23+$K23&gt;1.5,"Green","Red")</f>
        <v>Green</v>
      </c>
      <c r="Z23" t="str">
        <f>IF($J23+$K23&gt;2.5,"Green","Red")</f>
        <v>Green</v>
      </c>
      <c r="AA23" t="str">
        <f>IF($J23+$K23&lt;2.5,"Green","Red")</f>
        <v>Red</v>
      </c>
      <c r="AB23" t="str">
        <f>IF($J23+$K23&lt;3.5,"Green","Red")</f>
        <v>Red</v>
      </c>
      <c r="AC23" t="str">
        <f>IF(AND($J23&gt;0,$K23&gt;0),"Green","Red")</f>
        <v>Green</v>
      </c>
      <c r="AD23" t="str">
        <f>IF(OR($J23=0,$K23=0),"Green","Red")</f>
        <v>Red</v>
      </c>
    </row>
    <row r="24" spans="1:30" x14ac:dyDescent="0.2">
      <c r="A24" t="str">
        <f>L24&amp;F24&amp;G24</f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>DAY(D24)&amp;"/"&amp;"07"&amp;"/"&amp;YEAR(D24)</f>
        <v>20/07/2026</v>
      </c>
      <c r="M24" s="23">
        <f>E24-TIME(3,0,0)</f>
        <v>0.58333333333333337</v>
      </c>
      <c r="N24" t="str">
        <f>J24&amp;" - "&amp;K24</f>
        <v>0 - 0</v>
      </c>
      <c r="O24" t="str">
        <f>IF($J24&gt;$K24,"Green","Red")</f>
        <v>Red</v>
      </c>
      <c r="P24" t="str">
        <f>IF($J24=$K24,"Green","Red")</f>
        <v>Green</v>
      </c>
      <c r="Q24" t="str">
        <f>IF($J24&lt;$K24,"Green","Red")</f>
        <v>Red</v>
      </c>
      <c r="R24" t="str">
        <f>IF($J24&gt;=$K24,"Green","Red")</f>
        <v>Green</v>
      </c>
      <c r="S24" t="str">
        <f>IF($J24&lt;=$K24,"Green","Red")</f>
        <v>Green</v>
      </c>
      <c r="T24" t="str">
        <f>IF(OR($J24&gt;$K24,$J24&lt;$K24),"Green","Red")</f>
        <v>Red</v>
      </c>
      <c r="U24" t="str">
        <f>IF($H24&gt;$I24,"Green","Red")</f>
        <v>Red</v>
      </c>
      <c r="V24" t="str">
        <f>IF($H24=$I24,"Green","Red")</f>
        <v>Green</v>
      </c>
      <c r="W24" t="str">
        <f>IF($H24&lt;$I24,"Green","Red")</f>
        <v>Red</v>
      </c>
      <c r="X24" t="str">
        <f>IF($H24+$I24&gt;0,"Green","Red")</f>
        <v>Red</v>
      </c>
      <c r="Y24" t="str">
        <f>IF($J24+$K24&gt;1.5,"Green","Red")</f>
        <v>Red</v>
      </c>
      <c r="Z24" t="str">
        <f>IF($J24+$K24&gt;2.5,"Green","Red")</f>
        <v>Red</v>
      </c>
      <c r="AA24" t="str">
        <f>IF($J24+$K24&lt;2.5,"Green","Red")</f>
        <v>Green</v>
      </c>
      <c r="AB24" t="str">
        <f>IF($J24+$K24&lt;3.5,"Green","Red")</f>
        <v>Green</v>
      </c>
      <c r="AC24" t="str">
        <f>IF(AND($J24&gt;0,$K24&gt;0),"Green","Red")</f>
        <v>Red</v>
      </c>
      <c r="AD24" t="str">
        <f>IF(OR($J24=0,$K24=0),"Green","Red")</f>
        <v>Green</v>
      </c>
    </row>
    <row r="25" spans="1:30" x14ac:dyDescent="0.2">
      <c r="A25" t="str">
        <f>L25&amp;F25&amp;G25</f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>DAY(D25)&amp;"/"&amp;"07"&amp;"/"&amp;YEAR(D25)</f>
        <v>20/07/2026</v>
      </c>
      <c r="M25" s="23">
        <f>E25-TIME(3,0,0)</f>
        <v>0.58333333333333337</v>
      </c>
      <c r="N25" t="str">
        <f>J25&amp;" - "&amp;K25</f>
        <v>3 - 1</v>
      </c>
      <c r="O25" t="str">
        <f>IF($J25&gt;$K25,"Green","Red")</f>
        <v>Green</v>
      </c>
      <c r="P25" t="str">
        <f>IF($J25=$K25,"Green","Red")</f>
        <v>Red</v>
      </c>
      <c r="Q25" t="str">
        <f>IF($J25&lt;$K25,"Green","Red")</f>
        <v>Red</v>
      </c>
      <c r="R25" t="str">
        <f>IF($J25&gt;=$K25,"Green","Red")</f>
        <v>Green</v>
      </c>
      <c r="S25" t="str">
        <f>IF($J25&lt;=$K25,"Green","Red")</f>
        <v>Red</v>
      </c>
      <c r="T25" t="str">
        <f>IF(OR($J25&gt;$K25,$J25&lt;$K25),"Green","Red")</f>
        <v>Green</v>
      </c>
      <c r="U25" t="str">
        <f>IF($H25&gt;$I25,"Green","Red")</f>
        <v>Red</v>
      </c>
      <c r="V25" t="str">
        <f>IF($H25=$I25,"Green","Red")</f>
        <v>Green</v>
      </c>
      <c r="W25" t="str">
        <f>IF($H25&lt;$I25,"Green","Red")</f>
        <v>Red</v>
      </c>
      <c r="X25" t="str">
        <f>IF($H25+$I25&gt;0,"Green","Red")</f>
        <v>Red</v>
      </c>
      <c r="Y25" t="str">
        <f>IF($J25+$K25&gt;1.5,"Green","Red")</f>
        <v>Green</v>
      </c>
      <c r="Z25" t="str">
        <f>IF($J25+$K25&gt;2.5,"Green","Red")</f>
        <v>Green</v>
      </c>
      <c r="AA25" t="str">
        <f>IF($J25+$K25&lt;2.5,"Green","Red")</f>
        <v>Red</v>
      </c>
      <c r="AB25" t="str">
        <f>IF($J25+$K25&lt;3.5,"Green","Red")</f>
        <v>Red</v>
      </c>
      <c r="AC25" t="str">
        <f>IF(AND($J25&gt;0,$K25&gt;0),"Green","Red")</f>
        <v>Green</v>
      </c>
      <c r="AD25" t="str">
        <f>IF(OR($J25=0,$K25=0),"Green","Red")</f>
        <v>Red</v>
      </c>
    </row>
    <row r="26" spans="1:30" x14ac:dyDescent="0.2">
      <c r="A26" t="str">
        <f>L26&amp;F26&amp;G26</f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>DAY(D26)&amp;"/"&amp;"07"&amp;"/"&amp;YEAR(D26)</f>
        <v>20/07/2026</v>
      </c>
      <c r="M26" s="23">
        <f>E26-TIME(3,0,0)</f>
        <v>0.60416666666666663</v>
      </c>
      <c r="N26" t="str">
        <f>J26&amp;" - "&amp;K26</f>
        <v>2 - 2</v>
      </c>
      <c r="O26" t="str">
        <f>IF($J26&gt;$K26,"Green","Red")</f>
        <v>Red</v>
      </c>
      <c r="P26" t="str">
        <f>IF($J26=$K26,"Green","Red")</f>
        <v>Green</v>
      </c>
      <c r="Q26" t="str">
        <f>IF($J26&lt;$K26,"Green","Red")</f>
        <v>Red</v>
      </c>
      <c r="R26" t="str">
        <f>IF($J26&gt;=$K26,"Green","Red")</f>
        <v>Green</v>
      </c>
      <c r="S26" t="str">
        <f>IF($J26&lt;=$K26,"Green","Red")</f>
        <v>Green</v>
      </c>
      <c r="T26" t="str">
        <f>IF(OR($J26&gt;$K26,$J26&lt;$K26),"Green","Red")</f>
        <v>Red</v>
      </c>
      <c r="U26" t="str">
        <f>IF($H26&gt;$I26,"Green","Red")</f>
        <v>Red</v>
      </c>
      <c r="V26" t="str">
        <f>IF($H26=$I26,"Green","Red")</f>
        <v>Green</v>
      </c>
      <c r="W26" t="str">
        <f>IF($H26&lt;$I26,"Green","Red")</f>
        <v>Red</v>
      </c>
      <c r="X26" t="str">
        <f>IF($H26+$I26&gt;0,"Green","Red")</f>
        <v>Red</v>
      </c>
      <c r="Y26" t="str">
        <f>IF($J26+$K26&gt;1.5,"Green","Red")</f>
        <v>Green</v>
      </c>
      <c r="Z26" t="str">
        <f>IF($J26+$K26&gt;2.5,"Green","Red")</f>
        <v>Green</v>
      </c>
      <c r="AA26" t="str">
        <f>IF($J26+$K26&lt;2.5,"Green","Red")</f>
        <v>Red</v>
      </c>
      <c r="AB26" t="str">
        <f>IF($J26+$K26&lt;3.5,"Green","Red")</f>
        <v>Red</v>
      </c>
      <c r="AC26" t="str">
        <f>IF(AND($J26&gt;0,$K26&gt;0),"Green","Red")</f>
        <v>Green</v>
      </c>
      <c r="AD26" t="str">
        <f>IF(OR($J26=0,$K26=0),"Green","Red")</f>
        <v>Red</v>
      </c>
    </row>
    <row r="27" spans="1:30" x14ac:dyDescent="0.2">
      <c r="A27" t="str">
        <f>L27&amp;F27&amp;G27</f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>DAY(D27)&amp;"/"&amp;"07"&amp;"/"&amp;YEAR(D27)</f>
        <v>20/07/2026</v>
      </c>
      <c r="M27" s="23">
        <f>E27-TIME(3,0,0)</f>
        <v>0.625</v>
      </c>
      <c r="N27" t="str">
        <f>J27&amp;" - "&amp;K27</f>
        <v xml:space="preserve"> - </v>
      </c>
      <c r="O27" t="str">
        <f>IF($J27&gt;$K27,"Green","Red")</f>
        <v>Red</v>
      </c>
      <c r="P27" t="str">
        <f>IF($J27=$K27,"Green","Red")</f>
        <v>Green</v>
      </c>
      <c r="Q27" t="str">
        <f>IF($J27&lt;$K27,"Green","Red")</f>
        <v>Red</v>
      </c>
      <c r="R27" t="str">
        <f>IF($J27&gt;=$K27,"Green","Red")</f>
        <v>Green</v>
      </c>
      <c r="S27" t="str">
        <f>IF($J27&lt;=$K27,"Green","Red")</f>
        <v>Green</v>
      </c>
      <c r="T27" t="str">
        <f>IF(OR($J27&gt;$K27,$J27&lt;$K27),"Green","Red")</f>
        <v>Red</v>
      </c>
      <c r="U27" t="str">
        <f>IF($H27&gt;$I27,"Green","Red")</f>
        <v>Red</v>
      </c>
      <c r="V27" t="str">
        <f>IF($H27=$I27,"Green","Red")</f>
        <v>Green</v>
      </c>
      <c r="W27" t="str">
        <f>IF($H27&lt;$I27,"Green","Red")</f>
        <v>Red</v>
      </c>
      <c r="X27" t="str">
        <f>IF($H27+$I27&gt;0,"Green","Red")</f>
        <v>Red</v>
      </c>
      <c r="Y27" t="str">
        <f>IF($J27+$K27&gt;1.5,"Green","Red")</f>
        <v>Red</v>
      </c>
      <c r="Z27" t="str">
        <f>IF($J27+$K27&gt;2.5,"Green","Red")</f>
        <v>Red</v>
      </c>
      <c r="AA27" t="str">
        <f>IF($J27+$K27&lt;2.5,"Green","Red")</f>
        <v>Green</v>
      </c>
      <c r="AB27" t="str">
        <f>IF($J27+$K27&lt;3.5,"Green","Red")</f>
        <v>Green</v>
      </c>
      <c r="AC27" t="str">
        <f>IF(AND($J27&gt;0,$K27&gt;0),"Green","Red")</f>
        <v>Red</v>
      </c>
      <c r="AD27" t="str">
        <f>IF(OR($J27=0,$K27=0),"Green","Red")</f>
        <v>Green</v>
      </c>
    </row>
    <row r="28" spans="1:30" x14ac:dyDescent="0.2">
      <c r="A28" t="str">
        <f>L28&amp;F28&amp;G28</f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>DAY(D28)&amp;"/"&amp;"07"&amp;"/"&amp;YEAR(D28)</f>
        <v>20/07/2026</v>
      </c>
      <c r="M28" s="23">
        <f>E28-TIME(3,0,0)</f>
        <v>0.625</v>
      </c>
      <c r="N28" t="str">
        <f>J28&amp;" - "&amp;K28</f>
        <v xml:space="preserve"> - </v>
      </c>
      <c r="O28" t="str">
        <f>IF($J28&gt;$K28,"Green","Red")</f>
        <v>Red</v>
      </c>
      <c r="P28" t="str">
        <f>IF($J28=$K28,"Green","Red")</f>
        <v>Green</v>
      </c>
      <c r="Q28" t="str">
        <f>IF($J28&lt;$K28,"Green","Red")</f>
        <v>Red</v>
      </c>
      <c r="R28" t="str">
        <f>IF($J28&gt;=$K28,"Green","Red")</f>
        <v>Green</v>
      </c>
      <c r="S28" t="str">
        <f>IF($J28&lt;=$K28,"Green","Red")</f>
        <v>Green</v>
      </c>
      <c r="T28" t="str">
        <f>IF(OR($J28&gt;$K28,$J28&lt;$K28),"Green","Red")</f>
        <v>Red</v>
      </c>
      <c r="U28" t="str">
        <f>IF($H28&gt;$I28,"Green","Red")</f>
        <v>Red</v>
      </c>
      <c r="V28" t="str">
        <f>IF($H28=$I28,"Green","Red")</f>
        <v>Green</v>
      </c>
      <c r="W28" t="str">
        <f>IF($H28&lt;$I28,"Green","Red")</f>
        <v>Red</v>
      </c>
      <c r="X28" t="str">
        <f>IF($H28+$I28&gt;0,"Green","Red")</f>
        <v>Red</v>
      </c>
      <c r="Y28" t="str">
        <f>IF($J28+$K28&gt;1.5,"Green","Red")</f>
        <v>Red</v>
      </c>
      <c r="Z28" t="str">
        <f>IF($J28+$K28&gt;2.5,"Green","Red")</f>
        <v>Red</v>
      </c>
      <c r="AA28" t="str">
        <f>IF($J28+$K28&lt;2.5,"Green","Red")</f>
        <v>Green</v>
      </c>
      <c r="AB28" t="str">
        <f>IF($J28+$K28&lt;3.5,"Green","Red")</f>
        <v>Green</v>
      </c>
      <c r="AC28" t="str">
        <f>IF(AND($J28&gt;0,$K28&gt;0),"Green","Red")</f>
        <v>Red</v>
      </c>
      <c r="AD28" t="str">
        <f>IF(OR($J28=0,$K28=0),"Green","Red")</f>
        <v>Green</v>
      </c>
    </row>
    <row r="29" spans="1:30" x14ac:dyDescent="0.2">
      <c r="A29" t="str">
        <f>L29&amp;F29&amp;G29</f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>DAY(D29)&amp;"/"&amp;"07"&amp;"/"&amp;YEAR(D29)</f>
        <v>20/07/2026</v>
      </c>
      <c r="M29" s="23">
        <f>E29-TIME(3,0,0)</f>
        <v>0.625</v>
      </c>
      <c r="N29" t="str">
        <f>J29&amp;" - "&amp;K29</f>
        <v xml:space="preserve"> - </v>
      </c>
      <c r="O29" t="str">
        <f>IF($J29&gt;$K29,"Green","Red")</f>
        <v>Red</v>
      </c>
      <c r="P29" t="str">
        <f>IF($J29=$K29,"Green","Red")</f>
        <v>Green</v>
      </c>
      <c r="Q29" t="str">
        <f>IF($J29&lt;$K29,"Green","Red")</f>
        <v>Red</v>
      </c>
      <c r="R29" t="str">
        <f>IF($J29&gt;=$K29,"Green","Red")</f>
        <v>Green</v>
      </c>
      <c r="S29" t="str">
        <f>IF($J29&lt;=$K29,"Green","Red")</f>
        <v>Green</v>
      </c>
      <c r="T29" t="str">
        <f>IF(OR($J29&gt;$K29,$J29&lt;$K29),"Green","Red")</f>
        <v>Red</v>
      </c>
      <c r="U29" t="str">
        <f>IF($H29&gt;$I29,"Green","Red")</f>
        <v>Red</v>
      </c>
      <c r="V29" t="str">
        <f>IF($H29=$I29,"Green","Red")</f>
        <v>Green</v>
      </c>
      <c r="W29" t="str">
        <f>IF($H29&lt;$I29,"Green","Red")</f>
        <v>Red</v>
      </c>
      <c r="X29" t="str">
        <f>IF($H29+$I29&gt;0,"Green","Red")</f>
        <v>Red</v>
      </c>
      <c r="Y29" t="str">
        <f>IF($J29+$K29&gt;1.5,"Green","Red")</f>
        <v>Red</v>
      </c>
      <c r="Z29" t="str">
        <f>IF($J29+$K29&gt;2.5,"Green","Red")</f>
        <v>Red</v>
      </c>
      <c r="AA29" t="str">
        <f>IF($J29+$K29&lt;2.5,"Green","Red")</f>
        <v>Green</v>
      </c>
      <c r="AB29" t="str">
        <f>IF($J29+$K29&lt;3.5,"Green","Red")</f>
        <v>Green</v>
      </c>
      <c r="AC29" t="str">
        <f>IF(AND($J29&gt;0,$K29&gt;0),"Green","Red")</f>
        <v>Red</v>
      </c>
      <c r="AD29" t="str">
        <f>IF(OR($J29=0,$K29=0),"Green","Red")</f>
        <v>Green</v>
      </c>
    </row>
    <row r="30" spans="1:30" x14ac:dyDescent="0.2">
      <c r="A30" t="str">
        <f>L30&amp;F30&amp;G30</f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>DAY(D30)&amp;"/"&amp;"07"&amp;"/"&amp;YEAR(D30)</f>
        <v>20/07/2026</v>
      </c>
      <c r="M30" s="23">
        <f>E30-TIME(3,0,0)</f>
        <v>0.625</v>
      </c>
      <c r="N30" t="str">
        <f>J30&amp;" - "&amp;K30</f>
        <v xml:space="preserve"> - </v>
      </c>
      <c r="O30" t="str">
        <f>IF($J30&gt;$K30,"Green","Red")</f>
        <v>Red</v>
      </c>
      <c r="P30" t="str">
        <f>IF($J30=$K30,"Green","Red")</f>
        <v>Green</v>
      </c>
      <c r="Q30" t="str">
        <f>IF($J30&lt;$K30,"Green","Red")</f>
        <v>Red</v>
      </c>
      <c r="R30" t="str">
        <f>IF($J30&gt;=$K30,"Green","Red")</f>
        <v>Green</v>
      </c>
      <c r="S30" t="str">
        <f>IF($J30&lt;=$K30,"Green","Red")</f>
        <v>Green</v>
      </c>
      <c r="T30" t="str">
        <f>IF(OR($J30&gt;$K30,$J30&lt;$K30),"Green","Red")</f>
        <v>Red</v>
      </c>
      <c r="U30" t="str">
        <f>IF($H30&gt;$I30,"Green","Red")</f>
        <v>Red</v>
      </c>
      <c r="V30" t="str">
        <f>IF($H30=$I30,"Green","Red")</f>
        <v>Green</v>
      </c>
      <c r="W30" t="str">
        <f>IF($H30&lt;$I30,"Green","Red")</f>
        <v>Red</v>
      </c>
      <c r="X30" t="str">
        <f>IF($H30+$I30&gt;0,"Green","Red")</f>
        <v>Red</v>
      </c>
      <c r="Y30" t="str">
        <f>IF($J30+$K30&gt;1.5,"Green","Red")</f>
        <v>Red</v>
      </c>
      <c r="Z30" t="str">
        <f>IF($J30+$K30&gt;2.5,"Green","Red")</f>
        <v>Red</v>
      </c>
      <c r="AA30" t="str">
        <f>IF($J30+$K30&lt;2.5,"Green","Red")</f>
        <v>Green</v>
      </c>
      <c r="AB30" t="str">
        <f>IF($J30+$K30&lt;3.5,"Green","Red")</f>
        <v>Green</v>
      </c>
      <c r="AC30" t="str">
        <f>IF(AND($J30&gt;0,$K30&gt;0),"Green","Red")</f>
        <v>Red</v>
      </c>
      <c r="AD30" t="str">
        <f>IF(OR($J30=0,$K30=0),"Green","Red")</f>
        <v>Green</v>
      </c>
    </row>
    <row r="31" spans="1:30" x14ac:dyDescent="0.2">
      <c r="A31" t="str">
        <f>L31&amp;F31&amp;G31</f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>DAY(D31)&amp;"/"&amp;"07"&amp;"/"&amp;YEAR(D31)</f>
        <v>20/07/2026</v>
      </c>
      <c r="M31" s="23">
        <f>E31-TIME(3,0,0)</f>
        <v>0.625</v>
      </c>
      <c r="N31" t="str">
        <f>J31&amp;" - "&amp;K31</f>
        <v>0 - 0</v>
      </c>
      <c r="O31" t="str">
        <f>IF($J31&gt;$K31,"Green","Red")</f>
        <v>Red</v>
      </c>
      <c r="P31" t="str">
        <f>IF($J31=$K31,"Green","Red")</f>
        <v>Green</v>
      </c>
      <c r="Q31" t="str">
        <f>IF($J31&lt;$K31,"Green","Red")</f>
        <v>Red</v>
      </c>
      <c r="R31" t="str">
        <f>IF($J31&gt;=$K31,"Green","Red")</f>
        <v>Green</v>
      </c>
      <c r="S31" t="str">
        <f>IF($J31&lt;=$K31,"Green","Red")</f>
        <v>Green</v>
      </c>
      <c r="T31" t="str">
        <f>IF(OR($J31&gt;$K31,$J31&lt;$K31),"Green","Red")</f>
        <v>Red</v>
      </c>
      <c r="U31" t="str">
        <f>IF($H31&gt;$I31,"Green","Red")</f>
        <v>Red</v>
      </c>
      <c r="V31" t="str">
        <f>IF($H31=$I31,"Green","Red")</f>
        <v>Green</v>
      </c>
      <c r="W31" t="str">
        <f>IF($H31&lt;$I31,"Green","Red")</f>
        <v>Red</v>
      </c>
      <c r="X31" t="str">
        <f>IF($H31+$I31&gt;0,"Green","Red")</f>
        <v>Red</v>
      </c>
      <c r="Y31" t="str">
        <f>IF($J31+$K31&gt;1.5,"Green","Red")</f>
        <v>Red</v>
      </c>
      <c r="Z31" t="str">
        <f>IF($J31+$K31&gt;2.5,"Green","Red")</f>
        <v>Red</v>
      </c>
      <c r="AA31" t="str">
        <f>IF($J31+$K31&lt;2.5,"Green","Red")</f>
        <v>Green</v>
      </c>
      <c r="AB31" t="str">
        <f>IF($J31+$K31&lt;3.5,"Green","Red")</f>
        <v>Green</v>
      </c>
      <c r="AC31" t="str">
        <f>IF(AND($J31&gt;0,$K31&gt;0),"Green","Red")</f>
        <v>Red</v>
      </c>
      <c r="AD31" t="str">
        <f>IF(OR($J31=0,$K31=0),"Green","Red")</f>
        <v>Green</v>
      </c>
    </row>
    <row r="32" spans="1:30" x14ac:dyDescent="0.2">
      <c r="A32" t="str">
        <f>L32&amp;F32&amp;G32</f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>DAY(D32)&amp;"/"&amp;"07"&amp;"/"&amp;YEAR(D32)</f>
        <v>20/07/2026</v>
      </c>
      <c r="M32" s="23">
        <f>E32-TIME(3,0,0)</f>
        <v>0.625</v>
      </c>
      <c r="N32" t="str">
        <f>J32&amp;" - "&amp;K32</f>
        <v xml:space="preserve"> - </v>
      </c>
      <c r="O32" t="str">
        <f>IF($J32&gt;$K32,"Green","Red")</f>
        <v>Red</v>
      </c>
      <c r="P32" t="str">
        <f>IF($J32=$K32,"Green","Red")</f>
        <v>Green</v>
      </c>
      <c r="Q32" t="str">
        <f>IF($J32&lt;$K32,"Green","Red")</f>
        <v>Red</v>
      </c>
      <c r="R32" t="str">
        <f>IF($J32&gt;=$K32,"Green","Red")</f>
        <v>Green</v>
      </c>
      <c r="S32" t="str">
        <f>IF($J32&lt;=$K32,"Green","Red")</f>
        <v>Green</v>
      </c>
      <c r="T32" t="str">
        <f>IF(OR($J32&gt;$K32,$J32&lt;$K32),"Green","Red")</f>
        <v>Red</v>
      </c>
      <c r="U32" t="str">
        <f>IF($H32&gt;$I32,"Green","Red")</f>
        <v>Red</v>
      </c>
      <c r="V32" t="str">
        <f>IF($H32=$I32,"Green","Red")</f>
        <v>Green</v>
      </c>
      <c r="W32" t="str">
        <f>IF($H32&lt;$I32,"Green","Red")</f>
        <v>Red</v>
      </c>
      <c r="X32" t="str">
        <f>IF($H32+$I32&gt;0,"Green","Red")</f>
        <v>Red</v>
      </c>
      <c r="Y32" t="str">
        <f>IF($J32+$K32&gt;1.5,"Green","Red")</f>
        <v>Red</v>
      </c>
      <c r="Z32" t="str">
        <f>IF($J32+$K32&gt;2.5,"Green","Red")</f>
        <v>Red</v>
      </c>
      <c r="AA32" t="str">
        <f>IF($J32+$K32&lt;2.5,"Green","Red")</f>
        <v>Green</v>
      </c>
      <c r="AB32" t="str">
        <f>IF($J32+$K32&lt;3.5,"Green","Red")</f>
        <v>Green</v>
      </c>
      <c r="AC32" t="str">
        <f>IF(AND($J32&gt;0,$K32&gt;0),"Green","Red")</f>
        <v>Red</v>
      </c>
      <c r="AD32" t="str">
        <f>IF(OR($J32=0,$K32=0),"Green","Red")</f>
        <v>Green</v>
      </c>
    </row>
    <row r="33" spans="1:30" x14ac:dyDescent="0.2">
      <c r="A33" t="str">
        <f>L33&amp;F33&amp;G33</f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>DAY(D33)&amp;"/"&amp;"07"&amp;"/"&amp;YEAR(D33)</f>
        <v>20/07/2026</v>
      </c>
      <c r="M33" s="23">
        <f>E33-TIME(3,0,0)</f>
        <v>0.625</v>
      </c>
      <c r="N33" t="str">
        <f>J33&amp;" - "&amp;K33</f>
        <v xml:space="preserve"> - </v>
      </c>
      <c r="O33" t="str">
        <f>IF($J33&gt;$K33,"Green","Red")</f>
        <v>Red</v>
      </c>
      <c r="P33" t="str">
        <f>IF($J33=$K33,"Green","Red")</f>
        <v>Green</v>
      </c>
      <c r="Q33" t="str">
        <f>IF($J33&lt;$K33,"Green","Red")</f>
        <v>Red</v>
      </c>
      <c r="R33" t="str">
        <f>IF($J33&gt;=$K33,"Green","Red")</f>
        <v>Green</v>
      </c>
      <c r="S33" t="str">
        <f>IF($J33&lt;=$K33,"Green","Red")</f>
        <v>Green</v>
      </c>
      <c r="T33" t="str">
        <f>IF(OR($J33&gt;$K33,$J33&lt;$K33),"Green","Red")</f>
        <v>Red</v>
      </c>
      <c r="U33" t="str">
        <f>IF($H33&gt;$I33,"Green","Red")</f>
        <v>Red</v>
      </c>
      <c r="V33" t="str">
        <f>IF($H33=$I33,"Green","Red")</f>
        <v>Green</v>
      </c>
      <c r="W33" t="str">
        <f>IF($H33&lt;$I33,"Green","Red")</f>
        <v>Red</v>
      </c>
      <c r="X33" t="str">
        <f>IF($H33+$I33&gt;0,"Green","Red")</f>
        <v>Red</v>
      </c>
      <c r="Y33" t="str">
        <f>IF($J33+$K33&gt;1.5,"Green","Red")</f>
        <v>Red</v>
      </c>
      <c r="Z33" t="str">
        <f>IF($J33+$K33&gt;2.5,"Green","Red")</f>
        <v>Red</v>
      </c>
      <c r="AA33" t="str">
        <f>IF($J33+$K33&lt;2.5,"Green","Red")</f>
        <v>Green</v>
      </c>
      <c r="AB33" t="str">
        <f>IF($J33+$K33&lt;3.5,"Green","Red")</f>
        <v>Green</v>
      </c>
      <c r="AC33" t="str">
        <f>IF(AND($J33&gt;0,$K33&gt;0),"Green","Red")</f>
        <v>Red</v>
      </c>
      <c r="AD33" t="str">
        <f>IF(OR($J33=0,$K33=0),"Green","Red")</f>
        <v>Green</v>
      </c>
    </row>
    <row r="34" spans="1:30" x14ac:dyDescent="0.2">
      <c r="A34" t="str">
        <f>L34&amp;F34&amp;G34</f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>DAY(D34)&amp;"/"&amp;"07"&amp;"/"&amp;YEAR(D34)</f>
        <v>20/07/2026</v>
      </c>
      <c r="M34" s="23">
        <f>E34-TIME(3,0,0)</f>
        <v>0.625</v>
      </c>
      <c r="N34" t="str">
        <f>J34&amp;" - "&amp;K34</f>
        <v xml:space="preserve"> - </v>
      </c>
      <c r="O34" t="str">
        <f>IF($J34&gt;$K34,"Green","Red")</f>
        <v>Red</v>
      </c>
      <c r="P34" t="str">
        <f>IF($J34=$K34,"Green","Red")</f>
        <v>Green</v>
      </c>
      <c r="Q34" t="str">
        <f>IF($J34&lt;$K34,"Green","Red")</f>
        <v>Red</v>
      </c>
      <c r="R34" t="str">
        <f>IF($J34&gt;=$K34,"Green","Red")</f>
        <v>Green</v>
      </c>
      <c r="S34" t="str">
        <f>IF($J34&lt;=$K34,"Green","Red")</f>
        <v>Green</v>
      </c>
      <c r="T34" t="str">
        <f>IF(OR($J34&gt;$K34,$J34&lt;$K34),"Green","Red")</f>
        <v>Red</v>
      </c>
      <c r="U34" t="str">
        <f>IF($H34&gt;$I34,"Green","Red")</f>
        <v>Red</v>
      </c>
      <c r="V34" t="str">
        <f>IF($H34=$I34,"Green","Red")</f>
        <v>Green</v>
      </c>
      <c r="W34" t="str">
        <f>IF($H34&lt;$I34,"Green","Red")</f>
        <v>Red</v>
      </c>
      <c r="X34" t="str">
        <f>IF($H34+$I34&gt;0,"Green","Red")</f>
        <v>Red</v>
      </c>
      <c r="Y34" t="str">
        <f>IF($J34+$K34&gt;1.5,"Green","Red")</f>
        <v>Red</v>
      </c>
      <c r="Z34" t="str">
        <f>IF($J34+$K34&gt;2.5,"Green","Red")</f>
        <v>Red</v>
      </c>
      <c r="AA34" t="str">
        <f>IF($J34+$K34&lt;2.5,"Green","Red")</f>
        <v>Green</v>
      </c>
      <c r="AB34" t="str">
        <f>IF($J34+$K34&lt;3.5,"Green","Red")</f>
        <v>Green</v>
      </c>
      <c r="AC34" t="str">
        <f>IF(AND($J34&gt;0,$K34&gt;0),"Green","Red")</f>
        <v>Red</v>
      </c>
      <c r="AD34" t="str">
        <f>IF(OR($J34=0,$K34=0),"Green","Red")</f>
        <v>Green</v>
      </c>
    </row>
    <row r="35" spans="1:30" x14ac:dyDescent="0.2">
      <c r="A35" t="str">
        <f>L35&amp;F35&amp;G35</f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>DAY(D35)&amp;"/"&amp;"07"&amp;"/"&amp;YEAR(D35)</f>
        <v>20/07/2026</v>
      </c>
      <c r="M35" s="23">
        <f>E35-TIME(3,0,0)</f>
        <v>0.625</v>
      </c>
      <c r="N35" t="str">
        <f>J35&amp;" - "&amp;K35</f>
        <v xml:space="preserve"> - </v>
      </c>
      <c r="O35" t="str">
        <f>IF($J35&gt;$K35,"Green","Red")</f>
        <v>Red</v>
      </c>
      <c r="P35" t="str">
        <f>IF($J35=$K35,"Green","Red")</f>
        <v>Green</v>
      </c>
      <c r="Q35" t="str">
        <f>IF($J35&lt;$K35,"Green","Red")</f>
        <v>Red</v>
      </c>
      <c r="R35" t="str">
        <f>IF($J35&gt;=$K35,"Green","Red")</f>
        <v>Green</v>
      </c>
      <c r="S35" t="str">
        <f>IF($J35&lt;=$K35,"Green","Red")</f>
        <v>Green</v>
      </c>
      <c r="T35" t="str">
        <f>IF(OR($J35&gt;$K35,$J35&lt;$K35),"Green","Red")</f>
        <v>Red</v>
      </c>
      <c r="U35" t="str">
        <f>IF($H35&gt;$I35,"Green","Red")</f>
        <v>Red</v>
      </c>
      <c r="V35" t="str">
        <f>IF($H35=$I35,"Green","Red")</f>
        <v>Green</v>
      </c>
      <c r="W35" t="str">
        <f>IF($H35&lt;$I35,"Green","Red")</f>
        <v>Red</v>
      </c>
      <c r="X35" t="str">
        <f>IF($H35+$I35&gt;0,"Green","Red")</f>
        <v>Red</v>
      </c>
      <c r="Y35" t="str">
        <f>IF($J35+$K35&gt;1.5,"Green","Red")</f>
        <v>Red</v>
      </c>
      <c r="Z35" t="str">
        <f>IF($J35+$K35&gt;2.5,"Green","Red")</f>
        <v>Red</v>
      </c>
      <c r="AA35" t="str">
        <f>IF($J35+$K35&lt;2.5,"Green","Red")</f>
        <v>Green</v>
      </c>
      <c r="AB35" t="str">
        <f>IF($J35+$K35&lt;3.5,"Green","Red")</f>
        <v>Green</v>
      </c>
      <c r="AC35" t="str">
        <f>IF(AND($J35&gt;0,$K35&gt;0),"Green","Red")</f>
        <v>Red</v>
      </c>
      <c r="AD35" t="str">
        <f>IF(OR($J35=0,$K35=0),"Green","Red")</f>
        <v>Green</v>
      </c>
    </row>
    <row r="36" spans="1:30" x14ac:dyDescent="0.2">
      <c r="A36" t="str">
        <f>L36&amp;F36&amp;G36</f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>DAY(D36)&amp;"/"&amp;"07"&amp;"/"&amp;YEAR(D36)</f>
        <v>20/07/2026</v>
      </c>
      <c r="M36" s="23">
        <f>E36-TIME(3,0,0)</f>
        <v>0.625</v>
      </c>
      <c r="N36" t="str">
        <f>J36&amp;" - "&amp;K36</f>
        <v>1 - 2</v>
      </c>
      <c r="O36" t="str">
        <f>IF($J36&gt;$K36,"Green","Red")</f>
        <v>Red</v>
      </c>
      <c r="P36" t="str">
        <f>IF($J36=$K36,"Green","Red")</f>
        <v>Red</v>
      </c>
      <c r="Q36" t="str">
        <f>IF($J36&lt;$K36,"Green","Red")</f>
        <v>Green</v>
      </c>
      <c r="R36" t="str">
        <f>IF($J36&gt;=$K36,"Green","Red")</f>
        <v>Red</v>
      </c>
      <c r="S36" t="str">
        <f>IF($J36&lt;=$K36,"Green","Red")</f>
        <v>Green</v>
      </c>
      <c r="T36" t="str">
        <f>IF(OR($J36&gt;$K36,$J36&lt;$K36),"Green","Red")</f>
        <v>Green</v>
      </c>
      <c r="U36" t="str">
        <f>IF($H36&gt;$I36,"Green","Red")</f>
        <v>Red</v>
      </c>
      <c r="V36" t="str">
        <f>IF($H36=$I36,"Green","Red")</f>
        <v>Red</v>
      </c>
      <c r="W36" t="str">
        <f>IF($H36&lt;$I36,"Green","Red")</f>
        <v>Green</v>
      </c>
      <c r="X36" t="str">
        <f>IF($H36+$I36&gt;0,"Green","Red")</f>
        <v>Green</v>
      </c>
      <c r="Y36" t="str">
        <f>IF($J36+$K36&gt;1.5,"Green","Red")</f>
        <v>Green</v>
      </c>
      <c r="Z36" t="str">
        <f>IF($J36+$K36&gt;2.5,"Green","Red")</f>
        <v>Green</v>
      </c>
      <c r="AA36" t="str">
        <f>IF($J36+$K36&lt;2.5,"Green","Red")</f>
        <v>Red</v>
      </c>
      <c r="AB36" t="str">
        <f>IF($J36+$K36&lt;3.5,"Green","Red")</f>
        <v>Green</v>
      </c>
      <c r="AC36" t="str">
        <f>IF(AND($J36&gt;0,$K36&gt;0),"Green","Red")</f>
        <v>Green</v>
      </c>
      <c r="AD36" t="str">
        <f>IF(OR($J36=0,$K36=0),"Green","Red")</f>
        <v>Red</v>
      </c>
    </row>
    <row r="37" spans="1:30" x14ac:dyDescent="0.2">
      <c r="A37" t="str">
        <f>L37&amp;F37&amp;G37</f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>DAY(D37)&amp;"/"&amp;"07"&amp;"/"&amp;YEAR(D37)</f>
        <v>20/07/2026</v>
      </c>
      <c r="M37" s="23">
        <f>E37-TIME(3,0,0)</f>
        <v>0.64583333333333337</v>
      </c>
      <c r="N37" t="str">
        <f>J37&amp;" - "&amp;K37</f>
        <v>1 - 1</v>
      </c>
      <c r="O37" t="str">
        <f>IF($J37&gt;$K37,"Green","Red")</f>
        <v>Red</v>
      </c>
      <c r="P37" t="str">
        <f>IF($J37=$K37,"Green","Red")</f>
        <v>Green</v>
      </c>
      <c r="Q37" t="str">
        <f>IF($J37&lt;$K37,"Green","Red")</f>
        <v>Red</v>
      </c>
      <c r="R37" t="str">
        <f>IF($J37&gt;=$K37,"Green","Red")</f>
        <v>Green</v>
      </c>
      <c r="S37" t="str">
        <f>IF($J37&lt;=$K37,"Green","Red")</f>
        <v>Green</v>
      </c>
      <c r="T37" t="str">
        <f>IF(OR($J37&gt;$K37,$J37&lt;$K37),"Green","Red")</f>
        <v>Red</v>
      </c>
      <c r="U37" t="str">
        <f>IF($H37&gt;$I37,"Green","Red")</f>
        <v>Red</v>
      </c>
      <c r="V37" t="str">
        <f>IF($H37=$I37,"Green","Red")</f>
        <v>Green</v>
      </c>
      <c r="W37" t="str">
        <f>IF($H37&lt;$I37,"Green","Red")</f>
        <v>Red</v>
      </c>
      <c r="X37" t="str">
        <f>IF($H37+$I37&gt;0,"Green","Red")</f>
        <v>Red</v>
      </c>
      <c r="Y37" t="str">
        <f>IF($J37+$K37&gt;1.5,"Green","Red")</f>
        <v>Green</v>
      </c>
      <c r="Z37" t="str">
        <f>IF($J37+$K37&gt;2.5,"Green","Red")</f>
        <v>Red</v>
      </c>
      <c r="AA37" t="str">
        <f>IF($J37+$K37&lt;2.5,"Green","Red")</f>
        <v>Green</v>
      </c>
      <c r="AB37" t="str">
        <f>IF($J37+$K37&lt;3.5,"Green","Red")</f>
        <v>Green</v>
      </c>
      <c r="AC37" t="str">
        <f>IF(AND($J37&gt;0,$K37&gt;0),"Green","Red")</f>
        <v>Green</v>
      </c>
      <c r="AD37" t="str">
        <f>IF(OR($J37=0,$K37=0),"Green","Red")</f>
        <v>Red</v>
      </c>
    </row>
    <row r="38" spans="1:30" x14ac:dyDescent="0.2">
      <c r="A38" t="str">
        <f>L38&amp;F38&amp;G38</f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>DAY(D38)&amp;"/"&amp;"07"&amp;"/"&amp;YEAR(D38)</f>
        <v>20/07/2026</v>
      </c>
      <c r="M38" s="23">
        <f>E38-TIME(3,0,0)</f>
        <v>0.64583333333333337</v>
      </c>
      <c r="N38" t="str">
        <f>J38&amp;" - "&amp;K38</f>
        <v>1 - 1</v>
      </c>
      <c r="O38" t="str">
        <f>IF($J38&gt;$K38,"Green","Red")</f>
        <v>Red</v>
      </c>
      <c r="P38" t="str">
        <f>IF($J38=$K38,"Green","Red")</f>
        <v>Green</v>
      </c>
      <c r="Q38" t="str">
        <f>IF($J38&lt;$K38,"Green","Red")</f>
        <v>Red</v>
      </c>
      <c r="R38" t="str">
        <f>IF($J38&gt;=$K38,"Green","Red")</f>
        <v>Green</v>
      </c>
      <c r="S38" t="str">
        <f>IF($J38&lt;=$K38,"Green","Red")</f>
        <v>Green</v>
      </c>
      <c r="T38" t="str">
        <f>IF(OR($J38&gt;$K38,$J38&lt;$K38),"Green","Red")</f>
        <v>Red</v>
      </c>
      <c r="U38" t="str">
        <f>IF($H38&gt;$I38,"Green","Red")</f>
        <v>Red</v>
      </c>
      <c r="V38" t="str">
        <f>IF($H38=$I38,"Green","Red")</f>
        <v>Green</v>
      </c>
      <c r="W38" t="str">
        <f>IF($H38&lt;$I38,"Green","Red")</f>
        <v>Red</v>
      </c>
      <c r="X38" t="str">
        <f>IF($H38+$I38&gt;0,"Green","Red")</f>
        <v>Red</v>
      </c>
      <c r="Y38" t="str">
        <f>IF($J38+$K38&gt;1.5,"Green","Red")</f>
        <v>Green</v>
      </c>
      <c r="Z38" t="str">
        <f>IF($J38+$K38&gt;2.5,"Green","Red")</f>
        <v>Red</v>
      </c>
      <c r="AA38" t="str">
        <f>IF($J38+$K38&lt;2.5,"Green","Red")</f>
        <v>Green</v>
      </c>
      <c r="AB38" t="str">
        <f>IF($J38+$K38&lt;3.5,"Green","Red")</f>
        <v>Green</v>
      </c>
      <c r="AC38" t="str">
        <f>IF(AND($J38&gt;0,$K38&gt;0),"Green","Red")</f>
        <v>Green</v>
      </c>
      <c r="AD38" t="str">
        <f>IF(OR($J38=0,$K38=0),"Green","Red")</f>
        <v>Red</v>
      </c>
    </row>
    <row r="39" spans="1:30" x14ac:dyDescent="0.2">
      <c r="A39" t="str">
        <f>L39&amp;F39&amp;G39</f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>DAY(D39)&amp;"/"&amp;"07"&amp;"/"&amp;YEAR(D39)</f>
        <v>20/07/2026</v>
      </c>
      <c r="M39" s="23">
        <f>E39-TIME(3,0,0)</f>
        <v>0.64583333333333337</v>
      </c>
      <c r="N39" t="str">
        <f>J39&amp;" - "&amp;K39</f>
        <v>1 - 0</v>
      </c>
      <c r="O39" t="str">
        <f>IF($J39&gt;$K39,"Green","Red")</f>
        <v>Green</v>
      </c>
      <c r="P39" t="str">
        <f>IF($J39=$K39,"Green","Red")</f>
        <v>Red</v>
      </c>
      <c r="Q39" t="str">
        <f>IF($J39&lt;$K39,"Green","Red")</f>
        <v>Red</v>
      </c>
      <c r="R39" t="str">
        <f>IF($J39&gt;=$K39,"Green","Red")</f>
        <v>Green</v>
      </c>
      <c r="S39" t="str">
        <f>IF($J39&lt;=$K39,"Green","Red")</f>
        <v>Red</v>
      </c>
      <c r="T39" t="str">
        <f>IF(OR($J39&gt;$K39,$J39&lt;$K39),"Green","Red")</f>
        <v>Green</v>
      </c>
      <c r="U39" t="str">
        <f>IF($H39&gt;$I39,"Green","Red")</f>
        <v>Red</v>
      </c>
      <c r="V39" t="str">
        <f>IF($H39=$I39,"Green","Red")</f>
        <v>Green</v>
      </c>
      <c r="W39" t="str">
        <f>IF($H39&lt;$I39,"Green","Red")</f>
        <v>Red</v>
      </c>
      <c r="X39" t="str">
        <f>IF($H39+$I39&gt;0,"Green","Red")</f>
        <v>Red</v>
      </c>
      <c r="Y39" t="str">
        <f>IF($J39+$K39&gt;1.5,"Green","Red")</f>
        <v>Red</v>
      </c>
      <c r="Z39" t="str">
        <f>IF($J39+$K39&gt;2.5,"Green","Red")</f>
        <v>Red</v>
      </c>
      <c r="AA39" t="str">
        <f>IF($J39+$K39&lt;2.5,"Green","Red")</f>
        <v>Green</v>
      </c>
      <c r="AB39" t="str">
        <f>IF($J39+$K39&lt;3.5,"Green","Red")</f>
        <v>Green</v>
      </c>
      <c r="AC39" t="str">
        <f>IF(AND($J39&gt;0,$K39&gt;0),"Green","Red")</f>
        <v>Red</v>
      </c>
      <c r="AD39" t="str">
        <f>IF(OR($J39=0,$K39=0),"Green","Red")</f>
        <v>Green</v>
      </c>
    </row>
    <row r="40" spans="1:30" x14ac:dyDescent="0.2">
      <c r="A40" t="str">
        <f>L40&amp;F40&amp;G40</f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>DAY(D40)&amp;"/"&amp;"07"&amp;"/"&amp;YEAR(D40)</f>
        <v>20/07/2026</v>
      </c>
      <c r="M40" s="23">
        <f>E40-TIME(3,0,0)</f>
        <v>0.65625</v>
      </c>
      <c r="N40" t="str">
        <f>J40&amp;" - "&amp;K40</f>
        <v>0 - 1</v>
      </c>
      <c r="O40" t="str">
        <f>IF($J40&gt;$K40,"Green","Red")</f>
        <v>Red</v>
      </c>
      <c r="P40" t="str">
        <f>IF($J40=$K40,"Green","Red")</f>
        <v>Red</v>
      </c>
      <c r="Q40" t="str">
        <f>IF($J40&lt;$K40,"Green","Red")</f>
        <v>Green</v>
      </c>
      <c r="R40" t="str">
        <f>IF($J40&gt;=$K40,"Green","Red")</f>
        <v>Red</v>
      </c>
      <c r="S40" t="str">
        <f>IF($J40&lt;=$K40,"Green","Red")</f>
        <v>Green</v>
      </c>
      <c r="T40" t="str">
        <f>IF(OR($J40&gt;$K40,$J40&lt;$K40),"Green","Red")</f>
        <v>Green</v>
      </c>
      <c r="U40" t="str">
        <f>IF($H40&gt;$I40,"Green","Red")</f>
        <v>Red</v>
      </c>
      <c r="V40" t="str">
        <f>IF($H40=$I40,"Green","Red")</f>
        <v>Red</v>
      </c>
      <c r="W40" t="str">
        <f>IF($H40&lt;$I40,"Green","Red")</f>
        <v>Green</v>
      </c>
      <c r="X40" t="str">
        <f>IF($H40+$I40&gt;0,"Green","Red")</f>
        <v>Green</v>
      </c>
      <c r="Y40" t="str">
        <f>IF($J40+$K40&gt;1.5,"Green","Red")</f>
        <v>Red</v>
      </c>
      <c r="Z40" t="str">
        <f>IF($J40+$K40&gt;2.5,"Green","Red")</f>
        <v>Red</v>
      </c>
      <c r="AA40" t="str">
        <f>IF($J40+$K40&lt;2.5,"Green","Red")</f>
        <v>Green</v>
      </c>
      <c r="AB40" t="str">
        <f>IF($J40+$K40&lt;3.5,"Green","Red")</f>
        <v>Green</v>
      </c>
      <c r="AC40" t="str">
        <f>IF(AND($J40&gt;0,$K40&gt;0),"Green","Red")</f>
        <v>Red</v>
      </c>
      <c r="AD40" t="str">
        <f>IF(OR($J40=0,$K40=0),"Green","Red")</f>
        <v>Green</v>
      </c>
    </row>
    <row r="41" spans="1:30" x14ac:dyDescent="0.2">
      <c r="A41" t="str">
        <f>L41&amp;F41&amp;G41</f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>DAY(D41)&amp;"/"&amp;"07"&amp;"/"&amp;YEAR(D41)</f>
        <v>20/07/2026</v>
      </c>
      <c r="M41" s="23">
        <f>E41-TIME(3,0,0)</f>
        <v>0.65625</v>
      </c>
      <c r="N41" t="str">
        <f>J41&amp;" - "&amp;K41</f>
        <v>0 - 3</v>
      </c>
      <c r="O41" t="str">
        <f>IF($J41&gt;$K41,"Green","Red")</f>
        <v>Red</v>
      </c>
      <c r="P41" t="str">
        <f>IF($J41=$K41,"Green","Red")</f>
        <v>Red</v>
      </c>
      <c r="Q41" t="str">
        <f>IF($J41&lt;$K41,"Green","Red")</f>
        <v>Green</v>
      </c>
      <c r="R41" t="str">
        <f>IF($J41&gt;=$K41,"Green","Red")</f>
        <v>Red</v>
      </c>
      <c r="S41" t="str">
        <f>IF($J41&lt;=$K41,"Green","Red")</f>
        <v>Green</v>
      </c>
      <c r="T41" t="str">
        <f>IF(OR($J41&gt;$K41,$J41&lt;$K41),"Green","Red")</f>
        <v>Green</v>
      </c>
      <c r="U41" t="str">
        <f>IF($H41&gt;$I41,"Green","Red")</f>
        <v>Red</v>
      </c>
      <c r="V41" t="str">
        <f>IF($H41=$I41,"Green","Red")</f>
        <v>Red</v>
      </c>
      <c r="W41" t="str">
        <f>IF($H41&lt;$I41,"Green","Red")</f>
        <v>Green</v>
      </c>
      <c r="X41" t="str">
        <f>IF($H41+$I41&gt;0,"Green","Red")</f>
        <v>Green</v>
      </c>
      <c r="Y41" t="str">
        <f>IF($J41+$K41&gt;1.5,"Green","Red")</f>
        <v>Green</v>
      </c>
      <c r="Z41" t="str">
        <f>IF($J41+$K41&gt;2.5,"Green","Red")</f>
        <v>Green</v>
      </c>
      <c r="AA41" t="str">
        <f>IF($J41+$K41&lt;2.5,"Green","Red")</f>
        <v>Red</v>
      </c>
      <c r="AB41" t="str">
        <f>IF($J41+$K41&lt;3.5,"Green","Red")</f>
        <v>Green</v>
      </c>
      <c r="AC41" t="str">
        <f>IF(AND($J41&gt;0,$K41&gt;0),"Green","Red")</f>
        <v>Red</v>
      </c>
      <c r="AD41" t="str">
        <f>IF(OR($J41=0,$K41=0),"Green","Red")</f>
        <v>Green</v>
      </c>
    </row>
    <row r="42" spans="1:30" x14ac:dyDescent="0.2">
      <c r="A42" t="str">
        <f>L42&amp;F42&amp;G42</f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>DAY(D42)&amp;"/"&amp;"07"&amp;"/"&amp;YEAR(D42)</f>
        <v>20/07/2026</v>
      </c>
      <c r="M42" s="23">
        <f>E42-TIME(3,0,0)</f>
        <v>0.66666666666666663</v>
      </c>
      <c r="N42" t="str">
        <f>J42&amp;" - "&amp;K42</f>
        <v>2 - 1</v>
      </c>
      <c r="O42" t="str">
        <f>IF($J42&gt;$K42,"Green","Red")</f>
        <v>Green</v>
      </c>
      <c r="P42" t="str">
        <f>IF($J42=$K42,"Green","Red")</f>
        <v>Red</v>
      </c>
      <c r="Q42" t="str">
        <f>IF($J42&lt;$K42,"Green","Red")</f>
        <v>Red</v>
      </c>
      <c r="R42" t="str">
        <f>IF($J42&gt;=$K42,"Green","Red")</f>
        <v>Green</v>
      </c>
      <c r="S42" t="str">
        <f>IF($J42&lt;=$K42,"Green","Red")</f>
        <v>Red</v>
      </c>
      <c r="T42" t="str">
        <f>IF(OR($J42&gt;$K42,$J42&lt;$K42),"Green","Red")</f>
        <v>Green</v>
      </c>
      <c r="U42" t="str">
        <f>IF($H42&gt;$I42,"Green","Red")</f>
        <v>Red</v>
      </c>
      <c r="V42" t="str">
        <f>IF($H42=$I42,"Green","Red")</f>
        <v>Green</v>
      </c>
      <c r="W42" t="str">
        <f>IF($H42&lt;$I42,"Green","Red")</f>
        <v>Red</v>
      </c>
      <c r="X42" t="str">
        <f>IF($H42+$I42&gt;0,"Green","Red")</f>
        <v>Green</v>
      </c>
      <c r="Y42" t="str">
        <f>IF($J42+$K42&gt;1.5,"Green","Red")</f>
        <v>Green</v>
      </c>
      <c r="Z42" t="str">
        <f>IF($J42+$K42&gt;2.5,"Green","Red")</f>
        <v>Green</v>
      </c>
      <c r="AA42" t="str">
        <f>IF($J42+$K42&lt;2.5,"Green","Red")</f>
        <v>Red</v>
      </c>
      <c r="AB42" t="str">
        <f>IF($J42+$K42&lt;3.5,"Green","Red")</f>
        <v>Green</v>
      </c>
      <c r="AC42" t="str">
        <f>IF(AND($J42&gt;0,$K42&gt;0),"Green","Red")</f>
        <v>Green</v>
      </c>
      <c r="AD42" t="str">
        <f>IF(OR($J42=0,$K42=0),"Green","Red")</f>
        <v>Red</v>
      </c>
    </row>
    <row r="43" spans="1:30" x14ac:dyDescent="0.2">
      <c r="A43" t="str">
        <f>L43&amp;F43&amp;G43</f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>DAY(D43)&amp;"/"&amp;"07"&amp;"/"&amp;YEAR(D43)</f>
        <v>20/07/2026</v>
      </c>
      <c r="M43" s="23">
        <f>E43-TIME(3,0,0)</f>
        <v>0.66666666666666663</v>
      </c>
      <c r="N43" t="str">
        <f>J43&amp;" - "&amp;K43</f>
        <v>0 - 1</v>
      </c>
      <c r="O43" t="str">
        <f>IF($J43&gt;$K43,"Green","Red")</f>
        <v>Red</v>
      </c>
      <c r="P43" t="str">
        <f>IF($J43=$K43,"Green","Red")</f>
        <v>Red</v>
      </c>
      <c r="Q43" t="str">
        <f>IF($J43&lt;$K43,"Green","Red")</f>
        <v>Green</v>
      </c>
      <c r="R43" t="str">
        <f>IF($J43&gt;=$K43,"Green","Red")</f>
        <v>Red</v>
      </c>
      <c r="S43" t="str">
        <f>IF($J43&lt;=$K43,"Green","Red")</f>
        <v>Green</v>
      </c>
      <c r="T43" t="str">
        <f>IF(OR($J43&gt;$K43,$J43&lt;$K43),"Green","Red")</f>
        <v>Green</v>
      </c>
      <c r="U43" t="str">
        <f>IF($H43&gt;$I43,"Green","Red")</f>
        <v>Red</v>
      </c>
      <c r="V43" t="str">
        <f>IF($H43=$I43,"Green","Red")</f>
        <v>Green</v>
      </c>
      <c r="W43" t="str">
        <f>IF($H43&lt;$I43,"Green","Red")</f>
        <v>Red</v>
      </c>
      <c r="X43" t="str">
        <f>IF($H43+$I43&gt;0,"Green","Red")</f>
        <v>Red</v>
      </c>
      <c r="Y43" t="str">
        <f>IF($J43+$K43&gt;1.5,"Green","Red")</f>
        <v>Red</v>
      </c>
      <c r="Z43" t="str">
        <f>IF($J43+$K43&gt;2.5,"Green","Red")</f>
        <v>Red</v>
      </c>
      <c r="AA43" t="str">
        <f>IF($J43+$K43&lt;2.5,"Green","Red")</f>
        <v>Green</v>
      </c>
      <c r="AB43" t="str">
        <f>IF($J43+$K43&lt;3.5,"Green","Red")</f>
        <v>Green</v>
      </c>
      <c r="AC43" t="str">
        <f>IF(AND($J43&gt;0,$K43&gt;0),"Green","Red")</f>
        <v>Red</v>
      </c>
      <c r="AD43" t="str">
        <f>IF(OR($J43=0,$K43=0),"Green","Red")</f>
        <v>Green</v>
      </c>
    </row>
    <row r="44" spans="1:30" x14ac:dyDescent="0.2">
      <c r="A44" t="str">
        <f>L44&amp;F44&amp;G44</f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>DAY(D44)&amp;"/"&amp;"07"&amp;"/"&amp;YEAR(D44)</f>
        <v>20/07/2026</v>
      </c>
      <c r="M44" s="23">
        <f>E44-TIME(3,0,0)</f>
        <v>0.66666666666666663</v>
      </c>
      <c r="N44" t="str">
        <f>J44&amp;" - "&amp;K44</f>
        <v>2 - 1</v>
      </c>
      <c r="O44" t="str">
        <f>IF($J44&gt;$K44,"Green","Red")</f>
        <v>Green</v>
      </c>
      <c r="P44" t="str">
        <f>IF($J44=$K44,"Green","Red")</f>
        <v>Red</v>
      </c>
      <c r="Q44" t="str">
        <f>IF($J44&lt;$K44,"Green","Red")</f>
        <v>Red</v>
      </c>
      <c r="R44" t="str">
        <f>IF($J44&gt;=$K44,"Green","Red")</f>
        <v>Green</v>
      </c>
      <c r="S44" t="str">
        <f>IF($J44&lt;=$K44,"Green","Red")</f>
        <v>Red</v>
      </c>
      <c r="T44" t="str">
        <f>IF(OR($J44&gt;$K44,$J44&lt;$K44),"Green","Red")</f>
        <v>Green</v>
      </c>
      <c r="U44" t="str">
        <f>IF($H44&gt;$I44,"Green","Red")</f>
        <v>Red</v>
      </c>
      <c r="V44" t="str">
        <f>IF($H44=$I44,"Green","Red")</f>
        <v>Green</v>
      </c>
      <c r="W44" t="str">
        <f>IF($H44&lt;$I44,"Green","Red")</f>
        <v>Red</v>
      </c>
      <c r="X44" t="str">
        <f>IF($H44+$I44&gt;0,"Green","Red")</f>
        <v>Green</v>
      </c>
      <c r="Y44" t="str">
        <f>IF($J44+$K44&gt;1.5,"Green","Red")</f>
        <v>Green</v>
      </c>
      <c r="Z44" t="str">
        <f>IF($J44+$K44&gt;2.5,"Green","Red")</f>
        <v>Green</v>
      </c>
      <c r="AA44" t="str">
        <f>IF($J44+$K44&lt;2.5,"Green","Red")</f>
        <v>Red</v>
      </c>
      <c r="AB44" t="str">
        <f>IF($J44+$K44&lt;3.5,"Green","Red")</f>
        <v>Green</v>
      </c>
      <c r="AC44" t="str">
        <f>IF(AND($J44&gt;0,$K44&gt;0),"Green","Red")</f>
        <v>Green</v>
      </c>
      <c r="AD44" t="str">
        <f>IF(OR($J44=0,$K44=0),"Green","Red")</f>
        <v>Red</v>
      </c>
    </row>
    <row r="45" spans="1:30" x14ac:dyDescent="0.2">
      <c r="A45" t="str">
        <f>L45&amp;F45&amp;G45</f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>DAY(D45)&amp;"/"&amp;"07"&amp;"/"&amp;YEAR(D45)</f>
        <v>20/07/2026</v>
      </c>
      <c r="M45" s="23">
        <f>E45-TIME(3,0,0)</f>
        <v>0.67708333333333337</v>
      </c>
      <c r="N45" t="str">
        <f>J45&amp;" - "&amp;K45</f>
        <v>0 - 0</v>
      </c>
      <c r="O45" t="str">
        <f>IF($J45&gt;$K45,"Green","Red")</f>
        <v>Red</v>
      </c>
      <c r="P45" t="str">
        <f>IF($J45=$K45,"Green","Red")</f>
        <v>Green</v>
      </c>
      <c r="Q45" t="str">
        <f>IF($J45&lt;$K45,"Green","Red")</f>
        <v>Red</v>
      </c>
      <c r="R45" t="str">
        <f>IF($J45&gt;=$K45,"Green","Red")</f>
        <v>Green</v>
      </c>
      <c r="S45" t="str">
        <f>IF($J45&lt;=$K45,"Green","Red")</f>
        <v>Green</v>
      </c>
      <c r="T45" t="str">
        <f>IF(OR($J45&gt;$K45,$J45&lt;$K45),"Green","Red")</f>
        <v>Red</v>
      </c>
      <c r="U45" t="str">
        <f>IF($H45&gt;$I45,"Green","Red")</f>
        <v>Red</v>
      </c>
      <c r="V45" t="str">
        <f>IF($H45=$I45,"Green","Red")</f>
        <v>Green</v>
      </c>
      <c r="W45" t="str">
        <f>IF($H45&lt;$I45,"Green","Red")</f>
        <v>Red</v>
      </c>
      <c r="X45" t="str">
        <f>IF($H45+$I45&gt;0,"Green","Red")</f>
        <v>Red</v>
      </c>
      <c r="Y45" t="str">
        <f>IF($J45+$K45&gt;1.5,"Green","Red")</f>
        <v>Red</v>
      </c>
      <c r="Z45" t="str">
        <f>IF($J45+$K45&gt;2.5,"Green","Red")</f>
        <v>Red</v>
      </c>
      <c r="AA45" t="str">
        <f>IF($J45+$K45&lt;2.5,"Green","Red")</f>
        <v>Green</v>
      </c>
      <c r="AB45" t="str">
        <f>IF($J45+$K45&lt;3.5,"Green","Red")</f>
        <v>Green</v>
      </c>
      <c r="AC45" t="str">
        <f>IF(AND($J45&gt;0,$K45&gt;0),"Green","Red")</f>
        <v>Red</v>
      </c>
      <c r="AD45" t="str">
        <f>IF(OR($J45=0,$K45=0),"Green","Red")</f>
        <v>Green</v>
      </c>
    </row>
    <row r="46" spans="1:30" x14ac:dyDescent="0.2">
      <c r="A46" t="str">
        <f>L46&amp;F46&amp;G46</f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>DAY(D46)&amp;"/"&amp;"07"&amp;"/"&amp;YEAR(D46)</f>
        <v>20/07/2026</v>
      </c>
      <c r="M46" s="23">
        <f>E46-TIME(3,0,0)</f>
        <v>0.67708333333333337</v>
      </c>
      <c r="N46" t="str">
        <f>J46&amp;" - "&amp;K46</f>
        <v>5 - 2</v>
      </c>
      <c r="O46" t="str">
        <f>IF($J46&gt;$K46,"Green","Red")</f>
        <v>Green</v>
      </c>
      <c r="P46" t="str">
        <f>IF($J46=$K46,"Green","Red")</f>
        <v>Red</v>
      </c>
      <c r="Q46" t="str">
        <f>IF($J46&lt;$K46,"Green","Red")</f>
        <v>Red</v>
      </c>
      <c r="R46" t="str">
        <f>IF($J46&gt;=$K46,"Green","Red")</f>
        <v>Green</v>
      </c>
      <c r="S46" t="str">
        <f>IF($J46&lt;=$K46,"Green","Red")</f>
        <v>Red</v>
      </c>
      <c r="T46" t="str">
        <f>IF(OR($J46&gt;$K46,$J46&lt;$K46),"Green","Red")</f>
        <v>Green</v>
      </c>
      <c r="U46" t="str">
        <f>IF($H46&gt;$I46,"Green","Red")</f>
        <v>Green</v>
      </c>
      <c r="V46" t="str">
        <f>IF($H46=$I46,"Green","Red")</f>
        <v>Red</v>
      </c>
      <c r="W46" t="str">
        <f>IF($H46&lt;$I46,"Green","Red")</f>
        <v>Red</v>
      </c>
      <c r="X46" t="str">
        <f>IF($H46+$I46&gt;0,"Green","Red")</f>
        <v>Green</v>
      </c>
      <c r="Y46" t="str">
        <f>IF($J46+$K46&gt;1.5,"Green","Red")</f>
        <v>Green</v>
      </c>
      <c r="Z46" t="str">
        <f>IF($J46+$K46&gt;2.5,"Green","Red")</f>
        <v>Green</v>
      </c>
      <c r="AA46" t="str">
        <f>IF($J46+$K46&lt;2.5,"Green","Red")</f>
        <v>Red</v>
      </c>
      <c r="AB46" t="str">
        <f>IF($J46+$K46&lt;3.5,"Green","Red")</f>
        <v>Red</v>
      </c>
      <c r="AC46" t="str">
        <f>IF(AND($J46&gt;0,$K46&gt;0),"Green","Red")</f>
        <v>Green</v>
      </c>
      <c r="AD46" t="str">
        <f>IF(OR($J46=0,$K46=0),"Green","Red")</f>
        <v>Red</v>
      </c>
    </row>
    <row r="47" spans="1:30" x14ac:dyDescent="0.2">
      <c r="A47" t="str">
        <f>L47&amp;F47&amp;G47</f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>DAY(D47)&amp;"/"&amp;"07"&amp;"/"&amp;YEAR(D47)</f>
        <v>20/07/2026</v>
      </c>
      <c r="M47" s="23">
        <f>E47-TIME(3,0,0)</f>
        <v>0.67708333333333337</v>
      </c>
      <c r="N47" t="str">
        <f>J47&amp;" - "&amp;K47</f>
        <v>6 - 2</v>
      </c>
      <c r="O47" t="str">
        <f>IF($J47&gt;$K47,"Green","Red")</f>
        <v>Green</v>
      </c>
      <c r="P47" t="str">
        <f>IF($J47=$K47,"Green","Red")</f>
        <v>Red</v>
      </c>
      <c r="Q47" t="str">
        <f>IF($J47&lt;$K47,"Green","Red")</f>
        <v>Red</v>
      </c>
      <c r="R47" t="str">
        <f>IF($J47&gt;=$K47,"Green","Red")</f>
        <v>Green</v>
      </c>
      <c r="S47" t="str">
        <f>IF($J47&lt;=$K47,"Green","Red")</f>
        <v>Red</v>
      </c>
      <c r="T47" t="str">
        <f>IF(OR($J47&gt;$K47,$J47&lt;$K47),"Green","Red")</f>
        <v>Green</v>
      </c>
      <c r="U47" t="str">
        <f>IF($H47&gt;$I47,"Green","Red")</f>
        <v>Green</v>
      </c>
      <c r="V47" t="str">
        <f>IF($H47=$I47,"Green","Red")</f>
        <v>Red</v>
      </c>
      <c r="W47" t="str">
        <f>IF($H47&lt;$I47,"Green","Red")</f>
        <v>Red</v>
      </c>
      <c r="X47" t="str">
        <f>IF($H47+$I47&gt;0,"Green","Red")</f>
        <v>Green</v>
      </c>
      <c r="Y47" t="str">
        <f>IF($J47+$K47&gt;1.5,"Green","Red")</f>
        <v>Green</v>
      </c>
      <c r="Z47" t="str">
        <f>IF($J47+$K47&gt;2.5,"Green","Red")</f>
        <v>Green</v>
      </c>
      <c r="AA47" t="str">
        <f>IF($J47+$K47&lt;2.5,"Green","Red")</f>
        <v>Red</v>
      </c>
      <c r="AB47" t="str">
        <f>IF($J47+$K47&lt;3.5,"Green","Red")</f>
        <v>Red</v>
      </c>
      <c r="AC47" t="str">
        <f>IF(AND($J47&gt;0,$K47&gt;0),"Green","Red")</f>
        <v>Green</v>
      </c>
      <c r="AD47" t="str">
        <f>IF(OR($J47=0,$K47=0),"Green","Red")</f>
        <v>Red</v>
      </c>
    </row>
    <row r="48" spans="1:30" x14ac:dyDescent="0.2">
      <c r="A48" t="str">
        <f>L48&amp;F48&amp;G48</f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>DAY(D48)&amp;"/"&amp;"07"&amp;"/"&amp;YEAR(D48)</f>
        <v>20/07/2026</v>
      </c>
      <c r="M48" s="23">
        <f>E48-TIME(3,0,0)</f>
        <v>0.67708333333333337</v>
      </c>
      <c r="N48" t="str">
        <f>J48&amp;" - "&amp;K48</f>
        <v>4 - 2</v>
      </c>
      <c r="O48" t="str">
        <f>IF($J48&gt;$K48,"Green","Red")</f>
        <v>Green</v>
      </c>
      <c r="P48" t="str">
        <f>IF($J48=$K48,"Green","Red")</f>
        <v>Red</v>
      </c>
      <c r="Q48" t="str">
        <f>IF($J48&lt;$K48,"Green","Red")</f>
        <v>Red</v>
      </c>
      <c r="R48" t="str">
        <f>IF($J48&gt;=$K48,"Green","Red")</f>
        <v>Green</v>
      </c>
      <c r="S48" t="str">
        <f>IF($J48&lt;=$K48,"Green","Red")</f>
        <v>Red</v>
      </c>
      <c r="T48" t="str">
        <f>IF(OR($J48&gt;$K48,$J48&lt;$K48),"Green","Red")</f>
        <v>Green</v>
      </c>
      <c r="U48" t="str">
        <f>IF($H48&gt;$I48,"Green","Red")</f>
        <v>Red</v>
      </c>
      <c r="V48" t="str">
        <f>IF($H48=$I48,"Green","Red")</f>
        <v>Green</v>
      </c>
      <c r="W48" t="str">
        <f>IF($H48&lt;$I48,"Green","Red")</f>
        <v>Red</v>
      </c>
      <c r="X48" t="str">
        <f>IF($H48+$I48&gt;0,"Green","Red")</f>
        <v>Green</v>
      </c>
      <c r="Y48" t="str">
        <f>IF($J48+$K48&gt;1.5,"Green","Red")</f>
        <v>Green</v>
      </c>
      <c r="Z48" t="str">
        <f>IF($J48+$K48&gt;2.5,"Green","Red")</f>
        <v>Green</v>
      </c>
      <c r="AA48" t="str">
        <f>IF($J48+$K48&lt;2.5,"Green","Red")</f>
        <v>Red</v>
      </c>
      <c r="AB48" t="str">
        <f>IF($J48+$K48&lt;3.5,"Green","Red")</f>
        <v>Red</v>
      </c>
      <c r="AC48" t="str">
        <f>IF(AND($J48&gt;0,$K48&gt;0),"Green","Red")</f>
        <v>Green</v>
      </c>
      <c r="AD48" t="str">
        <f>IF(OR($J48=0,$K48=0),"Green","Red")</f>
        <v>Red</v>
      </c>
    </row>
    <row r="49" spans="1:30" x14ac:dyDescent="0.2">
      <c r="A49" t="str">
        <f>L49&amp;F49&amp;G49</f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>DAY(D49)&amp;"/"&amp;"07"&amp;"/"&amp;YEAR(D49)</f>
        <v>20/07/2026</v>
      </c>
      <c r="M49" s="23">
        <f>E49-TIME(3,0,0)</f>
        <v>0.67708333333333337</v>
      </c>
      <c r="N49" t="str">
        <f>J49&amp;" - "&amp;K49</f>
        <v>7 - 0</v>
      </c>
      <c r="O49" t="str">
        <f>IF($J49&gt;$K49,"Green","Red")</f>
        <v>Green</v>
      </c>
      <c r="P49" t="str">
        <f>IF($J49=$K49,"Green","Red")</f>
        <v>Red</v>
      </c>
      <c r="Q49" t="str">
        <f>IF($J49&lt;$K49,"Green","Red")</f>
        <v>Red</v>
      </c>
      <c r="R49" t="str">
        <f>IF($J49&gt;=$K49,"Green","Red")</f>
        <v>Green</v>
      </c>
      <c r="S49" t="str">
        <f>IF($J49&lt;=$K49,"Green","Red")</f>
        <v>Red</v>
      </c>
      <c r="T49" t="str">
        <f>IF(OR($J49&gt;$K49,$J49&lt;$K49),"Green","Red")</f>
        <v>Green</v>
      </c>
      <c r="U49" t="str">
        <f>IF($H49&gt;$I49,"Green","Red")</f>
        <v>Green</v>
      </c>
      <c r="V49" t="str">
        <f>IF($H49=$I49,"Green","Red")</f>
        <v>Red</v>
      </c>
      <c r="W49" t="str">
        <f>IF($H49&lt;$I49,"Green","Red")</f>
        <v>Red</v>
      </c>
      <c r="X49" t="str">
        <f>IF($H49+$I49&gt;0,"Green","Red")</f>
        <v>Green</v>
      </c>
      <c r="Y49" t="str">
        <f>IF($J49+$K49&gt;1.5,"Green","Red")</f>
        <v>Green</v>
      </c>
      <c r="Z49" t="str">
        <f>IF($J49+$K49&gt;2.5,"Green","Red")</f>
        <v>Green</v>
      </c>
      <c r="AA49" t="str">
        <f>IF($J49+$K49&lt;2.5,"Green","Red")</f>
        <v>Red</v>
      </c>
      <c r="AB49" t="str">
        <f>IF($J49+$K49&lt;3.5,"Green","Red")</f>
        <v>Red</v>
      </c>
      <c r="AC49" t="str">
        <f>IF(AND($J49&gt;0,$K49&gt;0),"Green","Red")</f>
        <v>Red</v>
      </c>
      <c r="AD49" t="str">
        <f>IF(OR($J49=0,$K49=0),"Green","Red")</f>
        <v>Green</v>
      </c>
    </row>
    <row r="50" spans="1:30" x14ac:dyDescent="0.2">
      <c r="A50" t="str">
        <f>L50&amp;F50&amp;G50</f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>DAY(D50)&amp;"/"&amp;"07"&amp;"/"&amp;YEAR(D50)</f>
        <v>20/07/2026</v>
      </c>
      <c r="M50" s="23">
        <f>E50-TIME(3,0,0)</f>
        <v>0.70833333333333337</v>
      </c>
      <c r="N50" t="str">
        <f>J50&amp;" - "&amp;K50</f>
        <v>0 - 0</v>
      </c>
      <c r="O50" t="str">
        <f>IF($J50&gt;$K50,"Green","Red")</f>
        <v>Red</v>
      </c>
      <c r="P50" t="str">
        <f>IF($J50=$K50,"Green","Red")</f>
        <v>Green</v>
      </c>
      <c r="Q50" t="str">
        <f>IF($J50&lt;$K50,"Green","Red")</f>
        <v>Red</v>
      </c>
      <c r="R50" t="str">
        <f>IF($J50&gt;=$K50,"Green","Red")</f>
        <v>Green</v>
      </c>
      <c r="S50" t="str">
        <f>IF($J50&lt;=$K50,"Green","Red")</f>
        <v>Green</v>
      </c>
      <c r="T50" t="str">
        <f>IF(OR($J50&gt;$K50,$J50&lt;$K50),"Green","Red")</f>
        <v>Red</v>
      </c>
      <c r="U50" t="str">
        <f>IF($H50&gt;$I50,"Green","Red")</f>
        <v>Red</v>
      </c>
      <c r="V50" t="str">
        <f>IF($H50=$I50,"Green","Red")</f>
        <v>Green</v>
      </c>
      <c r="W50" t="str">
        <f>IF($H50&lt;$I50,"Green","Red")</f>
        <v>Red</v>
      </c>
      <c r="X50" t="str">
        <f>IF($H50+$I50&gt;0,"Green","Red")</f>
        <v>Red</v>
      </c>
      <c r="Y50" t="str">
        <f>IF($J50+$K50&gt;1.5,"Green","Red")</f>
        <v>Red</v>
      </c>
      <c r="Z50" t="str">
        <f>IF($J50+$K50&gt;2.5,"Green","Red")</f>
        <v>Red</v>
      </c>
      <c r="AA50" t="str">
        <f>IF($J50+$K50&lt;2.5,"Green","Red")</f>
        <v>Green</v>
      </c>
      <c r="AB50" t="str">
        <f>IF($J50+$K50&lt;3.5,"Green","Red")</f>
        <v>Green</v>
      </c>
      <c r="AC50" t="str">
        <f>IF(AND($J50&gt;0,$K50&gt;0),"Green","Red")</f>
        <v>Red</v>
      </c>
      <c r="AD50" t="str">
        <f>IF(OR($J50=0,$K50=0),"Green","Red")</f>
        <v>Green</v>
      </c>
    </row>
    <row r="51" spans="1:30" x14ac:dyDescent="0.2">
      <c r="A51" t="str">
        <f>L51&amp;F51&amp;G51</f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>DAY(D51)&amp;"/"&amp;"07"&amp;"/"&amp;YEAR(D51)</f>
        <v>20/07/2026</v>
      </c>
      <c r="M51" s="23">
        <f>E51-TIME(3,0,0)</f>
        <v>0.70833333333333337</v>
      </c>
      <c r="N51" t="str">
        <f>J51&amp;" - "&amp;K51</f>
        <v xml:space="preserve"> - </v>
      </c>
      <c r="O51" t="str">
        <f>IF($J51&gt;$K51,"Green","Red")</f>
        <v>Red</v>
      </c>
      <c r="P51" t="str">
        <f>IF($J51=$K51,"Green","Red")</f>
        <v>Green</v>
      </c>
      <c r="Q51" t="str">
        <f>IF($J51&lt;$K51,"Green","Red")</f>
        <v>Red</v>
      </c>
      <c r="R51" t="str">
        <f>IF($J51&gt;=$K51,"Green","Red")</f>
        <v>Green</v>
      </c>
      <c r="S51" t="str">
        <f>IF($J51&lt;=$K51,"Green","Red")</f>
        <v>Green</v>
      </c>
      <c r="T51" t="str">
        <f>IF(OR($J51&gt;$K51,$J51&lt;$K51),"Green","Red")</f>
        <v>Red</v>
      </c>
      <c r="U51" t="str">
        <f>IF($H51&gt;$I51,"Green","Red")</f>
        <v>Red</v>
      </c>
      <c r="V51" t="str">
        <f>IF($H51=$I51,"Green","Red")</f>
        <v>Green</v>
      </c>
      <c r="W51" t="str">
        <f>IF($H51&lt;$I51,"Green","Red")</f>
        <v>Red</v>
      </c>
      <c r="X51" t="str">
        <f>IF($H51+$I51&gt;0,"Green","Red")</f>
        <v>Red</v>
      </c>
      <c r="Y51" t="str">
        <f>IF($J51+$K51&gt;1.5,"Green","Red")</f>
        <v>Red</v>
      </c>
      <c r="Z51" t="str">
        <f>IF($J51+$K51&gt;2.5,"Green","Red")</f>
        <v>Red</v>
      </c>
      <c r="AA51" t="str">
        <f>IF($J51+$K51&lt;2.5,"Green","Red")</f>
        <v>Green</v>
      </c>
      <c r="AB51" t="str">
        <f>IF($J51+$K51&lt;3.5,"Green","Red")</f>
        <v>Green</v>
      </c>
      <c r="AC51" t="str">
        <f>IF(AND($J51&gt;0,$K51&gt;0),"Green","Red")</f>
        <v>Red</v>
      </c>
      <c r="AD51" t="str">
        <f>IF(OR($J51=0,$K51=0),"Green","Red")</f>
        <v>Green</v>
      </c>
    </row>
    <row r="52" spans="1:30" x14ac:dyDescent="0.2">
      <c r="A52" t="str">
        <f>L52&amp;F52&amp;G52</f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>DAY(D52)&amp;"/"&amp;"07"&amp;"/"&amp;YEAR(D52)</f>
        <v>20/07/2026</v>
      </c>
      <c r="M52" s="23">
        <f>E52-TIME(3,0,0)</f>
        <v>0.79166666666666663</v>
      </c>
      <c r="N52" t="str">
        <f>J52&amp;" - "&amp;K52</f>
        <v>0 - 0</v>
      </c>
      <c r="O52" t="str">
        <f>IF($J52&gt;$K52,"Green","Red")</f>
        <v>Red</v>
      </c>
      <c r="P52" t="str">
        <f>IF($J52=$K52,"Green","Red")</f>
        <v>Green</v>
      </c>
      <c r="Q52" t="str">
        <f>IF($J52&lt;$K52,"Green","Red")</f>
        <v>Red</v>
      </c>
      <c r="R52" t="str">
        <f>IF($J52&gt;=$K52,"Green","Red")</f>
        <v>Green</v>
      </c>
      <c r="S52" t="str">
        <f>IF($J52&lt;=$K52,"Green","Red")</f>
        <v>Green</v>
      </c>
      <c r="T52" t="str">
        <f>IF(OR($J52&gt;$K52,$J52&lt;$K52),"Green","Red")</f>
        <v>Red</v>
      </c>
      <c r="U52" t="str">
        <f>IF($H52&gt;$I52,"Green","Red")</f>
        <v>Red</v>
      </c>
      <c r="V52" t="str">
        <f>IF($H52=$I52,"Green","Red")</f>
        <v>Green</v>
      </c>
      <c r="W52" t="str">
        <f>IF($H52&lt;$I52,"Green","Red")</f>
        <v>Red</v>
      </c>
      <c r="X52" t="str">
        <f>IF($H52+$I52&gt;0,"Green","Red")</f>
        <v>Red</v>
      </c>
      <c r="Y52" t="str">
        <f>IF($J52+$K52&gt;1.5,"Green","Red")</f>
        <v>Red</v>
      </c>
      <c r="Z52" t="str">
        <f>IF($J52+$K52&gt;2.5,"Green","Red")</f>
        <v>Red</v>
      </c>
      <c r="AA52" t="str">
        <f>IF($J52+$K52&lt;2.5,"Green","Red")</f>
        <v>Green</v>
      </c>
      <c r="AB52" t="str">
        <f>IF($J52+$K52&lt;3.5,"Green","Red")</f>
        <v>Green</v>
      </c>
      <c r="AC52" t="str">
        <f>IF(AND($J52&gt;0,$K52&gt;0),"Green","Red")</f>
        <v>Red</v>
      </c>
      <c r="AD52" t="str">
        <f>IF(OR($J52=0,$K52=0),"Green","Red")</f>
        <v>Green</v>
      </c>
    </row>
    <row r="53" spans="1:30" x14ac:dyDescent="0.2">
      <c r="A53" t="str">
        <f>L53&amp;F53&amp;G53</f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>DAY(D53)&amp;"/"&amp;"07"&amp;"/"&amp;YEAR(D53)</f>
        <v>20/07/2026</v>
      </c>
      <c r="M53" s="23">
        <f>E53-TIME(3,0,0)</f>
        <v>0.79166666666666663</v>
      </c>
      <c r="N53" t="str">
        <f>J53&amp;" - "&amp;K53</f>
        <v>1 - 0</v>
      </c>
      <c r="O53" t="str">
        <f>IF($J53&gt;$K53,"Green","Red")</f>
        <v>Green</v>
      </c>
      <c r="P53" t="str">
        <f>IF($J53=$K53,"Green","Red")</f>
        <v>Red</v>
      </c>
      <c r="Q53" t="str">
        <f>IF($J53&lt;$K53,"Green","Red")</f>
        <v>Red</v>
      </c>
      <c r="R53" t="str">
        <f>IF($J53&gt;=$K53,"Green","Red")</f>
        <v>Green</v>
      </c>
      <c r="S53" t="str">
        <f>IF($J53&lt;=$K53,"Green","Red")</f>
        <v>Red</v>
      </c>
      <c r="T53" t="str">
        <f>IF(OR($J53&gt;$K53,$J53&lt;$K53),"Green","Red")</f>
        <v>Green</v>
      </c>
      <c r="U53" t="str">
        <f>IF($H53&gt;$I53,"Green","Red")</f>
        <v>Red</v>
      </c>
      <c r="V53" t="str">
        <f>IF($H53=$I53,"Green","Red")</f>
        <v>Green</v>
      </c>
      <c r="W53" t="str">
        <f>IF($H53&lt;$I53,"Green","Red")</f>
        <v>Red</v>
      </c>
      <c r="X53" t="str">
        <f>IF($H53+$I53&gt;0,"Green","Red")</f>
        <v>Red</v>
      </c>
      <c r="Y53" t="str">
        <f>IF($J53+$K53&gt;1.5,"Green","Red")</f>
        <v>Red</v>
      </c>
      <c r="Z53" t="str">
        <f>IF($J53+$K53&gt;2.5,"Green","Red")</f>
        <v>Red</v>
      </c>
      <c r="AA53" t="str">
        <f>IF($J53+$K53&lt;2.5,"Green","Red")</f>
        <v>Green</v>
      </c>
      <c r="AB53" t="str">
        <f>IF($J53+$K53&lt;3.5,"Green","Red")</f>
        <v>Green</v>
      </c>
      <c r="AC53" t="str">
        <f>IF(AND($J53&gt;0,$K53&gt;0),"Green","Red")</f>
        <v>Red</v>
      </c>
      <c r="AD53" t="str">
        <f>IF(OR($J53=0,$K53=0),"Green","Red")</f>
        <v>Green</v>
      </c>
    </row>
    <row r="54" spans="1:30" x14ac:dyDescent="0.2">
      <c r="A54" t="str">
        <f>L54&amp;F54&amp;G54</f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>DAY(D54)&amp;"/"&amp;"07"&amp;"/"&amp;YEAR(D54)</f>
        <v>20/07/2026</v>
      </c>
      <c r="M54" s="23">
        <f>E54-TIME(3,0,0)</f>
        <v>0.83333333333333337</v>
      </c>
      <c r="N54" t="str">
        <f>J54&amp;" - "&amp;K54</f>
        <v xml:space="preserve"> - </v>
      </c>
      <c r="O54" t="str">
        <f>IF($J54&gt;$K54,"Green","Red")</f>
        <v>Red</v>
      </c>
      <c r="P54" t="str">
        <f>IF($J54=$K54,"Green","Red")</f>
        <v>Green</v>
      </c>
      <c r="Q54" t="str">
        <f>IF($J54&lt;$K54,"Green","Red")</f>
        <v>Red</v>
      </c>
      <c r="R54" t="str">
        <f>IF($J54&gt;=$K54,"Green","Red")</f>
        <v>Green</v>
      </c>
      <c r="S54" t="str">
        <f>IF($J54&lt;=$K54,"Green","Red")</f>
        <v>Green</v>
      </c>
      <c r="T54" t="str">
        <f>IF(OR($J54&gt;$K54,$J54&lt;$K54),"Green","Red")</f>
        <v>Red</v>
      </c>
      <c r="U54" t="str">
        <f>IF($H54&gt;$I54,"Green","Red")</f>
        <v>Red</v>
      </c>
      <c r="V54" t="str">
        <f>IF($H54=$I54,"Green","Red")</f>
        <v>Green</v>
      </c>
      <c r="W54" t="str">
        <f>IF($H54&lt;$I54,"Green","Red")</f>
        <v>Red</v>
      </c>
      <c r="X54" t="str">
        <f>IF($H54+$I54&gt;0,"Green","Red")</f>
        <v>Red</v>
      </c>
      <c r="Y54" t="str">
        <f>IF($J54+$K54&gt;1.5,"Green","Red")</f>
        <v>Red</v>
      </c>
      <c r="Z54" t="str">
        <f>IF($J54+$K54&gt;2.5,"Green","Red")</f>
        <v>Red</v>
      </c>
      <c r="AA54" t="str">
        <f>IF($J54+$K54&lt;2.5,"Green","Red")</f>
        <v>Green</v>
      </c>
      <c r="AB54" t="str">
        <f>IF($J54+$K54&lt;3.5,"Green","Red")</f>
        <v>Green</v>
      </c>
      <c r="AC54" t="str">
        <f>IF(AND($J54&gt;0,$K54&gt;0),"Green","Red")</f>
        <v>Red</v>
      </c>
      <c r="AD54" t="str">
        <f>IF(OR($J54=0,$K54=0),"Green","Red")</f>
        <v>Green</v>
      </c>
    </row>
    <row r="55" spans="1:30" x14ac:dyDescent="0.2">
      <c r="A55" t="str">
        <f>L55&amp;F55&amp;G55</f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>DAY(D55)&amp;"/"&amp;"07"&amp;"/"&amp;YEAR(D55)</f>
        <v>20/07/2026</v>
      </c>
      <c r="M55" s="23">
        <f>E55-TIME(3,0,0)</f>
        <v>0.83333333333333337</v>
      </c>
      <c r="N55" t="str">
        <f>J55&amp;" - "&amp;K55</f>
        <v xml:space="preserve"> - </v>
      </c>
      <c r="O55" t="str">
        <f>IF($J55&gt;$K55,"Green","Red")</f>
        <v>Red</v>
      </c>
      <c r="P55" t="str">
        <f>IF($J55=$K55,"Green","Red")</f>
        <v>Green</v>
      </c>
      <c r="Q55" t="str">
        <f>IF($J55&lt;$K55,"Green","Red")</f>
        <v>Red</v>
      </c>
      <c r="R55" t="str">
        <f>IF($J55&gt;=$K55,"Green","Red")</f>
        <v>Green</v>
      </c>
      <c r="S55" t="str">
        <f>IF($J55&lt;=$K55,"Green","Red")</f>
        <v>Green</v>
      </c>
      <c r="T55" t="str">
        <f>IF(OR($J55&gt;$K55,$J55&lt;$K55),"Green","Red")</f>
        <v>Red</v>
      </c>
      <c r="U55" t="str">
        <f>IF($H55&gt;$I55,"Green","Red")</f>
        <v>Red</v>
      </c>
      <c r="V55" t="str">
        <f>IF($H55=$I55,"Green","Red")</f>
        <v>Green</v>
      </c>
      <c r="W55" t="str">
        <f>IF($H55&lt;$I55,"Green","Red")</f>
        <v>Red</v>
      </c>
      <c r="X55" t="str">
        <f>IF($H55+$I55&gt;0,"Green","Red")</f>
        <v>Red</v>
      </c>
      <c r="Y55" t="str">
        <f>IF($J55+$K55&gt;1.5,"Green","Red")</f>
        <v>Red</v>
      </c>
      <c r="Z55" t="str">
        <f>IF($J55+$K55&gt;2.5,"Green","Red")</f>
        <v>Red</v>
      </c>
      <c r="AA55" t="str">
        <f>IF($J55+$K55&lt;2.5,"Green","Red")</f>
        <v>Green</v>
      </c>
      <c r="AB55" t="str">
        <f>IF($J55+$K55&lt;3.5,"Green","Red")</f>
        <v>Green</v>
      </c>
      <c r="AC55" t="str">
        <f>IF(AND($J55&gt;0,$K55&gt;0),"Green","Red")</f>
        <v>Red</v>
      </c>
      <c r="AD55" t="str">
        <f>IF(OR($J55=0,$K55=0),"Green","Red")</f>
        <v>Green</v>
      </c>
    </row>
    <row r="56" spans="1:30" x14ac:dyDescent="0.2">
      <c r="A56" t="str">
        <f>L56&amp;F56&amp;G56</f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>DAY(D56)&amp;"/"&amp;"07"&amp;"/"&amp;YEAR(D56)</f>
        <v>20/07/2026</v>
      </c>
      <c r="M56" s="23">
        <f>E56-TIME(3,0,0)</f>
        <v>0.83333333333333337</v>
      </c>
      <c r="N56" t="str">
        <f>J56&amp;" - "&amp;K56</f>
        <v xml:space="preserve"> - </v>
      </c>
      <c r="O56" t="str">
        <f>IF($J56&gt;$K56,"Green","Red")</f>
        <v>Red</v>
      </c>
      <c r="P56" t="str">
        <f>IF($J56=$K56,"Green","Red")</f>
        <v>Green</v>
      </c>
      <c r="Q56" t="str">
        <f>IF($J56&lt;$K56,"Green","Red")</f>
        <v>Red</v>
      </c>
      <c r="R56" t="str">
        <f>IF($J56&gt;=$K56,"Green","Red")</f>
        <v>Green</v>
      </c>
      <c r="S56" t="str">
        <f>IF($J56&lt;=$K56,"Green","Red")</f>
        <v>Green</v>
      </c>
      <c r="T56" t="str">
        <f>IF(OR($J56&gt;$K56,$J56&lt;$K56),"Green","Red")</f>
        <v>Red</v>
      </c>
      <c r="U56" t="str">
        <f>IF($H56&gt;$I56,"Green","Red")</f>
        <v>Red</v>
      </c>
      <c r="V56" t="str">
        <f>IF($H56=$I56,"Green","Red")</f>
        <v>Green</v>
      </c>
      <c r="W56" t="str">
        <f>IF($H56&lt;$I56,"Green","Red")</f>
        <v>Red</v>
      </c>
      <c r="X56" t="str">
        <f>IF($H56+$I56&gt;0,"Green","Red")</f>
        <v>Red</v>
      </c>
      <c r="Y56" t="str">
        <f>IF($J56+$K56&gt;1.5,"Green","Red")</f>
        <v>Red</v>
      </c>
      <c r="Z56" t="str">
        <f>IF($J56+$K56&gt;2.5,"Green","Red")</f>
        <v>Red</v>
      </c>
      <c r="AA56" t="str">
        <f>IF($J56+$K56&lt;2.5,"Green","Red")</f>
        <v>Green</v>
      </c>
      <c r="AB56" t="str">
        <f>IF($J56+$K56&lt;3.5,"Green","Red")</f>
        <v>Green</v>
      </c>
      <c r="AC56" t="str">
        <f>IF(AND($J56&gt;0,$K56&gt;0),"Green","Red")</f>
        <v>Red</v>
      </c>
      <c r="AD56" t="str">
        <f>IF(OR($J56=0,$K56=0),"Green","Red")</f>
        <v>Green</v>
      </c>
    </row>
    <row r="57" spans="1:30" x14ac:dyDescent="0.2">
      <c r="A57" t="str">
        <f>L57&amp;F57&amp;G57</f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>DAY(D57)&amp;"/"&amp;"07"&amp;"/"&amp;YEAR(D57)</f>
        <v>20/07/2026</v>
      </c>
      <c r="M57" s="23">
        <f>E57-TIME(3,0,0)</f>
        <v>0.83333333333333337</v>
      </c>
      <c r="N57" t="str">
        <f>J57&amp;" - "&amp;K57</f>
        <v>1 - 4</v>
      </c>
      <c r="O57" t="str">
        <f>IF($J57&gt;$K57,"Green","Red")</f>
        <v>Red</v>
      </c>
      <c r="P57" t="str">
        <f>IF($J57=$K57,"Green","Red")</f>
        <v>Red</v>
      </c>
      <c r="Q57" t="str">
        <f>IF($J57&lt;$K57,"Green","Red")</f>
        <v>Green</v>
      </c>
      <c r="R57" t="str">
        <f>IF($J57&gt;=$K57,"Green","Red")</f>
        <v>Red</v>
      </c>
      <c r="S57" t="str">
        <f>IF($J57&lt;=$K57,"Green","Red")</f>
        <v>Green</v>
      </c>
      <c r="T57" t="str">
        <f>IF(OR($J57&gt;$K57,$J57&lt;$K57),"Green","Red")</f>
        <v>Green</v>
      </c>
      <c r="U57" t="str">
        <f>IF($H57&gt;$I57,"Green","Red")</f>
        <v>Red</v>
      </c>
      <c r="V57" t="str">
        <f>IF($H57=$I57,"Green","Red")</f>
        <v>Red</v>
      </c>
      <c r="W57" t="str">
        <f>IF($H57&lt;$I57,"Green","Red")</f>
        <v>Green</v>
      </c>
      <c r="X57" t="str">
        <f>IF($H57+$I57&gt;0,"Green","Red")</f>
        <v>Green</v>
      </c>
      <c r="Y57" t="str">
        <f>IF($J57+$K57&gt;1.5,"Green","Red")</f>
        <v>Green</v>
      </c>
      <c r="Z57" t="str">
        <f>IF($J57+$K57&gt;2.5,"Green","Red")</f>
        <v>Green</v>
      </c>
      <c r="AA57" t="str">
        <f>IF($J57+$K57&lt;2.5,"Green","Red")</f>
        <v>Red</v>
      </c>
      <c r="AB57" t="str">
        <f>IF($J57+$K57&lt;3.5,"Green","Red")</f>
        <v>Red</v>
      </c>
      <c r="AC57" t="str">
        <f>IF(AND($J57&gt;0,$K57&gt;0),"Green","Red")</f>
        <v>Green</v>
      </c>
      <c r="AD57" t="str">
        <f>IF(OR($J57=0,$K57=0),"Green","Red")</f>
        <v>Red</v>
      </c>
    </row>
    <row r="58" spans="1:30" x14ac:dyDescent="0.2">
      <c r="A58" t="str">
        <f>L58&amp;F58&amp;G58</f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>DAY(D58)&amp;"/"&amp;"07"&amp;"/"&amp;YEAR(D58)</f>
        <v>20/07/2026</v>
      </c>
      <c r="M58" s="23">
        <f>E58-TIME(3,0,0)</f>
        <v>0.83333333333333337</v>
      </c>
      <c r="N58" t="str">
        <f>J58&amp;" - "&amp;K58</f>
        <v>1 - 0</v>
      </c>
      <c r="O58" t="str">
        <f>IF($J58&gt;$K58,"Green","Red")</f>
        <v>Green</v>
      </c>
      <c r="P58" t="str">
        <f>IF($J58=$K58,"Green","Red")</f>
        <v>Red</v>
      </c>
      <c r="Q58" t="str">
        <f>IF($J58&lt;$K58,"Green","Red")</f>
        <v>Red</v>
      </c>
      <c r="R58" t="str">
        <f>IF($J58&gt;=$K58,"Green","Red")</f>
        <v>Green</v>
      </c>
      <c r="S58" t="str">
        <f>IF($J58&lt;=$K58,"Green","Red")</f>
        <v>Red</v>
      </c>
      <c r="T58" t="str">
        <f>IF(OR($J58&gt;$K58,$J58&lt;$K58),"Green","Red")</f>
        <v>Green</v>
      </c>
      <c r="U58" t="str">
        <f>IF($H58&gt;$I58,"Green","Red")</f>
        <v>Red</v>
      </c>
      <c r="V58" t="str">
        <f>IF($H58=$I58,"Green","Red")</f>
        <v>Green</v>
      </c>
      <c r="W58" t="str">
        <f>IF($H58&lt;$I58,"Green","Red")</f>
        <v>Red</v>
      </c>
      <c r="X58" t="str">
        <f>IF($H58+$I58&gt;0,"Green","Red")</f>
        <v>Red</v>
      </c>
      <c r="Y58" t="str">
        <f>IF($J58+$K58&gt;1.5,"Green","Red")</f>
        <v>Red</v>
      </c>
      <c r="Z58" t="str">
        <f>IF($J58+$K58&gt;2.5,"Green","Red")</f>
        <v>Red</v>
      </c>
      <c r="AA58" t="str">
        <f>IF($J58+$K58&lt;2.5,"Green","Red")</f>
        <v>Green</v>
      </c>
      <c r="AB58" t="str">
        <f>IF($J58+$K58&lt;3.5,"Green","Red")</f>
        <v>Green</v>
      </c>
      <c r="AC58" t="str">
        <f>IF(AND($J58&gt;0,$K58&gt;0),"Green","Red")</f>
        <v>Red</v>
      </c>
      <c r="AD58" t="str">
        <f>IF(OR($J58=0,$K58=0),"Green","Red")</f>
        <v>Green</v>
      </c>
    </row>
    <row r="59" spans="1:30" x14ac:dyDescent="0.2">
      <c r="A59" t="str">
        <f>L59&amp;F59&amp;G59</f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>DAY(D59)&amp;"/"&amp;"07"&amp;"/"&amp;YEAR(D59)</f>
        <v>20/07/2026</v>
      </c>
      <c r="M59" s="23">
        <f>E59-TIME(3,0,0)</f>
        <v>0.83333333333333337</v>
      </c>
      <c r="N59" t="str">
        <f>J59&amp;" - "&amp;K59</f>
        <v xml:space="preserve"> - </v>
      </c>
      <c r="O59" t="str">
        <f>IF($J59&gt;$K59,"Green","Red")</f>
        <v>Red</v>
      </c>
      <c r="P59" t="str">
        <f>IF($J59=$K59,"Green","Red")</f>
        <v>Green</v>
      </c>
      <c r="Q59" t="str">
        <f>IF($J59&lt;$K59,"Green","Red")</f>
        <v>Red</v>
      </c>
      <c r="R59" t="str">
        <f>IF($J59&gt;=$K59,"Green","Red")</f>
        <v>Green</v>
      </c>
      <c r="S59" t="str">
        <f>IF($J59&lt;=$K59,"Green","Red")</f>
        <v>Green</v>
      </c>
      <c r="T59" t="str">
        <f>IF(OR($J59&gt;$K59,$J59&lt;$K59),"Green","Red")</f>
        <v>Red</v>
      </c>
      <c r="U59" t="str">
        <f>IF($H59&gt;$I59,"Green","Red")</f>
        <v>Red</v>
      </c>
      <c r="V59" t="str">
        <f>IF($H59=$I59,"Green","Red")</f>
        <v>Green</v>
      </c>
      <c r="W59" t="str">
        <f>IF($H59&lt;$I59,"Green","Red")</f>
        <v>Red</v>
      </c>
      <c r="X59" t="str">
        <f>IF($H59+$I59&gt;0,"Green","Red")</f>
        <v>Red</v>
      </c>
      <c r="Y59" t="str">
        <f>IF($J59+$K59&gt;1.5,"Green","Red")</f>
        <v>Red</v>
      </c>
      <c r="Z59" t="str">
        <f>IF($J59+$K59&gt;2.5,"Green","Red")</f>
        <v>Red</v>
      </c>
      <c r="AA59" t="str">
        <f>IF($J59+$K59&lt;2.5,"Green","Red")</f>
        <v>Green</v>
      </c>
      <c r="AB59" t="str">
        <f>IF($J59+$K59&lt;3.5,"Green","Red")</f>
        <v>Green</v>
      </c>
      <c r="AC59" t="str">
        <f>IF(AND($J59&gt;0,$K59&gt;0),"Green","Red")</f>
        <v>Red</v>
      </c>
      <c r="AD59" t="str">
        <f>IF(OR($J59=0,$K59=0),"Green","Red")</f>
        <v>Green</v>
      </c>
    </row>
    <row r="60" spans="1:30" x14ac:dyDescent="0.2">
      <c r="A60" t="str">
        <f>L60&amp;F60&amp;G60</f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>J60&amp;" - "&amp;K60</f>
        <v xml:space="preserve"> - </v>
      </c>
      <c r="O60" t="str">
        <f>IF($J60&gt;$K60,"Green","Red")</f>
        <v>Red</v>
      </c>
      <c r="P60" t="str">
        <f>IF($J60=$K60,"Green","Red")</f>
        <v>Green</v>
      </c>
      <c r="Q60" t="str">
        <f>IF($J60&lt;$K60,"Green","Red")</f>
        <v>Red</v>
      </c>
      <c r="R60" t="str">
        <f>IF($J60&gt;=$K60,"Green","Red")</f>
        <v>Green</v>
      </c>
      <c r="S60" t="str">
        <f>IF($J60&lt;=$K60,"Green","Red")</f>
        <v>Green</v>
      </c>
      <c r="T60" t="str">
        <f>IF(OR($J60&gt;$K60,$J60&lt;$K60),"Green","Red")</f>
        <v>Red</v>
      </c>
      <c r="U60" t="str">
        <f>IF($H60&gt;$I60,"Green","Red")</f>
        <v>Red</v>
      </c>
      <c r="V60" t="str">
        <f>IF($H60=$I60,"Green","Red")</f>
        <v>Green</v>
      </c>
      <c r="W60" t="str">
        <f>IF($H60&lt;$I60,"Green","Red")</f>
        <v>Red</v>
      </c>
      <c r="X60" t="str">
        <f>IF($H60+$I60&gt;0,"Green","Red")</f>
        <v>Red</v>
      </c>
      <c r="Y60" t="str">
        <f>IF($J60+$K60&gt;1.5,"Green","Red")</f>
        <v>Red</v>
      </c>
      <c r="Z60" t="str">
        <f>IF($J60+$K60&gt;2.5,"Green","Red")</f>
        <v>Red</v>
      </c>
      <c r="AA60" t="str">
        <f>IF($J60+$K60&lt;2.5,"Green","Red")</f>
        <v>Green</v>
      </c>
      <c r="AB60" t="str">
        <f>IF($J60+$K60&lt;3.5,"Green","Red")</f>
        <v>Green</v>
      </c>
      <c r="AC60" t="str">
        <f>IF(AND($J60&gt;0,$K60&gt;0),"Green","Red")</f>
        <v>Red</v>
      </c>
      <c r="AD60" t="str">
        <f>IF(OR($J60=0,$K60=0),"Green","Red")</f>
        <v>Green</v>
      </c>
    </row>
    <row r="61" spans="1:30" x14ac:dyDescent="0.2">
      <c r="A61" t="str">
        <f>L61&amp;F61&amp;G61</f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>J61&amp;" - "&amp;K61</f>
        <v>2 - 3</v>
      </c>
      <c r="O61" t="str">
        <f>IF($J61&gt;$K61,"Green","Red")</f>
        <v>Red</v>
      </c>
      <c r="P61" t="str">
        <f>IF($J61=$K61,"Green","Red")</f>
        <v>Red</v>
      </c>
      <c r="Q61" t="str">
        <f>IF($J61&lt;$K61,"Green","Red")</f>
        <v>Green</v>
      </c>
      <c r="R61" t="str">
        <f>IF($J61&gt;=$K61,"Green","Red")</f>
        <v>Red</v>
      </c>
      <c r="S61" t="str">
        <f>IF($J61&lt;=$K61,"Green","Red")</f>
        <v>Green</v>
      </c>
      <c r="T61" t="str">
        <f>IF(OR($J61&gt;$K61,$J61&lt;$K61),"Green","Red")</f>
        <v>Green</v>
      </c>
      <c r="U61" t="str">
        <f>IF($H61&gt;$I61,"Green","Red")</f>
        <v>Red</v>
      </c>
      <c r="V61" t="str">
        <f>IF($H61=$I61,"Green","Red")</f>
        <v>Red</v>
      </c>
      <c r="W61" t="str">
        <f>IF($H61&lt;$I61,"Green","Red")</f>
        <v>Green</v>
      </c>
      <c r="X61" t="str">
        <f>IF($H61+$I61&gt;0,"Green","Red")</f>
        <v>Green</v>
      </c>
      <c r="Y61" t="str">
        <f>IF($J61+$K61&gt;1.5,"Green","Red")</f>
        <v>Green</v>
      </c>
      <c r="Z61" t="str">
        <f>IF($J61+$K61&gt;2.5,"Green","Red")</f>
        <v>Green</v>
      </c>
      <c r="AA61" t="str">
        <f>IF($J61+$K61&lt;2.5,"Green","Red")</f>
        <v>Red</v>
      </c>
      <c r="AB61" t="str">
        <f>IF($J61+$K61&lt;3.5,"Green","Red")</f>
        <v>Red</v>
      </c>
      <c r="AC61" t="str">
        <f>IF(AND($J61&gt;0,$K61&gt;0),"Green","Red")</f>
        <v>Green</v>
      </c>
      <c r="AD61" t="str">
        <f>IF(OR($J61=0,$K61=0),"Green","Red")</f>
        <v>Red</v>
      </c>
    </row>
    <row r="62" spans="1:30" x14ac:dyDescent="0.2">
      <c r="A62" t="str">
        <f>L62&amp;F62&amp;G62</f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>J62&amp;" - "&amp;K62</f>
        <v xml:space="preserve"> - </v>
      </c>
      <c r="O62" t="str">
        <f>IF($J62&gt;$K62,"Green","Red")</f>
        <v>Red</v>
      </c>
      <c r="P62" t="str">
        <f>IF($J62=$K62,"Green","Red")</f>
        <v>Green</v>
      </c>
      <c r="Q62" t="str">
        <f>IF($J62&lt;$K62,"Green","Red")</f>
        <v>Red</v>
      </c>
      <c r="R62" t="str">
        <f>IF($J62&gt;=$K62,"Green","Red")</f>
        <v>Green</v>
      </c>
      <c r="S62" t="str">
        <f>IF($J62&lt;=$K62,"Green","Red")</f>
        <v>Green</v>
      </c>
      <c r="T62" t="str">
        <f>IF(OR($J62&gt;$K62,$J62&lt;$K62),"Green","Red")</f>
        <v>Red</v>
      </c>
      <c r="U62" t="str">
        <f>IF($H62&gt;$I62,"Green","Red")</f>
        <v>Red</v>
      </c>
      <c r="V62" t="str">
        <f>IF($H62=$I62,"Green","Red")</f>
        <v>Green</v>
      </c>
      <c r="W62" t="str">
        <f>IF($H62&lt;$I62,"Green","Red")</f>
        <v>Red</v>
      </c>
      <c r="X62" t="str">
        <f>IF($H62+$I62&gt;0,"Green","Red")</f>
        <v>Red</v>
      </c>
      <c r="Y62" t="str">
        <f>IF($J62+$K62&gt;1.5,"Green","Red")</f>
        <v>Red</v>
      </c>
      <c r="Z62" t="str">
        <f>IF($J62+$K62&gt;2.5,"Green","Red")</f>
        <v>Red</v>
      </c>
      <c r="AA62" t="str">
        <f>IF($J62+$K62&lt;2.5,"Green","Red")</f>
        <v>Green</v>
      </c>
      <c r="AB62" t="str">
        <f>IF($J62+$K62&lt;3.5,"Green","Red")</f>
        <v>Green</v>
      </c>
      <c r="AC62" t="str">
        <f>IF(AND($J62&gt;0,$K62&gt;0),"Green","Red")</f>
        <v>Red</v>
      </c>
      <c r="AD62" t="str">
        <f>IF(OR($J62=0,$K62=0),"Green","Red")</f>
        <v>Green</v>
      </c>
    </row>
    <row r="63" spans="1:30" x14ac:dyDescent="0.2">
      <c r="A63" t="str">
        <f>L63&amp;F63&amp;G63</f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>DAY(D63)&amp;"/"&amp;"07"&amp;"/"&amp;YEAR(D63)</f>
        <v>21/07/2026</v>
      </c>
      <c r="M63" s="23">
        <f>E63-TIME(3,0,0)</f>
        <v>0.1875</v>
      </c>
      <c r="N63" t="str">
        <f>J63&amp;" - "&amp;K63</f>
        <v>2 - 1</v>
      </c>
      <c r="O63" t="str">
        <f>IF($J63&gt;$K63,"Green","Red")</f>
        <v>Green</v>
      </c>
      <c r="P63" t="str">
        <f>IF($J63=$K63,"Green","Red")</f>
        <v>Red</v>
      </c>
      <c r="Q63" t="str">
        <f>IF($J63&lt;$K63,"Green","Red")</f>
        <v>Red</v>
      </c>
      <c r="R63" t="str">
        <f>IF($J63&gt;=$K63,"Green","Red")</f>
        <v>Green</v>
      </c>
      <c r="S63" t="str">
        <f>IF($J63&lt;=$K63,"Green","Red")</f>
        <v>Red</v>
      </c>
      <c r="T63" t="str">
        <f>IF(OR($J63&gt;$K63,$J63&lt;$K63),"Green","Red")</f>
        <v>Green</v>
      </c>
      <c r="U63" t="str">
        <f>IF($H63&gt;$I63,"Green","Red")</f>
        <v>Green</v>
      </c>
      <c r="V63" t="str">
        <f>IF($H63=$I63,"Green","Red")</f>
        <v>Red</v>
      </c>
      <c r="W63" t="str">
        <f>IF($H63&lt;$I63,"Green","Red")</f>
        <v>Red</v>
      </c>
      <c r="X63" t="str">
        <f>IF($H63+$I63&gt;0,"Green","Red")</f>
        <v>Green</v>
      </c>
      <c r="Y63" t="str">
        <f>IF($J63+$K63&gt;1.5,"Green","Red")</f>
        <v>Green</v>
      </c>
      <c r="Z63" t="str">
        <f>IF($J63+$K63&gt;2.5,"Green","Red")</f>
        <v>Green</v>
      </c>
      <c r="AA63" t="str">
        <f>IF($J63+$K63&lt;2.5,"Green","Red")</f>
        <v>Red</v>
      </c>
      <c r="AB63" t="str">
        <f>IF($J63+$K63&lt;3.5,"Green","Red")</f>
        <v>Green</v>
      </c>
      <c r="AC63" t="str">
        <f>IF(AND($J63&gt;0,$K63&gt;0),"Green","Red")</f>
        <v>Green</v>
      </c>
      <c r="AD63" t="str">
        <f>IF(OR($J63=0,$K63=0),"Green","Red")</f>
        <v>Red</v>
      </c>
    </row>
    <row r="64" spans="1:30" x14ac:dyDescent="0.2">
      <c r="A64" t="str">
        <f>L64&amp;F64&amp;G64</f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>DAY(D64)&amp;"/"&amp;"07"&amp;"/"&amp;YEAR(D64)</f>
        <v>21/07/2026</v>
      </c>
      <c r="M64" s="23">
        <f>E64-TIME(3,0,0)</f>
        <v>0.20833333333333331</v>
      </c>
      <c r="N64" t="str">
        <f>J64&amp;" - "&amp;K64</f>
        <v>1 - 2</v>
      </c>
      <c r="O64" t="str">
        <f>IF($J64&gt;$K64,"Green","Red")</f>
        <v>Red</v>
      </c>
      <c r="P64" t="str">
        <f>IF($J64=$K64,"Green","Red")</f>
        <v>Red</v>
      </c>
      <c r="Q64" t="str">
        <f>IF($J64&lt;$K64,"Green","Red")</f>
        <v>Green</v>
      </c>
      <c r="R64" t="str">
        <f>IF($J64&gt;=$K64,"Green","Red")</f>
        <v>Red</v>
      </c>
      <c r="S64" t="str">
        <f>IF($J64&lt;=$K64,"Green","Red")</f>
        <v>Green</v>
      </c>
      <c r="T64" t="str">
        <f>IF(OR($J64&gt;$K64,$J64&lt;$K64),"Green","Red")</f>
        <v>Green</v>
      </c>
      <c r="U64" t="str">
        <f>IF($H64&gt;$I64,"Green","Red")</f>
        <v>Red</v>
      </c>
      <c r="V64" t="str">
        <f>IF($H64=$I64,"Green","Red")</f>
        <v>Red</v>
      </c>
      <c r="W64" t="str">
        <f>IF($H64&lt;$I64,"Green","Red")</f>
        <v>Green</v>
      </c>
      <c r="X64" t="str">
        <f>IF($H64+$I64&gt;0,"Green","Red")</f>
        <v>Green</v>
      </c>
      <c r="Y64" t="str">
        <f>IF($J64+$K64&gt;1.5,"Green","Red")</f>
        <v>Green</v>
      </c>
      <c r="Z64" t="str">
        <f>IF($J64+$K64&gt;2.5,"Green","Red")</f>
        <v>Green</v>
      </c>
      <c r="AA64" t="str">
        <f>IF($J64+$K64&lt;2.5,"Green","Red")</f>
        <v>Red</v>
      </c>
      <c r="AB64" t="str">
        <f>IF($J64+$K64&lt;3.5,"Green","Red")</f>
        <v>Green</v>
      </c>
      <c r="AC64" t="str">
        <f>IF(AND($J64&gt;0,$K64&gt;0),"Green","Red")</f>
        <v>Green</v>
      </c>
      <c r="AD64" t="str">
        <f>IF(OR($J64=0,$K64=0),"Green","Red")</f>
        <v>Red</v>
      </c>
    </row>
    <row r="65" spans="1:30" x14ac:dyDescent="0.2">
      <c r="A65" t="str">
        <f>L65&amp;F65&amp;G65</f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>DAY(D65)&amp;"/"&amp;"07"&amp;"/"&amp;YEAR(D65)</f>
        <v>21/07/2026</v>
      </c>
      <c r="M65" s="23">
        <f>E65-TIME(3,0,0)</f>
        <v>0.21875</v>
      </c>
      <c r="N65" t="str">
        <f>J65&amp;" - "&amp;K65</f>
        <v>5 - 0</v>
      </c>
      <c r="O65" t="str">
        <f>IF($J65&gt;$K65,"Green","Red")</f>
        <v>Green</v>
      </c>
      <c r="P65" t="str">
        <f>IF($J65=$K65,"Green","Red")</f>
        <v>Red</v>
      </c>
      <c r="Q65" t="str">
        <f>IF($J65&lt;$K65,"Green","Red")</f>
        <v>Red</v>
      </c>
      <c r="R65" t="str">
        <f>IF($J65&gt;=$K65,"Green","Red")</f>
        <v>Green</v>
      </c>
      <c r="S65" t="str">
        <f>IF($J65&lt;=$K65,"Green","Red")</f>
        <v>Red</v>
      </c>
      <c r="T65" t="str">
        <f>IF(OR($J65&gt;$K65,$J65&lt;$K65),"Green","Red")</f>
        <v>Green</v>
      </c>
      <c r="U65" t="str">
        <f>IF($H65&gt;$I65,"Green","Red")</f>
        <v>Green</v>
      </c>
      <c r="V65" t="str">
        <f>IF($H65=$I65,"Green","Red")</f>
        <v>Red</v>
      </c>
      <c r="W65" t="str">
        <f>IF($H65&lt;$I65,"Green","Red")</f>
        <v>Red</v>
      </c>
      <c r="X65" t="str">
        <f>IF($H65+$I65&gt;0,"Green","Red")</f>
        <v>Green</v>
      </c>
      <c r="Y65" t="str">
        <f>IF($J65+$K65&gt;1.5,"Green","Red")</f>
        <v>Green</v>
      </c>
      <c r="Z65" t="str">
        <f>IF($J65+$K65&gt;2.5,"Green","Red")</f>
        <v>Green</v>
      </c>
      <c r="AA65" t="str">
        <f>IF($J65+$K65&lt;2.5,"Green","Red")</f>
        <v>Red</v>
      </c>
      <c r="AB65" t="str">
        <f>IF($J65+$K65&lt;3.5,"Green","Red")</f>
        <v>Red</v>
      </c>
      <c r="AC65" t="str">
        <f>IF(AND($J65&gt;0,$K65&gt;0),"Green","Red")</f>
        <v>Red</v>
      </c>
      <c r="AD65" t="str">
        <f>IF(OR($J65=0,$K65=0),"Green","Red")</f>
        <v>Green</v>
      </c>
    </row>
    <row r="66" spans="1:30" x14ac:dyDescent="0.2">
      <c r="A66" t="str">
        <f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>DAY(D66)&amp;"/"&amp;"07"&amp;"/"&amp;YEAR(D66)</f>
        <v>21/07/2026</v>
      </c>
      <c r="M66" s="23">
        <f>E66-TIME(3,0,0)</f>
        <v>0.27083333333333331</v>
      </c>
      <c r="N66" t="str">
        <f>J66&amp;" - "&amp;K66</f>
        <v>2 - 5</v>
      </c>
      <c r="O66" t="str">
        <f>IF($J66&gt;$K66,"Green","Red")</f>
        <v>Red</v>
      </c>
      <c r="P66" t="str">
        <f>IF($J66=$K66,"Green","Red")</f>
        <v>Red</v>
      </c>
      <c r="Q66" t="str">
        <f>IF($J66&lt;$K66,"Green","Red")</f>
        <v>Green</v>
      </c>
      <c r="R66" t="str">
        <f>IF($J66&gt;=$K66,"Green","Red")</f>
        <v>Red</v>
      </c>
      <c r="S66" t="str">
        <f>IF($J66&lt;=$K66,"Green","Red")</f>
        <v>Green</v>
      </c>
      <c r="T66" t="str">
        <f>IF(OR($J66&gt;$K66,$J66&lt;$K66),"Green","Red")</f>
        <v>Green</v>
      </c>
      <c r="U66" t="str">
        <f>IF($H66&gt;$I66,"Green","Red")</f>
        <v>Red</v>
      </c>
      <c r="V66" t="str">
        <f>IF($H66=$I66,"Green","Red")</f>
        <v>Red</v>
      </c>
      <c r="W66" t="str">
        <f>IF($H66&lt;$I66,"Green","Red")</f>
        <v>Green</v>
      </c>
      <c r="X66" t="str">
        <f>IF($H66+$I66&gt;0,"Green","Red")</f>
        <v>Green</v>
      </c>
      <c r="Y66" t="str">
        <f>IF($J66+$K66&gt;1.5,"Green","Red")</f>
        <v>Green</v>
      </c>
      <c r="Z66" t="str">
        <f>IF($J66+$K66&gt;2.5,"Green","Red")</f>
        <v>Green</v>
      </c>
      <c r="AA66" t="str">
        <f>IF($J66+$K66&lt;2.5,"Green","Red")</f>
        <v>Red</v>
      </c>
      <c r="AB66" t="str">
        <f>IF($J66+$K66&lt;3.5,"Green","Red")</f>
        <v>Red</v>
      </c>
      <c r="AC66" t="str">
        <f>IF(AND($J66&gt;0,$K66&gt;0),"Green","Red")</f>
        <v>Green</v>
      </c>
      <c r="AD66" t="str">
        <f>IF(OR($J66=0,$K66=0),"Green","Red")</f>
        <v>Red</v>
      </c>
    </row>
    <row r="67" spans="1:30" x14ac:dyDescent="0.2">
      <c r="A67" t="str">
        <f>L67&amp;F67&amp;G67</f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>DAY(D67)&amp;"/"&amp;"07"&amp;"/"&amp;YEAR(D67)</f>
        <v>21/07/2026</v>
      </c>
      <c r="M67" s="23">
        <f>E67-TIME(3,0,0)</f>
        <v>0.27083333333333331</v>
      </c>
      <c r="N67" t="str">
        <f>J67&amp;" - "&amp;K67</f>
        <v>3 - 2</v>
      </c>
      <c r="O67" t="str">
        <f>IF($J67&gt;$K67,"Green","Red")</f>
        <v>Green</v>
      </c>
      <c r="P67" t="str">
        <f>IF($J67=$K67,"Green","Red")</f>
        <v>Red</v>
      </c>
      <c r="Q67" t="str">
        <f>IF($J67&lt;$K67,"Green","Red")</f>
        <v>Red</v>
      </c>
      <c r="R67" t="str">
        <f>IF($J67&gt;=$K67,"Green","Red")</f>
        <v>Green</v>
      </c>
      <c r="S67" t="str">
        <f>IF($J67&lt;=$K67,"Green","Red")</f>
        <v>Red</v>
      </c>
      <c r="T67" t="str">
        <f>IF(OR($J67&gt;$K67,$J67&lt;$K67),"Green","Red")</f>
        <v>Green</v>
      </c>
      <c r="U67" t="str">
        <f>IF($H67&gt;$I67,"Green","Red")</f>
        <v>Red</v>
      </c>
      <c r="V67" t="str">
        <f>IF($H67=$I67,"Green","Red")</f>
        <v>Red</v>
      </c>
      <c r="W67" t="str">
        <f>IF($H67&lt;$I67,"Green","Red")</f>
        <v>Green</v>
      </c>
      <c r="X67" t="str">
        <f>IF($H67+$I67&gt;0,"Green","Red")</f>
        <v>Green</v>
      </c>
      <c r="Y67" t="str">
        <f>IF($J67+$K67&gt;1.5,"Green","Red")</f>
        <v>Green</v>
      </c>
      <c r="Z67" t="str">
        <f>IF($J67+$K67&gt;2.5,"Green","Red")</f>
        <v>Green</v>
      </c>
      <c r="AA67" t="str">
        <f>IF($J67+$K67&lt;2.5,"Green","Red")</f>
        <v>Red</v>
      </c>
      <c r="AB67" t="str">
        <f>IF($J67+$K67&lt;3.5,"Green","Red")</f>
        <v>Red</v>
      </c>
      <c r="AC67" t="str">
        <f>IF(AND($J67&gt;0,$K67&gt;0),"Green","Red")</f>
        <v>Green</v>
      </c>
      <c r="AD67" t="str">
        <f>IF(OR($J67=0,$K67=0),"Green","Red")</f>
        <v>Red</v>
      </c>
    </row>
    <row r="68" spans="1:30" x14ac:dyDescent="0.2">
      <c r="A68" t="str">
        <f>L68&amp;F68&amp;G68</f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>DAY(D68)&amp;"/"&amp;"07"&amp;"/"&amp;YEAR(D68)</f>
        <v>21/07/2026</v>
      </c>
      <c r="M68" s="23">
        <f>E68-TIME(3,0,0)</f>
        <v>0.27083333333333331</v>
      </c>
      <c r="N68" t="str">
        <f>J68&amp;" - "&amp;K68</f>
        <v>1 - 1</v>
      </c>
      <c r="O68" t="str">
        <f>IF($J68&gt;$K68,"Green","Red")</f>
        <v>Red</v>
      </c>
      <c r="P68" t="str">
        <f>IF($J68=$K68,"Green","Red")</f>
        <v>Green</v>
      </c>
      <c r="Q68" t="str">
        <f>IF($J68&lt;$K68,"Green","Red")</f>
        <v>Red</v>
      </c>
      <c r="R68" t="str">
        <f>IF($J68&gt;=$K68,"Green","Red")</f>
        <v>Green</v>
      </c>
      <c r="S68" t="str">
        <f>IF($J68&lt;=$K68,"Green","Red")</f>
        <v>Green</v>
      </c>
      <c r="T68" t="str">
        <f>IF(OR($J68&gt;$K68,$J68&lt;$K68),"Green","Red")</f>
        <v>Red</v>
      </c>
      <c r="U68" t="str">
        <f>IF($H68&gt;$I68,"Green","Red")</f>
        <v>Red</v>
      </c>
      <c r="V68" t="str">
        <f>IF($H68=$I68,"Green","Red")</f>
        <v>Green</v>
      </c>
      <c r="W68" t="str">
        <f>IF($H68&lt;$I68,"Green","Red")</f>
        <v>Red</v>
      </c>
      <c r="X68" t="str">
        <f>IF($H68+$I68&gt;0,"Green","Red")</f>
        <v>Red</v>
      </c>
      <c r="Y68" t="str">
        <f>IF($J68+$K68&gt;1.5,"Green","Red")</f>
        <v>Green</v>
      </c>
      <c r="Z68" t="str">
        <f>IF($J68+$K68&gt;2.5,"Green","Red")</f>
        <v>Red</v>
      </c>
      <c r="AA68" t="str">
        <f>IF($J68+$K68&lt;2.5,"Green","Red")</f>
        <v>Green</v>
      </c>
      <c r="AB68" t="str">
        <f>IF($J68+$K68&lt;3.5,"Green","Red")</f>
        <v>Green</v>
      </c>
      <c r="AC68" t="str">
        <f>IF(AND($J68&gt;0,$K68&gt;0),"Green","Red")</f>
        <v>Green</v>
      </c>
      <c r="AD68" t="str">
        <f>IF(OR($J68=0,$K68=0),"Green","Red")</f>
        <v>Red</v>
      </c>
    </row>
    <row r="69" spans="1:30" x14ac:dyDescent="0.2">
      <c r="A69" t="str">
        <f>L69&amp;F69&amp;G69</f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>DAY(D69)&amp;"/"&amp;"07"&amp;"/"&amp;YEAR(D69)</f>
        <v>21/07/2026</v>
      </c>
      <c r="M69" s="23">
        <f>E69-TIME(3,0,0)</f>
        <v>0.29166666666666669</v>
      </c>
      <c r="N69" t="str">
        <f>J69&amp;" - "&amp;K69</f>
        <v>0 - 1</v>
      </c>
      <c r="O69" t="str">
        <f>IF($J69&gt;$K69,"Green","Red")</f>
        <v>Red</v>
      </c>
      <c r="P69" t="str">
        <f>IF($J69=$K69,"Green","Red")</f>
        <v>Red</v>
      </c>
      <c r="Q69" t="str">
        <f>IF($J69&lt;$K69,"Green","Red")</f>
        <v>Green</v>
      </c>
      <c r="R69" t="str">
        <f>IF($J69&gt;=$K69,"Green","Red")</f>
        <v>Red</v>
      </c>
      <c r="S69" t="str">
        <f>IF($J69&lt;=$K69,"Green","Red")</f>
        <v>Green</v>
      </c>
      <c r="T69" t="str">
        <f>IF(OR($J69&gt;$K69,$J69&lt;$K69),"Green","Red")</f>
        <v>Green</v>
      </c>
      <c r="U69" t="str">
        <f>IF($H69&gt;$I69,"Green","Red")</f>
        <v>Red</v>
      </c>
      <c r="V69" t="str">
        <f>IF($H69=$I69,"Green","Red")</f>
        <v>Red</v>
      </c>
      <c r="W69" t="str">
        <f>IF($H69&lt;$I69,"Green","Red")</f>
        <v>Green</v>
      </c>
      <c r="X69" t="str">
        <f>IF($H69+$I69&gt;0,"Green","Red")</f>
        <v>Green</v>
      </c>
      <c r="Y69" t="str">
        <f>IF($J69+$K69&gt;1.5,"Green","Red")</f>
        <v>Red</v>
      </c>
      <c r="Z69" t="str">
        <f>IF($J69+$K69&gt;2.5,"Green","Red")</f>
        <v>Red</v>
      </c>
      <c r="AA69" t="str">
        <f>IF($J69+$K69&lt;2.5,"Green","Red")</f>
        <v>Green</v>
      </c>
      <c r="AB69" t="str">
        <f>IF($J69+$K69&lt;3.5,"Green","Red")</f>
        <v>Green</v>
      </c>
      <c r="AC69" t="str">
        <f>IF(AND($J69&gt;0,$K69&gt;0),"Green","Red")</f>
        <v>Red</v>
      </c>
      <c r="AD69" t="str">
        <f>IF(OR($J69=0,$K69=0),"Green","Red")</f>
        <v>Green</v>
      </c>
    </row>
    <row r="70" spans="1:30" x14ac:dyDescent="0.2">
      <c r="A70" t="str">
        <f>L70&amp;F70&amp;G70</f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>DAY(D70)&amp;"/"&amp;"07"&amp;"/"&amp;YEAR(D70)</f>
        <v>21/07/2026</v>
      </c>
      <c r="M70" s="23">
        <f>E70-TIME(3,0,0)</f>
        <v>0.29166666666666669</v>
      </c>
      <c r="N70" t="str">
        <f>J70&amp;" - "&amp;K70</f>
        <v>0 - 3</v>
      </c>
      <c r="O70" t="str">
        <f>IF($J70&gt;$K70,"Green","Red")</f>
        <v>Red</v>
      </c>
      <c r="P70" t="str">
        <f>IF($J70=$K70,"Green","Red")</f>
        <v>Red</v>
      </c>
      <c r="Q70" t="str">
        <f>IF($J70&lt;$K70,"Green","Red")</f>
        <v>Green</v>
      </c>
      <c r="R70" t="str">
        <f>IF($J70&gt;=$K70,"Green","Red")</f>
        <v>Red</v>
      </c>
      <c r="S70" t="str">
        <f>IF($J70&lt;=$K70,"Green","Red")</f>
        <v>Green</v>
      </c>
      <c r="T70" t="str">
        <f>IF(OR($J70&gt;$K70,$J70&lt;$K70),"Green","Red")</f>
        <v>Green</v>
      </c>
      <c r="U70" t="str">
        <f>IF($H70&gt;$I70,"Green","Red")</f>
        <v>Red</v>
      </c>
      <c r="V70" t="str">
        <f>IF($H70=$I70,"Green","Red")</f>
        <v>Red</v>
      </c>
      <c r="W70" t="str">
        <f>IF($H70&lt;$I70,"Green","Red")</f>
        <v>Green</v>
      </c>
      <c r="X70" t="str">
        <f>IF($H70+$I70&gt;0,"Green","Red")</f>
        <v>Green</v>
      </c>
      <c r="Y70" t="str">
        <f>IF($J70+$K70&gt;1.5,"Green","Red")</f>
        <v>Green</v>
      </c>
      <c r="Z70" t="str">
        <f>IF($J70+$K70&gt;2.5,"Green","Red")</f>
        <v>Green</v>
      </c>
      <c r="AA70" t="str">
        <f>IF($J70+$K70&lt;2.5,"Green","Red")</f>
        <v>Red</v>
      </c>
      <c r="AB70" t="str">
        <f>IF($J70+$K70&lt;3.5,"Green","Red")</f>
        <v>Green</v>
      </c>
      <c r="AC70" t="str">
        <f>IF(AND($J70&gt;0,$K70&gt;0),"Green","Red")</f>
        <v>Red</v>
      </c>
      <c r="AD70" t="str">
        <f>IF(OR($J70=0,$K70=0),"Green","Red")</f>
        <v>Green</v>
      </c>
    </row>
    <row r="71" spans="1:30" x14ac:dyDescent="0.2">
      <c r="A71" t="str">
        <f>L71&amp;F71&amp;G71</f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>DAY(D71)&amp;"/"&amp;"07"&amp;"/"&amp;YEAR(D71)</f>
        <v>21/07/2026</v>
      </c>
      <c r="M71" s="23">
        <f>E71-TIME(3,0,0)</f>
        <v>0.3125</v>
      </c>
      <c r="N71" t="str">
        <f>J71&amp;" - "&amp;K71</f>
        <v>1 - 5</v>
      </c>
      <c r="O71" t="str">
        <f>IF($J71&gt;$K71,"Green","Red")</f>
        <v>Red</v>
      </c>
      <c r="P71" t="str">
        <f>IF($J71=$K71,"Green","Red")</f>
        <v>Red</v>
      </c>
      <c r="Q71" t="str">
        <f>IF($J71&lt;$K71,"Green","Red")</f>
        <v>Green</v>
      </c>
      <c r="R71" t="str">
        <f>IF($J71&gt;=$K71,"Green","Red")</f>
        <v>Red</v>
      </c>
      <c r="S71" t="str">
        <f>IF($J71&lt;=$K71,"Green","Red")</f>
        <v>Green</v>
      </c>
      <c r="T71" t="str">
        <f>IF(OR($J71&gt;$K71,$J71&lt;$K71),"Green","Red")</f>
        <v>Green</v>
      </c>
      <c r="U71" t="str">
        <f>IF($H71&gt;$I71,"Green","Red")</f>
        <v>Red</v>
      </c>
      <c r="V71" t="str">
        <f>IF($H71=$I71,"Green","Red")</f>
        <v>Red</v>
      </c>
      <c r="W71" t="str">
        <f>IF($H71&lt;$I71,"Green","Red")</f>
        <v>Green</v>
      </c>
      <c r="X71" t="str">
        <f>IF($H71+$I71&gt;0,"Green","Red")</f>
        <v>Green</v>
      </c>
      <c r="Y71" t="str">
        <f>IF($J71+$K71&gt;1.5,"Green","Red")</f>
        <v>Green</v>
      </c>
      <c r="Z71" t="str">
        <f>IF($J71+$K71&gt;2.5,"Green","Red")</f>
        <v>Green</v>
      </c>
      <c r="AA71" t="str">
        <f>IF($J71+$K71&lt;2.5,"Green","Red")</f>
        <v>Red</v>
      </c>
      <c r="AB71" t="str">
        <f>IF($J71+$K71&lt;3.5,"Green","Red")</f>
        <v>Red</v>
      </c>
      <c r="AC71" t="str">
        <f>IF(AND($J71&gt;0,$K71&gt;0),"Green","Red")</f>
        <v>Green</v>
      </c>
      <c r="AD71" t="str">
        <f>IF(OR($J71=0,$K71=0),"Green","Red")</f>
        <v>Red</v>
      </c>
    </row>
    <row r="72" spans="1:30" x14ac:dyDescent="0.2">
      <c r="A72" t="str">
        <f>L72&amp;F72&amp;G72</f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>DAY(D72)&amp;"/"&amp;"07"&amp;"/"&amp;YEAR(D72)</f>
        <v>21/07/2026</v>
      </c>
      <c r="M72" s="23">
        <f>E72-TIME(3,0,0)</f>
        <v>0.3125</v>
      </c>
      <c r="N72" t="str">
        <f>J72&amp;" - "&amp;K72</f>
        <v>1 - 1</v>
      </c>
      <c r="O72" t="str">
        <f>IF($J72&gt;$K72,"Green","Red")</f>
        <v>Red</v>
      </c>
      <c r="P72" t="str">
        <f>IF($J72=$K72,"Green","Red")</f>
        <v>Green</v>
      </c>
      <c r="Q72" t="str">
        <f>IF($J72&lt;$K72,"Green","Red")</f>
        <v>Red</v>
      </c>
      <c r="R72" t="str">
        <f>IF($J72&gt;=$K72,"Green","Red")</f>
        <v>Green</v>
      </c>
      <c r="S72" t="str">
        <f>IF($J72&lt;=$K72,"Green","Red")</f>
        <v>Green</v>
      </c>
      <c r="T72" t="str">
        <f>IF(OR($J72&gt;$K72,$J72&lt;$K72),"Green","Red")</f>
        <v>Red</v>
      </c>
      <c r="U72" t="str">
        <f>IF($H72&gt;$I72,"Green","Red")</f>
        <v>Red</v>
      </c>
      <c r="V72" t="str">
        <f>IF($H72=$I72,"Green","Red")</f>
        <v>Green</v>
      </c>
      <c r="W72" t="str">
        <f>IF($H72&lt;$I72,"Green","Red")</f>
        <v>Red</v>
      </c>
      <c r="X72" t="str">
        <f>IF($H72+$I72&gt;0,"Green","Red")</f>
        <v>Green</v>
      </c>
      <c r="Y72" t="str">
        <f>IF($J72+$K72&gt;1.5,"Green","Red")</f>
        <v>Green</v>
      </c>
      <c r="Z72" t="str">
        <f>IF($J72+$K72&gt;2.5,"Green","Red")</f>
        <v>Red</v>
      </c>
      <c r="AA72" t="str">
        <f>IF($J72+$K72&lt;2.5,"Green","Red")</f>
        <v>Green</v>
      </c>
      <c r="AB72" t="str">
        <f>IF($J72+$K72&lt;3.5,"Green","Red")</f>
        <v>Green</v>
      </c>
      <c r="AC72" t="str">
        <f>IF(AND($J72&gt;0,$K72&gt;0),"Green","Red")</f>
        <v>Green</v>
      </c>
      <c r="AD72" t="str">
        <f>IF(OR($J72=0,$K72=0),"Green","Red")</f>
        <v>Red</v>
      </c>
    </row>
    <row r="73" spans="1:30" x14ac:dyDescent="0.2">
      <c r="A73" t="str">
        <f>L73&amp;F73&amp;G73</f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>DAY(D73)&amp;"/"&amp;"07"&amp;"/"&amp;YEAR(D73)</f>
        <v>21/07/2026</v>
      </c>
      <c r="M73" s="23">
        <f>E73-TIME(3,0,0)</f>
        <v>0.3125</v>
      </c>
      <c r="N73" t="str">
        <f>J73&amp;" - "&amp;K73</f>
        <v>0 - 0</v>
      </c>
      <c r="O73" t="str">
        <f>IF($J73&gt;$K73,"Green","Red")</f>
        <v>Red</v>
      </c>
      <c r="P73" t="str">
        <f>IF($J73=$K73,"Green","Red")</f>
        <v>Green</v>
      </c>
      <c r="Q73" t="str">
        <f>IF($J73&lt;$K73,"Green","Red")</f>
        <v>Red</v>
      </c>
      <c r="R73" t="str">
        <f>IF($J73&gt;=$K73,"Green","Red")</f>
        <v>Green</v>
      </c>
      <c r="S73" t="str">
        <f>IF($J73&lt;=$K73,"Green","Red")</f>
        <v>Green</v>
      </c>
      <c r="T73" t="str">
        <f>IF(OR($J73&gt;$K73,$J73&lt;$K73),"Green","Red")</f>
        <v>Red</v>
      </c>
      <c r="U73" t="str">
        <f>IF($H73&gt;$I73,"Green","Red")</f>
        <v>Red</v>
      </c>
      <c r="V73" t="str">
        <f>IF($H73=$I73,"Green","Red")</f>
        <v>Green</v>
      </c>
      <c r="W73" t="str">
        <f>IF($H73&lt;$I73,"Green","Red")</f>
        <v>Red</v>
      </c>
      <c r="X73" t="str">
        <f>IF($H73+$I73&gt;0,"Green","Red")</f>
        <v>Red</v>
      </c>
      <c r="Y73" t="str">
        <f>IF($J73+$K73&gt;1.5,"Green","Red")</f>
        <v>Red</v>
      </c>
      <c r="Z73" t="str">
        <f>IF($J73+$K73&gt;2.5,"Green","Red")</f>
        <v>Red</v>
      </c>
      <c r="AA73" t="str">
        <f>IF($J73+$K73&lt;2.5,"Green","Red")</f>
        <v>Green</v>
      </c>
      <c r="AB73" t="str">
        <f>IF($J73+$K73&lt;3.5,"Green","Red")</f>
        <v>Green</v>
      </c>
      <c r="AC73" t="str">
        <f>IF(AND($J73&gt;0,$K73&gt;0),"Green","Red")</f>
        <v>Red</v>
      </c>
      <c r="AD73" t="str">
        <f>IF(OR($J73=0,$K73=0),"Green","Red")</f>
        <v>Green</v>
      </c>
    </row>
    <row r="74" spans="1:30" x14ac:dyDescent="0.2">
      <c r="A74" t="str">
        <f>L74&amp;F74&amp;G74</f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>DAY(D74)&amp;"/"&amp;"07"&amp;"/"&amp;YEAR(D74)</f>
        <v>21/07/2026</v>
      </c>
      <c r="M74" s="23">
        <f>E74-TIME(3,0,0)</f>
        <v>0.3125</v>
      </c>
      <c r="N74" t="str">
        <f>J74&amp;" - "&amp;K74</f>
        <v>1 - 2</v>
      </c>
      <c r="O74" t="str">
        <f>IF($J74&gt;$K74,"Green","Red")</f>
        <v>Red</v>
      </c>
      <c r="P74" t="str">
        <f>IF($J74=$K74,"Green","Red")</f>
        <v>Red</v>
      </c>
      <c r="Q74" t="str">
        <f>IF($J74&lt;$K74,"Green","Red")</f>
        <v>Green</v>
      </c>
      <c r="R74" t="str">
        <f>IF($J74&gt;=$K74,"Green","Red")</f>
        <v>Red</v>
      </c>
      <c r="S74" t="str">
        <f>IF($J74&lt;=$K74,"Green","Red")</f>
        <v>Green</v>
      </c>
      <c r="T74" t="str">
        <f>IF(OR($J74&gt;$K74,$J74&lt;$K74),"Green","Red")</f>
        <v>Green</v>
      </c>
      <c r="U74" t="str">
        <f>IF($H74&gt;$I74,"Green","Red")</f>
        <v>Red</v>
      </c>
      <c r="V74" t="str">
        <f>IF($H74=$I74,"Green","Red")</f>
        <v>Green</v>
      </c>
      <c r="W74" t="str">
        <f>IF($H74&lt;$I74,"Green","Red")</f>
        <v>Red</v>
      </c>
      <c r="X74" t="str">
        <f>IF($H74+$I74&gt;0,"Green","Red")</f>
        <v>Green</v>
      </c>
      <c r="Y74" t="str">
        <f>IF($J74+$K74&gt;1.5,"Green","Red")</f>
        <v>Green</v>
      </c>
      <c r="Z74" t="str">
        <f>IF($J74+$K74&gt;2.5,"Green","Red")</f>
        <v>Green</v>
      </c>
      <c r="AA74" t="str">
        <f>IF($J74+$K74&lt;2.5,"Green","Red")</f>
        <v>Red</v>
      </c>
      <c r="AB74" t="str">
        <f>IF($J74+$K74&lt;3.5,"Green","Red")</f>
        <v>Green</v>
      </c>
      <c r="AC74" t="str">
        <f>IF(AND($J74&gt;0,$K74&gt;0),"Green","Red")</f>
        <v>Green</v>
      </c>
      <c r="AD74" t="str">
        <f>IF(OR($J74=0,$K74=0),"Green","Red")</f>
        <v>Red</v>
      </c>
    </row>
    <row r="75" spans="1:30" x14ac:dyDescent="0.2">
      <c r="A75" t="str">
        <f>L75&amp;F75&amp;G75</f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>DAY(D75)&amp;"/"&amp;"07"&amp;"/"&amp;YEAR(D75)</f>
        <v>21/07/2026</v>
      </c>
      <c r="M75" s="23">
        <f>E75-TIME(3,0,0)</f>
        <v>0.33333333333333331</v>
      </c>
      <c r="N75" t="str">
        <f>J75&amp;" - "&amp;K75</f>
        <v xml:space="preserve"> - </v>
      </c>
      <c r="O75" t="str">
        <f>IF($J75&gt;$K75,"Green","Red")</f>
        <v>Red</v>
      </c>
      <c r="P75" t="str">
        <f>IF($J75=$K75,"Green","Red")</f>
        <v>Green</v>
      </c>
      <c r="Q75" t="str">
        <f>IF($J75&lt;$K75,"Green","Red")</f>
        <v>Red</v>
      </c>
      <c r="R75" t="str">
        <f>IF($J75&gt;=$K75,"Green","Red")</f>
        <v>Green</v>
      </c>
      <c r="S75" t="str">
        <f>IF($J75&lt;=$K75,"Green","Red")</f>
        <v>Green</v>
      </c>
      <c r="T75" t="str">
        <f>IF(OR($J75&gt;$K75,$J75&lt;$K75),"Green","Red")</f>
        <v>Red</v>
      </c>
      <c r="U75" t="str">
        <f>IF($H75&gt;$I75,"Green","Red")</f>
        <v>Red</v>
      </c>
      <c r="V75" t="str">
        <f>IF($H75=$I75,"Green","Red")</f>
        <v>Green</v>
      </c>
      <c r="W75" t="str">
        <f>IF($H75&lt;$I75,"Green","Red")</f>
        <v>Red</v>
      </c>
      <c r="X75" t="str">
        <f>IF($H75+$I75&gt;0,"Green","Red")</f>
        <v>Red</v>
      </c>
      <c r="Y75" t="str">
        <f>IF($J75+$K75&gt;1.5,"Green","Red")</f>
        <v>Red</v>
      </c>
      <c r="Z75" t="str">
        <f>IF($J75+$K75&gt;2.5,"Green","Red")</f>
        <v>Red</v>
      </c>
      <c r="AA75" t="str">
        <f>IF($J75+$K75&lt;2.5,"Green","Red")</f>
        <v>Green</v>
      </c>
      <c r="AB75" t="str">
        <f>IF($J75+$K75&lt;3.5,"Green","Red")</f>
        <v>Green</v>
      </c>
      <c r="AC75" t="str">
        <f>IF(AND($J75&gt;0,$K75&gt;0),"Green","Red")</f>
        <v>Red</v>
      </c>
      <c r="AD75" t="str">
        <f>IF(OR($J75=0,$K75=0),"Green","Red")</f>
        <v>Green</v>
      </c>
    </row>
    <row r="76" spans="1:30" x14ac:dyDescent="0.2">
      <c r="A76" t="str">
        <f>L76&amp;F76&amp;G76</f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>DAY(D76)&amp;"/"&amp;"07"&amp;"/"&amp;YEAR(D76)</f>
        <v>21/07/2026</v>
      </c>
      <c r="M76" s="23">
        <f>E76-TIME(3,0,0)</f>
        <v>0.33333333333333331</v>
      </c>
      <c r="N76" t="str">
        <f>J76&amp;" - "&amp;K76</f>
        <v>1 - 1</v>
      </c>
      <c r="O76" t="str">
        <f>IF($J76&gt;$K76,"Green","Red")</f>
        <v>Red</v>
      </c>
      <c r="P76" t="str">
        <f>IF($J76=$K76,"Green","Red")</f>
        <v>Green</v>
      </c>
      <c r="Q76" t="str">
        <f>IF($J76&lt;$K76,"Green","Red")</f>
        <v>Red</v>
      </c>
      <c r="R76" t="str">
        <f>IF($J76&gt;=$K76,"Green","Red")</f>
        <v>Green</v>
      </c>
      <c r="S76" t="str">
        <f>IF($J76&lt;=$K76,"Green","Red")</f>
        <v>Green</v>
      </c>
      <c r="T76" t="str">
        <f>IF(OR($J76&gt;$K76,$J76&lt;$K76),"Green","Red")</f>
        <v>Red</v>
      </c>
      <c r="U76" t="str">
        <f>IF($H76&gt;$I76,"Green","Red")</f>
        <v>Green</v>
      </c>
      <c r="V76" t="str">
        <f>IF($H76=$I76,"Green","Red")</f>
        <v>Red</v>
      </c>
      <c r="W76" t="str">
        <f>IF($H76&lt;$I76,"Green","Red")</f>
        <v>Red</v>
      </c>
      <c r="X76" t="str">
        <f>IF($H76+$I76&gt;0,"Green","Red")</f>
        <v>Green</v>
      </c>
      <c r="Y76" t="str">
        <f>IF($J76+$K76&gt;1.5,"Green","Red")</f>
        <v>Green</v>
      </c>
      <c r="Z76" t="str">
        <f>IF($J76+$K76&gt;2.5,"Green","Red")</f>
        <v>Red</v>
      </c>
      <c r="AA76" t="str">
        <f>IF($J76+$K76&lt;2.5,"Green","Red")</f>
        <v>Green</v>
      </c>
      <c r="AB76" t="str">
        <f>IF($J76+$K76&lt;3.5,"Green","Red")</f>
        <v>Green</v>
      </c>
      <c r="AC76" t="str">
        <f>IF(AND($J76&gt;0,$K76&gt;0),"Green","Red")</f>
        <v>Green</v>
      </c>
      <c r="AD76" t="str">
        <f>IF(OR($J76=0,$K76=0),"Green","Red")</f>
        <v>Red</v>
      </c>
    </row>
    <row r="77" spans="1:30" x14ac:dyDescent="0.2">
      <c r="A77" t="str">
        <f>L77&amp;F77&amp;G77</f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>DAY(D77)&amp;"/"&amp;"07"&amp;"/"&amp;YEAR(D77)</f>
        <v>21/07/2026</v>
      </c>
      <c r="M77" s="23">
        <f>E77-TIME(3,0,0)</f>
        <v>0.33333333333333331</v>
      </c>
      <c r="N77" t="str">
        <f>J77&amp;" - "&amp;K77</f>
        <v>3 - 1</v>
      </c>
      <c r="O77" t="str">
        <f>IF($J77&gt;$K77,"Green","Red")</f>
        <v>Green</v>
      </c>
      <c r="P77" t="str">
        <f>IF($J77=$K77,"Green","Red")</f>
        <v>Red</v>
      </c>
      <c r="Q77" t="str">
        <f>IF($J77&lt;$K77,"Green","Red")</f>
        <v>Red</v>
      </c>
      <c r="R77" t="str">
        <f>IF($J77&gt;=$K77,"Green","Red")</f>
        <v>Green</v>
      </c>
      <c r="S77" t="str">
        <f>IF($J77&lt;=$K77,"Green","Red")</f>
        <v>Red</v>
      </c>
      <c r="T77" t="str">
        <f>IF(OR($J77&gt;$K77,$J77&lt;$K77),"Green","Red")</f>
        <v>Green</v>
      </c>
      <c r="U77" t="str">
        <f>IF($H77&gt;$I77,"Green","Red")</f>
        <v>Red</v>
      </c>
      <c r="V77" t="str">
        <f>IF($H77=$I77,"Green","Red")</f>
        <v>Red</v>
      </c>
      <c r="W77" t="str">
        <f>IF($H77&lt;$I77,"Green","Red")</f>
        <v>Green</v>
      </c>
      <c r="X77" t="str">
        <f>IF($H77+$I77&gt;0,"Green","Red")</f>
        <v>Green</v>
      </c>
      <c r="Y77" t="str">
        <f>IF($J77+$K77&gt;1.5,"Green","Red")</f>
        <v>Green</v>
      </c>
      <c r="Z77" t="str">
        <f>IF($J77+$K77&gt;2.5,"Green","Red")</f>
        <v>Green</v>
      </c>
      <c r="AA77" t="str">
        <f>IF($J77+$K77&lt;2.5,"Green","Red")</f>
        <v>Red</v>
      </c>
      <c r="AB77" t="str">
        <f>IF($J77+$K77&lt;3.5,"Green","Red")</f>
        <v>Red</v>
      </c>
      <c r="AC77" t="str">
        <f>IF(AND($J77&gt;0,$K77&gt;0),"Green","Red")</f>
        <v>Green</v>
      </c>
      <c r="AD77" t="str">
        <f>IF(OR($J77=0,$K77=0),"Green","Red")</f>
        <v>Red</v>
      </c>
    </row>
    <row r="78" spans="1:30" x14ac:dyDescent="0.2">
      <c r="A78" t="str">
        <f>L78&amp;F78&amp;G78</f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>DAY(D78)&amp;"/"&amp;"07"&amp;"/"&amp;YEAR(D78)</f>
        <v>21/07/2026</v>
      </c>
      <c r="M78" s="23">
        <f>E78-TIME(3,0,0)</f>
        <v>0.3576388888888889</v>
      </c>
      <c r="N78" t="str">
        <f>J78&amp;" - "&amp;K78</f>
        <v>2 - 0</v>
      </c>
      <c r="O78" t="str">
        <f>IF($J78&gt;$K78,"Green","Red")</f>
        <v>Green</v>
      </c>
      <c r="P78" t="str">
        <f>IF($J78=$K78,"Green","Red")</f>
        <v>Red</v>
      </c>
      <c r="Q78" t="str">
        <f>IF($J78&lt;$K78,"Green","Red")</f>
        <v>Red</v>
      </c>
      <c r="R78" t="str">
        <f>IF($J78&gt;=$K78,"Green","Red")</f>
        <v>Green</v>
      </c>
      <c r="S78" t="str">
        <f>IF($J78&lt;=$K78,"Green","Red")</f>
        <v>Red</v>
      </c>
      <c r="T78" t="str">
        <f>IF(OR($J78&gt;$K78,$J78&lt;$K78),"Green","Red")</f>
        <v>Green</v>
      </c>
      <c r="U78" t="str">
        <f>IF($H78&gt;$I78,"Green","Red")</f>
        <v>Green</v>
      </c>
      <c r="V78" t="str">
        <f>IF($H78=$I78,"Green","Red")</f>
        <v>Red</v>
      </c>
      <c r="W78" t="str">
        <f>IF($H78&lt;$I78,"Green","Red")</f>
        <v>Red</v>
      </c>
      <c r="X78" t="str">
        <f>IF($H78+$I78&gt;0,"Green","Red")</f>
        <v>Green</v>
      </c>
      <c r="Y78" t="str">
        <f>IF($J78+$K78&gt;1.5,"Green","Red")</f>
        <v>Green</v>
      </c>
      <c r="Z78" t="str">
        <f>IF($J78+$K78&gt;2.5,"Green","Red")</f>
        <v>Red</v>
      </c>
      <c r="AA78" t="str">
        <f>IF($J78+$K78&lt;2.5,"Green","Red")</f>
        <v>Green</v>
      </c>
      <c r="AB78" t="str">
        <f>IF($J78+$K78&lt;3.5,"Green","Red")</f>
        <v>Green</v>
      </c>
      <c r="AC78" t="str">
        <f>IF(AND($J78&gt;0,$K78&gt;0),"Green","Red")</f>
        <v>Red</v>
      </c>
      <c r="AD78" t="str">
        <f>IF(OR($J78=0,$K78=0),"Green","Red")</f>
        <v>Green</v>
      </c>
    </row>
    <row r="79" spans="1:30" x14ac:dyDescent="0.2">
      <c r="A79" t="str">
        <f>L79&amp;F79&amp;G79</f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>DAY(D79)&amp;"/"&amp;"07"&amp;"/"&amp;YEAR(D79)</f>
        <v>21/07/2026</v>
      </c>
      <c r="M79" s="23">
        <f>E79-TIME(3,0,0)</f>
        <v>0.3576388888888889</v>
      </c>
      <c r="N79" t="str">
        <f>J79&amp;" - "&amp;K79</f>
        <v>4 - 1</v>
      </c>
      <c r="O79" t="str">
        <f>IF($J79&gt;$K79,"Green","Red")</f>
        <v>Green</v>
      </c>
      <c r="P79" t="str">
        <f>IF($J79=$K79,"Green","Red")</f>
        <v>Red</v>
      </c>
      <c r="Q79" t="str">
        <f>IF($J79&lt;$K79,"Green","Red")</f>
        <v>Red</v>
      </c>
      <c r="R79" t="str">
        <f>IF($J79&gt;=$K79,"Green","Red")</f>
        <v>Green</v>
      </c>
      <c r="S79" t="str">
        <f>IF($J79&lt;=$K79,"Green","Red")</f>
        <v>Red</v>
      </c>
      <c r="T79" t="str">
        <f>IF(OR($J79&gt;$K79,$J79&lt;$K79),"Green","Red")</f>
        <v>Green</v>
      </c>
      <c r="U79" t="str">
        <f>IF($H79&gt;$I79,"Green","Red")</f>
        <v>Green</v>
      </c>
      <c r="V79" t="str">
        <f>IF($H79=$I79,"Green","Red")</f>
        <v>Red</v>
      </c>
      <c r="W79" t="str">
        <f>IF($H79&lt;$I79,"Green","Red")</f>
        <v>Red</v>
      </c>
      <c r="X79" t="str">
        <f>IF($H79+$I79&gt;0,"Green","Red")</f>
        <v>Green</v>
      </c>
      <c r="Y79" t="str">
        <f>IF($J79+$K79&gt;1.5,"Green","Red")</f>
        <v>Green</v>
      </c>
      <c r="Z79" t="str">
        <f>IF($J79+$K79&gt;2.5,"Green","Red")</f>
        <v>Green</v>
      </c>
      <c r="AA79" t="str">
        <f>IF($J79+$K79&lt;2.5,"Green","Red")</f>
        <v>Red</v>
      </c>
      <c r="AB79" t="str">
        <f>IF($J79+$K79&lt;3.5,"Green","Red")</f>
        <v>Red</v>
      </c>
      <c r="AC79" t="str">
        <f>IF(AND($J79&gt;0,$K79&gt;0),"Green","Red")</f>
        <v>Green</v>
      </c>
      <c r="AD79" t="str">
        <f>IF(OR($J79=0,$K79=0),"Green","Red")</f>
        <v>Red</v>
      </c>
    </row>
    <row r="80" spans="1:30" x14ac:dyDescent="0.2">
      <c r="A80" t="str">
        <f>L80&amp;F80&amp;G80</f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>DAY(D80)&amp;"/"&amp;"07"&amp;"/"&amp;YEAR(D80)</f>
        <v>21/07/2026</v>
      </c>
      <c r="M80" s="23">
        <f>E80-TIME(3,0,0)</f>
        <v>0.3576388888888889</v>
      </c>
      <c r="N80" t="str">
        <f>J80&amp;" - "&amp;K80</f>
        <v>2 - 2</v>
      </c>
      <c r="O80" t="str">
        <f>IF($J80&gt;$K80,"Green","Red")</f>
        <v>Red</v>
      </c>
      <c r="P80" t="str">
        <f>IF($J80=$K80,"Green","Red")</f>
        <v>Green</v>
      </c>
      <c r="Q80" t="str">
        <f>IF($J80&lt;$K80,"Green","Red")</f>
        <v>Red</v>
      </c>
      <c r="R80" t="str">
        <f>IF($J80&gt;=$K80,"Green","Red")</f>
        <v>Green</v>
      </c>
      <c r="S80" t="str">
        <f>IF($J80&lt;=$K80,"Green","Red")</f>
        <v>Green</v>
      </c>
      <c r="T80" t="str">
        <f>IF(OR($J80&gt;$K80,$J80&lt;$K80),"Green","Red")</f>
        <v>Red</v>
      </c>
      <c r="U80" t="str">
        <f>IF($H80&gt;$I80,"Green","Red")</f>
        <v>Green</v>
      </c>
      <c r="V80" t="str">
        <f>IF($H80=$I80,"Green","Red")</f>
        <v>Red</v>
      </c>
      <c r="W80" t="str">
        <f>IF($H80&lt;$I80,"Green","Red")</f>
        <v>Red</v>
      </c>
      <c r="X80" t="str">
        <f>IF($H80+$I80&gt;0,"Green","Red")</f>
        <v>Green</v>
      </c>
      <c r="Y80" t="str">
        <f>IF($J80+$K80&gt;1.5,"Green","Red")</f>
        <v>Green</v>
      </c>
      <c r="Z80" t="str">
        <f>IF($J80+$K80&gt;2.5,"Green","Red")</f>
        <v>Green</v>
      </c>
      <c r="AA80" t="str">
        <f>IF($J80+$K80&lt;2.5,"Green","Red")</f>
        <v>Red</v>
      </c>
      <c r="AB80" t="str">
        <f>IF($J80+$K80&lt;3.5,"Green","Red")</f>
        <v>Red</v>
      </c>
      <c r="AC80" t="str">
        <f>IF(AND($J80&gt;0,$K80&gt;0),"Green","Red")</f>
        <v>Green</v>
      </c>
      <c r="AD80" t="str">
        <f>IF(OR($J80=0,$K80=0),"Green","Red")</f>
        <v>Red</v>
      </c>
    </row>
    <row r="81" spans="1:30" x14ac:dyDescent="0.2">
      <c r="A81" t="str">
        <f>L81&amp;F81&amp;G81</f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>DAY(D81)&amp;"/"&amp;"07"&amp;"/"&amp;YEAR(D81)</f>
        <v>21/07/2026</v>
      </c>
      <c r="M81" s="23">
        <f>E81-TIME(3,0,0)</f>
        <v>0.375</v>
      </c>
      <c r="N81" t="str">
        <f>J81&amp;" - "&amp;K81</f>
        <v>1 - 1</v>
      </c>
      <c r="O81" t="str">
        <f>IF($J81&gt;$K81,"Green","Red")</f>
        <v>Red</v>
      </c>
      <c r="P81" t="str">
        <f>IF($J81=$K81,"Green","Red")</f>
        <v>Green</v>
      </c>
      <c r="Q81" t="str">
        <f>IF($J81&lt;$K81,"Green","Red")</f>
        <v>Red</v>
      </c>
      <c r="R81" t="str">
        <f>IF($J81&gt;=$K81,"Green","Red")</f>
        <v>Green</v>
      </c>
      <c r="S81" t="str">
        <f>IF($J81&lt;=$K81,"Green","Red")</f>
        <v>Green</v>
      </c>
      <c r="T81" t="str">
        <f>IF(OR($J81&gt;$K81,$J81&lt;$K81),"Green","Red")</f>
        <v>Red</v>
      </c>
      <c r="U81" t="str">
        <f>IF($H81&gt;$I81,"Green","Red")</f>
        <v>Red</v>
      </c>
      <c r="V81" t="str">
        <f>IF($H81=$I81,"Green","Red")</f>
        <v>Green</v>
      </c>
      <c r="W81" t="str">
        <f>IF($H81&lt;$I81,"Green","Red")</f>
        <v>Red</v>
      </c>
      <c r="X81" t="str">
        <f>IF($H81+$I81&gt;0,"Green","Red")</f>
        <v>Green</v>
      </c>
      <c r="Y81" t="str">
        <f>IF($J81+$K81&gt;1.5,"Green","Red")</f>
        <v>Green</v>
      </c>
      <c r="Z81" t="str">
        <f>IF($J81+$K81&gt;2.5,"Green","Red")</f>
        <v>Red</v>
      </c>
      <c r="AA81" t="str">
        <f>IF($J81+$K81&lt;2.5,"Green","Red")</f>
        <v>Green</v>
      </c>
      <c r="AB81" t="str">
        <f>IF($J81+$K81&lt;3.5,"Green","Red")</f>
        <v>Green</v>
      </c>
      <c r="AC81" t="str">
        <f>IF(AND($J81&gt;0,$K81&gt;0),"Green","Red")</f>
        <v>Green</v>
      </c>
      <c r="AD81" t="str">
        <f>IF(OR($J81=0,$K81=0),"Green","Red")</f>
        <v>Red</v>
      </c>
    </row>
    <row r="82" spans="1:30" x14ac:dyDescent="0.2">
      <c r="A82" t="str">
        <f>L82&amp;F82&amp;G82</f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>DAY(D82)&amp;"/"&amp;"07"&amp;"/"&amp;YEAR(D82)</f>
        <v>21/07/2026</v>
      </c>
      <c r="M82" s="23">
        <f>E82-TIME(3,0,0)</f>
        <v>0.375</v>
      </c>
      <c r="N82" t="str">
        <f>J82&amp;" - "&amp;K82</f>
        <v>3 - 3</v>
      </c>
      <c r="O82" t="str">
        <f>IF($J82&gt;$K82,"Green","Red")</f>
        <v>Red</v>
      </c>
      <c r="P82" t="str">
        <f>IF($J82=$K82,"Green","Red")</f>
        <v>Green</v>
      </c>
      <c r="Q82" t="str">
        <f>IF($J82&lt;$K82,"Green","Red")</f>
        <v>Red</v>
      </c>
      <c r="R82" t="str">
        <f>IF($J82&gt;=$K82,"Green","Red")</f>
        <v>Green</v>
      </c>
      <c r="S82" t="str">
        <f>IF($J82&lt;=$K82,"Green","Red")</f>
        <v>Green</v>
      </c>
      <c r="T82" t="str">
        <f>IF(OR($J82&gt;$K82,$J82&lt;$K82),"Green","Red")</f>
        <v>Red</v>
      </c>
      <c r="U82" t="str">
        <f>IF($H82&gt;$I82,"Green","Red")</f>
        <v>Red</v>
      </c>
      <c r="V82" t="str">
        <f>IF($H82=$I82,"Green","Red")</f>
        <v>Green</v>
      </c>
      <c r="W82" t="str">
        <f>IF($H82&lt;$I82,"Green","Red")</f>
        <v>Red</v>
      </c>
      <c r="X82" t="str">
        <f>IF($H82+$I82&gt;0,"Green","Red")</f>
        <v>Green</v>
      </c>
      <c r="Y82" t="str">
        <f>IF($J82+$K82&gt;1.5,"Green","Red")</f>
        <v>Green</v>
      </c>
      <c r="Z82" t="str">
        <f>IF($J82+$K82&gt;2.5,"Green","Red")</f>
        <v>Green</v>
      </c>
      <c r="AA82" t="str">
        <f>IF($J82+$K82&lt;2.5,"Green","Red")</f>
        <v>Red</v>
      </c>
      <c r="AB82" t="str">
        <f>IF($J82+$K82&lt;3.5,"Green","Red")</f>
        <v>Red</v>
      </c>
      <c r="AC82" t="str">
        <f>IF(AND($J82&gt;0,$K82&gt;0),"Green","Red")</f>
        <v>Green</v>
      </c>
      <c r="AD82" t="str">
        <f>IF(OR($J82=0,$K82=0),"Green","Red")</f>
        <v>Red</v>
      </c>
    </row>
    <row r="83" spans="1:30" x14ac:dyDescent="0.2">
      <c r="A83" t="str">
        <f>L83&amp;F83&amp;G83</f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>DAY(D83)&amp;"/"&amp;"07"&amp;"/"&amp;YEAR(D83)</f>
        <v>21/07/2026</v>
      </c>
      <c r="M83" s="23">
        <f>E83-TIME(3,0,0)</f>
        <v>0.375</v>
      </c>
      <c r="N83" t="str">
        <f>J83&amp;" - "&amp;K83</f>
        <v>1 - 0</v>
      </c>
      <c r="O83" t="str">
        <f>IF($J83&gt;$K83,"Green","Red")</f>
        <v>Green</v>
      </c>
      <c r="P83" t="str">
        <f>IF($J83=$K83,"Green","Red")</f>
        <v>Red</v>
      </c>
      <c r="Q83" t="str">
        <f>IF($J83&lt;$K83,"Green","Red")</f>
        <v>Red</v>
      </c>
      <c r="R83" t="str">
        <f>IF($J83&gt;=$K83,"Green","Red")</f>
        <v>Green</v>
      </c>
      <c r="S83" t="str">
        <f>IF($J83&lt;=$K83,"Green","Red")</f>
        <v>Red</v>
      </c>
      <c r="T83" t="str">
        <f>IF(OR($J83&gt;$K83,$J83&lt;$K83),"Green","Red")</f>
        <v>Green</v>
      </c>
      <c r="U83" t="str">
        <f>IF($H83&gt;$I83,"Green","Red")</f>
        <v>Red</v>
      </c>
      <c r="V83" t="str">
        <f>IF($H83=$I83,"Green","Red")</f>
        <v>Green</v>
      </c>
      <c r="W83" t="str">
        <f>IF($H83&lt;$I83,"Green","Red")</f>
        <v>Red</v>
      </c>
      <c r="X83" t="str">
        <f>IF($H83+$I83&gt;0,"Green","Red")</f>
        <v>Red</v>
      </c>
      <c r="Y83" t="str">
        <f>IF($J83+$K83&gt;1.5,"Green","Red")</f>
        <v>Red</v>
      </c>
      <c r="Z83" t="str">
        <f>IF($J83+$K83&gt;2.5,"Green","Red")</f>
        <v>Red</v>
      </c>
      <c r="AA83" t="str">
        <f>IF($J83+$K83&lt;2.5,"Green","Red")</f>
        <v>Green</v>
      </c>
      <c r="AB83" t="str">
        <f>IF($J83+$K83&lt;3.5,"Green","Red")</f>
        <v>Green</v>
      </c>
      <c r="AC83" t="str">
        <f>IF(AND($J83&gt;0,$K83&gt;0),"Green","Red")</f>
        <v>Red</v>
      </c>
      <c r="AD83" t="str">
        <f>IF(OR($J83=0,$K83=0),"Green","Red")</f>
        <v>Green</v>
      </c>
    </row>
    <row r="84" spans="1:30" x14ac:dyDescent="0.2">
      <c r="A84" t="str">
        <f>L84&amp;F84&amp;G84</f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>DAY(D84)&amp;"/"&amp;"07"&amp;"/"&amp;YEAR(D84)</f>
        <v>21/07/2026</v>
      </c>
      <c r="M84" s="23">
        <f>E84-TIME(3,0,0)</f>
        <v>0.41666666666666663</v>
      </c>
      <c r="N84" t="str">
        <f>J84&amp;" - "&amp;K84</f>
        <v xml:space="preserve"> - </v>
      </c>
      <c r="O84" t="str">
        <f>IF($J84&gt;$K84,"Green","Red")</f>
        <v>Red</v>
      </c>
      <c r="P84" t="str">
        <f>IF($J84=$K84,"Green","Red")</f>
        <v>Green</v>
      </c>
      <c r="Q84" t="str">
        <f>IF($J84&lt;$K84,"Green","Red")</f>
        <v>Red</v>
      </c>
      <c r="R84" t="str">
        <f>IF($J84&gt;=$K84,"Green","Red")</f>
        <v>Green</v>
      </c>
      <c r="S84" t="str">
        <f>IF($J84&lt;=$K84,"Green","Red")</f>
        <v>Green</v>
      </c>
      <c r="T84" t="str">
        <f>IF(OR($J84&gt;$K84,$J84&lt;$K84),"Green","Red")</f>
        <v>Red</v>
      </c>
      <c r="U84" t="str">
        <f>IF($H84&gt;$I84,"Green","Red")</f>
        <v>Red</v>
      </c>
      <c r="V84" t="str">
        <f>IF($H84=$I84,"Green","Red")</f>
        <v>Green</v>
      </c>
      <c r="W84" t="str">
        <f>IF($H84&lt;$I84,"Green","Red")</f>
        <v>Red</v>
      </c>
      <c r="X84" t="str">
        <f>IF($H84+$I84&gt;0,"Green","Red")</f>
        <v>Red</v>
      </c>
      <c r="Y84" t="str">
        <f>IF($J84+$K84&gt;1.5,"Green","Red")</f>
        <v>Red</v>
      </c>
      <c r="Z84" t="str">
        <f>IF($J84+$K84&gt;2.5,"Green","Red")</f>
        <v>Red</v>
      </c>
      <c r="AA84" t="str">
        <f>IF($J84+$K84&lt;2.5,"Green","Red")</f>
        <v>Green</v>
      </c>
      <c r="AB84" t="str">
        <f>IF($J84+$K84&lt;3.5,"Green","Red")</f>
        <v>Green</v>
      </c>
      <c r="AC84" t="str">
        <f>IF(AND($J84&gt;0,$K84&gt;0),"Green","Red")</f>
        <v>Red</v>
      </c>
      <c r="AD84" t="str">
        <f>IF(OR($J84=0,$K84=0),"Green","Red")</f>
        <v>Green</v>
      </c>
    </row>
    <row r="85" spans="1:30" x14ac:dyDescent="0.2">
      <c r="A85" t="str">
        <f>L85&amp;F85&amp;G85</f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>DAY(D85)&amp;"/"&amp;"07"&amp;"/"&amp;YEAR(D85)</f>
        <v>21/07/2026</v>
      </c>
      <c r="M85" s="23">
        <f>E85-TIME(3,0,0)</f>
        <v>0.41666666666666663</v>
      </c>
      <c r="N85" t="str">
        <f>J85&amp;" - "&amp;K85</f>
        <v>1 - 0</v>
      </c>
      <c r="O85" t="str">
        <f>IF($J85&gt;$K85,"Green","Red")</f>
        <v>Green</v>
      </c>
      <c r="P85" t="str">
        <f>IF($J85=$K85,"Green","Red")</f>
        <v>Red</v>
      </c>
      <c r="Q85" t="str">
        <f>IF($J85&lt;$K85,"Green","Red")</f>
        <v>Red</v>
      </c>
      <c r="R85" t="str">
        <f>IF($J85&gt;=$K85,"Green","Red")</f>
        <v>Green</v>
      </c>
      <c r="S85" t="str">
        <f>IF($J85&lt;=$K85,"Green","Red")</f>
        <v>Red</v>
      </c>
      <c r="T85" t="str">
        <f>IF(OR($J85&gt;$K85,$J85&lt;$K85),"Green","Red")</f>
        <v>Green</v>
      </c>
      <c r="U85" t="str">
        <f>IF($H85&gt;$I85,"Green","Red")</f>
        <v>Red</v>
      </c>
      <c r="V85" t="str">
        <f>IF($H85=$I85,"Green","Red")</f>
        <v>Green</v>
      </c>
      <c r="W85" t="str">
        <f>IF($H85&lt;$I85,"Green","Red")</f>
        <v>Red</v>
      </c>
      <c r="X85" t="str">
        <f>IF($H85+$I85&gt;0,"Green","Red")</f>
        <v>Red</v>
      </c>
      <c r="Y85" t="str">
        <f>IF($J85+$K85&gt;1.5,"Green","Red")</f>
        <v>Red</v>
      </c>
      <c r="Z85" t="str">
        <f>IF($J85+$K85&gt;2.5,"Green","Red")</f>
        <v>Red</v>
      </c>
      <c r="AA85" t="str">
        <f>IF($J85+$K85&lt;2.5,"Green","Red")</f>
        <v>Green</v>
      </c>
      <c r="AB85" t="str">
        <f>IF($J85+$K85&lt;3.5,"Green","Red")</f>
        <v>Green</v>
      </c>
      <c r="AC85" t="str">
        <f>IF(AND($J85&gt;0,$K85&gt;0),"Green","Red")</f>
        <v>Red</v>
      </c>
      <c r="AD85" t="str">
        <f>IF(OR($J85=0,$K85=0),"Green","Red")</f>
        <v>Green</v>
      </c>
    </row>
    <row r="86" spans="1:30" x14ac:dyDescent="0.2">
      <c r="A86" t="str">
        <f>L86&amp;F86&amp;G86</f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>DAY(D86)&amp;"/"&amp;"07"&amp;"/"&amp;YEAR(D86)</f>
        <v>21/07/2026</v>
      </c>
      <c r="M86" s="23">
        <f>E86-TIME(3,0,0)</f>
        <v>0.41666666666666663</v>
      </c>
      <c r="N86" t="str">
        <f>J86&amp;" - "&amp;K86</f>
        <v xml:space="preserve"> - </v>
      </c>
      <c r="O86" t="str">
        <f>IF($J86&gt;$K86,"Green","Red")</f>
        <v>Red</v>
      </c>
      <c r="P86" t="str">
        <f>IF($J86=$K86,"Green","Red")</f>
        <v>Green</v>
      </c>
      <c r="Q86" t="str">
        <f>IF($J86&lt;$K86,"Green","Red")</f>
        <v>Red</v>
      </c>
      <c r="R86" t="str">
        <f>IF($J86&gt;=$K86,"Green","Red")</f>
        <v>Green</v>
      </c>
      <c r="S86" t="str">
        <f>IF($J86&lt;=$K86,"Green","Red")</f>
        <v>Green</v>
      </c>
      <c r="T86" t="str">
        <f>IF(OR($J86&gt;$K86,$J86&lt;$K86),"Green","Red")</f>
        <v>Red</v>
      </c>
      <c r="U86" t="str">
        <f>IF($H86&gt;$I86,"Green","Red")</f>
        <v>Red</v>
      </c>
      <c r="V86" t="str">
        <f>IF($H86=$I86,"Green","Red")</f>
        <v>Green</v>
      </c>
      <c r="W86" t="str">
        <f>IF($H86&lt;$I86,"Green","Red")</f>
        <v>Red</v>
      </c>
      <c r="X86" t="str">
        <f>IF($H86+$I86&gt;0,"Green","Red")</f>
        <v>Red</v>
      </c>
      <c r="Y86" t="str">
        <f>IF($J86+$K86&gt;1.5,"Green","Red")</f>
        <v>Red</v>
      </c>
      <c r="Z86" t="str">
        <f>IF($J86+$K86&gt;2.5,"Green","Red")</f>
        <v>Red</v>
      </c>
      <c r="AA86" t="str">
        <f>IF($J86+$K86&lt;2.5,"Green","Red")</f>
        <v>Green</v>
      </c>
      <c r="AB86" t="str">
        <f>IF($J86+$K86&lt;3.5,"Green","Red")</f>
        <v>Green</v>
      </c>
      <c r="AC86" t="str">
        <f>IF(AND($J86&gt;0,$K86&gt;0),"Green","Red")</f>
        <v>Red</v>
      </c>
      <c r="AD86" t="str">
        <f>IF(OR($J86=0,$K86=0),"Green","Red")</f>
        <v>Green</v>
      </c>
    </row>
    <row r="87" spans="1:30" x14ac:dyDescent="0.2">
      <c r="A87" t="str">
        <f>L87&amp;F87&amp;G87</f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>DAY(D87)&amp;"/"&amp;"07"&amp;"/"&amp;YEAR(D87)</f>
        <v>21/07/2026</v>
      </c>
      <c r="M87" s="23">
        <f>E87-TIME(3,0,0)</f>
        <v>0.41666666666666663</v>
      </c>
      <c r="N87" t="str">
        <f>J87&amp;" - "&amp;K87</f>
        <v>1 - 0</v>
      </c>
      <c r="O87" t="str">
        <f>IF($J87&gt;$K87,"Green","Red")</f>
        <v>Green</v>
      </c>
      <c r="P87" t="str">
        <f>IF($J87=$K87,"Green","Red")</f>
        <v>Red</v>
      </c>
      <c r="Q87" t="str">
        <f>IF($J87&lt;$K87,"Green","Red")</f>
        <v>Red</v>
      </c>
      <c r="R87" t="str">
        <f>IF($J87&gt;=$K87,"Green","Red")</f>
        <v>Green</v>
      </c>
      <c r="S87" t="str">
        <f>IF($J87&lt;=$K87,"Green","Red")</f>
        <v>Red</v>
      </c>
      <c r="T87" t="str">
        <f>IF(OR($J87&gt;$K87,$J87&lt;$K87),"Green","Red")</f>
        <v>Green</v>
      </c>
      <c r="U87" t="str">
        <f>IF($H87&gt;$I87,"Green","Red")</f>
        <v>Red</v>
      </c>
      <c r="V87" t="str">
        <f>IF($H87=$I87,"Green","Red")</f>
        <v>Green</v>
      </c>
      <c r="W87" t="str">
        <f>IF($H87&lt;$I87,"Green","Red")</f>
        <v>Red</v>
      </c>
      <c r="X87" t="str">
        <f>IF($H87+$I87&gt;0,"Green","Red")</f>
        <v>Red</v>
      </c>
      <c r="Y87" t="str">
        <f>IF($J87+$K87&gt;1.5,"Green","Red")</f>
        <v>Red</v>
      </c>
      <c r="Z87" t="str">
        <f>IF($J87+$K87&gt;2.5,"Green","Red")</f>
        <v>Red</v>
      </c>
      <c r="AA87" t="str">
        <f>IF($J87+$K87&lt;2.5,"Green","Red")</f>
        <v>Green</v>
      </c>
      <c r="AB87" t="str">
        <f>IF($J87+$K87&lt;3.5,"Green","Red")</f>
        <v>Green</v>
      </c>
      <c r="AC87" t="str">
        <f>IF(AND($J87&gt;0,$K87&gt;0),"Green","Red")</f>
        <v>Red</v>
      </c>
      <c r="AD87" t="str">
        <f>IF(OR($J87=0,$K87=0),"Green","Red")</f>
        <v>Green</v>
      </c>
    </row>
    <row r="88" spans="1:30" x14ac:dyDescent="0.2">
      <c r="A88" t="str">
        <f>L88&amp;F88&amp;G88</f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>DAY(D88)&amp;"/"&amp;"07"&amp;"/"&amp;YEAR(D88)</f>
        <v>21/07/2026</v>
      </c>
      <c r="M88" s="23">
        <f>E88-TIME(3,0,0)</f>
        <v>0.45833333333333337</v>
      </c>
      <c r="N88" t="str">
        <f>J88&amp;" - "&amp;K88</f>
        <v>3 - 1</v>
      </c>
      <c r="O88" t="str">
        <f>IF($J88&gt;$K88,"Green","Red")</f>
        <v>Green</v>
      </c>
      <c r="P88" t="str">
        <f>IF($J88=$K88,"Green","Red")</f>
        <v>Red</v>
      </c>
      <c r="Q88" t="str">
        <f>IF($J88&lt;$K88,"Green","Red")</f>
        <v>Red</v>
      </c>
      <c r="R88" t="str">
        <f>IF($J88&gt;=$K88,"Green","Red")</f>
        <v>Green</v>
      </c>
      <c r="S88" t="str">
        <f>IF($J88&lt;=$K88,"Green","Red")</f>
        <v>Red</v>
      </c>
      <c r="T88" t="str">
        <f>IF(OR($J88&gt;$K88,$J88&lt;$K88),"Green","Red")</f>
        <v>Green</v>
      </c>
      <c r="U88" t="str">
        <f>IF($H88&gt;$I88,"Green","Red")</f>
        <v>Green</v>
      </c>
      <c r="V88" t="str">
        <f>IF($H88=$I88,"Green","Red")</f>
        <v>Red</v>
      </c>
      <c r="W88" t="str">
        <f>IF($H88&lt;$I88,"Green","Red")</f>
        <v>Red</v>
      </c>
      <c r="X88" t="str">
        <f>IF($H88+$I88&gt;0,"Green","Red")</f>
        <v>Green</v>
      </c>
      <c r="Y88" t="str">
        <f>IF($J88+$K88&gt;1.5,"Green","Red")</f>
        <v>Green</v>
      </c>
      <c r="Z88" t="str">
        <f>IF($J88+$K88&gt;2.5,"Green","Red")</f>
        <v>Green</v>
      </c>
      <c r="AA88" t="str">
        <f>IF($J88+$K88&lt;2.5,"Green","Red")</f>
        <v>Red</v>
      </c>
      <c r="AB88" t="str">
        <f>IF($J88+$K88&lt;3.5,"Green","Red")</f>
        <v>Red</v>
      </c>
      <c r="AC88" t="str">
        <f>IF(AND($J88&gt;0,$K88&gt;0),"Green","Red")</f>
        <v>Green</v>
      </c>
      <c r="AD88" t="str">
        <f>IF(OR($J88=0,$K88=0),"Green","Red")</f>
        <v>Red</v>
      </c>
    </row>
    <row r="89" spans="1:30" x14ac:dyDescent="0.2">
      <c r="A89" t="str">
        <f>L89&amp;F89&amp;G89</f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>DAY(D89)&amp;"/"&amp;"07"&amp;"/"&amp;YEAR(D89)</f>
        <v>21/07/2026</v>
      </c>
      <c r="M89" s="23">
        <f>E89-TIME(3,0,0)</f>
        <v>0.5</v>
      </c>
      <c r="N89" t="str">
        <f>J89&amp;" - "&amp;K89</f>
        <v>1 - 1</v>
      </c>
      <c r="O89" t="str">
        <f>IF($J89&gt;$K89,"Green","Red")</f>
        <v>Red</v>
      </c>
      <c r="P89" t="str">
        <f>IF($J89=$K89,"Green","Red")</f>
        <v>Green</v>
      </c>
      <c r="Q89" t="str">
        <f>IF($J89&lt;$K89,"Green","Red")</f>
        <v>Red</v>
      </c>
      <c r="R89" t="str">
        <f>IF($J89&gt;=$K89,"Green","Red")</f>
        <v>Green</v>
      </c>
      <c r="S89" t="str">
        <f>IF($J89&lt;=$K89,"Green","Red")</f>
        <v>Green</v>
      </c>
      <c r="T89" t="str">
        <f>IF(OR($J89&gt;$K89,$J89&lt;$K89),"Green","Red")</f>
        <v>Red</v>
      </c>
      <c r="U89" t="str">
        <f>IF($H89&gt;$I89,"Green","Red")</f>
        <v>Red</v>
      </c>
      <c r="V89" t="str">
        <f>IF($H89=$I89,"Green","Red")</f>
        <v>Green</v>
      </c>
      <c r="W89" t="str">
        <f>IF($H89&lt;$I89,"Green","Red")</f>
        <v>Red</v>
      </c>
      <c r="X89" t="str">
        <f>IF($H89+$I89&gt;0,"Green","Red")</f>
        <v>Red</v>
      </c>
      <c r="Y89" t="str">
        <f>IF($J89+$K89&gt;1.5,"Green","Red")</f>
        <v>Green</v>
      </c>
      <c r="Z89" t="str">
        <f>IF($J89+$K89&gt;2.5,"Green","Red")</f>
        <v>Red</v>
      </c>
      <c r="AA89" t="str">
        <f>IF($J89+$K89&lt;2.5,"Green","Red")</f>
        <v>Green</v>
      </c>
      <c r="AB89" t="str">
        <f>IF($J89+$K89&lt;3.5,"Green","Red")</f>
        <v>Green</v>
      </c>
      <c r="AC89" t="str">
        <f>IF(AND($J89&gt;0,$K89&gt;0),"Green","Red")</f>
        <v>Green</v>
      </c>
      <c r="AD89" t="str">
        <f>IF(OR($J89=0,$K89=0),"Green","Red")</f>
        <v>Red</v>
      </c>
    </row>
    <row r="90" spans="1:30" x14ac:dyDescent="0.2">
      <c r="A90" t="str">
        <f>L90&amp;F90&amp;G90</f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>DAY(D90)&amp;"/"&amp;"07"&amp;"/"&amp;YEAR(D90)</f>
        <v>21/07/2026</v>
      </c>
      <c r="M90" s="23">
        <f>E90-TIME(3,0,0)</f>
        <v>0.5</v>
      </c>
      <c r="N90" t="str">
        <f>J90&amp;" - "&amp;K90</f>
        <v>1 - 1</v>
      </c>
      <c r="O90" t="str">
        <f>IF($J90&gt;$K90,"Green","Red")</f>
        <v>Red</v>
      </c>
      <c r="P90" t="str">
        <f>IF($J90=$K90,"Green","Red")</f>
        <v>Green</v>
      </c>
      <c r="Q90" t="str">
        <f>IF($J90&lt;$K90,"Green","Red")</f>
        <v>Red</v>
      </c>
      <c r="R90" t="str">
        <f>IF($J90&gt;=$K90,"Green","Red")</f>
        <v>Green</v>
      </c>
      <c r="S90" t="str">
        <f>IF($J90&lt;=$K90,"Green","Red")</f>
        <v>Green</v>
      </c>
      <c r="T90" t="str">
        <f>IF(OR($J90&gt;$K90,$J90&lt;$K90),"Green","Red")</f>
        <v>Red</v>
      </c>
      <c r="U90" t="str">
        <f>IF($H90&gt;$I90,"Green","Red")</f>
        <v>Red</v>
      </c>
      <c r="V90" t="str">
        <f>IF($H90=$I90,"Green","Red")</f>
        <v>Green</v>
      </c>
      <c r="W90" t="str">
        <f>IF($H90&lt;$I90,"Green","Red")</f>
        <v>Red</v>
      </c>
      <c r="X90" t="str">
        <f>IF($H90+$I90&gt;0,"Green","Red")</f>
        <v>Red</v>
      </c>
      <c r="Y90" t="str">
        <f>IF($J90+$K90&gt;1.5,"Green","Red")</f>
        <v>Green</v>
      </c>
      <c r="Z90" t="str">
        <f>IF($J90+$K90&gt;2.5,"Green","Red")</f>
        <v>Red</v>
      </c>
      <c r="AA90" t="str">
        <f>IF($J90+$K90&lt;2.5,"Green","Red")</f>
        <v>Green</v>
      </c>
      <c r="AB90" t="str">
        <f>IF($J90+$K90&lt;3.5,"Green","Red")</f>
        <v>Green</v>
      </c>
      <c r="AC90" t="str">
        <f>IF(AND($J90&gt;0,$K90&gt;0),"Green","Red")</f>
        <v>Green</v>
      </c>
      <c r="AD90" t="str">
        <f>IF(OR($J90=0,$K90=0),"Green","Red")</f>
        <v>Red</v>
      </c>
    </row>
    <row r="91" spans="1:30" x14ac:dyDescent="0.2">
      <c r="A91" t="str">
        <f>L91&amp;F91&amp;G91</f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>DAY(D91)&amp;"/"&amp;"07"&amp;"/"&amp;YEAR(D91)</f>
        <v>21/07/2026</v>
      </c>
      <c r="M91" s="23">
        <f>E91-TIME(3,0,0)</f>
        <v>0.5</v>
      </c>
      <c r="N91" t="str">
        <f>J91&amp;" - "&amp;K91</f>
        <v>1 - 0</v>
      </c>
      <c r="O91" t="str">
        <f>IF($J91&gt;$K91,"Green","Red")</f>
        <v>Green</v>
      </c>
      <c r="P91" t="str">
        <f>IF($J91=$K91,"Green","Red")</f>
        <v>Red</v>
      </c>
      <c r="Q91" t="str">
        <f>IF($J91&lt;$K91,"Green","Red")</f>
        <v>Red</v>
      </c>
      <c r="R91" t="str">
        <f>IF($J91&gt;=$K91,"Green","Red")</f>
        <v>Green</v>
      </c>
      <c r="S91" t="str">
        <f>IF($J91&lt;=$K91,"Green","Red")</f>
        <v>Red</v>
      </c>
      <c r="T91" t="str">
        <f>IF(OR($J91&gt;$K91,$J91&lt;$K91),"Green","Red")</f>
        <v>Green</v>
      </c>
      <c r="U91" t="str">
        <f>IF($H91&gt;$I91,"Green","Red")</f>
        <v>Green</v>
      </c>
      <c r="V91" t="str">
        <f>IF($H91=$I91,"Green","Red")</f>
        <v>Red</v>
      </c>
      <c r="W91" t="str">
        <f>IF($H91&lt;$I91,"Green","Red")</f>
        <v>Red</v>
      </c>
      <c r="X91" t="str">
        <f>IF($H91+$I91&gt;0,"Green","Red")</f>
        <v>Green</v>
      </c>
      <c r="Y91" t="str">
        <f>IF($J91+$K91&gt;1.5,"Green","Red")</f>
        <v>Red</v>
      </c>
      <c r="Z91" t="str">
        <f>IF($J91+$K91&gt;2.5,"Green","Red")</f>
        <v>Red</v>
      </c>
      <c r="AA91" t="str">
        <f>IF($J91+$K91&lt;2.5,"Green","Red")</f>
        <v>Green</v>
      </c>
      <c r="AB91" t="str">
        <f>IF($J91+$K91&lt;3.5,"Green","Red")</f>
        <v>Green</v>
      </c>
      <c r="AC91" t="str">
        <f>IF(AND($J91&gt;0,$K91&gt;0),"Green","Red")</f>
        <v>Red</v>
      </c>
      <c r="AD91" t="str">
        <f>IF(OR($J91=0,$K91=0),"Green","Red")</f>
        <v>Green</v>
      </c>
    </row>
    <row r="92" spans="1:30" x14ac:dyDescent="0.2">
      <c r="A92" t="str">
        <f>L92&amp;F92&amp;G92</f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>DAY(D92)&amp;"/"&amp;"07"&amp;"/"&amp;YEAR(D92)</f>
        <v>21/07/2026</v>
      </c>
      <c r="M92" s="23">
        <f>E92-TIME(3,0,0)</f>
        <v>0.5</v>
      </c>
      <c r="N92" t="str">
        <f>J92&amp;" - "&amp;K92</f>
        <v>2 - 1</v>
      </c>
      <c r="O92" t="str">
        <f>IF($J92&gt;$K92,"Green","Red")</f>
        <v>Green</v>
      </c>
      <c r="P92" t="str">
        <f>IF($J92=$K92,"Green","Red")</f>
        <v>Red</v>
      </c>
      <c r="Q92" t="str">
        <f>IF($J92&lt;$K92,"Green","Red")</f>
        <v>Red</v>
      </c>
      <c r="R92" t="str">
        <f>IF($J92&gt;=$K92,"Green","Red")</f>
        <v>Green</v>
      </c>
      <c r="S92" t="str">
        <f>IF($J92&lt;=$K92,"Green","Red")</f>
        <v>Red</v>
      </c>
      <c r="T92" t="str">
        <f>IF(OR($J92&gt;$K92,$J92&lt;$K92),"Green","Red")</f>
        <v>Green</v>
      </c>
      <c r="U92" t="str">
        <f>IF($H92&gt;$I92,"Green","Red")</f>
        <v>Red</v>
      </c>
      <c r="V92" t="str">
        <f>IF($H92=$I92,"Green","Red")</f>
        <v>Green</v>
      </c>
      <c r="W92" t="str">
        <f>IF($H92&lt;$I92,"Green","Red")</f>
        <v>Red</v>
      </c>
      <c r="X92" t="str">
        <f>IF($H92+$I92&gt;0,"Green","Red")</f>
        <v>Green</v>
      </c>
      <c r="Y92" t="str">
        <f>IF($J92+$K92&gt;1.5,"Green","Red")</f>
        <v>Green</v>
      </c>
      <c r="Z92" t="str">
        <f>IF($J92+$K92&gt;2.5,"Green","Red")</f>
        <v>Green</v>
      </c>
      <c r="AA92" t="str">
        <f>IF($J92+$K92&lt;2.5,"Green","Red")</f>
        <v>Red</v>
      </c>
      <c r="AB92" t="str">
        <f>IF($J92+$K92&lt;3.5,"Green","Red")</f>
        <v>Green</v>
      </c>
      <c r="AC92" t="str">
        <f>IF(AND($J92&gt;0,$K92&gt;0),"Green","Red")</f>
        <v>Green</v>
      </c>
      <c r="AD92" t="str">
        <f>IF(OR($J92=0,$K92=0),"Green","Red")</f>
        <v>Red</v>
      </c>
    </row>
    <row r="93" spans="1:30" x14ac:dyDescent="0.2">
      <c r="A93" t="str">
        <f>L93&amp;F93&amp;G93</f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>DAY(D93)&amp;"/"&amp;"07"&amp;"/"&amp;YEAR(D93)</f>
        <v>21/07/2026</v>
      </c>
      <c r="M93" s="23">
        <f>E93-TIME(3,0,0)</f>
        <v>0.5</v>
      </c>
      <c r="N93" t="str">
        <f>J93&amp;" - "&amp;K93</f>
        <v>1 - 5</v>
      </c>
      <c r="O93" t="str">
        <f>IF($J93&gt;$K93,"Green","Red")</f>
        <v>Red</v>
      </c>
      <c r="P93" t="str">
        <f>IF($J93=$K93,"Green","Red")</f>
        <v>Red</v>
      </c>
      <c r="Q93" t="str">
        <f>IF($J93&lt;$K93,"Green","Red")</f>
        <v>Green</v>
      </c>
      <c r="R93" t="str">
        <f>IF($J93&gt;=$K93,"Green","Red")</f>
        <v>Red</v>
      </c>
      <c r="S93" t="str">
        <f>IF($J93&lt;=$K93,"Green","Red")</f>
        <v>Green</v>
      </c>
      <c r="T93" t="str">
        <f>IF(OR($J93&gt;$K93,$J93&lt;$K93),"Green","Red")</f>
        <v>Green</v>
      </c>
      <c r="U93" t="str">
        <f>IF($H93&gt;$I93,"Green","Red")</f>
        <v>Red</v>
      </c>
      <c r="V93" t="str">
        <f>IF($H93=$I93,"Green","Red")</f>
        <v>Red</v>
      </c>
      <c r="W93" t="str">
        <f>IF($H93&lt;$I93,"Green","Red")</f>
        <v>Green</v>
      </c>
      <c r="X93" t="str">
        <f>IF($H93+$I93&gt;0,"Green","Red")</f>
        <v>Green</v>
      </c>
      <c r="Y93" t="str">
        <f>IF($J93+$K93&gt;1.5,"Green","Red")</f>
        <v>Green</v>
      </c>
      <c r="Z93" t="str">
        <f>IF($J93+$K93&gt;2.5,"Green","Red")</f>
        <v>Green</v>
      </c>
      <c r="AA93" t="str">
        <f>IF($J93+$K93&lt;2.5,"Green","Red")</f>
        <v>Red</v>
      </c>
      <c r="AB93" t="str">
        <f>IF($J93+$K93&lt;3.5,"Green","Red")</f>
        <v>Red</v>
      </c>
      <c r="AC93" t="str">
        <f>IF(AND($J93&gt;0,$K93&gt;0),"Green","Red")</f>
        <v>Green</v>
      </c>
      <c r="AD93" t="str">
        <f>IF(OR($J93=0,$K93=0),"Green","Red")</f>
        <v>Red</v>
      </c>
    </row>
    <row r="94" spans="1:30" x14ac:dyDescent="0.2">
      <c r="A94" t="str">
        <f>L94&amp;F94&amp;G94</f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>DAY(D94)&amp;"/"&amp;"07"&amp;"/"&amp;YEAR(D94)</f>
        <v>21/07/2026</v>
      </c>
      <c r="M94" s="23">
        <f>E94-TIME(3,0,0)</f>
        <v>0.5</v>
      </c>
      <c r="N94" t="str">
        <f>J94&amp;" - "&amp;K94</f>
        <v>0 - 0</v>
      </c>
      <c r="O94" t="str">
        <f>IF($J94&gt;$K94,"Green","Red")</f>
        <v>Red</v>
      </c>
      <c r="P94" t="str">
        <f>IF($J94=$K94,"Green","Red")</f>
        <v>Green</v>
      </c>
      <c r="Q94" t="str">
        <f>IF($J94&lt;$K94,"Green","Red")</f>
        <v>Red</v>
      </c>
      <c r="R94" t="str">
        <f>IF($J94&gt;=$K94,"Green","Red")</f>
        <v>Green</v>
      </c>
      <c r="S94" t="str">
        <f>IF($J94&lt;=$K94,"Green","Red")</f>
        <v>Green</v>
      </c>
      <c r="T94" t="str">
        <f>IF(OR($J94&gt;$K94,$J94&lt;$K94),"Green","Red")</f>
        <v>Red</v>
      </c>
      <c r="U94" t="str">
        <f>IF($H94&gt;$I94,"Green","Red")</f>
        <v>Red</v>
      </c>
      <c r="V94" t="str">
        <f>IF($H94=$I94,"Green","Red")</f>
        <v>Green</v>
      </c>
      <c r="W94" t="str">
        <f>IF($H94&lt;$I94,"Green","Red")</f>
        <v>Red</v>
      </c>
      <c r="X94" t="str">
        <f>IF($H94+$I94&gt;0,"Green","Red")</f>
        <v>Red</v>
      </c>
      <c r="Y94" t="str">
        <f>IF($J94+$K94&gt;1.5,"Green","Red")</f>
        <v>Red</v>
      </c>
      <c r="Z94" t="str">
        <f>IF($J94+$K94&gt;2.5,"Green","Red")</f>
        <v>Red</v>
      </c>
      <c r="AA94" t="str">
        <f>IF($J94+$K94&lt;2.5,"Green","Red")</f>
        <v>Green</v>
      </c>
      <c r="AB94" t="str">
        <f>IF($J94+$K94&lt;3.5,"Green","Red")</f>
        <v>Green</v>
      </c>
      <c r="AC94" t="str">
        <f>IF(AND($J94&gt;0,$K94&gt;0),"Green","Red")</f>
        <v>Red</v>
      </c>
      <c r="AD94" t="str">
        <f>IF(OR($J94=0,$K94=0),"Green","Red")</f>
        <v>Green</v>
      </c>
    </row>
    <row r="95" spans="1:30" x14ac:dyDescent="0.2">
      <c r="A95" t="str">
        <f>L95&amp;F95&amp;G95</f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>DAY(D95)&amp;"/"&amp;"07"&amp;"/"&amp;YEAR(D95)</f>
        <v>21/07/2026</v>
      </c>
      <c r="M95" s="23">
        <f>E95-TIME(3,0,0)</f>
        <v>0.5</v>
      </c>
      <c r="N95" t="str">
        <f>J95&amp;" - "&amp;K95</f>
        <v>1 - 1</v>
      </c>
      <c r="O95" t="str">
        <f>IF($J95&gt;$K95,"Green","Red")</f>
        <v>Red</v>
      </c>
      <c r="P95" t="str">
        <f>IF($J95=$K95,"Green","Red")</f>
        <v>Green</v>
      </c>
      <c r="Q95" t="str">
        <f>IF($J95&lt;$K95,"Green","Red")</f>
        <v>Red</v>
      </c>
      <c r="R95" t="str">
        <f>IF($J95&gt;=$K95,"Green","Red")</f>
        <v>Green</v>
      </c>
      <c r="S95" t="str">
        <f>IF($J95&lt;=$K95,"Green","Red")</f>
        <v>Green</v>
      </c>
      <c r="T95" t="str">
        <f>IF(OR($J95&gt;$K95,$J95&lt;$K95),"Green","Red")</f>
        <v>Red</v>
      </c>
      <c r="U95" t="str">
        <f>IF($H95&gt;$I95,"Green","Red")</f>
        <v>Red</v>
      </c>
      <c r="V95" t="str">
        <f>IF($H95=$I95,"Green","Red")</f>
        <v>Green</v>
      </c>
      <c r="W95" t="str">
        <f>IF($H95&lt;$I95,"Green","Red")</f>
        <v>Red</v>
      </c>
      <c r="X95" t="str">
        <f>IF($H95+$I95&gt;0,"Green","Red")</f>
        <v>Green</v>
      </c>
      <c r="Y95" t="str">
        <f>IF($J95+$K95&gt;1.5,"Green","Red")</f>
        <v>Green</v>
      </c>
      <c r="Z95" t="str">
        <f>IF($J95+$K95&gt;2.5,"Green","Red")</f>
        <v>Red</v>
      </c>
      <c r="AA95" t="str">
        <f>IF($J95+$K95&lt;2.5,"Green","Red")</f>
        <v>Green</v>
      </c>
      <c r="AB95" t="str">
        <f>IF($J95+$K95&lt;3.5,"Green","Red")</f>
        <v>Green</v>
      </c>
      <c r="AC95" t="str">
        <f>IF(AND($J95&gt;0,$K95&gt;0),"Green","Red")</f>
        <v>Green</v>
      </c>
      <c r="AD95" t="str">
        <f>IF(OR($J95=0,$K95=0),"Green","Red")</f>
        <v>Red</v>
      </c>
    </row>
    <row r="96" spans="1:30" x14ac:dyDescent="0.2">
      <c r="A96" t="str">
        <f>L96&amp;F96&amp;G96</f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>DAY(D96)&amp;"/"&amp;"07"&amp;"/"&amp;YEAR(D96)</f>
        <v>21/07/2026</v>
      </c>
      <c r="M96" s="23">
        <f>E96-TIME(3,0,0)</f>
        <v>0.52083333333333337</v>
      </c>
      <c r="N96" t="str">
        <f>J96&amp;" - "&amp;K96</f>
        <v>0 - 0</v>
      </c>
      <c r="O96" t="str">
        <f>IF($J96&gt;$K96,"Green","Red")</f>
        <v>Red</v>
      </c>
      <c r="P96" t="str">
        <f>IF($J96=$K96,"Green","Red")</f>
        <v>Green</v>
      </c>
      <c r="Q96" t="str">
        <f>IF($J96&lt;$K96,"Green","Red")</f>
        <v>Red</v>
      </c>
      <c r="R96" t="str">
        <f>IF($J96&gt;=$K96,"Green","Red")</f>
        <v>Green</v>
      </c>
      <c r="S96" t="str">
        <f>IF($J96&lt;=$K96,"Green","Red")</f>
        <v>Green</v>
      </c>
      <c r="T96" t="str">
        <f>IF(OR($J96&gt;$K96,$J96&lt;$K96),"Green","Red")</f>
        <v>Red</v>
      </c>
      <c r="U96" t="str">
        <f>IF($H96&gt;$I96,"Green","Red")</f>
        <v>Red</v>
      </c>
      <c r="V96" t="str">
        <f>IF($H96=$I96,"Green","Red")</f>
        <v>Green</v>
      </c>
      <c r="W96" t="str">
        <f>IF($H96&lt;$I96,"Green","Red")</f>
        <v>Red</v>
      </c>
      <c r="X96" t="str">
        <f>IF($H96+$I96&gt;0,"Green","Red")</f>
        <v>Red</v>
      </c>
      <c r="Y96" t="str">
        <f>IF($J96+$K96&gt;1.5,"Green","Red")</f>
        <v>Red</v>
      </c>
      <c r="Z96" t="str">
        <f>IF($J96+$K96&gt;2.5,"Green","Red")</f>
        <v>Red</v>
      </c>
      <c r="AA96" t="str">
        <f>IF($J96+$K96&lt;2.5,"Green","Red")</f>
        <v>Green</v>
      </c>
      <c r="AB96" t="str">
        <f>IF($J96+$K96&lt;3.5,"Green","Red")</f>
        <v>Green</v>
      </c>
      <c r="AC96" t="str">
        <f>IF(AND($J96&gt;0,$K96&gt;0),"Green","Red")</f>
        <v>Red</v>
      </c>
      <c r="AD96" t="str">
        <f>IF(OR($J96=0,$K96=0),"Green","Red")</f>
        <v>Green</v>
      </c>
    </row>
    <row r="97" spans="1:30" x14ac:dyDescent="0.2">
      <c r="A97" t="str">
        <f>L97&amp;F97&amp;G97</f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>DAY(D97)&amp;"/"&amp;"07"&amp;"/"&amp;YEAR(D97)</f>
        <v>21/07/2026</v>
      </c>
      <c r="M97" s="23">
        <f>E97-TIME(3,0,0)</f>
        <v>0.52083333333333337</v>
      </c>
      <c r="N97" t="str">
        <f>J97&amp;" - "&amp;K97</f>
        <v>3 - 1</v>
      </c>
      <c r="O97" t="str">
        <f>IF($J97&gt;$K97,"Green","Red")</f>
        <v>Green</v>
      </c>
      <c r="P97" t="str">
        <f>IF($J97=$K97,"Green","Red")</f>
        <v>Red</v>
      </c>
      <c r="Q97" t="str">
        <f>IF($J97&lt;$K97,"Green","Red")</f>
        <v>Red</v>
      </c>
      <c r="R97" t="str">
        <f>IF($J97&gt;=$K97,"Green","Red")</f>
        <v>Green</v>
      </c>
      <c r="S97" t="str">
        <f>IF($J97&lt;=$K97,"Green","Red")</f>
        <v>Red</v>
      </c>
      <c r="T97" t="str">
        <f>IF(OR($J97&gt;$K97,$J97&lt;$K97),"Green","Red")</f>
        <v>Green</v>
      </c>
      <c r="U97" t="str">
        <f>IF($H97&gt;$I97,"Green","Red")</f>
        <v>Red</v>
      </c>
      <c r="V97" t="str">
        <f>IF($H97=$I97,"Green","Red")</f>
        <v>Green</v>
      </c>
      <c r="W97" t="str">
        <f>IF($H97&lt;$I97,"Green","Red")</f>
        <v>Red</v>
      </c>
      <c r="X97" t="str">
        <f>IF($H97+$I97&gt;0,"Green","Red")</f>
        <v>Green</v>
      </c>
      <c r="Y97" t="str">
        <f>IF($J97+$K97&gt;1.5,"Green","Red")</f>
        <v>Green</v>
      </c>
      <c r="Z97" t="str">
        <f>IF($J97+$K97&gt;2.5,"Green","Red")</f>
        <v>Green</v>
      </c>
      <c r="AA97" t="str">
        <f>IF($J97+$K97&lt;2.5,"Green","Red")</f>
        <v>Red</v>
      </c>
      <c r="AB97" t="str">
        <f>IF($J97+$K97&lt;3.5,"Green","Red")</f>
        <v>Red</v>
      </c>
      <c r="AC97" t="str">
        <f>IF(AND($J97&gt;0,$K97&gt;0),"Green","Red")</f>
        <v>Green</v>
      </c>
      <c r="AD97" t="str">
        <f>IF(OR($J97=0,$K97=0),"Green","Red")</f>
        <v>Red</v>
      </c>
    </row>
    <row r="98" spans="1:30" x14ac:dyDescent="0.2">
      <c r="A98" t="str">
        <f>L98&amp;F98&amp;G98</f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>DAY(D98)&amp;"/"&amp;"07"&amp;"/"&amp;YEAR(D98)</f>
        <v>21/07/2026</v>
      </c>
      <c r="M98" s="23">
        <f>E98-TIME(3,0,0)</f>
        <v>0.53819444444444442</v>
      </c>
      <c r="N98" t="str">
        <f>J98&amp;" - "&amp;K98</f>
        <v>2 - 0</v>
      </c>
      <c r="O98" t="str">
        <f>IF($J98&gt;$K98,"Green","Red")</f>
        <v>Green</v>
      </c>
      <c r="P98" t="str">
        <f>IF($J98=$K98,"Green","Red")</f>
        <v>Red</v>
      </c>
      <c r="Q98" t="str">
        <f>IF($J98&lt;$K98,"Green","Red")</f>
        <v>Red</v>
      </c>
      <c r="R98" t="str">
        <f>IF($J98&gt;=$K98,"Green","Red")</f>
        <v>Green</v>
      </c>
      <c r="S98" t="str">
        <f>IF($J98&lt;=$K98,"Green","Red")</f>
        <v>Red</v>
      </c>
      <c r="T98" t="str">
        <f>IF(OR($J98&gt;$K98,$J98&lt;$K98),"Green","Red")</f>
        <v>Green</v>
      </c>
      <c r="U98" t="str">
        <f>IF($H98&gt;$I98,"Green","Red")</f>
        <v>Green</v>
      </c>
      <c r="V98" t="str">
        <f>IF($H98=$I98,"Green","Red")</f>
        <v>Red</v>
      </c>
      <c r="W98" t="str">
        <f>IF($H98&lt;$I98,"Green","Red")</f>
        <v>Red</v>
      </c>
      <c r="X98" t="str">
        <f>IF($H98+$I98&gt;0,"Green","Red")</f>
        <v>Green</v>
      </c>
      <c r="Y98" t="str">
        <f>IF($J98+$K98&gt;1.5,"Green","Red")</f>
        <v>Green</v>
      </c>
      <c r="Z98" t="str">
        <f>IF($J98+$K98&gt;2.5,"Green","Red")</f>
        <v>Red</v>
      </c>
      <c r="AA98" t="str">
        <f>IF($J98+$K98&lt;2.5,"Green","Red")</f>
        <v>Green</v>
      </c>
      <c r="AB98" t="str">
        <f>IF($J98+$K98&lt;3.5,"Green","Red")</f>
        <v>Green</v>
      </c>
      <c r="AC98" t="str">
        <f>IF(AND($J98&gt;0,$K98&gt;0),"Green","Red")</f>
        <v>Red</v>
      </c>
      <c r="AD98" t="str">
        <f>IF(OR($J98=0,$K98=0),"Green","Red")</f>
        <v>Green</v>
      </c>
    </row>
    <row r="99" spans="1:30" x14ac:dyDescent="0.2">
      <c r="A99" t="str">
        <f>L99&amp;F99&amp;G99</f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>DAY(D99)&amp;"/"&amp;"07"&amp;"/"&amp;YEAR(D99)</f>
        <v>21/07/2026</v>
      </c>
      <c r="M99" s="23">
        <f>E99-TIME(3,0,0)</f>
        <v>0.54166666666666663</v>
      </c>
      <c r="N99" t="str">
        <f>J99&amp;" - "&amp;K99</f>
        <v>2 - 0</v>
      </c>
      <c r="O99" t="str">
        <f>IF($J99&gt;$K99,"Green","Red")</f>
        <v>Green</v>
      </c>
      <c r="P99" t="str">
        <f>IF($J99=$K99,"Green","Red")</f>
        <v>Red</v>
      </c>
      <c r="Q99" t="str">
        <f>IF($J99&lt;$K99,"Green","Red")</f>
        <v>Red</v>
      </c>
      <c r="R99" t="str">
        <f>IF($J99&gt;=$K99,"Green","Red")</f>
        <v>Green</v>
      </c>
      <c r="S99" t="str">
        <f>IF($J99&lt;=$K99,"Green","Red")</f>
        <v>Red</v>
      </c>
      <c r="T99" t="str">
        <f>IF(OR($J99&gt;$K99,$J99&lt;$K99),"Green","Red")</f>
        <v>Green</v>
      </c>
      <c r="U99" t="str">
        <f>IF($H99&gt;$I99,"Green","Red")</f>
        <v>Red</v>
      </c>
      <c r="V99" t="str">
        <f>IF($H99=$I99,"Green","Red")</f>
        <v>Green</v>
      </c>
      <c r="W99" t="str">
        <f>IF($H99&lt;$I99,"Green","Red")</f>
        <v>Red</v>
      </c>
      <c r="X99" t="str">
        <f>IF($H99+$I99&gt;0,"Green","Red")</f>
        <v>Red</v>
      </c>
      <c r="Y99" t="str">
        <f>IF($J99+$K99&gt;1.5,"Green","Red")</f>
        <v>Green</v>
      </c>
      <c r="Z99" t="str">
        <f>IF($J99+$K99&gt;2.5,"Green","Red")</f>
        <v>Red</v>
      </c>
      <c r="AA99" t="str">
        <f>IF($J99+$K99&lt;2.5,"Green","Red")</f>
        <v>Green</v>
      </c>
      <c r="AB99" t="str">
        <f>IF($J99+$K99&lt;3.5,"Green","Red")</f>
        <v>Green</v>
      </c>
      <c r="AC99" t="str">
        <f>IF(AND($J99&gt;0,$K99&gt;0),"Green","Red")</f>
        <v>Red</v>
      </c>
      <c r="AD99" t="str">
        <f>IF(OR($J99=0,$K99=0),"Green","Red")</f>
        <v>Green</v>
      </c>
    </row>
    <row r="100" spans="1:30" x14ac:dyDescent="0.2">
      <c r="A100" t="str">
        <f>L100&amp;F100&amp;G100</f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>DAY(D100)&amp;"/"&amp;"07"&amp;"/"&amp;YEAR(D100)</f>
        <v>21/07/2026</v>
      </c>
      <c r="M100" s="23">
        <f>E100-TIME(3,0,0)</f>
        <v>0.54166666666666663</v>
      </c>
      <c r="N100" t="str">
        <f>J100&amp;" - "&amp;K100</f>
        <v>3 - 0</v>
      </c>
      <c r="O100" t="str">
        <f>IF($J100&gt;$K100,"Green","Red")</f>
        <v>Green</v>
      </c>
      <c r="P100" t="str">
        <f>IF($J100=$K100,"Green","Red")</f>
        <v>Red</v>
      </c>
      <c r="Q100" t="str">
        <f>IF($J100&lt;$K100,"Green","Red")</f>
        <v>Red</v>
      </c>
      <c r="R100" t="str">
        <f>IF($J100&gt;=$K100,"Green","Red")</f>
        <v>Green</v>
      </c>
      <c r="S100" t="str">
        <f>IF($J100&lt;=$K100,"Green","Red")</f>
        <v>Red</v>
      </c>
      <c r="T100" t="str">
        <f>IF(OR($J100&gt;$K100,$J100&lt;$K100),"Green","Red")</f>
        <v>Green</v>
      </c>
      <c r="U100" t="str">
        <f>IF($H100&gt;$I100,"Green","Red")</f>
        <v>Green</v>
      </c>
      <c r="V100" t="str">
        <f>IF($H100=$I100,"Green","Red")</f>
        <v>Red</v>
      </c>
      <c r="W100" t="str">
        <f>IF($H100&lt;$I100,"Green","Red")</f>
        <v>Red</v>
      </c>
      <c r="X100" t="str">
        <f>IF($H100+$I100&gt;0,"Green","Red")</f>
        <v>Green</v>
      </c>
      <c r="Y100" t="str">
        <f>IF($J100+$K100&gt;1.5,"Green","Red")</f>
        <v>Green</v>
      </c>
      <c r="Z100" t="str">
        <f>IF($J100+$K100&gt;2.5,"Green","Red")</f>
        <v>Green</v>
      </c>
      <c r="AA100" t="str">
        <f>IF($J100+$K100&lt;2.5,"Green","Red")</f>
        <v>Red</v>
      </c>
      <c r="AB100" t="str">
        <f>IF($J100+$K100&lt;3.5,"Green","Red")</f>
        <v>Green</v>
      </c>
      <c r="AC100" t="str">
        <f>IF(AND($J100&gt;0,$K100&gt;0),"Green","Red")</f>
        <v>Red</v>
      </c>
      <c r="AD100" t="str">
        <f>IF(OR($J100=0,$K100=0),"Green","Red")</f>
        <v>Green</v>
      </c>
    </row>
    <row r="101" spans="1:30" x14ac:dyDescent="0.2">
      <c r="A101" t="str">
        <f>L101&amp;F101&amp;G101</f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>DAY(D101)&amp;"/"&amp;"07"&amp;"/"&amp;YEAR(D101)</f>
        <v>21/07/2026</v>
      </c>
      <c r="M101" s="23">
        <f>E101-TIME(3,0,0)</f>
        <v>0.54166666666666663</v>
      </c>
      <c r="N101" t="str">
        <f>J101&amp;" - "&amp;K101</f>
        <v>1 - 0</v>
      </c>
      <c r="O101" t="str">
        <f>IF($J101&gt;$K101,"Green","Red")</f>
        <v>Green</v>
      </c>
      <c r="P101" t="str">
        <f>IF($J101=$K101,"Green","Red")</f>
        <v>Red</v>
      </c>
      <c r="Q101" t="str">
        <f>IF($J101&lt;$K101,"Green","Red")</f>
        <v>Red</v>
      </c>
      <c r="R101" t="str">
        <f>IF($J101&gt;=$K101,"Green","Red")</f>
        <v>Green</v>
      </c>
      <c r="S101" t="str">
        <f>IF($J101&lt;=$K101,"Green","Red")</f>
        <v>Red</v>
      </c>
      <c r="T101" t="str">
        <f>IF(OR($J101&gt;$K101,$J101&lt;$K101),"Green","Red")</f>
        <v>Green</v>
      </c>
      <c r="U101" t="str">
        <f>IF($H101&gt;$I101,"Green","Red")</f>
        <v>Green</v>
      </c>
      <c r="V101" t="str">
        <f>IF($H101=$I101,"Green","Red")</f>
        <v>Red</v>
      </c>
      <c r="W101" t="str">
        <f>IF($H101&lt;$I101,"Green","Red")</f>
        <v>Red</v>
      </c>
      <c r="X101" t="str">
        <f>IF($H101+$I101&gt;0,"Green","Red")</f>
        <v>Green</v>
      </c>
      <c r="Y101" t="str">
        <f>IF($J101+$K101&gt;1.5,"Green","Red")</f>
        <v>Red</v>
      </c>
      <c r="Z101" t="str">
        <f>IF($J101+$K101&gt;2.5,"Green","Red")</f>
        <v>Red</v>
      </c>
      <c r="AA101" t="str">
        <f>IF($J101+$K101&lt;2.5,"Green","Red")</f>
        <v>Green</v>
      </c>
      <c r="AB101" t="str">
        <f>IF($J101+$K101&lt;3.5,"Green","Red")</f>
        <v>Green</v>
      </c>
      <c r="AC101" t="str">
        <f>IF(AND($J101&gt;0,$K101&gt;0),"Green","Red")</f>
        <v>Red</v>
      </c>
      <c r="AD101" t="str">
        <f>IF(OR($J101=0,$K101=0),"Green","Red")</f>
        <v>Green</v>
      </c>
    </row>
    <row r="102" spans="1:30" x14ac:dyDescent="0.2">
      <c r="A102" t="str">
        <f>L102&amp;F102&amp;G102</f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>DAY(D102)&amp;"/"&amp;"07"&amp;"/"&amp;YEAR(D102)</f>
        <v>21/07/2026</v>
      </c>
      <c r="M102" s="23">
        <f>E102-TIME(3,0,0)</f>
        <v>0.54166666666666663</v>
      </c>
      <c r="N102" t="str">
        <f>J102&amp;" - "&amp;K102</f>
        <v>0 - 2</v>
      </c>
      <c r="O102" t="str">
        <f>IF($J102&gt;$K102,"Green","Red")</f>
        <v>Red</v>
      </c>
      <c r="P102" t="str">
        <f>IF($J102=$K102,"Green","Red")</f>
        <v>Red</v>
      </c>
      <c r="Q102" t="str">
        <f>IF($J102&lt;$K102,"Green","Red")</f>
        <v>Green</v>
      </c>
      <c r="R102" t="str">
        <f>IF($J102&gt;=$K102,"Green","Red")</f>
        <v>Red</v>
      </c>
      <c r="S102" t="str">
        <f>IF($J102&lt;=$K102,"Green","Red")</f>
        <v>Green</v>
      </c>
      <c r="T102" t="str">
        <f>IF(OR($J102&gt;$K102,$J102&lt;$K102),"Green","Red")</f>
        <v>Green</v>
      </c>
      <c r="U102" t="str">
        <f>IF($H102&gt;$I102,"Green","Red")</f>
        <v>Red</v>
      </c>
      <c r="V102" t="str">
        <f>IF($H102=$I102,"Green","Red")</f>
        <v>Red</v>
      </c>
      <c r="W102" t="str">
        <f>IF($H102&lt;$I102,"Green","Red")</f>
        <v>Green</v>
      </c>
      <c r="X102" t="str">
        <f>IF($H102+$I102&gt;0,"Green","Red")</f>
        <v>Green</v>
      </c>
      <c r="Y102" t="str">
        <f>IF($J102+$K102&gt;1.5,"Green","Red")</f>
        <v>Green</v>
      </c>
      <c r="Z102" t="str">
        <f>IF($J102+$K102&gt;2.5,"Green","Red")</f>
        <v>Red</v>
      </c>
      <c r="AA102" t="str">
        <f>IF($J102+$K102&lt;2.5,"Green","Red")</f>
        <v>Green</v>
      </c>
      <c r="AB102" t="str">
        <f>IF($J102+$K102&lt;3.5,"Green","Red")</f>
        <v>Green</v>
      </c>
      <c r="AC102" t="str">
        <f>IF(AND($J102&gt;0,$K102&gt;0),"Green","Red")</f>
        <v>Red</v>
      </c>
      <c r="AD102" t="str">
        <f>IF(OR($J102=0,$K102=0),"Green","Red")</f>
        <v>Green</v>
      </c>
    </row>
    <row r="103" spans="1:30" x14ac:dyDescent="0.2">
      <c r="A103" t="str">
        <f>L103&amp;F103&amp;G103</f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>DAY(D103)&amp;"/"&amp;"07"&amp;"/"&amp;YEAR(D103)</f>
        <v>21/07/2026</v>
      </c>
      <c r="M103" s="23">
        <f>E103-TIME(3,0,0)</f>
        <v>0.54166666666666663</v>
      </c>
      <c r="N103" t="str">
        <f>J103&amp;" - "&amp;K103</f>
        <v>0 - 2</v>
      </c>
      <c r="O103" t="str">
        <f>IF($J103&gt;$K103,"Green","Red")</f>
        <v>Red</v>
      </c>
      <c r="P103" t="str">
        <f>IF($J103=$K103,"Green","Red")</f>
        <v>Red</v>
      </c>
      <c r="Q103" t="str">
        <f>IF($J103&lt;$K103,"Green","Red")</f>
        <v>Green</v>
      </c>
      <c r="R103" t="str">
        <f>IF($J103&gt;=$K103,"Green","Red")</f>
        <v>Red</v>
      </c>
      <c r="S103" t="str">
        <f>IF($J103&lt;=$K103,"Green","Red")</f>
        <v>Green</v>
      </c>
      <c r="T103" t="str">
        <f>IF(OR($J103&gt;$K103,$J103&lt;$K103),"Green","Red")</f>
        <v>Green</v>
      </c>
      <c r="U103" t="str">
        <f>IF($H103&gt;$I103,"Green","Red")</f>
        <v>Red</v>
      </c>
      <c r="V103" t="str">
        <f>IF($H103=$I103,"Green","Red")</f>
        <v>Red</v>
      </c>
      <c r="W103" t="str">
        <f>IF($H103&lt;$I103,"Green","Red")</f>
        <v>Green</v>
      </c>
      <c r="X103" t="str">
        <f>IF($H103+$I103&gt;0,"Green","Red")</f>
        <v>Green</v>
      </c>
      <c r="Y103" t="str">
        <f>IF($J103+$K103&gt;1.5,"Green","Red")</f>
        <v>Green</v>
      </c>
      <c r="Z103" t="str">
        <f>IF($J103+$K103&gt;2.5,"Green","Red")</f>
        <v>Red</v>
      </c>
      <c r="AA103" t="str">
        <f>IF($J103+$K103&lt;2.5,"Green","Red")</f>
        <v>Green</v>
      </c>
      <c r="AB103" t="str">
        <f>IF($J103+$K103&lt;3.5,"Green","Red")</f>
        <v>Green</v>
      </c>
      <c r="AC103" t="str">
        <f>IF(AND($J103&gt;0,$K103&gt;0),"Green","Red")</f>
        <v>Red</v>
      </c>
      <c r="AD103" t="str">
        <f>IF(OR($J103=0,$K103=0),"Green","Red")</f>
        <v>Green</v>
      </c>
    </row>
    <row r="104" spans="1:30" x14ac:dyDescent="0.2">
      <c r="A104" t="str">
        <f>L104&amp;F104&amp;G104</f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>DAY(D104)&amp;"/"&amp;"07"&amp;"/"&amp;YEAR(D104)</f>
        <v>21/07/2026</v>
      </c>
      <c r="M104" s="23">
        <f>E104-TIME(3,0,0)</f>
        <v>0.54166666666666663</v>
      </c>
      <c r="N104" t="str">
        <f>J104&amp;" - "&amp;K104</f>
        <v>0 - 2</v>
      </c>
      <c r="O104" t="str">
        <f>IF($J104&gt;$K104,"Green","Red")</f>
        <v>Red</v>
      </c>
      <c r="P104" t="str">
        <f>IF($J104=$K104,"Green","Red")</f>
        <v>Red</v>
      </c>
      <c r="Q104" t="str">
        <f>IF($J104&lt;$K104,"Green","Red")</f>
        <v>Green</v>
      </c>
      <c r="R104" t="str">
        <f>IF($J104&gt;=$K104,"Green","Red")</f>
        <v>Red</v>
      </c>
      <c r="S104" t="str">
        <f>IF($J104&lt;=$K104,"Green","Red")</f>
        <v>Green</v>
      </c>
      <c r="T104" t="str">
        <f>IF(OR($J104&gt;$K104,$J104&lt;$K104),"Green","Red")</f>
        <v>Green</v>
      </c>
      <c r="U104" t="str">
        <f>IF($H104&gt;$I104,"Green","Red")</f>
        <v>Red</v>
      </c>
      <c r="V104" t="str">
        <f>IF($H104=$I104,"Green","Red")</f>
        <v>Red</v>
      </c>
      <c r="W104" t="str">
        <f>IF($H104&lt;$I104,"Green","Red")</f>
        <v>Green</v>
      </c>
      <c r="X104" t="str">
        <f>IF($H104+$I104&gt;0,"Green","Red")</f>
        <v>Green</v>
      </c>
      <c r="Y104" t="str">
        <f>IF($J104+$K104&gt;1.5,"Green","Red")</f>
        <v>Green</v>
      </c>
      <c r="Z104" t="str">
        <f>IF($J104+$K104&gt;2.5,"Green","Red")</f>
        <v>Red</v>
      </c>
      <c r="AA104" t="str">
        <f>IF($J104+$K104&lt;2.5,"Green","Red")</f>
        <v>Green</v>
      </c>
      <c r="AB104" t="str">
        <f>IF($J104+$K104&lt;3.5,"Green","Red")</f>
        <v>Green</v>
      </c>
      <c r="AC104" t="str">
        <f>IF(AND($J104&gt;0,$K104&gt;0),"Green","Red")</f>
        <v>Red</v>
      </c>
      <c r="AD104" t="str">
        <f>IF(OR($J104=0,$K104=0),"Green","Red")</f>
        <v>Green</v>
      </c>
    </row>
    <row r="105" spans="1:30" x14ac:dyDescent="0.2">
      <c r="A105" t="str">
        <f>L105&amp;F105&amp;G105</f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>DAY(D105)&amp;"/"&amp;"07"&amp;"/"&amp;YEAR(D105)</f>
        <v>21/07/2026</v>
      </c>
      <c r="M105" s="23">
        <f>E105-TIME(3,0,0)</f>
        <v>0.54166666666666663</v>
      </c>
      <c r="N105" t="str">
        <f>J105&amp;" - "&amp;K105</f>
        <v>1 - 1</v>
      </c>
      <c r="O105" t="str">
        <f>IF($J105&gt;$K105,"Green","Red")</f>
        <v>Red</v>
      </c>
      <c r="P105" t="str">
        <f>IF($J105=$K105,"Green","Red")</f>
        <v>Green</v>
      </c>
      <c r="Q105" t="str">
        <f>IF($J105&lt;$K105,"Green","Red")</f>
        <v>Red</v>
      </c>
      <c r="R105" t="str">
        <f>IF($J105&gt;=$K105,"Green","Red")</f>
        <v>Green</v>
      </c>
      <c r="S105" t="str">
        <f>IF($J105&lt;=$K105,"Green","Red")</f>
        <v>Green</v>
      </c>
      <c r="T105" t="str">
        <f>IF(OR($J105&gt;$K105,$J105&lt;$K105),"Green","Red")</f>
        <v>Red</v>
      </c>
      <c r="U105" t="str">
        <f>IF($H105&gt;$I105,"Green","Red")</f>
        <v>Red</v>
      </c>
      <c r="V105" t="str">
        <f>IF($H105=$I105,"Green","Red")</f>
        <v>Green</v>
      </c>
      <c r="W105" t="str">
        <f>IF($H105&lt;$I105,"Green","Red")</f>
        <v>Red</v>
      </c>
      <c r="X105" t="str">
        <f>IF($H105+$I105&gt;0,"Green","Red")</f>
        <v>Red</v>
      </c>
      <c r="Y105" t="str">
        <f>IF($J105+$K105&gt;1.5,"Green","Red")</f>
        <v>Green</v>
      </c>
      <c r="Z105" t="str">
        <f>IF($J105+$K105&gt;2.5,"Green","Red")</f>
        <v>Red</v>
      </c>
      <c r="AA105" t="str">
        <f>IF($J105+$K105&lt;2.5,"Green","Red")</f>
        <v>Green</v>
      </c>
      <c r="AB105" t="str">
        <f>IF($J105+$K105&lt;3.5,"Green","Red")</f>
        <v>Green</v>
      </c>
      <c r="AC105" t="str">
        <f>IF(AND($J105&gt;0,$K105&gt;0),"Green","Red")</f>
        <v>Green</v>
      </c>
      <c r="AD105" t="str">
        <f>IF(OR($J105=0,$K105=0),"Green","Red")</f>
        <v>Red</v>
      </c>
    </row>
    <row r="106" spans="1:30" x14ac:dyDescent="0.2">
      <c r="A106" t="str">
        <f>L106&amp;F106&amp;G106</f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>DAY(D106)&amp;"/"&amp;"07"&amp;"/"&amp;YEAR(D106)</f>
        <v>21/07/2026</v>
      </c>
      <c r="M106" s="23">
        <f>E106-TIME(3,0,0)</f>
        <v>0.54166666666666663</v>
      </c>
      <c r="N106" t="str">
        <f>J106&amp;" - "&amp;K106</f>
        <v>2 - 1</v>
      </c>
      <c r="O106" t="str">
        <f>IF($J106&gt;$K106,"Green","Red")</f>
        <v>Green</v>
      </c>
      <c r="P106" t="str">
        <f>IF($J106=$K106,"Green","Red")</f>
        <v>Red</v>
      </c>
      <c r="Q106" t="str">
        <f>IF($J106&lt;$K106,"Green","Red")</f>
        <v>Red</v>
      </c>
      <c r="R106" t="str">
        <f>IF($J106&gt;=$K106,"Green","Red")</f>
        <v>Green</v>
      </c>
      <c r="S106" t="str">
        <f>IF($J106&lt;=$K106,"Green","Red")</f>
        <v>Red</v>
      </c>
      <c r="T106" t="str">
        <f>IF(OR($J106&gt;$K106,$J106&lt;$K106),"Green","Red")</f>
        <v>Green</v>
      </c>
      <c r="U106" t="str">
        <f>IF($H106&gt;$I106,"Green","Red")</f>
        <v>Green</v>
      </c>
      <c r="V106" t="str">
        <f>IF($H106=$I106,"Green","Red")</f>
        <v>Red</v>
      </c>
      <c r="W106" t="str">
        <f>IF($H106&lt;$I106,"Green","Red")</f>
        <v>Red</v>
      </c>
      <c r="X106" t="str">
        <f>IF($H106+$I106&gt;0,"Green","Red")</f>
        <v>Green</v>
      </c>
      <c r="Y106" t="str">
        <f>IF($J106+$K106&gt;1.5,"Green","Red")</f>
        <v>Green</v>
      </c>
      <c r="Z106" t="str">
        <f>IF($J106+$K106&gt;2.5,"Green","Red")</f>
        <v>Green</v>
      </c>
      <c r="AA106" t="str">
        <f>IF($J106+$K106&lt;2.5,"Green","Red")</f>
        <v>Red</v>
      </c>
      <c r="AB106" t="str">
        <f>IF($J106+$K106&lt;3.5,"Green","Red")</f>
        <v>Green</v>
      </c>
      <c r="AC106" t="str">
        <f>IF(AND($J106&gt;0,$K106&gt;0),"Green","Red")</f>
        <v>Green</v>
      </c>
      <c r="AD106" t="str">
        <f>IF(OR($J106=0,$K106=0),"Green","Red")</f>
        <v>Red</v>
      </c>
    </row>
    <row r="107" spans="1:30" x14ac:dyDescent="0.2">
      <c r="A107" t="str">
        <f>L107&amp;F107&amp;G107</f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>DAY(D107)&amp;"/"&amp;"07"&amp;"/"&amp;YEAR(D107)</f>
        <v>21/07/2026</v>
      </c>
      <c r="M107" s="23">
        <f>E107-TIME(3,0,0)</f>
        <v>0.54166666666666663</v>
      </c>
      <c r="N107" t="str">
        <f>J107&amp;" - "&amp;K107</f>
        <v xml:space="preserve"> - </v>
      </c>
      <c r="O107" t="str">
        <f>IF($J107&gt;$K107,"Green","Red")</f>
        <v>Red</v>
      </c>
      <c r="P107" t="str">
        <f>IF($J107=$K107,"Green","Red")</f>
        <v>Green</v>
      </c>
      <c r="Q107" t="str">
        <f>IF($J107&lt;$K107,"Green","Red")</f>
        <v>Red</v>
      </c>
      <c r="R107" t="str">
        <f>IF($J107&gt;=$K107,"Green","Red")</f>
        <v>Green</v>
      </c>
      <c r="S107" t="str">
        <f>IF($J107&lt;=$K107,"Green","Red")</f>
        <v>Green</v>
      </c>
      <c r="T107" t="str">
        <f>IF(OR($J107&gt;$K107,$J107&lt;$K107),"Green","Red")</f>
        <v>Red</v>
      </c>
      <c r="U107" t="str">
        <f>IF($H107&gt;$I107,"Green","Red")</f>
        <v>Red</v>
      </c>
      <c r="V107" t="str">
        <f>IF($H107=$I107,"Green","Red")</f>
        <v>Green</v>
      </c>
      <c r="W107" t="str">
        <f>IF($H107&lt;$I107,"Green","Red")</f>
        <v>Red</v>
      </c>
      <c r="X107" t="str">
        <f>IF($H107+$I107&gt;0,"Green","Red")</f>
        <v>Red</v>
      </c>
      <c r="Y107" t="str">
        <f>IF($J107+$K107&gt;1.5,"Green","Red")</f>
        <v>Red</v>
      </c>
      <c r="Z107" t="str">
        <f>IF($J107+$K107&gt;2.5,"Green","Red")</f>
        <v>Red</v>
      </c>
      <c r="AA107" t="str">
        <f>IF($J107+$K107&lt;2.5,"Green","Red")</f>
        <v>Green</v>
      </c>
      <c r="AB107" t="str">
        <f>IF($J107+$K107&lt;3.5,"Green","Red")</f>
        <v>Green</v>
      </c>
      <c r="AC107" t="str">
        <f>IF(AND($J107&gt;0,$K107&gt;0),"Green","Red")</f>
        <v>Red</v>
      </c>
      <c r="AD107" t="str">
        <f>IF(OR($J107=0,$K107=0),"Green","Red")</f>
        <v>Green</v>
      </c>
    </row>
    <row r="108" spans="1:30" x14ac:dyDescent="0.2">
      <c r="A108" t="str">
        <f>L108&amp;F108&amp;G108</f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>DAY(D108)&amp;"/"&amp;"07"&amp;"/"&amp;YEAR(D108)</f>
        <v>21/07/2026</v>
      </c>
      <c r="M108" s="23">
        <f>E108-TIME(3,0,0)</f>
        <v>0.54166666666666663</v>
      </c>
      <c r="N108" t="str">
        <f>J108&amp;" - "&amp;K108</f>
        <v>2 - 2</v>
      </c>
      <c r="O108" t="str">
        <f>IF($J108&gt;$K108,"Green","Red")</f>
        <v>Red</v>
      </c>
      <c r="P108" t="str">
        <f>IF($J108=$K108,"Green","Red")</f>
        <v>Green</v>
      </c>
      <c r="Q108" t="str">
        <f>IF($J108&lt;$K108,"Green","Red")</f>
        <v>Red</v>
      </c>
      <c r="R108" t="str">
        <f>IF($J108&gt;=$K108,"Green","Red")</f>
        <v>Green</v>
      </c>
      <c r="S108" t="str">
        <f>IF($J108&lt;=$K108,"Green","Red")</f>
        <v>Green</v>
      </c>
      <c r="T108" t="str">
        <f>IF(OR($J108&gt;$K108,$J108&lt;$K108),"Green","Red")</f>
        <v>Red</v>
      </c>
      <c r="U108" t="str">
        <f>IF($H108&gt;$I108,"Green","Red")</f>
        <v>Red</v>
      </c>
      <c r="V108" t="str">
        <f>IF($H108=$I108,"Green","Red")</f>
        <v>Green</v>
      </c>
      <c r="W108" t="str">
        <f>IF($H108&lt;$I108,"Green","Red")</f>
        <v>Red</v>
      </c>
      <c r="X108" t="str">
        <f>IF($H108+$I108&gt;0,"Green","Red")</f>
        <v>Red</v>
      </c>
      <c r="Y108" t="str">
        <f>IF($J108+$K108&gt;1.5,"Green","Red")</f>
        <v>Green</v>
      </c>
      <c r="Z108" t="str">
        <f>IF($J108+$K108&gt;2.5,"Green","Red")</f>
        <v>Green</v>
      </c>
      <c r="AA108" t="str">
        <f>IF($J108+$K108&lt;2.5,"Green","Red")</f>
        <v>Red</v>
      </c>
      <c r="AB108" t="str">
        <f>IF($J108+$K108&lt;3.5,"Green","Red")</f>
        <v>Red</v>
      </c>
      <c r="AC108" t="str">
        <f>IF(AND($J108&gt;0,$K108&gt;0),"Green","Red")</f>
        <v>Green</v>
      </c>
      <c r="AD108" t="str">
        <f>IF(OR($J108=0,$K108=0),"Green","Red")</f>
        <v>Red</v>
      </c>
    </row>
    <row r="109" spans="1:30" x14ac:dyDescent="0.2">
      <c r="A109" t="str">
        <f>L109&amp;F109&amp;G109</f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>DAY(D109)&amp;"/"&amp;"07"&amp;"/"&amp;YEAR(D109)</f>
        <v>21/07/2026</v>
      </c>
      <c r="M109" s="23">
        <f>E109-TIME(3,0,0)</f>
        <v>0.5625</v>
      </c>
      <c r="N109" t="str">
        <f>J109&amp;" - "&amp;K109</f>
        <v>4 - 1</v>
      </c>
      <c r="O109" t="str">
        <f>IF($J109&gt;$K109,"Green","Red")</f>
        <v>Green</v>
      </c>
      <c r="P109" t="str">
        <f>IF($J109=$K109,"Green","Red")</f>
        <v>Red</v>
      </c>
      <c r="Q109" t="str">
        <f>IF($J109&lt;$K109,"Green","Red")</f>
        <v>Red</v>
      </c>
      <c r="R109" t="str">
        <f>IF($J109&gt;=$K109,"Green","Red")</f>
        <v>Green</v>
      </c>
      <c r="S109" t="str">
        <f>IF($J109&lt;=$K109,"Green","Red")</f>
        <v>Red</v>
      </c>
      <c r="T109" t="str">
        <f>IF(OR($J109&gt;$K109,$J109&lt;$K109),"Green","Red")</f>
        <v>Green</v>
      </c>
      <c r="U109" t="str">
        <f>IF($H109&gt;$I109,"Green","Red")</f>
        <v>Green</v>
      </c>
      <c r="V109" t="str">
        <f>IF($H109=$I109,"Green","Red")</f>
        <v>Red</v>
      </c>
      <c r="W109" t="str">
        <f>IF($H109&lt;$I109,"Green","Red")</f>
        <v>Red</v>
      </c>
      <c r="X109" t="str">
        <f>IF($H109+$I109&gt;0,"Green","Red")</f>
        <v>Green</v>
      </c>
      <c r="Y109" t="str">
        <f>IF($J109+$K109&gt;1.5,"Green","Red")</f>
        <v>Green</v>
      </c>
      <c r="Z109" t="str">
        <f>IF($J109+$K109&gt;2.5,"Green","Red")</f>
        <v>Green</v>
      </c>
      <c r="AA109" t="str">
        <f>IF($J109+$K109&lt;2.5,"Green","Red")</f>
        <v>Red</v>
      </c>
      <c r="AB109" t="str">
        <f>IF($J109+$K109&lt;3.5,"Green","Red")</f>
        <v>Red</v>
      </c>
      <c r="AC109" t="str">
        <f>IF(AND($J109&gt;0,$K109&gt;0),"Green","Red")</f>
        <v>Green</v>
      </c>
      <c r="AD109" t="str">
        <f>IF(OR($J109=0,$K109=0),"Green","Red")</f>
        <v>Red</v>
      </c>
    </row>
    <row r="110" spans="1:30" x14ac:dyDescent="0.2">
      <c r="A110" t="str">
        <f>L110&amp;F110&amp;G110</f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>DAY(D110)&amp;"/"&amp;"07"&amp;"/"&amp;YEAR(D110)</f>
        <v>21/07/2026</v>
      </c>
      <c r="M110" s="23">
        <f>E110-TIME(3,0,0)</f>
        <v>0.5625</v>
      </c>
      <c r="N110" t="str">
        <f>J110&amp;" - "&amp;K110</f>
        <v>3 - 2</v>
      </c>
      <c r="O110" t="str">
        <f>IF($J110&gt;$K110,"Green","Red")</f>
        <v>Green</v>
      </c>
      <c r="P110" t="str">
        <f>IF($J110=$K110,"Green","Red")</f>
        <v>Red</v>
      </c>
      <c r="Q110" t="str">
        <f>IF($J110&lt;$K110,"Green","Red")</f>
        <v>Red</v>
      </c>
      <c r="R110" t="str">
        <f>IF($J110&gt;=$K110,"Green","Red")</f>
        <v>Green</v>
      </c>
      <c r="S110" t="str">
        <f>IF($J110&lt;=$K110,"Green","Red")</f>
        <v>Red</v>
      </c>
      <c r="T110" t="str">
        <f>IF(OR($J110&gt;$K110,$J110&lt;$K110),"Green","Red")</f>
        <v>Green</v>
      </c>
      <c r="U110" t="str">
        <f>IF($H110&gt;$I110,"Green","Red")</f>
        <v>Red</v>
      </c>
      <c r="V110" t="str">
        <f>IF($H110=$I110,"Green","Red")</f>
        <v>Red</v>
      </c>
      <c r="W110" t="str">
        <f>IF($H110&lt;$I110,"Green","Red")</f>
        <v>Green</v>
      </c>
      <c r="X110" t="str">
        <f>IF($H110+$I110&gt;0,"Green","Red")</f>
        <v>Green</v>
      </c>
      <c r="Y110" t="str">
        <f>IF($J110+$K110&gt;1.5,"Green","Red")</f>
        <v>Green</v>
      </c>
      <c r="Z110" t="str">
        <f>IF($J110+$K110&gt;2.5,"Green","Red")</f>
        <v>Green</v>
      </c>
      <c r="AA110" t="str">
        <f>IF($J110+$K110&lt;2.5,"Green","Red")</f>
        <v>Red</v>
      </c>
      <c r="AB110" t="str">
        <f>IF($J110+$K110&lt;3.5,"Green","Red")</f>
        <v>Red</v>
      </c>
      <c r="AC110" t="str">
        <f>IF(AND($J110&gt;0,$K110&gt;0),"Green","Red")</f>
        <v>Green</v>
      </c>
      <c r="AD110" t="str">
        <f>IF(OR($J110=0,$K110=0),"Green","Red")</f>
        <v>Red</v>
      </c>
    </row>
    <row r="111" spans="1:30" x14ac:dyDescent="0.2">
      <c r="A111" t="str">
        <f>L111&amp;F111&amp;G111</f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>DAY(D111)&amp;"/"&amp;"07"&amp;"/"&amp;YEAR(D111)</f>
        <v>21/07/2026</v>
      </c>
      <c r="M111" s="23">
        <f>E111-TIME(3,0,0)</f>
        <v>0.5625</v>
      </c>
      <c r="N111" t="str">
        <f>J111&amp;" - "&amp;K111</f>
        <v xml:space="preserve"> - </v>
      </c>
      <c r="O111" t="str">
        <f>IF($J111&gt;$K111,"Green","Red")</f>
        <v>Red</v>
      </c>
      <c r="P111" t="str">
        <f>IF($J111=$K111,"Green","Red")</f>
        <v>Green</v>
      </c>
      <c r="Q111" t="str">
        <f>IF($J111&lt;$K111,"Green","Red")</f>
        <v>Red</v>
      </c>
      <c r="R111" t="str">
        <f>IF($J111&gt;=$K111,"Green","Red")</f>
        <v>Green</v>
      </c>
      <c r="S111" t="str">
        <f>IF($J111&lt;=$K111,"Green","Red")</f>
        <v>Green</v>
      </c>
      <c r="T111" t="str">
        <f>IF(OR($J111&gt;$K111,$J111&lt;$K111),"Green","Red")</f>
        <v>Red</v>
      </c>
      <c r="U111" t="str">
        <f>IF($H111&gt;$I111,"Green","Red")</f>
        <v>Red</v>
      </c>
      <c r="V111" t="str">
        <f>IF($H111=$I111,"Green","Red")</f>
        <v>Green</v>
      </c>
      <c r="W111" t="str">
        <f>IF($H111&lt;$I111,"Green","Red")</f>
        <v>Red</v>
      </c>
      <c r="X111" t="str">
        <f>IF($H111+$I111&gt;0,"Green","Red")</f>
        <v>Red</v>
      </c>
      <c r="Y111" t="str">
        <f>IF($J111+$K111&gt;1.5,"Green","Red")</f>
        <v>Red</v>
      </c>
      <c r="Z111" t="str">
        <f>IF($J111+$K111&gt;2.5,"Green","Red")</f>
        <v>Red</v>
      </c>
      <c r="AA111" t="str">
        <f>IF($J111+$K111&lt;2.5,"Green","Red")</f>
        <v>Green</v>
      </c>
      <c r="AB111" t="str">
        <f>IF($J111+$K111&lt;3.5,"Green","Red")</f>
        <v>Green</v>
      </c>
      <c r="AC111" t="str">
        <f>IF(AND($J111&gt;0,$K111&gt;0),"Green","Red")</f>
        <v>Red</v>
      </c>
      <c r="AD111" t="str">
        <f>IF(OR($J111=0,$K111=0),"Green","Red")</f>
        <v>Green</v>
      </c>
    </row>
    <row r="112" spans="1:30" x14ac:dyDescent="0.2">
      <c r="A112" t="str">
        <f>L112&amp;F112&amp;G112</f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>DAY(D112)&amp;"/"&amp;"07"&amp;"/"&amp;YEAR(D112)</f>
        <v>21/07/2026</v>
      </c>
      <c r="M112" s="23">
        <f>E112-TIME(3,0,0)</f>
        <v>0.5625</v>
      </c>
      <c r="N112" t="str">
        <f>J112&amp;" - "&amp;K112</f>
        <v>2 - 2</v>
      </c>
      <c r="O112" t="str">
        <f>IF($J112&gt;$K112,"Green","Red")</f>
        <v>Red</v>
      </c>
      <c r="P112" t="str">
        <f>IF($J112=$K112,"Green","Red")</f>
        <v>Green</v>
      </c>
      <c r="Q112" t="str">
        <f>IF($J112&lt;$K112,"Green","Red")</f>
        <v>Red</v>
      </c>
      <c r="R112" t="str">
        <f>IF($J112&gt;=$K112,"Green","Red")</f>
        <v>Green</v>
      </c>
      <c r="S112" t="str">
        <f>IF($J112&lt;=$K112,"Green","Red")</f>
        <v>Green</v>
      </c>
      <c r="T112" t="str">
        <f>IF(OR($J112&gt;$K112,$J112&lt;$K112),"Green","Red")</f>
        <v>Red</v>
      </c>
      <c r="U112" t="str">
        <f>IF($H112&gt;$I112,"Green","Red")</f>
        <v>Red</v>
      </c>
      <c r="V112" t="str">
        <f>IF($H112=$I112,"Green","Red")</f>
        <v>Green</v>
      </c>
      <c r="W112" t="str">
        <f>IF($H112&lt;$I112,"Green","Red")</f>
        <v>Red</v>
      </c>
      <c r="X112" t="str">
        <f>IF($H112+$I112&gt;0,"Green","Red")</f>
        <v>Green</v>
      </c>
      <c r="Y112" t="str">
        <f>IF($J112+$K112&gt;1.5,"Green","Red")</f>
        <v>Green</v>
      </c>
      <c r="Z112" t="str">
        <f>IF($J112+$K112&gt;2.5,"Green","Red")</f>
        <v>Green</v>
      </c>
      <c r="AA112" t="str">
        <f>IF($J112+$K112&lt;2.5,"Green","Red")</f>
        <v>Red</v>
      </c>
      <c r="AB112" t="str">
        <f>IF($J112+$K112&lt;3.5,"Green","Red")</f>
        <v>Red</v>
      </c>
      <c r="AC112" t="str">
        <f>IF(AND($J112&gt;0,$K112&gt;0),"Green","Red")</f>
        <v>Green</v>
      </c>
      <c r="AD112" t="str">
        <f>IF(OR($J112=0,$K112=0),"Green","Red")</f>
        <v>Red</v>
      </c>
    </row>
    <row r="113" spans="1:30" x14ac:dyDescent="0.2">
      <c r="A113" t="str">
        <f>L113&amp;F113&amp;G113</f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>DAY(D113)&amp;"/"&amp;"07"&amp;"/"&amp;YEAR(D113)</f>
        <v>21/07/2026</v>
      </c>
      <c r="M113" s="23">
        <f>E113-TIME(3,0,0)</f>
        <v>0.5625</v>
      </c>
      <c r="N113" t="str">
        <f>J113&amp;" - "&amp;K113</f>
        <v>1 - 0</v>
      </c>
      <c r="O113" t="str">
        <f>IF($J113&gt;$K113,"Green","Red")</f>
        <v>Green</v>
      </c>
      <c r="P113" t="str">
        <f>IF($J113=$K113,"Green","Red")</f>
        <v>Red</v>
      </c>
      <c r="Q113" t="str">
        <f>IF($J113&lt;$K113,"Green","Red")</f>
        <v>Red</v>
      </c>
      <c r="R113" t="str">
        <f>IF($J113&gt;=$K113,"Green","Red")</f>
        <v>Green</v>
      </c>
      <c r="S113" t="str">
        <f>IF($J113&lt;=$K113,"Green","Red")</f>
        <v>Red</v>
      </c>
      <c r="T113" t="str">
        <f>IF(OR($J113&gt;$K113,$J113&lt;$K113),"Green","Red")</f>
        <v>Green</v>
      </c>
      <c r="U113" t="str">
        <f>IF($H113&gt;$I113,"Green","Red")</f>
        <v>Green</v>
      </c>
      <c r="V113" t="str">
        <f>IF($H113=$I113,"Green","Red")</f>
        <v>Red</v>
      </c>
      <c r="W113" t="str">
        <f>IF($H113&lt;$I113,"Green","Red")</f>
        <v>Red</v>
      </c>
      <c r="X113" t="str">
        <f>IF($H113+$I113&gt;0,"Green","Red")</f>
        <v>Green</v>
      </c>
      <c r="Y113" t="str">
        <f>IF($J113+$K113&gt;1.5,"Green","Red")</f>
        <v>Red</v>
      </c>
      <c r="Z113" t="str">
        <f>IF($J113+$K113&gt;2.5,"Green","Red")</f>
        <v>Red</v>
      </c>
      <c r="AA113" t="str">
        <f>IF($J113+$K113&lt;2.5,"Green","Red")</f>
        <v>Green</v>
      </c>
      <c r="AB113" t="str">
        <f>IF($J113+$K113&lt;3.5,"Green","Red")</f>
        <v>Green</v>
      </c>
      <c r="AC113" t="str">
        <f>IF(AND($J113&gt;0,$K113&gt;0),"Green","Red")</f>
        <v>Red</v>
      </c>
      <c r="AD113" t="str">
        <f>IF(OR($J113=0,$K113=0),"Green","Red")</f>
        <v>Green</v>
      </c>
    </row>
    <row r="114" spans="1:30" x14ac:dyDescent="0.2">
      <c r="A114" t="str">
        <f>L114&amp;F114&amp;G114</f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>DAY(D114)&amp;"/"&amp;"07"&amp;"/"&amp;YEAR(D114)</f>
        <v>21/07/2026</v>
      </c>
      <c r="M114" s="23">
        <f>E114-TIME(3,0,0)</f>
        <v>0.5625</v>
      </c>
      <c r="N114" t="str">
        <f>J114&amp;" - "&amp;K114</f>
        <v>5 - 2</v>
      </c>
      <c r="O114" t="str">
        <f>IF($J114&gt;$K114,"Green","Red")</f>
        <v>Green</v>
      </c>
      <c r="P114" t="str">
        <f>IF($J114=$K114,"Green","Red")</f>
        <v>Red</v>
      </c>
      <c r="Q114" t="str">
        <f>IF($J114&lt;$K114,"Green","Red")</f>
        <v>Red</v>
      </c>
      <c r="R114" t="str">
        <f>IF($J114&gt;=$K114,"Green","Red")</f>
        <v>Green</v>
      </c>
      <c r="S114" t="str">
        <f>IF($J114&lt;=$K114,"Green","Red")</f>
        <v>Red</v>
      </c>
      <c r="T114" t="str">
        <f>IF(OR($J114&gt;$K114,$J114&lt;$K114),"Green","Red")</f>
        <v>Green</v>
      </c>
      <c r="U114" t="str">
        <f>IF($H114&gt;$I114,"Green","Red")</f>
        <v>Green</v>
      </c>
      <c r="V114" t="str">
        <f>IF($H114=$I114,"Green","Red")</f>
        <v>Red</v>
      </c>
      <c r="W114" t="str">
        <f>IF($H114&lt;$I114,"Green","Red")</f>
        <v>Red</v>
      </c>
      <c r="X114" t="str">
        <f>IF($H114+$I114&gt;0,"Green","Red")</f>
        <v>Green</v>
      </c>
      <c r="Y114" t="str">
        <f>IF($J114+$K114&gt;1.5,"Green","Red")</f>
        <v>Green</v>
      </c>
      <c r="Z114" t="str">
        <f>IF($J114+$K114&gt;2.5,"Green","Red")</f>
        <v>Green</v>
      </c>
      <c r="AA114" t="str">
        <f>IF($J114+$K114&lt;2.5,"Green","Red")</f>
        <v>Red</v>
      </c>
      <c r="AB114" t="str">
        <f>IF($J114+$K114&lt;3.5,"Green","Red")</f>
        <v>Red</v>
      </c>
      <c r="AC114" t="str">
        <f>IF(AND($J114&gt;0,$K114&gt;0),"Green","Red")</f>
        <v>Green</v>
      </c>
      <c r="AD114" t="str">
        <f>IF(OR($J114=0,$K114=0),"Green","Red")</f>
        <v>Red</v>
      </c>
    </row>
    <row r="115" spans="1:30" x14ac:dyDescent="0.2">
      <c r="A115" t="str">
        <f>L115&amp;F115&amp;G115</f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>DAY(D115)&amp;"/"&amp;"07"&amp;"/"&amp;YEAR(D115)</f>
        <v>21/07/2026</v>
      </c>
      <c r="M115" s="23">
        <f>E115-TIME(3,0,0)</f>
        <v>0.5625</v>
      </c>
      <c r="N115" t="str">
        <f>J115&amp;" - "&amp;K115</f>
        <v>2 - 2</v>
      </c>
      <c r="O115" t="str">
        <f>IF($J115&gt;$K115,"Green","Red")</f>
        <v>Red</v>
      </c>
      <c r="P115" t="str">
        <f>IF($J115=$K115,"Green","Red")</f>
        <v>Green</v>
      </c>
      <c r="Q115" t="str">
        <f>IF($J115&lt;$K115,"Green","Red")</f>
        <v>Red</v>
      </c>
      <c r="R115" t="str">
        <f>IF($J115&gt;=$K115,"Green","Red")</f>
        <v>Green</v>
      </c>
      <c r="S115" t="str">
        <f>IF($J115&lt;=$K115,"Green","Red")</f>
        <v>Green</v>
      </c>
      <c r="T115" t="str">
        <f>IF(OR($J115&gt;$K115,$J115&lt;$K115),"Green","Red")</f>
        <v>Red</v>
      </c>
      <c r="U115" t="str">
        <f>IF($H115&gt;$I115,"Green","Red")</f>
        <v>Red</v>
      </c>
      <c r="V115" t="str">
        <f>IF($H115=$I115,"Green","Red")</f>
        <v>Green</v>
      </c>
      <c r="W115" t="str">
        <f>IF($H115&lt;$I115,"Green","Red")</f>
        <v>Red</v>
      </c>
      <c r="X115" t="str">
        <f>IF($H115+$I115&gt;0,"Green","Red")</f>
        <v>Green</v>
      </c>
      <c r="Y115" t="str">
        <f>IF($J115+$K115&gt;1.5,"Green","Red")</f>
        <v>Green</v>
      </c>
      <c r="Z115" t="str">
        <f>IF($J115+$K115&gt;2.5,"Green","Red")</f>
        <v>Green</v>
      </c>
      <c r="AA115" t="str">
        <f>IF($J115+$K115&lt;2.5,"Green","Red")</f>
        <v>Red</v>
      </c>
      <c r="AB115" t="str">
        <f>IF($J115+$K115&lt;3.5,"Green","Red")</f>
        <v>Red</v>
      </c>
      <c r="AC115" t="str">
        <f>IF(AND($J115&gt;0,$K115&gt;0),"Green","Red")</f>
        <v>Green</v>
      </c>
      <c r="AD115" t="str">
        <f>IF(OR($J115=0,$K115=0),"Green","Red")</f>
        <v>Red</v>
      </c>
    </row>
    <row r="116" spans="1:30" x14ac:dyDescent="0.2">
      <c r="A116" t="str">
        <f>L116&amp;F116&amp;G116</f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>DAY(D116)&amp;"/"&amp;"07"&amp;"/"&amp;YEAR(D116)</f>
        <v>21/07/2026</v>
      </c>
      <c r="M116" s="23">
        <f>E116-TIME(3,0,0)</f>
        <v>0.58333333333333337</v>
      </c>
      <c r="N116" t="str">
        <f>J116&amp;" - "&amp;K116</f>
        <v>1 - 4</v>
      </c>
      <c r="O116" t="str">
        <f>IF($J116&gt;$K116,"Green","Red")</f>
        <v>Red</v>
      </c>
      <c r="P116" t="str">
        <f>IF($J116=$K116,"Green","Red")</f>
        <v>Red</v>
      </c>
      <c r="Q116" t="str">
        <f>IF($J116&lt;$K116,"Green","Red")</f>
        <v>Green</v>
      </c>
      <c r="R116" t="str">
        <f>IF($J116&gt;=$K116,"Green","Red")</f>
        <v>Red</v>
      </c>
      <c r="S116" t="str">
        <f>IF($J116&lt;=$K116,"Green","Red")</f>
        <v>Green</v>
      </c>
      <c r="T116" t="str">
        <f>IF(OR($J116&gt;$K116,$J116&lt;$K116),"Green","Red")</f>
        <v>Green</v>
      </c>
      <c r="U116" t="str">
        <f>IF($H116&gt;$I116,"Green","Red")</f>
        <v>Red</v>
      </c>
      <c r="V116" t="str">
        <f>IF($H116=$I116,"Green","Red")</f>
        <v>Red</v>
      </c>
      <c r="W116" t="str">
        <f>IF($H116&lt;$I116,"Green","Red")</f>
        <v>Green</v>
      </c>
      <c r="X116" t="str">
        <f>IF($H116+$I116&gt;0,"Green","Red")</f>
        <v>Green</v>
      </c>
      <c r="Y116" t="str">
        <f>IF($J116+$K116&gt;1.5,"Green","Red")</f>
        <v>Green</v>
      </c>
      <c r="Z116" t="str">
        <f>IF($J116+$K116&gt;2.5,"Green","Red")</f>
        <v>Green</v>
      </c>
      <c r="AA116" t="str">
        <f>IF($J116+$K116&lt;2.5,"Green","Red")</f>
        <v>Red</v>
      </c>
      <c r="AB116" t="str">
        <f>IF($J116+$K116&lt;3.5,"Green","Red")</f>
        <v>Red</v>
      </c>
      <c r="AC116" t="str">
        <f>IF(AND($J116&gt;0,$K116&gt;0),"Green","Red")</f>
        <v>Green</v>
      </c>
      <c r="AD116" t="str">
        <f>IF(OR($J116=0,$K116=0),"Green","Red")</f>
        <v>Red</v>
      </c>
    </row>
    <row r="117" spans="1:30" x14ac:dyDescent="0.2">
      <c r="A117" t="str">
        <f>L117&amp;F117&amp;G117</f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>DAY(D117)&amp;"/"&amp;"07"&amp;"/"&amp;YEAR(D117)</f>
        <v>21/07/2026</v>
      </c>
      <c r="M117" s="23">
        <f>E117-TIME(3,0,0)</f>
        <v>0.58333333333333337</v>
      </c>
      <c r="N117" t="str">
        <f>J117&amp;" - "&amp;K117</f>
        <v>1 - 2</v>
      </c>
      <c r="O117" t="str">
        <f>IF($J117&gt;$K117,"Green","Red")</f>
        <v>Red</v>
      </c>
      <c r="P117" t="str">
        <f>IF($J117=$K117,"Green","Red")</f>
        <v>Red</v>
      </c>
      <c r="Q117" t="str">
        <f>IF($J117&lt;$K117,"Green","Red")</f>
        <v>Green</v>
      </c>
      <c r="R117" t="str">
        <f>IF($J117&gt;=$K117,"Green","Red")</f>
        <v>Red</v>
      </c>
      <c r="S117" t="str">
        <f>IF($J117&lt;=$K117,"Green","Red")</f>
        <v>Green</v>
      </c>
      <c r="T117" t="str">
        <f>IF(OR($J117&gt;$K117,$J117&lt;$K117),"Green","Red")</f>
        <v>Green</v>
      </c>
      <c r="U117" t="str">
        <f>IF($H117&gt;$I117,"Green","Red")</f>
        <v>Red</v>
      </c>
      <c r="V117" t="str">
        <f>IF($H117=$I117,"Green","Red")</f>
        <v>Red</v>
      </c>
      <c r="W117" t="str">
        <f>IF($H117&lt;$I117,"Green","Red")</f>
        <v>Green</v>
      </c>
      <c r="X117" t="str">
        <f>IF($H117+$I117&gt;0,"Green","Red")</f>
        <v>Green</v>
      </c>
      <c r="Y117" t="str">
        <f>IF($J117+$K117&gt;1.5,"Green","Red")</f>
        <v>Green</v>
      </c>
      <c r="Z117" t="str">
        <f>IF($J117+$K117&gt;2.5,"Green","Red")</f>
        <v>Green</v>
      </c>
      <c r="AA117" t="str">
        <f>IF($J117+$K117&lt;2.5,"Green","Red")</f>
        <v>Red</v>
      </c>
      <c r="AB117" t="str">
        <f>IF($J117+$K117&lt;3.5,"Green","Red")</f>
        <v>Green</v>
      </c>
      <c r="AC117" t="str">
        <f>IF(AND($J117&gt;0,$K117&gt;0),"Green","Red")</f>
        <v>Green</v>
      </c>
      <c r="AD117" t="str">
        <f>IF(OR($J117=0,$K117=0),"Green","Red")</f>
        <v>Red</v>
      </c>
    </row>
    <row r="118" spans="1:30" x14ac:dyDescent="0.2">
      <c r="A118" t="str">
        <f>L118&amp;F118&amp;G118</f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>DAY(D118)&amp;"/"&amp;"07"&amp;"/"&amp;YEAR(D118)</f>
        <v>21/07/2026</v>
      </c>
      <c r="M118" s="23">
        <f>E118-TIME(3,0,0)</f>
        <v>0.58333333333333337</v>
      </c>
      <c r="N118" t="str">
        <f>J118&amp;" - "&amp;K118</f>
        <v>1 - 4</v>
      </c>
      <c r="O118" t="str">
        <f>IF($J118&gt;$K118,"Green","Red")</f>
        <v>Red</v>
      </c>
      <c r="P118" t="str">
        <f>IF($J118=$K118,"Green","Red")</f>
        <v>Red</v>
      </c>
      <c r="Q118" t="str">
        <f>IF($J118&lt;$K118,"Green","Red")</f>
        <v>Green</v>
      </c>
      <c r="R118" t="str">
        <f>IF($J118&gt;=$K118,"Green","Red")</f>
        <v>Red</v>
      </c>
      <c r="S118" t="str">
        <f>IF($J118&lt;=$K118,"Green","Red")</f>
        <v>Green</v>
      </c>
      <c r="T118" t="str">
        <f>IF(OR($J118&gt;$K118,$J118&lt;$K118),"Green","Red")</f>
        <v>Green</v>
      </c>
      <c r="U118" t="str">
        <f>IF($H118&gt;$I118,"Green","Red")</f>
        <v>Red</v>
      </c>
      <c r="V118" t="str">
        <f>IF($H118=$I118,"Green","Red")</f>
        <v>Green</v>
      </c>
      <c r="W118" t="str">
        <f>IF($H118&lt;$I118,"Green","Red")</f>
        <v>Red</v>
      </c>
      <c r="X118" t="str">
        <f>IF($H118+$I118&gt;0,"Green","Red")</f>
        <v>Green</v>
      </c>
      <c r="Y118" t="str">
        <f>IF($J118+$K118&gt;1.5,"Green","Red")</f>
        <v>Green</v>
      </c>
      <c r="Z118" t="str">
        <f>IF($J118+$K118&gt;2.5,"Green","Red")</f>
        <v>Green</v>
      </c>
      <c r="AA118" t="str">
        <f>IF($J118+$K118&lt;2.5,"Green","Red")</f>
        <v>Red</v>
      </c>
      <c r="AB118" t="str">
        <f>IF($J118+$K118&lt;3.5,"Green","Red")</f>
        <v>Red</v>
      </c>
      <c r="AC118" t="str">
        <f>IF(AND($J118&gt;0,$K118&gt;0),"Green","Red")</f>
        <v>Green</v>
      </c>
      <c r="AD118" t="str">
        <f>IF(OR($J118=0,$K118=0),"Green","Red")</f>
        <v>Red</v>
      </c>
    </row>
    <row r="119" spans="1:30" x14ac:dyDescent="0.2">
      <c r="A119" t="str">
        <f>L119&amp;F119&amp;G119</f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>DAY(D119)&amp;"/"&amp;"07"&amp;"/"&amp;YEAR(D119)</f>
        <v>21/07/2026</v>
      </c>
      <c r="M119" s="23">
        <f>E119-TIME(3,0,0)</f>
        <v>0.58333333333333337</v>
      </c>
      <c r="N119" t="str">
        <f>J119&amp;" - "&amp;K119</f>
        <v>2 - 2</v>
      </c>
      <c r="O119" t="str">
        <f>IF($J119&gt;$K119,"Green","Red")</f>
        <v>Red</v>
      </c>
      <c r="P119" t="str">
        <f>IF($J119=$K119,"Green","Red")</f>
        <v>Green</v>
      </c>
      <c r="Q119" t="str">
        <f>IF($J119&lt;$K119,"Green","Red")</f>
        <v>Red</v>
      </c>
      <c r="R119" t="str">
        <f>IF($J119&gt;=$K119,"Green","Red")</f>
        <v>Green</v>
      </c>
      <c r="S119" t="str">
        <f>IF($J119&lt;=$K119,"Green","Red")</f>
        <v>Green</v>
      </c>
      <c r="T119" t="str">
        <f>IF(OR($J119&gt;$K119,$J119&lt;$K119),"Green","Red")</f>
        <v>Red</v>
      </c>
      <c r="U119" t="str">
        <f>IF($H119&gt;$I119,"Green","Red")</f>
        <v>Red</v>
      </c>
      <c r="V119" t="str">
        <f>IF($H119=$I119,"Green","Red")</f>
        <v>Green</v>
      </c>
      <c r="W119" t="str">
        <f>IF($H119&lt;$I119,"Green","Red")</f>
        <v>Red</v>
      </c>
      <c r="X119" t="str">
        <f>IF($H119+$I119&gt;0,"Green","Red")</f>
        <v>Green</v>
      </c>
      <c r="Y119" t="str">
        <f>IF($J119+$K119&gt;1.5,"Green","Red")</f>
        <v>Green</v>
      </c>
      <c r="Z119" t="str">
        <f>IF($J119+$K119&gt;2.5,"Green","Red")</f>
        <v>Green</v>
      </c>
      <c r="AA119" t="str">
        <f>IF($J119+$K119&lt;2.5,"Green","Red")</f>
        <v>Red</v>
      </c>
      <c r="AB119" t="str">
        <f>IF($J119+$K119&lt;3.5,"Green","Red")</f>
        <v>Red</v>
      </c>
      <c r="AC119" t="str">
        <f>IF(AND($J119&gt;0,$K119&gt;0),"Green","Red")</f>
        <v>Green</v>
      </c>
      <c r="AD119" t="str">
        <f>IF(OR($J119=0,$K119=0),"Green","Red")</f>
        <v>Red</v>
      </c>
    </row>
    <row r="120" spans="1:30" x14ac:dyDescent="0.2">
      <c r="A120" t="str">
        <f>L120&amp;F120&amp;G120</f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>DAY(D120)&amp;"/"&amp;"07"&amp;"/"&amp;YEAR(D120)</f>
        <v>21/07/2026</v>
      </c>
      <c r="M120" s="23">
        <f>E120-TIME(3,0,0)</f>
        <v>0.58333333333333337</v>
      </c>
      <c r="N120" t="str">
        <f>J120&amp;" - "&amp;K120</f>
        <v>1 - 0</v>
      </c>
      <c r="O120" t="str">
        <f>IF($J120&gt;$K120,"Green","Red")</f>
        <v>Green</v>
      </c>
      <c r="P120" t="str">
        <f>IF($J120=$K120,"Green","Red")</f>
        <v>Red</v>
      </c>
      <c r="Q120" t="str">
        <f>IF($J120&lt;$K120,"Green","Red")</f>
        <v>Red</v>
      </c>
      <c r="R120" t="str">
        <f>IF($J120&gt;=$K120,"Green","Red")</f>
        <v>Green</v>
      </c>
      <c r="S120" t="str">
        <f>IF($J120&lt;=$K120,"Green","Red")</f>
        <v>Red</v>
      </c>
      <c r="T120" t="str">
        <f>IF(OR($J120&gt;$K120,$J120&lt;$K120),"Green","Red")</f>
        <v>Green</v>
      </c>
      <c r="U120" t="str">
        <f>IF($H120&gt;$I120,"Green","Red")</f>
        <v>Red</v>
      </c>
      <c r="V120" t="str">
        <f>IF($H120=$I120,"Green","Red")</f>
        <v>Green</v>
      </c>
      <c r="W120" t="str">
        <f>IF($H120&lt;$I120,"Green","Red")</f>
        <v>Red</v>
      </c>
      <c r="X120" t="str">
        <f>IF($H120+$I120&gt;0,"Green","Red")</f>
        <v>Red</v>
      </c>
      <c r="Y120" t="str">
        <f>IF($J120+$K120&gt;1.5,"Green","Red")</f>
        <v>Red</v>
      </c>
      <c r="Z120" t="str">
        <f>IF($J120+$K120&gt;2.5,"Green","Red")</f>
        <v>Red</v>
      </c>
      <c r="AA120" t="str">
        <f>IF($J120+$K120&lt;2.5,"Green","Red")</f>
        <v>Green</v>
      </c>
      <c r="AB120" t="str">
        <f>IF($J120+$K120&lt;3.5,"Green","Red")</f>
        <v>Green</v>
      </c>
      <c r="AC120" t="str">
        <f>IF(AND($J120&gt;0,$K120&gt;0),"Green","Red")</f>
        <v>Red</v>
      </c>
      <c r="AD120" t="str">
        <f>IF(OR($J120=0,$K120=0),"Green","Red")</f>
        <v>Green</v>
      </c>
    </row>
    <row r="121" spans="1:30" x14ac:dyDescent="0.2">
      <c r="A121" t="str">
        <f>L121&amp;F121&amp;G121</f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>DAY(D121)&amp;"/"&amp;"07"&amp;"/"&amp;YEAR(D121)</f>
        <v>21/07/2026</v>
      </c>
      <c r="M121" s="23">
        <f>E121-TIME(3,0,0)</f>
        <v>0.58333333333333337</v>
      </c>
      <c r="N121" t="str">
        <f>J121&amp;" - "&amp;K121</f>
        <v>0 - 2</v>
      </c>
      <c r="O121" t="str">
        <f>IF($J121&gt;$K121,"Green","Red")</f>
        <v>Red</v>
      </c>
      <c r="P121" t="str">
        <f>IF($J121=$K121,"Green","Red")</f>
        <v>Red</v>
      </c>
      <c r="Q121" t="str">
        <f>IF($J121&lt;$K121,"Green","Red")</f>
        <v>Green</v>
      </c>
      <c r="R121" t="str">
        <f>IF($J121&gt;=$K121,"Green","Red")</f>
        <v>Red</v>
      </c>
      <c r="S121" t="str">
        <f>IF($J121&lt;=$K121,"Green","Red")</f>
        <v>Green</v>
      </c>
      <c r="T121" t="str">
        <f>IF(OR($J121&gt;$K121,$J121&lt;$K121),"Green","Red")</f>
        <v>Green</v>
      </c>
      <c r="U121" t="str">
        <f>IF($H121&gt;$I121,"Green","Red")</f>
        <v>Red</v>
      </c>
      <c r="V121" t="str">
        <f>IF($H121=$I121,"Green","Red")</f>
        <v>Red</v>
      </c>
      <c r="W121" t="str">
        <f>IF($H121&lt;$I121,"Green","Red")</f>
        <v>Green</v>
      </c>
      <c r="X121" t="str">
        <f>IF($H121+$I121&gt;0,"Green","Red")</f>
        <v>Green</v>
      </c>
      <c r="Y121" t="str">
        <f>IF($J121+$K121&gt;1.5,"Green","Red")</f>
        <v>Green</v>
      </c>
      <c r="Z121" t="str">
        <f>IF($J121+$K121&gt;2.5,"Green","Red")</f>
        <v>Red</v>
      </c>
      <c r="AA121" t="str">
        <f>IF($J121+$K121&lt;2.5,"Green","Red")</f>
        <v>Green</v>
      </c>
      <c r="AB121" t="str">
        <f>IF($J121+$K121&lt;3.5,"Green","Red")</f>
        <v>Green</v>
      </c>
      <c r="AC121" t="str">
        <f>IF(AND($J121&gt;0,$K121&gt;0),"Green","Red")</f>
        <v>Red</v>
      </c>
      <c r="AD121" t="str">
        <f>IF(OR($J121=0,$K121=0),"Green","Red")</f>
        <v>Green</v>
      </c>
    </row>
    <row r="122" spans="1:30" x14ac:dyDescent="0.2">
      <c r="A122" t="str">
        <f>L122&amp;F122&amp;G122</f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>DAY(D122)&amp;"/"&amp;"07"&amp;"/"&amp;YEAR(D122)</f>
        <v>21/07/2026</v>
      </c>
      <c r="M122" s="23">
        <f>E122-TIME(3,0,0)</f>
        <v>0.58333333333333337</v>
      </c>
      <c r="N122" t="str">
        <f>J122&amp;" - "&amp;K122</f>
        <v>2 - 3</v>
      </c>
      <c r="O122" t="str">
        <f>IF($J122&gt;$K122,"Green","Red")</f>
        <v>Red</v>
      </c>
      <c r="P122" t="str">
        <f>IF($J122=$K122,"Green","Red")</f>
        <v>Red</v>
      </c>
      <c r="Q122" t="str">
        <f>IF($J122&lt;$K122,"Green","Red")</f>
        <v>Green</v>
      </c>
      <c r="R122" t="str">
        <f>IF($J122&gt;=$K122,"Green","Red")</f>
        <v>Red</v>
      </c>
      <c r="S122" t="str">
        <f>IF($J122&lt;=$K122,"Green","Red")</f>
        <v>Green</v>
      </c>
      <c r="T122" t="str">
        <f>IF(OR($J122&gt;$K122,$J122&lt;$K122),"Green","Red")</f>
        <v>Green</v>
      </c>
      <c r="U122" t="str">
        <f>IF($H122&gt;$I122,"Green","Red")</f>
        <v>Red</v>
      </c>
      <c r="V122" t="str">
        <f>IF($H122=$I122,"Green","Red")</f>
        <v>Red</v>
      </c>
      <c r="W122" t="str">
        <f>IF($H122&lt;$I122,"Green","Red")</f>
        <v>Green</v>
      </c>
      <c r="X122" t="str">
        <f>IF($H122+$I122&gt;0,"Green","Red")</f>
        <v>Green</v>
      </c>
      <c r="Y122" t="str">
        <f>IF($J122+$K122&gt;1.5,"Green","Red")</f>
        <v>Green</v>
      </c>
      <c r="Z122" t="str">
        <f>IF($J122+$K122&gt;2.5,"Green","Red")</f>
        <v>Green</v>
      </c>
      <c r="AA122" t="str">
        <f>IF($J122+$K122&lt;2.5,"Green","Red")</f>
        <v>Red</v>
      </c>
      <c r="AB122" t="str">
        <f>IF($J122+$K122&lt;3.5,"Green","Red")</f>
        <v>Red</v>
      </c>
      <c r="AC122" t="str">
        <f>IF(AND($J122&gt;0,$K122&gt;0),"Green","Red")</f>
        <v>Green</v>
      </c>
      <c r="AD122" t="str">
        <f>IF(OR($J122=0,$K122=0),"Green","Red")</f>
        <v>Red</v>
      </c>
    </row>
    <row r="123" spans="1:30" x14ac:dyDescent="0.2">
      <c r="A123" t="str">
        <f>L123&amp;F123&amp;G123</f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>DAY(D123)&amp;"/"&amp;"07"&amp;"/"&amp;YEAR(D123)</f>
        <v>21/07/2026</v>
      </c>
      <c r="M123" s="23">
        <f>E123-TIME(3,0,0)</f>
        <v>0.58333333333333337</v>
      </c>
      <c r="N123" t="str">
        <f>J123&amp;" - "&amp;K123</f>
        <v>3 - 2</v>
      </c>
      <c r="O123" t="str">
        <f>IF($J123&gt;$K123,"Green","Red")</f>
        <v>Green</v>
      </c>
      <c r="P123" t="str">
        <f>IF($J123=$K123,"Green","Red")</f>
        <v>Red</v>
      </c>
      <c r="Q123" t="str">
        <f>IF($J123&lt;$K123,"Green","Red")</f>
        <v>Red</v>
      </c>
      <c r="R123" t="str">
        <f>IF($J123&gt;=$K123,"Green","Red")</f>
        <v>Green</v>
      </c>
      <c r="S123" t="str">
        <f>IF($J123&lt;=$K123,"Green","Red")</f>
        <v>Red</v>
      </c>
      <c r="T123" t="str">
        <f>IF(OR($J123&gt;$K123,$J123&lt;$K123),"Green","Red")</f>
        <v>Green</v>
      </c>
      <c r="U123" t="str">
        <f>IF($H123&gt;$I123,"Green","Red")</f>
        <v>Green</v>
      </c>
      <c r="V123" t="str">
        <f>IF($H123=$I123,"Green","Red")</f>
        <v>Red</v>
      </c>
      <c r="W123" t="str">
        <f>IF($H123&lt;$I123,"Green","Red")</f>
        <v>Red</v>
      </c>
      <c r="X123" t="str">
        <f>IF($H123+$I123&gt;0,"Green","Red")</f>
        <v>Green</v>
      </c>
      <c r="Y123" t="str">
        <f>IF($J123+$K123&gt;1.5,"Green","Red")</f>
        <v>Green</v>
      </c>
      <c r="Z123" t="str">
        <f>IF($J123+$K123&gt;2.5,"Green","Red")</f>
        <v>Green</v>
      </c>
      <c r="AA123" t="str">
        <f>IF($J123+$K123&lt;2.5,"Green","Red")</f>
        <v>Red</v>
      </c>
      <c r="AB123" t="str">
        <f>IF($J123+$K123&lt;3.5,"Green","Red")</f>
        <v>Red</v>
      </c>
      <c r="AC123" t="str">
        <f>IF(AND($J123&gt;0,$K123&gt;0),"Green","Red")</f>
        <v>Green</v>
      </c>
      <c r="AD123" t="str">
        <f>IF(OR($J123=0,$K123=0),"Green","Red")</f>
        <v>Red</v>
      </c>
    </row>
    <row r="124" spans="1:30" x14ac:dyDescent="0.2">
      <c r="A124" t="str">
        <f>L124&amp;F124&amp;G124</f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>DAY(D124)&amp;"/"&amp;"07"&amp;"/"&amp;YEAR(D124)</f>
        <v>21/07/2026</v>
      </c>
      <c r="M124" s="23">
        <f>E124-TIME(3,0,0)</f>
        <v>0.58333333333333337</v>
      </c>
      <c r="N124" t="str">
        <f>J124&amp;" - "&amp;K124</f>
        <v>2 - 2</v>
      </c>
      <c r="O124" t="str">
        <f>IF($J124&gt;$K124,"Green","Red")</f>
        <v>Red</v>
      </c>
      <c r="P124" t="str">
        <f>IF($J124=$K124,"Green","Red")</f>
        <v>Green</v>
      </c>
      <c r="Q124" t="str">
        <f>IF($J124&lt;$K124,"Green","Red")</f>
        <v>Red</v>
      </c>
      <c r="R124" t="str">
        <f>IF($J124&gt;=$K124,"Green","Red")</f>
        <v>Green</v>
      </c>
      <c r="S124" t="str">
        <f>IF($J124&lt;=$K124,"Green","Red")</f>
        <v>Green</v>
      </c>
      <c r="T124" t="str">
        <f>IF(OR($J124&gt;$K124,$J124&lt;$K124),"Green","Red")</f>
        <v>Red</v>
      </c>
      <c r="U124" t="str">
        <f>IF($H124&gt;$I124,"Green","Red")</f>
        <v>Red</v>
      </c>
      <c r="V124" t="str">
        <f>IF($H124=$I124,"Green","Red")</f>
        <v>Red</v>
      </c>
      <c r="W124" t="str">
        <f>IF($H124&lt;$I124,"Green","Red")</f>
        <v>Green</v>
      </c>
      <c r="X124" t="str">
        <f>IF($H124+$I124&gt;0,"Green","Red")</f>
        <v>Green</v>
      </c>
      <c r="Y124" t="str">
        <f>IF($J124+$K124&gt;1.5,"Green","Red")</f>
        <v>Green</v>
      </c>
      <c r="Z124" t="str">
        <f>IF($J124+$K124&gt;2.5,"Green","Red")</f>
        <v>Green</v>
      </c>
      <c r="AA124" t="str">
        <f>IF($J124+$K124&lt;2.5,"Green","Red")</f>
        <v>Red</v>
      </c>
      <c r="AB124" t="str">
        <f>IF($J124+$K124&lt;3.5,"Green","Red")</f>
        <v>Red</v>
      </c>
      <c r="AC124" t="str">
        <f>IF(AND($J124&gt;0,$K124&gt;0),"Green","Red")</f>
        <v>Green</v>
      </c>
      <c r="AD124" t="str">
        <f>IF(OR($J124=0,$K124=0),"Green","Red")</f>
        <v>Red</v>
      </c>
    </row>
    <row r="125" spans="1:30" x14ac:dyDescent="0.2">
      <c r="A125" t="str">
        <f>L125&amp;F125&amp;G125</f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>DAY(D125)&amp;"/"&amp;"07"&amp;"/"&amp;YEAR(D125)</f>
        <v>21/07/2026</v>
      </c>
      <c r="M125" s="23">
        <f>E125-TIME(3,0,0)</f>
        <v>0.58333333333333337</v>
      </c>
      <c r="N125" t="str">
        <f>J125&amp;" - "&amp;K125</f>
        <v>1 - 2</v>
      </c>
      <c r="O125" t="str">
        <f>IF($J125&gt;$K125,"Green","Red")</f>
        <v>Red</v>
      </c>
      <c r="P125" t="str">
        <f>IF($J125=$K125,"Green","Red")</f>
        <v>Red</v>
      </c>
      <c r="Q125" t="str">
        <f>IF($J125&lt;$K125,"Green","Red")</f>
        <v>Green</v>
      </c>
      <c r="R125" t="str">
        <f>IF($J125&gt;=$K125,"Green","Red")</f>
        <v>Red</v>
      </c>
      <c r="S125" t="str">
        <f>IF($J125&lt;=$K125,"Green","Red")</f>
        <v>Green</v>
      </c>
      <c r="T125" t="str">
        <f>IF(OR($J125&gt;$K125,$J125&lt;$K125),"Green","Red")</f>
        <v>Green</v>
      </c>
      <c r="U125" t="str">
        <f>IF($H125&gt;$I125,"Green","Red")</f>
        <v>Red</v>
      </c>
      <c r="V125" t="str">
        <f>IF($H125=$I125,"Green","Red")</f>
        <v>Green</v>
      </c>
      <c r="W125" t="str">
        <f>IF($H125&lt;$I125,"Green","Red")</f>
        <v>Red</v>
      </c>
      <c r="X125" t="str">
        <f>IF($H125+$I125&gt;0,"Green","Red")</f>
        <v>Green</v>
      </c>
      <c r="Y125" t="str">
        <f>IF($J125+$K125&gt;1.5,"Green","Red")</f>
        <v>Green</v>
      </c>
      <c r="Z125" t="str">
        <f>IF($J125+$K125&gt;2.5,"Green","Red")</f>
        <v>Green</v>
      </c>
      <c r="AA125" t="str">
        <f>IF($J125+$K125&lt;2.5,"Green","Red")</f>
        <v>Red</v>
      </c>
      <c r="AB125" t="str">
        <f>IF($J125+$K125&lt;3.5,"Green","Red")</f>
        <v>Green</v>
      </c>
      <c r="AC125" t="str">
        <f>IF(AND($J125&gt;0,$K125&gt;0),"Green","Red")</f>
        <v>Green</v>
      </c>
      <c r="AD125" t="str">
        <f>IF(OR($J125=0,$K125=0),"Green","Red")</f>
        <v>Red</v>
      </c>
    </row>
    <row r="126" spans="1:30" x14ac:dyDescent="0.2">
      <c r="A126" t="str">
        <f>L126&amp;F126&amp;G126</f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>DAY(D126)&amp;"/"&amp;"07"&amp;"/"&amp;YEAR(D126)</f>
        <v>21/07/2026</v>
      </c>
      <c r="M126" s="23">
        <f>E126-TIME(3,0,0)</f>
        <v>0.58333333333333337</v>
      </c>
      <c r="N126" t="str">
        <f>J126&amp;" - "&amp;K126</f>
        <v>5 - 0</v>
      </c>
      <c r="O126" t="str">
        <f>IF($J126&gt;$K126,"Green","Red")</f>
        <v>Green</v>
      </c>
      <c r="P126" t="str">
        <f>IF($J126=$K126,"Green","Red")</f>
        <v>Red</v>
      </c>
      <c r="Q126" t="str">
        <f>IF($J126&lt;$K126,"Green","Red")</f>
        <v>Red</v>
      </c>
      <c r="R126" t="str">
        <f>IF($J126&gt;=$K126,"Green","Red")</f>
        <v>Green</v>
      </c>
      <c r="S126" t="str">
        <f>IF($J126&lt;=$K126,"Green","Red")</f>
        <v>Red</v>
      </c>
      <c r="T126" t="str">
        <f>IF(OR($J126&gt;$K126,$J126&lt;$K126),"Green","Red")</f>
        <v>Green</v>
      </c>
      <c r="U126" t="str">
        <f>IF($H126&gt;$I126,"Green","Red")</f>
        <v>Green</v>
      </c>
      <c r="V126" t="str">
        <f>IF($H126=$I126,"Green","Red")</f>
        <v>Red</v>
      </c>
      <c r="W126" t="str">
        <f>IF($H126&lt;$I126,"Green","Red")</f>
        <v>Red</v>
      </c>
      <c r="X126" t="str">
        <f>IF($H126+$I126&gt;0,"Green","Red")</f>
        <v>Green</v>
      </c>
      <c r="Y126" t="str">
        <f>IF($J126+$K126&gt;1.5,"Green","Red")</f>
        <v>Green</v>
      </c>
      <c r="Z126" t="str">
        <f>IF($J126+$K126&gt;2.5,"Green","Red")</f>
        <v>Green</v>
      </c>
      <c r="AA126" t="str">
        <f>IF($J126+$K126&lt;2.5,"Green","Red")</f>
        <v>Red</v>
      </c>
      <c r="AB126" t="str">
        <f>IF($J126+$K126&lt;3.5,"Green","Red")</f>
        <v>Red</v>
      </c>
      <c r="AC126" t="str">
        <f>IF(AND($J126&gt;0,$K126&gt;0),"Green","Red")</f>
        <v>Red</v>
      </c>
      <c r="AD126" t="str">
        <f>IF(OR($J126=0,$K126=0),"Green","Red")</f>
        <v>Green</v>
      </c>
    </row>
    <row r="127" spans="1:30" x14ac:dyDescent="0.2">
      <c r="A127" t="str">
        <f>L127&amp;F127&amp;G127</f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>DAY(D127)&amp;"/"&amp;"07"&amp;"/"&amp;YEAR(D127)</f>
        <v>21/07/2026</v>
      </c>
      <c r="M127" s="23">
        <f>E127-TIME(3,0,0)</f>
        <v>0.58333333333333337</v>
      </c>
      <c r="N127" t="str">
        <f>J127&amp;" - "&amp;K127</f>
        <v>12 - 0</v>
      </c>
      <c r="O127" t="str">
        <f>IF($J127&gt;$K127,"Green","Red")</f>
        <v>Green</v>
      </c>
      <c r="P127" t="str">
        <f>IF($J127=$K127,"Green","Red")</f>
        <v>Red</v>
      </c>
      <c r="Q127" t="str">
        <f>IF($J127&lt;$K127,"Green","Red")</f>
        <v>Red</v>
      </c>
      <c r="R127" t="str">
        <f>IF($J127&gt;=$K127,"Green","Red")</f>
        <v>Green</v>
      </c>
      <c r="S127" t="str">
        <f>IF($J127&lt;=$K127,"Green","Red")</f>
        <v>Red</v>
      </c>
      <c r="T127" t="str">
        <f>IF(OR($J127&gt;$K127,$J127&lt;$K127),"Green","Red")</f>
        <v>Green</v>
      </c>
      <c r="U127" t="str">
        <f>IF($H127&gt;$I127,"Green","Red")</f>
        <v>Green</v>
      </c>
      <c r="V127" t="str">
        <f>IF($H127=$I127,"Green","Red")</f>
        <v>Red</v>
      </c>
      <c r="W127" t="str">
        <f>IF($H127&lt;$I127,"Green","Red")</f>
        <v>Red</v>
      </c>
      <c r="X127" t="str">
        <f>IF($H127+$I127&gt;0,"Green","Red")</f>
        <v>Green</v>
      </c>
      <c r="Y127" t="str">
        <f>IF($J127+$K127&gt;1.5,"Green","Red")</f>
        <v>Green</v>
      </c>
      <c r="Z127" t="str">
        <f>IF($J127+$K127&gt;2.5,"Green","Red")</f>
        <v>Green</v>
      </c>
      <c r="AA127" t="str">
        <f>IF($J127+$K127&lt;2.5,"Green","Red")</f>
        <v>Red</v>
      </c>
      <c r="AB127" t="str">
        <f>IF($J127+$K127&lt;3.5,"Green","Red")</f>
        <v>Red</v>
      </c>
      <c r="AC127" t="str">
        <f>IF(AND($J127&gt;0,$K127&gt;0),"Green","Red")</f>
        <v>Red</v>
      </c>
      <c r="AD127" t="str">
        <f>IF(OR($J127=0,$K127=0),"Green","Red")</f>
        <v>Green</v>
      </c>
    </row>
    <row r="128" spans="1:30" x14ac:dyDescent="0.2">
      <c r="A128" t="str">
        <f>L128&amp;F128&amp;G128</f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>DAY(D128)&amp;"/"&amp;"07"&amp;"/"&amp;YEAR(D128)</f>
        <v>21/07/2026</v>
      </c>
      <c r="M128" s="23">
        <f>E128-TIME(3,0,0)</f>
        <v>0.59375</v>
      </c>
      <c r="N128" t="str">
        <f>J128&amp;" - "&amp;K128</f>
        <v>2 - 4</v>
      </c>
      <c r="O128" t="str">
        <f>IF($J128&gt;$K128,"Green","Red")</f>
        <v>Red</v>
      </c>
      <c r="P128" t="str">
        <f>IF($J128=$K128,"Green","Red")</f>
        <v>Red</v>
      </c>
      <c r="Q128" t="str">
        <f>IF($J128&lt;$K128,"Green","Red")</f>
        <v>Green</v>
      </c>
      <c r="R128" t="str">
        <f>IF($J128&gt;=$K128,"Green","Red")</f>
        <v>Red</v>
      </c>
      <c r="S128" t="str">
        <f>IF($J128&lt;=$K128,"Green","Red")</f>
        <v>Green</v>
      </c>
      <c r="T128" t="str">
        <f>IF(OR($J128&gt;$K128,$J128&lt;$K128),"Green","Red")</f>
        <v>Green</v>
      </c>
      <c r="U128" t="str">
        <f>IF($H128&gt;$I128,"Green","Red")</f>
        <v>Green</v>
      </c>
      <c r="V128" t="str">
        <f>IF($H128=$I128,"Green","Red")</f>
        <v>Red</v>
      </c>
      <c r="W128" t="str">
        <f>IF($H128&lt;$I128,"Green","Red")</f>
        <v>Red</v>
      </c>
      <c r="X128" t="str">
        <f>IF($H128+$I128&gt;0,"Green","Red")</f>
        <v>Green</v>
      </c>
      <c r="Y128" t="str">
        <f>IF($J128+$K128&gt;1.5,"Green","Red")</f>
        <v>Green</v>
      </c>
      <c r="Z128" t="str">
        <f>IF($J128+$K128&gt;2.5,"Green","Red")</f>
        <v>Green</v>
      </c>
      <c r="AA128" t="str">
        <f>IF($J128+$K128&lt;2.5,"Green","Red")</f>
        <v>Red</v>
      </c>
      <c r="AB128" t="str">
        <f>IF($J128+$K128&lt;3.5,"Green","Red")</f>
        <v>Red</v>
      </c>
      <c r="AC128" t="str">
        <f>IF(AND($J128&gt;0,$K128&gt;0),"Green","Red")</f>
        <v>Green</v>
      </c>
      <c r="AD128" t="str">
        <f>IF(OR($J128=0,$K128=0),"Green","Red")</f>
        <v>Red</v>
      </c>
    </row>
    <row r="129" spans="1:30" x14ac:dyDescent="0.2">
      <c r="A129" t="str">
        <f>L129&amp;F129&amp;G129</f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>DAY(D129)&amp;"/"&amp;"07"&amp;"/"&amp;YEAR(D129)</f>
        <v>21/07/2026</v>
      </c>
      <c r="M129" s="23">
        <f>E129-TIME(3,0,0)</f>
        <v>0.60416666666666663</v>
      </c>
      <c r="N129" t="str">
        <f>J129&amp;" - "&amp;K129</f>
        <v>1 - 1</v>
      </c>
      <c r="O129" t="str">
        <f>IF($J129&gt;$K129,"Green","Red")</f>
        <v>Red</v>
      </c>
      <c r="P129" t="str">
        <f>IF($J129=$K129,"Green","Red")</f>
        <v>Green</v>
      </c>
      <c r="Q129" t="str">
        <f>IF($J129&lt;$K129,"Green","Red")</f>
        <v>Red</v>
      </c>
      <c r="R129" t="str">
        <f>IF($J129&gt;=$K129,"Green","Red")</f>
        <v>Green</v>
      </c>
      <c r="S129" t="str">
        <f>IF($J129&lt;=$K129,"Green","Red")</f>
        <v>Green</v>
      </c>
      <c r="T129" t="str">
        <f>IF(OR($J129&gt;$K129,$J129&lt;$K129),"Green","Red")</f>
        <v>Red</v>
      </c>
      <c r="U129" t="str">
        <f>IF($H129&gt;$I129,"Green","Red")</f>
        <v>Red</v>
      </c>
      <c r="V129" t="str">
        <f>IF($H129=$I129,"Green","Red")</f>
        <v>Green</v>
      </c>
      <c r="W129" t="str">
        <f>IF($H129&lt;$I129,"Green","Red")</f>
        <v>Red</v>
      </c>
      <c r="X129" t="str">
        <f>IF($H129+$I129&gt;0,"Green","Red")</f>
        <v>Red</v>
      </c>
      <c r="Y129" t="str">
        <f>IF($J129+$K129&gt;1.5,"Green","Red")</f>
        <v>Green</v>
      </c>
      <c r="Z129" t="str">
        <f>IF($J129+$K129&gt;2.5,"Green","Red")</f>
        <v>Red</v>
      </c>
      <c r="AA129" t="str">
        <f>IF($J129+$K129&lt;2.5,"Green","Red")</f>
        <v>Green</v>
      </c>
      <c r="AB129" t="str">
        <f>IF($J129+$K129&lt;3.5,"Green","Red")</f>
        <v>Green</v>
      </c>
      <c r="AC129" t="str">
        <f>IF(AND($J129&gt;0,$K129&gt;0),"Green","Red")</f>
        <v>Green</v>
      </c>
      <c r="AD129" t="str">
        <f>IF(OR($J129=0,$K129=0),"Green","Red")</f>
        <v>Red</v>
      </c>
    </row>
    <row r="130" spans="1:30" x14ac:dyDescent="0.2">
      <c r="A130" t="str">
        <f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>DAY(D130)&amp;"/"&amp;"07"&amp;"/"&amp;YEAR(D130)</f>
        <v>21/07/2026</v>
      </c>
      <c r="M130" s="23">
        <f>E130-TIME(3,0,0)</f>
        <v>0.60416666666666663</v>
      </c>
      <c r="N130" t="str">
        <f>J130&amp;" - "&amp;K130</f>
        <v>8 - 3</v>
      </c>
      <c r="O130" t="str">
        <f>IF($J130&gt;$K130,"Green","Red")</f>
        <v>Green</v>
      </c>
      <c r="P130" t="str">
        <f>IF($J130=$K130,"Green","Red")</f>
        <v>Red</v>
      </c>
      <c r="Q130" t="str">
        <f>IF($J130&lt;$K130,"Green","Red")</f>
        <v>Red</v>
      </c>
      <c r="R130" t="str">
        <f>IF($J130&gt;=$K130,"Green","Red")</f>
        <v>Green</v>
      </c>
      <c r="S130" t="str">
        <f>IF($J130&lt;=$K130,"Green","Red")</f>
        <v>Red</v>
      </c>
      <c r="T130" t="str">
        <f>IF(OR($J130&gt;$K130,$J130&lt;$K130),"Green","Red")</f>
        <v>Green</v>
      </c>
      <c r="U130" t="str">
        <f>IF($H130&gt;$I130,"Green","Red")</f>
        <v>Green</v>
      </c>
      <c r="V130" t="str">
        <f>IF($H130=$I130,"Green","Red")</f>
        <v>Red</v>
      </c>
      <c r="W130" t="str">
        <f>IF($H130&lt;$I130,"Green","Red")</f>
        <v>Red</v>
      </c>
      <c r="X130" t="str">
        <f>IF($H130+$I130&gt;0,"Green","Red")</f>
        <v>Green</v>
      </c>
      <c r="Y130" t="str">
        <f>IF($J130+$K130&gt;1.5,"Green","Red")</f>
        <v>Green</v>
      </c>
      <c r="Z130" t="str">
        <f>IF($J130+$K130&gt;2.5,"Green","Red")</f>
        <v>Green</v>
      </c>
      <c r="AA130" t="str">
        <f>IF($J130+$K130&lt;2.5,"Green","Red")</f>
        <v>Red</v>
      </c>
      <c r="AB130" t="str">
        <f>IF($J130+$K130&lt;3.5,"Green","Red")</f>
        <v>Red</v>
      </c>
      <c r="AC130" t="str">
        <f>IF(AND($J130&gt;0,$K130&gt;0),"Green","Red")</f>
        <v>Green</v>
      </c>
      <c r="AD130" t="str">
        <f>IF(OR($J130=0,$K130=0),"Green","Red")</f>
        <v>Red</v>
      </c>
    </row>
    <row r="131" spans="1:30" x14ac:dyDescent="0.2">
      <c r="A131" t="str">
        <f>L131&amp;F131&amp;G131</f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>DAY(D131)&amp;"/"&amp;"07"&amp;"/"&amp;YEAR(D131)</f>
        <v>21/07/2026</v>
      </c>
      <c r="M131" s="23">
        <f>E131-TIME(3,0,0)</f>
        <v>0.60416666666666663</v>
      </c>
      <c r="N131" t="str">
        <f>J131&amp;" - "&amp;K131</f>
        <v>0 - 4</v>
      </c>
      <c r="O131" t="str">
        <f>IF($J131&gt;$K131,"Green","Red")</f>
        <v>Red</v>
      </c>
      <c r="P131" t="str">
        <f>IF($J131=$K131,"Green","Red")</f>
        <v>Red</v>
      </c>
      <c r="Q131" t="str">
        <f>IF($J131&lt;$K131,"Green","Red")</f>
        <v>Green</v>
      </c>
      <c r="R131" t="str">
        <f>IF($J131&gt;=$K131,"Green","Red")</f>
        <v>Red</v>
      </c>
      <c r="S131" t="str">
        <f>IF($J131&lt;=$K131,"Green","Red")</f>
        <v>Green</v>
      </c>
      <c r="T131" t="str">
        <f>IF(OR($J131&gt;$K131,$J131&lt;$K131),"Green","Red")</f>
        <v>Green</v>
      </c>
      <c r="U131" t="str">
        <f>IF($H131&gt;$I131,"Green","Red")</f>
        <v>Red</v>
      </c>
      <c r="V131" t="str">
        <f>IF($H131=$I131,"Green","Red")</f>
        <v>Red</v>
      </c>
      <c r="W131" t="str">
        <f>IF($H131&lt;$I131,"Green","Red")</f>
        <v>Green</v>
      </c>
      <c r="X131" t="str">
        <f>IF($H131+$I131&gt;0,"Green","Red")</f>
        <v>Green</v>
      </c>
      <c r="Y131" t="str">
        <f>IF($J131+$K131&gt;1.5,"Green","Red")</f>
        <v>Green</v>
      </c>
      <c r="Z131" t="str">
        <f>IF($J131+$K131&gt;2.5,"Green","Red")</f>
        <v>Green</v>
      </c>
      <c r="AA131" t="str">
        <f>IF($J131+$K131&lt;2.5,"Green","Red")</f>
        <v>Red</v>
      </c>
      <c r="AB131" t="str">
        <f>IF($J131+$K131&lt;3.5,"Green","Red")</f>
        <v>Red</v>
      </c>
      <c r="AC131" t="str">
        <f>IF(AND($J131&gt;0,$K131&gt;0),"Green","Red")</f>
        <v>Red</v>
      </c>
      <c r="AD131" t="str">
        <f>IF(OR($J131=0,$K131=0),"Green","Red")</f>
        <v>Green</v>
      </c>
    </row>
    <row r="132" spans="1:30" x14ac:dyDescent="0.2">
      <c r="A132" t="str">
        <f>L132&amp;F132&amp;G132</f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>DAY(D132)&amp;"/"&amp;"07"&amp;"/"&amp;YEAR(D132)</f>
        <v>21/07/2026</v>
      </c>
      <c r="M132" s="23">
        <f>E132-TIME(3,0,0)</f>
        <v>0.625</v>
      </c>
      <c r="N132" t="str">
        <f>J132&amp;" - "&amp;K132</f>
        <v>1 - 1</v>
      </c>
      <c r="O132" t="str">
        <f>IF($J132&gt;$K132,"Green","Red")</f>
        <v>Red</v>
      </c>
      <c r="P132" t="str">
        <f>IF($J132=$K132,"Green","Red")</f>
        <v>Green</v>
      </c>
      <c r="Q132" t="str">
        <f>IF($J132&lt;$K132,"Green","Red")</f>
        <v>Red</v>
      </c>
      <c r="R132" t="str">
        <f>IF($J132&gt;=$K132,"Green","Red")</f>
        <v>Green</v>
      </c>
      <c r="S132" t="str">
        <f>IF($J132&lt;=$K132,"Green","Red")</f>
        <v>Green</v>
      </c>
      <c r="T132" t="str">
        <f>IF(OR($J132&gt;$K132,$J132&lt;$K132),"Green","Red")</f>
        <v>Red</v>
      </c>
      <c r="U132" t="str">
        <f>IF($H132&gt;$I132,"Green","Red")</f>
        <v>Green</v>
      </c>
      <c r="V132" t="str">
        <f>IF($H132=$I132,"Green","Red")</f>
        <v>Red</v>
      </c>
      <c r="W132" t="str">
        <f>IF($H132&lt;$I132,"Green","Red")</f>
        <v>Red</v>
      </c>
      <c r="X132" t="str">
        <f>IF($H132+$I132&gt;0,"Green","Red")</f>
        <v>Green</v>
      </c>
      <c r="Y132" t="str">
        <f>IF($J132+$K132&gt;1.5,"Green","Red")</f>
        <v>Green</v>
      </c>
      <c r="Z132" t="str">
        <f>IF($J132+$K132&gt;2.5,"Green","Red")</f>
        <v>Red</v>
      </c>
      <c r="AA132" t="str">
        <f>IF($J132+$K132&lt;2.5,"Green","Red")</f>
        <v>Green</v>
      </c>
      <c r="AB132" t="str">
        <f>IF($J132+$K132&lt;3.5,"Green","Red")</f>
        <v>Green</v>
      </c>
      <c r="AC132" t="str">
        <f>IF(AND($J132&gt;0,$K132&gt;0),"Green","Red")</f>
        <v>Green</v>
      </c>
      <c r="AD132" t="str">
        <f>IF(OR($J132=0,$K132=0),"Green","Red")</f>
        <v>Red</v>
      </c>
    </row>
    <row r="133" spans="1:30" x14ac:dyDescent="0.2">
      <c r="A133" t="str">
        <f>L133&amp;F133&amp;G133</f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>DAY(D133)&amp;"/"&amp;"07"&amp;"/"&amp;YEAR(D133)</f>
        <v>21/07/2026</v>
      </c>
      <c r="M133" s="23">
        <f>E133-TIME(3,0,0)</f>
        <v>0.625</v>
      </c>
      <c r="N133" t="str">
        <f>J133&amp;" - "&amp;K133</f>
        <v>1 - 0</v>
      </c>
      <c r="O133" t="str">
        <f>IF($J133&gt;$K133,"Green","Red")</f>
        <v>Green</v>
      </c>
      <c r="P133" t="str">
        <f>IF($J133=$K133,"Green","Red")</f>
        <v>Red</v>
      </c>
      <c r="Q133" t="str">
        <f>IF($J133&lt;$K133,"Green","Red")</f>
        <v>Red</v>
      </c>
      <c r="R133" t="str">
        <f>IF($J133&gt;=$K133,"Green","Red")</f>
        <v>Green</v>
      </c>
      <c r="S133" t="str">
        <f>IF($J133&lt;=$K133,"Green","Red")</f>
        <v>Red</v>
      </c>
      <c r="T133" t="str">
        <f>IF(OR($J133&gt;$K133,$J133&lt;$K133),"Green","Red")</f>
        <v>Green</v>
      </c>
      <c r="U133" t="str">
        <f>IF($H133&gt;$I133,"Green","Red")</f>
        <v>Green</v>
      </c>
      <c r="V133" t="str">
        <f>IF($H133=$I133,"Green","Red")</f>
        <v>Red</v>
      </c>
      <c r="W133" t="str">
        <f>IF($H133&lt;$I133,"Green","Red")</f>
        <v>Red</v>
      </c>
      <c r="X133" t="str">
        <f>IF($H133+$I133&gt;0,"Green","Red")</f>
        <v>Green</v>
      </c>
      <c r="Y133" t="str">
        <f>IF($J133+$K133&gt;1.5,"Green","Red")</f>
        <v>Red</v>
      </c>
      <c r="Z133" t="str">
        <f>IF($J133+$K133&gt;2.5,"Green","Red")</f>
        <v>Red</v>
      </c>
      <c r="AA133" t="str">
        <f>IF($J133+$K133&lt;2.5,"Green","Red")</f>
        <v>Green</v>
      </c>
      <c r="AB133" t="str">
        <f>IF($J133+$K133&lt;3.5,"Green","Red")</f>
        <v>Green</v>
      </c>
      <c r="AC133" t="str">
        <f>IF(AND($J133&gt;0,$K133&gt;0),"Green","Red")</f>
        <v>Red</v>
      </c>
      <c r="AD133" t="str">
        <f>IF(OR($J133=0,$K133=0),"Green","Red")</f>
        <v>Green</v>
      </c>
    </row>
    <row r="134" spans="1:30" x14ac:dyDescent="0.2">
      <c r="A134" t="str">
        <f>L134&amp;F134&amp;G134</f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>DAY(D134)&amp;"/"&amp;"07"&amp;"/"&amp;YEAR(D134)</f>
        <v>21/07/2026</v>
      </c>
      <c r="M134" s="23">
        <f>E134-TIME(3,0,0)</f>
        <v>0.625</v>
      </c>
      <c r="N134" t="str">
        <f>J134&amp;" - "&amp;K134</f>
        <v xml:space="preserve"> - </v>
      </c>
      <c r="O134" t="str">
        <f>IF($J134&gt;$K134,"Green","Red")</f>
        <v>Red</v>
      </c>
      <c r="P134" t="str">
        <f>IF($J134=$K134,"Green","Red")</f>
        <v>Green</v>
      </c>
      <c r="Q134" t="str">
        <f>IF($J134&lt;$K134,"Green","Red")</f>
        <v>Red</v>
      </c>
      <c r="R134" t="str">
        <f>IF($J134&gt;=$K134,"Green","Red")</f>
        <v>Green</v>
      </c>
      <c r="S134" t="str">
        <f>IF($J134&lt;=$K134,"Green","Red")</f>
        <v>Green</v>
      </c>
      <c r="T134" t="str">
        <f>IF(OR($J134&gt;$K134,$J134&lt;$K134),"Green","Red")</f>
        <v>Red</v>
      </c>
      <c r="U134" t="str">
        <f>IF($H134&gt;$I134,"Green","Red")</f>
        <v>Red</v>
      </c>
      <c r="V134" t="str">
        <f>IF($H134=$I134,"Green","Red")</f>
        <v>Green</v>
      </c>
      <c r="W134" t="str">
        <f>IF($H134&lt;$I134,"Green","Red")</f>
        <v>Red</v>
      </c>
      <c r="X134" t="str">
        <f>IF($H134+$I134&gt;0,"Green","Red")</f>
        <v>Red</v>
      </c>
      <c r="Y134" t="str">
        <f>IF($J134+$K134&gt;1.5,"Green","Red")</f>
        <v>Red</v>
      </c>
      <c r="Z134" t="str">
        <f>IF($J134+$K134&gt;2.5,"Green","Red")</f>
        <v>Red</v>
      </c>
      <c r="AA134" t="str">
        <f>IF($J134+$K134&lt;2.5,"Green","Red")</f>
        <v>Green</v>
      </c>
      <c r="AB134" t="str">
        <f>IF($J134+$K134&lt;3.5,"Green","Red")</f>
        <v>Green</v>
      </c>
      <c r="AC134" t="str">
        <f>IF(AND($J134&gt;0,$K134&gt;0),"Green","Red")</f>
        <v>Red</v>
      </c>
      <c r="AD134" t="str">
        <f>IF(OR($J134=0,$K134=0),"Green","Red")</f>
        <v>Green</v>
      </c>
    </row>
    <row r="135" spans="1:30" x14ac:dyDescent="0.2">
      <c r="A135" t="str">
        <f>L135&amp;F135&amp;G135</f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>DAY(D135)&amp;"/"&amp;"07"&amp;"/"&amp;YEAR(D135)</f>
        <v>21/07/2026</v>
      </c>
      <c r="M135" s="23">
        <f>E135-TIME(3,0,0)</f>
        <v>0.625</v>
      </c>
      <c r="N135" t="str">
        <f>J135&amp;" - "&amp;K135</f>
        <v xml:space="preserve"> - </v>
      </c>
      <c r="O135" t="str">
        <f>IF($J135&gt;$K135,"Green","Red")</f>
        <v>Red</v>
      </c>
      <c r="P135" t="str">
        <f>IF($J135=$K135,"Green","Red")</f>
        <v>Green</v>
      </c>
      <c r="Q135" t="str">
        <f>IF($J135&lt;$K135,"Green","Red")</f>
        <v>Red</v>
      </c>
      <c r="R135" t="str">
        <f>IF($J135&gt;=$K135,"Green","Red")</f>
        <v>Green</v>
      </c>
      <c r="S135" t="str">
        <f>IF($J135&lt;=$K135,"Green","Red")</f>
        <v>Green</v>
      </c>
      <c r="T135" t="str">
        <f>IF(OR($J135&gt;$K135,$J135&lt;$K135),"Green","Red")</f>
        <v>Red</v>
      </c>
      <c r="U135" t="str">
        <f>IF($H135&gt;$I135,"Green","Red")</f>
        <v>Red</v>
      </c>
      <c r="V135" t="str">
        <f>IF($H135=$I135,"Green","Red")</f>
        <v>Green</v>
      </c>
      <c r="W135" t="str">
        <f>IF($H135&lt;$I135,"Green","Red")</f>
        <v>Red</v>
      </c>
      <c r="X135" t="str">
        <f>IF($H135+$I135&gt;0,"Green","Red")</f>
        <v>Red</v>
      </c>
      <c r="Y135" t="str">
        <f>IF($J135+$K135&gt;1.5,"Green","Red")</f>
        <v>Red</v>
      </c>
      <c r="Z135" t="str">
        <f>IF($J135+$K135&gt;2.5,"Green","Red")</f>
        <v>Red</v>
      </c>
      <c r="AA135" t="str">
        <f>IF($J135+$K135&lt;2.5,"Green","Red")</f>
        <v>Green</v>
      </c>
      <c r="AB135" t="str">
        <f>IF($J135+$K135&lt;3.5,"Green","Red")</f>
        <v>Green</v>
      </c>
      <c r="AC135" t="str">
        <f>IF(AND($J135&gt;0,$K135&gt;0),"Green","Red")</f>
        <v>Red</v>
      </c>
      <c r="AD135" t="str">
        <f>IF(OR($J135=0,$K135=0),"Green","Red")</f>
        <v>Green</v>
      </c>
    </row>
    <row r="136" spans="1:30" x14ac:dyDescent="0.2">
      <c r="A136" t="str">
        <f>L136&amp;F136&amp;G136</f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>DAY(D136)&amp;"/"&amp;"07"&amp;"/"&amp;YEAR(D136)</f>
        <v>21/07/2026</v>
      </c>
      <c r="M136" s="23">
        <f>E136-TIME(3,0,0)</f>
        <v>0.625</v>
      </c>
      <c r="N136" t="str">
        <f>J136&amp;" - "&amp;K136</f>
        <v>5 - 1</v>
      </c>
      <c r="O136" t="str">
        <f>IF($J136&gt;$K136,"Green","Red")</f>
        <v>Green</v>
      </c>
      <c r="P136" t="str">
        <f>IF($J136=$K136,"Green","Red")</f>
        <v>Red</v>
      </c>
      <c r="Q136" t="str">
        <f>IF($J136&lt;$K136,"Green","Red")</f>
        <v>Red</v>
      </c>
      <c r="R136" t="str">
        <f>IF($J136&gt;=$K136,"Green","Red")</f>
        <v>Green</v>
      </c>
      <c r="S136" t="str">
        <f>IF($J136&lt;=$K136,"Green","Red")</f>
        <v>Red</v>
      </c>
      <c r="T136" t="str">
        <f>IF(OR($J136&gt;$K136,$J136&lt;$K136),"Green","Red")</f>
        <v>Green</v>
      </c>
      <c r="U136" t="str">
        <f>IF($H136&gt;$I136,"Green","Red")</f>
        <v>Red</v>
      </c>
      <c r="V136" t="str">
        <f>IF($H136=$I136,"Green","Red")</f>
        <v>Green</v>
      </c>
      <c r="W136" t="str">
        <f>IF($H136&lt;$I136,"Green","Red")</f>
        <v>Red</v>
      </c>
      <c r="X136" t="str">
        <f>IF($H136+$I136&gt;0,"Green","Red")</f>
        <v>Red</v>
      </c>
      <c r="Y136" t="str">
        <f>IF($J136+$K136&gt;1.5,"Green","Red")</f>
        <v>Green</v>
      </c>
      <c r="Z136" t="str">
        <f>IF($J136+$K136&gt;2.5,"Green","Red")</f>
        <v>Green</v>
      </c>
      <c r="AA136" t="str">
        <f>IF($J136+$K136&lt;2.5,"Green","Red")</f>
        <v>Red</v>
      </c>
      <c r="AB136" t="str">
        <f>IF($J136+$K136&lt;3.5,"Green","Red")</f>
        <v>Red</v>
      </c>
      <c r="AC136" t="str">
        <f>IF(AND($J136&gt;0,$K136&gt;0),"Green","Red")</f>
        <v>Green</v>
      </c>
      <c r="AD136" t="str">
        <f>IF(OR($J136=0,$K136=0),"Green","Red")</f>
        <v>Red</v>
      </c>
    </row>
    <row r="137" spans="1:30" x14ac:dyDescent="0.2">
      <c r="A137" t="str">
        <f>L137&amp;F137&amp;G137</f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>DAY(D137)&amp;"/"&amp;"07"&amp;"/"&amp;YEAR(D137)</f>
        <v>21/07/2026</v>
      </c>
      <c r="M137" s="23">
        <f>E137-TIME(3,0,0)</f>
        <v>0.625</v>
      </c>
      <c r="N137" t="str">
        <f>J137&amp;" - "&amp;K137</f>
        <v>1 - 1</v>
      </c>
      <c r="O137" t="str">
        <f>IF($J137&gt;$K137,"Green","Red")</f>
        <v>Red</v>
      </c>
      <c r="P137" t="str">
        <f>IF($J137=$K137,"Green","Red")</f>
        <v>Green</v>
      </c>
      <c r="Q137" t="str">
        <f>IF($J137&lt;$K137,"Green","Red")</f>
        <v>Red</v>
      </c>
      <c r="R137" t="str">
        <f>IF($J137&gt;=$K137,"Green","Red")</f>
        <v>Green</v>
      </c>
      <c r="S137" t="str">
        <f>IF($J137&lt;=$K137,"Green","Red")</f>
        <v>Green</v>
      </c>
      <c r="T137" t="str">
        <f>IF(OR($J137&gt;$K137,$J137&lt;$K137),"Green","Red")</f>
        <v>Red</v>
      </c>
      <c r="U137" t="str">
        <f>IF($H137&gt;$I137,"Green","Red")</f>
        <v>Red</v>
      </c>
      <c r="V137" t="str">
        <f>IF($H137=$I137,"Green","Red")</f>
        <v>Green</v>
      </c>
      <c r="W137" t="str">
        <f>IF($H137&lt;$I137,"Green","Red")</f>
        <v>Red</v>
      </c>
      <c r="X137" t="str">
        <f>IF($H137+$I137&gt;0,"Green","Red")</f>
        <v>Red</v>
      </c>
      <c r="Y137" t="str">
        <f>IF($J137+$K137&gt;1.5,"Green","Red")</f>
        <v>Green</v>
      </c>
      <c r="Z137" t="str">
        <f>IF($J137+$K137&gt;2.5,"Green","Red")</f>
        <v>Red</v>
      </c>
      <c r="AA137" t="str">
        <f>IF($J137+$K137&lt;2.5,"Green","Red")</f>
        <v>Green</v>
      </c>
      <c r="AB137" t="str">
        <f>IF($J137+$K137&lt;3.5,"Green","Red")</f>
        <v>Green</v>
      </c>
      <c r="AC137" t="str">
        <f>IF(AND($J137&gt;0,$K137&gt;0),"Green","Red")</f>
        <v>Green</v>
      </c>
      <c r="AD137" t="str">
        <f>IF(OR($J137=0,$K137=0),"Green","Red")</f>
        <v>Red</v>
      </c>
    </row>
    <row r="138" spans="1:30" x14ac:dyDescent="0.2">
      <c r="A138" t="str">
        <f>L138&amp;F138&amp;G138</f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>DAY(D138)&amp;"/"&amp;"07"&amp;"/"&amp;YEAR(D138)</f>
        <v>21/07/2026</v>
      </c>
      <c r="M138" s="23">
        <f>E138-TIME(3,0,0)</f>
        <v>0.625</v>
      </c>
      <c r="N138" t="str">
        <f>J138&amp;" - "&amp;K138</f>
        <v>3 - 0</v>
      </c>
      <c r="O138" t="str">
        <f>IF($J138&gt;$K138,"Green","Red")</f>
        <v>Green</v>
      </c>
      <c r="P138" t="str">
        <f>IF($J138=$K138,"Green","Red")</f>
        <v>Red</v>
      </c>
      <c r="Q138" t="str">
        <f>IF($J138&lt;$K138,"Green","Red")</f>
        <v>Red</v>
      </c>
      <c r="R138" t="str">
        <f>IF($J138&gt;=$K138,"Green","Red")</f>
        <v>Green</v>
      </c>
      <c r="S138" t="str">
        <f>IF($J138&lt;=$K138,"Green","Red")</f>
        <v>Red</v>
      </c>
      <c r="T138" t="str">
        <f>IF(OR($J138&gt;$K138,$J138&lt;$K138),"Green","Red")</f>
        <v>Green</v>
      </c>
      <c r="U138" t="str">
        <f>IF($H138&gt;$I138,"Green","Red")</f>
        <v>Red</v>
      </c>
      <c r="V138" t="str">
        <f>IF($H138=$I138,"Green","Red")</f>
        <v>Green</v>
      </c>
      <c r="W138" t="str">
        <f>IF($H138&lt;$I138,"Green","Red")</f>
        <v>Red</v>
      </c>
      <c r="X138" t="str">
        <f>IF($H138+$I138&gt;0,"Green","Red")</f>
        <v>Red</v>
      </c>
      <c r="Y138" t="str">
        <f>IF($J138+$K138&gt;1.5,"Green","Red")</f>
        <v>Green</v>
      </c>
      <c r="Z138" t="str">
        <f>IF($J138+$K138&gt;2.5,"Green","Red")</f>
        <v>Green</v>
      </c>
      <c r="AA138" t="str">
        <f>IF($J138+$K138&lt;2.5,"Green","Red")</f>
        <v>Red</v>
      </c>
      <c r="AB138" t="str">
        <f>IF($J138+$K138&lt;3.5,"Green","Red")</f>
        <v>Green</v>
      </c>
      <c r="AC138" t="str">
        <f>IF(AND($J138&gt;0,$K138&gt;0),"Green","Red")</f>
        <v>Red</v>
      </c>
      <c r="AD138" t="str">
        <f>IF(OR($J138=0,$K138=0),"Green","Red")</f>
        <v>Green</v>
      </c>
    </row>
    <row r="139" spans="1:30" x14ac:dyDescent="0.2">
      <c r="A139" t="str">
        <f>L139&amp;F139&amp;G139</f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>DAY(D139)&amp;"/"&amp;"07"&amp;"/"&amp;YEAR(D139)</f>
        <v>21/07/2026</v>
      </c>
      <c r="M139" s="23">
        <f>E139-TIME(3,0,0)</f>
        <v>0.625</v>
      </c>
      <c r="N139" t="str">
        <f>J139&amp;" - "&amp;K139</f>
        <v>2 - 1</v>
      </c>
      <c r="O139" t="str">
        <f>IF($J139&gt;$K139,"Green","Red")</f>
        <v>Green</v>
      </c>
      <c r="P139" t="str">
        <f>IF($J139=$K139,"Green","Red")</f>
        <v>Red</v>
      </c>
      <c r="Q139" t="str">
        <f>IF($J139&lt;$K139,"Green","Red")</f>
        <v>Red</v>
      </c>
      <c r="R139" t="str">
        <f>IF($J139&gt;=$K139,"Green","Red")</f>
        <v>Green</v>
      </c>
      <c r="S139" t="str">
        <f>IF($J139&lt;=$K139,"Green","Red")</f>
        <v>Red</v>
      </c>
      <c r="T139" t="str">
        <f>IF(OR($J139&gt;$K139,$J139&lt;$K139),"Green","Red")</f>
        <v>Green</v>
      </c>
      <c r="U139" t="str">
        <f>IF($H139&gt;$I139,"Green","Red")</f>
        <v>Red</v>
      </c>
      <c r="V139" t="str">
        <f>IF($H139=$I139,"Green","Red")</f>
        <v>Red</v>
      </c>
      <c r="W139" t="str">
        <f>IF($H139&lt;$I139,"Green","Red")</f>
        <v>Green</v>
      </c>
      <c r="X139" t="str">
        <f>IF($H139+$I139&gt;0,"Green","Red")</f>
        <v>Green</v>
      </c>
      <c r="Y139" t="str">
        <f>IF($J139+$K139&gt;1.5,"Green","Red")</f>
        <v>Green</v>
      </c>
      <c r="Z139" t="str">
        <f>IF($J139+$K139&gt;2.5,"Green","Red")</f>
        <v>Green</v>
      </c>
      <c r="AA139" t="str">
        <f>IF($J139+$K139&lt;2.5,"Green","Red")</f>
        <v>Red</v>
      </c>
      <c r="AB139" t="str">
        <f>IF($J139+$K139&lt;3.5,"Green","Red")</f>
        <v>Green</v>
      </c>
      <c r="AC139" t="str">
        <f>IF(AND($J139&gt;0,$K139&gt;0),"Green","Red")</f>
        <v>Green</v>
      </c>
      <c r="AD139" t="str">
        <f>IF(OR($J139=0,$K139=0),"Green","Red")</f>
        <v>Red</v>
      </c>
    </row>
    <row r="140" spans="1:30" x14ac:dyDescent="0.2">
      <c r="A140" t="str">
        <f>L140&amp;F140&amp;G140</f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>DAY(D140)&amp;"/"&amp;"07"&amp;"/"&amp;YEAR(D140)</f>
        <v>21/07/2026</v>
      </c>
      <c r="M140" s="23">
        <f>E140-TIME(3,0,0)</f>
        <v>0.625</v>
      </c>
      <c r="N140" t="str">
        <f>J140&amp;" - "&amp;K140</f>
        <v>1 - 3</v>
      </c>
      <c r="O140" t="str">
        <f>IF($J140&gt;$K140,"Green","Red")</f>
        <v>Red</v>
      </c>
      <c r="P140" t="str">
        <f>IF($J140=$K140,"Green","Red")</f>
        <v>Red</v>
      </c>
      <c r="Q140" t="str">
        <f>IF($J140&lt;$K140,"Green","Red")</f>
        <v>Green</v>
      </c>
      <c r="R140" t="str">
        <f>IF($J140&gt;=$K140,"Green","Red")</f>
        <v>Red</v>
      </c>
      <c r="S140" t="str">
        <f>IF($J140&lt;=$K140,"Green","Red")</f>
        <v>Green</v>
      </c>
      <c r="T140" t="str">
        <f>IF(OR($J140&gt;$K140,$J140&lt;$K140),"Green","Red")</f>
        <v>Green</v>
      </c>
      <c r="U140" t="str">
        <f>IF($H140&gt;$I140,"Green","Red")</f>
        <v>Red</v>
      </c>
      <c r="V140" t="str">
        <f>IF($H140=$I140,"Green","Red")</f>
        <v>Red</v>
      </c>
      <c r="W140" t="str">
        <f>IF($H140&lt;$I140,"Green","Red")</f>
        <v>Green</v>
      </c>
      <c r="X140" t="str">
        <f>IF($H140+$I140&gt;0,"Green","Red")</f>
        <v>Green</v>
      </c>
      <c r="Y140" t="str">
        <f>IF($J140+$K140&gt;1.5,"Green","Red")</f>
        <v>Green</v>
      </c>
      <c r="Z140" t="str">
        <f>IF($J140+$K140&gt;2.5,"Green","Red")</f>
        <v>Green</v>
      </c>
      <c r="AA140" t="str">
        <f>IF($J140+$K140&lt;2.5,"Green","Red")</f>
        <v>Red</v>
      </c>
      <c r="AB140" t="str">
        <f>IF($J140+$K140&lt;3.5,"Green","Red")</f>
        <v>Red</v>
      </c>
      <c r="AC140" t="str">
        <f>IF(AND($J140&gt;0,$K140&gt;0),"Green","Red")</f>
        <v>Green</v>
      </c>
      <c r="AD140" t="str">
        <f>IF(OR($J140=0,$K140=0),"Green","Red")</f>
        <v>Red</v>
      </c>
    </row>
    <row r="141" spans="1:30" x14ac:dyDescent="0.2">
      <c r="A141" t="str">
        <f>L141&amp;F141&amp;G141</f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>DAY(D141)&amp;"/"&amp;"07"&amp;"/"&amp;YEAR(D141)</f>
        <v>21/07/2026</v>
      </c>
      <c r="M141" s="23">
        <f>E141-TIME(3,0,0)</f>
        <v>0.625</v>
      </c>
      <c r="N141" t="str">
        <f>J141&amp;" - "&amp;K141</f>
        <v>2 - 1</v>
      </c>
      <c r="O141" t="str">
        <f>IF($J141&gt;$K141,"Green","Red")</f>
        <v>Green</v>
      </c>
      <c r="P141" t="str">
        <f>IF($J141=$K141,"Green","Red")</f>
        <v>Red</v>
      </c>
      <c r="Q141" t="str">
        <f>IF($J141&lt;$K141,"Green","Red")</f>
        <v>Red</v>
      </c>
      <c r="R141" t="str">
        <f>IF($J141&gt;=$K141,"Green","Red")</f>
        <v>Green</v>
      </c>
      <c r="S141" t="str">
        <f>IF($J141&lt;=$K141,"Green","Red")</f>
        <v>Red</v>
      </c>
      <c r="T141" t="str">
        <f>IF(OR($J141&gt;$K141,$J141&lt;$K141),"Green","Red")</f>
        <v>Green</v>
      </c>
      <c r="U141" t="str">
        <f>IF($H141&gt;$I141,"Green","Red")</f>
        <v>Green</v>
      </c>
      <c r="V141" t="str">
        <f>IF($H141=$I141,"Green","Red")</f>
        <v>Red</v>
      </c>
      <c r="W141" t="str">
        <f>IF($H141&lt;$I141,"Green","Red")</f>
        <v>Red</v>
      </c>
      <c r="X141" t="str">
        <f>IF($H141+$I141&gt;0,"Green","Red")</f>
        <v>Green</v>
      </c>
      <c r="Y141" t="str">
        <f>IF($J141+$K141&gt;1.5,"Green","Red")</f>
        <v>Green</v>
      </c>
      <c r="Z141" t="str">
        <f>IF($J141+$K141&gt;2.5,"Green","Red")</f>
        <v>Green</v>
      </c>
      <c r="AA141" t="str">
        <f>IF($J141+$K141&lt;2.5,"Green","Red")</f>
        <v>Red</v>
      </c>
      <c r="AB141" t="str">
        <f>IF($J141+$K141&lt;3.5,"Green","Red")</f>
        <v>Green</v>
      </c>
      <c r="AC141" t="str">
        <f>IF(AND($J141&gt;0,$K141&gt;0),"Green","Red")</f>
        <v>Green</v>
      </c>
      <c r="AD141" t="str">
        <f>IF(OR($J141=0,$K141=0),"Green","Red")</f>
        <v>Red</v>
      </c>
    </row>
    <row r="142" spans="1:30" x14ac:dyDescent="0.2">
      <c r="A142" t="str">
        <f>L142&amp;F142&amp;G142</f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>DAY(D142)&amp;"/"&amp;"07"&amp;"/"&amp;YEAR(D142)</f>
        <v>21/07/2026</v>
      </c>
      <c r="M142" s="23">
        <f>E142-TIME(3,0,0)</f>
        <v>0.625</v>
      </c>
      <c r="N142" t="str">
        <f>J142&amp;" - "&amp;K142</f>
        <v>1 - 2</v>
      </c>
      <c r="O142" t="str">
        <f>IF($J142&gt;$K142,"Green","Red")</f>
        <v>Red</v>
      </c>
      <c r="P142" t="str">
        <f>IF($J142=$K142,"Green","Red")</f>
        <v>Red</v>
      </c>
      <c r="Q142" t="str">
        <f>IF($J142&lt;$K142,"Green","Red")</f>
        <v>Green</v>
      </c>
      <c r="R142" t="str">
        <f>IF($J142&gt;=$K142,"Green","Red")</f>
        <v>Red</v>
      </c>
      <c r="S142" t="str">
        <f>IF($J142&lt;=$K142,"Green","Red")</f>
        <v>Green</v>
      </c>
      <c r="T142" t="str">
        <f>IF(OR($J142&gt;$K142,$J142&lt;$K142),"Green","Red")</f>
        <v>Green</v>
      </c>
      <c r="U142" t="str">
        <f>IF($H142&gt;$I142,"Green","Red")</f>
        <v>Red</v>
      </c>
      <c r="V142" t="str">
        <f>IF($H142=$I142,"Green","Red")</f>
        <v>Red</v>
      </c>
      <c r="W142" t="str">
        <f>IF($H142&lt;$I142,"Green","Red")</f>
        <v>Green</v>
      </c>
      <c r="X142" t="str">
        <f>IF($H142+$I142&gt;0,"Green","Red")</f>
        <v>Green</v>
      </c>
      <c r="Y142" t="str">
        <f>IF($J142+$K142&gt;1.5,"Green","Red")</f>
        <v>Green</v>
      </c>
      <c r="Z142" t="str">
        <f>IF($J142+$K142&gt;2.5,"Green","Red")</f>
        <v>Green</v>
      </c>
      <c r="AA142" t="str">
        <f>IF($J142+$K142&lt;2.5,"Green","Red")</f>
        <v>Red</v>
      </c>
      <c r="AB142" t="str">
        <f>IF($J142+$K142&lt;3.5,"Green","Red")</f>
        <v>Green</v>
      </c>
      <c r="AC142" t="str">
        <f>IF(AND($J142&gt;0,$K142&gt;0),"Green","Red")</f>
        <v>Green</v>
      </c>
      <c r="AD142" t="str">
        <f>IF(OR($J142=0,$K142=0),"Green","Red")</f>
        <v>Red</v>
      </c>
    </row>
    <row r="143" spans="1:30" x14ac:dyDescent="0.2">
      <c r="A143" t="str">
        <f>L143&amp;F143&amp;G143</f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>DAY(D143)&amp;"/"&amp;"07"&amp;"/"&amp;YEAR(D143)</f>
        <v>21/07/2026</v>
      </c>
      <c r="M143" s="23">
        <f>E143-TIME(3,0,0)</f>
        <v>0.625</v>
      </c>
      <c r="N143" t="str">
        <f>J143&amp;" - "&amp;K143</f>
        <v>2 - 2</v>
      </c>
      <c r="O143" t="str">
        <f>IF($J143&gt;$K143,"Green","Red")</f>
        <v>Red</v>
      </c>
      <c r="P143" t="str">
        <f>IF($J143=$K143,"Green","Red")</f>
        <v>Green</v>
      </c>
      <c r="Q143" t="str">
        <f>IF($J143&lt;$K143,"Green","Red")</f>
        <v>Red</v>
      </c>
      <c r="R143" t="str">
        <f>IF($J143&gt;=$K143,"Green","Red")</f>
        <v>Green</v>
      </c>
      <c r="S143" t="str">
        <f>IF($J143&lt;=$K143,"Green","Red")</f>
        <v>Green</v>
      </c>
      <c r="T143" t="str">
        <f>IF(OR($J143&gt;$K143,$J143&lt;$K143),"Green","Red")</f>
        <v>Red</v>
      </c>
      <c r="U143" t="str">
        <f>IF($H143&gt;$I143,"Green","Red")</f>
        <v>Green</v>
      </c>
      <c r="V143" t="str">
        <f>IF($H143=$I143,"Green","Red")</f>
        <v>Red</v>
      </c>
      <c r="W143" t="str">
        <f>IF($H143&lt;$I143,"Green","Red")</f>
        <v>Red</v>
      </c>
      <c r="X143" t="str">
        <f>IF($H143+$I143&gt;0,"Green","Red")</f>
        <v>Green</v>
      </c>
      <c r="Y143" t="str">
        <f>IF($J143+$K143&gt;1.5,"Green","Red")</f>
        <v>Green</v>
      </c>
      <c r="Z143" t="str">
        <f>IF($J143+$K143&gt;2.5,"Green","Red")</f>
        <v>Green</v>
      </c>
      <c r="AA143" t="str">
        <f>IF($J143+$K143&lt;2.5,"Green","Red")</f>
        <v>Red</v>
      </c>
      <c r="AB143" t="str">
        <f>IF($J143+$K143&lt;3.5,"Green","Red")</f>
        <v>Red</v>
      </c>
      <c r="AC143" t="str">
        <f>IF(AND($J143&gt;0,$K143&gt;0),"Green","Red")</f>
        <v>Green</v>
      </c>
      <c r="AD143" t="str">
        <f>IF(OR($J143=0,$K143=0),"Green","Red")</f>
        <v>Red</v>
      </c>
    </row>
    <row r="144" spans="1:30" x14ac:dyDescent="0.2">
      <c r="A144" t="str">
        <f>L144&amp;F144&amp;G144</f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>DAY(D144)&amp;"/"&amp;"07"&amp;"/"&amp;YEAR(D144)</f>
        <v>21/07/2026</v>
      </c>
      <c r="M144" s="23">
        <f>E144-TIME(3,0,0)</f>
        <v>0.625</v>
      </c>
      <c r="N144" t="str">
        <f>J144&amp;" - "&amp;K144</f>
        <v>1 - 0</v>
      </c>
      <c r="O144" t="str">
        <f>IF($J144&gt;$K144,"Green","Red")</f>
        <v>Green</v>
      </c>
      <c r="P144" t="str">
        <f>IF($J144=$K144,"Green","Red")</f>
        <v>Red</v>
      </c>
      <c r="Q144" t="str">
        <f>IF($J144&lt;$K144,"Green","Red")</f>
        <v>Red</v>
      </c>
      <c r="R144" t="str">
        <f>IF($J144&gt;=$K144,"Green","Red")</f>
        <v>Green</v>
      </c>
      <c r="S144" t="str">
        <f>IF($J144&lt;=$K144,"Green","Red")</f>
        <v>Red</v>
      </c>
      <c r="T144" t="str">
        <f>IF(OR($J144&gt;$K144,$J144&lt;$K144),"Green","Red")</f>
        <v>Green</v>
      </c>
      <c r="U144" t="str">
        <f>IF($H144&gt;$I144,"Green","Red")</f>
        <v>Green</v>
      </c>
      <c r="V144" t="str">
        <f>IF($H144=$I144,"Green","Red")</f>
        <v>Red</v>
      </c>
      <c r="W144" t="str">
        <f>IF($H144&lt;$I144,"Green","Red")</f>
        <v>Red</v>
      </c>
      <c r="X144" t="str">
        <f>IF($H144+$I144&gt;0,"Green","Red")</f>
        <v>Green</v>
      </c>
      <c r="Y144" t="str">
        <f>IF($J144+$K144&gt;1.5,"Green","Red")</f>
        <v>Red</v>
      </c>
      <c r="Z144" t="str">
        <f>IF($J144+$K144&gt;2.5,"Green","Red")</f>
        <v>Red</v>
      </c>
      <c r="AA144" t="str">
        <f>IF($J144+$K144&lt;2.5,"Green","Red")</f>
        <v>Green</v>
      </c>
      <c r="AB144" t="str">
        <f>IF($J144+$K144&lt;3.5,"Green","Red")</f>
        <v>Green</v>
      </c>
      <c r="AC144" t="str">
        <f>IF(AND($J144&gt;0,$K144&gt;0),"Green","Red")</f>
        <v>Red</v>
      </c>
      <c r="AD144" t="str">
        <f>IF(OR($J144=0,$K144=0),"Green","Red")</f>
        <v>Green</v>
      </c>
    </row>
    <row r="145" spans="1:30" x14ac:dyDescent="0.2">
      <c r="A145" t="str">
        <f>L145&amp;F145&amp;G145</f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>DAY(D145)&amp;"/"&amp;"07"&amp;"/"&amp;YEAR(D145)</f>
        <v>21/07/2026</v>
      </c>
      <c r="M145" s="23">
        <f>E145-TIME(3,0,0)</f>
        <v>0.625</v>
      </c>
      <c r="N145" t="str">
        <f>J145&amp;" - "&amp;K145</f>
        <v>2 - 3</v>
      </c>
      <c r="O145" t="str">
        <f>IF($J145&gt;$K145,"Green","Red")</f>
        <v>Red</v>
      </c>
      <c r="P145" t="str">
        <f>IF($J145=$K145,"Green","Red")</f>
        <v>Red</v>
      </c>
      <c r="Q145" t="str">
        <f>IF($J145&lt;$K145,"Green","Red")</f>
        <v>Green</v>
      </c>
      <c r="R145" t="str">
        <f>IF($J145&gt;=$K145,"Green","Red")</f>
        <v>Red</v>
      </c>
      <c r="S145" t="str">
        <f>IF($J145&lt;=$K145,"Green","Red")</f>
        <v>Green</v>
      </c>
      <c r="T145" t="str">
        <f>IF(OR($J145&gt;$K145,$J145&lt;$K145),"Green","Red")</f>
        <v>Green</v>
      </c>
      <c r="U145" t="str">
        <f>IF($H145&gt;$I145,"Green","Red")</f>
        <v>Red</v>
      </c>
      <c r="V145" t="str">
        <f>IF($H145=$I145,"Green","Red")</f>
        <v>Green</v>
      </c>
      <c r="W145" t="str">
        <f>IF($H145&lt;$I145,"Green","Red")</f>
        <v>Red</v>
      </c>
      <c r="X145" t="str">
        <f>IF($H145+$I145&gt;0,"Green","Red")</f>
        <v>Green</v>
      </c>
      <c r="Y145" t="str">
        <f>IF($J145+$K145&gt;1.5,"Green","Red")</f>
        <v>Green</v>
      </c>
      <c r="Z145" t="str">
        <f>IF($J145+$K145&gt;2.5,"Green","Red")</f>
        <v>Green</v>
      </c>
      <c r="AA145" t="str">
        <f>IF($J145+$K145&lt;2.5,"Green","Red")</f>
        <v>Red</v>
      </c>
      <c r="AB145" t="str">
        <f>IF($J145+$K145&lt;3.5,"Green","Red")</f>
        <v>Red</v>
      </c>
      <c r="AC145" t="str">
        <f>IF(AND($J145&gt;0,$K145&gt;0),"Green","Red")</f>
        <v>Green</v>
      </c>
      <c r="AD145" t="str">
        <f>IF(OR($J145=0,$K145=0),"Green","Red")</f>
        <v>Red</v>
      </c>
    </row>
    <row r="146" spans="1:30" x14ac:dyDescent="0.2">
      <c r="A146" t="str">
        <f>L146&amp;F146&amp;G146</f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>DAY(D146)&amp;"/"&amp;"07"&amp;"/"&amp;YEAR(D146)</f>
        <v>21/07/2026</v>
      </c>
      <c r="M146" s="23">
        <f>E146-TIME(3,0,0)</f>
        <v>0.625</v>
      </c>
      <c r="N146" t="str">
        <f>J146&amp;" - "&amp;K146</f>
        <v xml:space="preserve"> - </v>
      </c>
      <c r="O146" t="str">
        <f>IF($J146&gt;$K146,"Green","Red")</f>
        <v>Red</v>
      </c>
      <c r="P146" t="str">
        <f>IF($J146=$K146,"Green","Red")</f>
        <v>Green</v>
      </c>
      <c r="Q146" t="str">
        <f>IF($J146&lt;$K146,"Green","Red")</f>
        <v>Red</v>
      </c>
      <c r="R146" t="str">
        <f>IF($J146&gt;=$K146,"Green","Red")</f>
        <v>Green</v>
      </c>
      <c r="S146" t="str">
        <f>IF($J146&lt;=$K146,"Green","Red")</f>
        <v>Green</v>
      </c>
      <c r="T146" t="str">
        <f>IF(OR($J146&gt;$K146,$J146&lt;$K146),"Green","Red")</f>
        <v>Red</v>
      </c>
      <c r="U146" t="str">
        <f>IF($H146&gt;$I146,"Green","Red")</f>
        <v>Red</v>
      </c>
      <c r="V146" t="str">
        <f>IF($H146=$I146,"Green","Red")</f>
        <v>Green</v>
      </c>
      <c r="W146" t="str">
        <f>IF($H146&lt;$I146,"Green","Red")</f>
        <v>Red</v>
      </c>
      <c r="X146" t="str">
        <f>IF($H146+$I146&gt;0,"Green","Red")</f>
        <v>Red</v>
      </c>
      <c r="Y146" t="str">
        <f>IF($J146+$K146&gt;1.5,"Green","Red")</f>
        <v>Red</v>
      </c>
      <c r="Z146" t="str">
        <f>IF($J146+$K146&gt;2.5,"Green","Red")</f>
        <v>Red</v>
      </c>
      <c r="AA146" t="str">
        <f>IF($J146+$K146&lt;2.5,"Green","Red")</f>
        <v>Green</v>
      </c>
      <c r="AB146" t="str">
        <f>IF($J146+$K146&lt;3.5,"Green","Red")</f>
        <v>Green</v>
      </c>
      <c r="AC146" t="str">
        <f>IF(AND($J146&gt;0,$K146&gt;0),"Green","Red")</f>
        <v>Red</v>
      </c>
      <c r="AD146" t="str">
        <f>IF(OR($J146=0,$K146=0),"Green","Red")</f>
        <v>Green</v>
      </c>
    </row>
    <row r="147" spans="1:30" x14ac:dyDescent="0.2">
      <c r="A147" t="str">
        <f>L147&amp;F147&amp;G147</f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>DAY(D147)&amp;"/"&amp;"07"&amp;"/"&amp;YEAR(D147)</f>
        <v>21/07/2026</v>
      </c>
      <c r="M147" s="23">
        <f>E147-TIME(3,0,0)</f>
        <v>0.625</v>
      </c>
      <c r="N147" t="str">
        <f>J147&amp;" - "&amp;K147</f>
        <v>1 - 3</v>
      </c>
      <c r="O147" t="str">
        <f>IF($J147&gt;$K147,"Green","Red")</f>
        <v>Red</v>
      </c>
      <c r="P147" t="str">
        <f>IF($J147=$K147,"Green","Red")</f>
        <v>Red</v>
      </c>
      <c r="Q147" t="str">
        <f>IF($J147&lt;$K147,"Green","Red")</f>
        <v>Green</v>
      </c>
      <c r="R147" t="str">
        <f>IF($J147&gt;=$K147,"Green","Red")</f>
        <v>Red</v>
      </c>
      <c r="S147" t="str">
        <f>IF($J147&lt;=$K147,"Green","Red")</f>
        <v>Green</v>
      </c>
      <c r="T147" t="str">
        <f>IF(OR($J147&gt;$K147,$J147&lt;$K147),"Green","Red")</f>
        <v>Green</v>
      </c>
      <c r="U147" t="str">
        <f>IF($H147&gt;$I147,"Green","Red")</f>
        <v>Red</v>
      </c>
      <c r="V147" t="str">
        <f>IF($H147=$I147,"Green","Red")</f>
        <v>Red</v>
      </c>
      <c r="W147" t="str">
        <f>IF($H147&lt;$I147,"Green","Red")</f>
        <v>Green</v>
      </c>
      <c r="X147" t="str">
        <f>IF($H147+$I147&gt;0,"Green","Red")</f>
        <v>Green</v>
      </c>
      <c r="Y147" t="str">
        <f>IF($J147+$K147&gt;1.5,"Green","Red")</f>
        <v>Green</v>
      </c>
      <c r="Z147" t="str">
        <f>IF($J147+$K147&gt;2.5,"Green","Red")</f>
        <v>Green</v>
      </c>
      <c r="AA147" t="str">
        <f>IF($J147+$K147&lt;2.5,"Green","Red")</f>
        <v>Red</v>
      </c>
      <c r="AB147" t="str">
        <f>IF($J147+$K147&lt;3.5,"Green","Red")</f>
        <v>Red</v>
      </c>
      <c r="AC147" t="str">
        <f>IF(AND($J147&gt;0,$K147&gt;0),"Green","Red")</f>
        <v>Green</v>
      </c>
      <c r="AD147" t="str">
        <f>IF(OR($J147=0,$K147=0),"Green","Red")</f>
        <v>Red</v>
      </c>
    </row>
    <row r="148" spans="1:30" x14ac:dyDescent="0.2">
      <c r="A148" t="str">
        <f>L148&amp;F148&amp;G148</f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>DAY(D148)&amp;"/"&amp;"07"&amp;"/"&amp;YEAR(D148)</f>
        <v>21/07/2026</v>
      </c>
      <c r="M148" s="23">
        <f>E148-TIME(3,0,0)</f>
        <v>0.625</v>
      </c>
      <c r="N148" t="str">
        <f>J148&amp;" - "&amp;K148</f>
        <v xml:space="preserve"> - </v>
      </c>
      <c r="O148" t="str">
        <f>IF($J148&gt;$K148,"Green","Red")</f>
        <v>Red</v>
      </c>
      <c r="P148" t="str">
        <f>IF($J148=$K148,"Green","Red")</f>
        <v>Green</v>
      </c>
      <c r="Q148" t="str">
        <f>IF($J148&lt;$K148,"Green","Red")</f>
        <v>Red</v>
      </c>
      <c r="R148" t="str">
        <f>IF($J148&gt;=$K148,"Green","Red")</f>
        <v>Green</v>
      </c>
      <c r="S148" t="str">
        <f>IF($J148&lt;=$K148,"Green","Red")</f>
        <v>Green</v>
      </c>
      <c r="T148" t="str">
        <f>IF(OR($J148&gt;$K148,$J148&lt;$K148),"Green","Red")</f>
        <v>Red</v>
      </c>
      <c r="U148" t="str">
        <f>IF($H148&gt;$I148,"Green","Red")</f>
        <v>Red</v>
      </c>
      <c r="V148" t="str">
        <f>IF($H148=$I148,"Green","Red")</f>
        <v>Green</v>
      </c>
      <c r="W148" t="str">
        <f>IF($H148&lt;$I148,"Green","Red")</f>
        <v>Red</v>
      </c>
      <c r="X148" t="str">
        <f>IF($H148+$I148&gt;0,"Green","Red")</f>
        <v>Red</v>
      </c>
      <c r="Y148" t="str">
        <f>IF($J148+$K148&gt;1.5,"Green","Red")</f>
        <v>Red</v>
      </c>
      <c r="Z148" t="str">
        <f>IF($J148+$K148&gt;2.5,"Green","Red")</f>
        <v>Red</v>
      </c>
      <c r="AA148" t="str">
        <f>IF($J148+$K148&lt;2.5,"Green","Red")</f>
        <v>Green</v>
      </c>
      <c r="AB148" t="str">
        <f>IF($J148+$K148&lt;3.5,"Green","Red")</f>
        <v>Green</v>
      </c>
      <c r="AC148" t="str">
        <f>IF(AND($J148&gt;0,$K148&gt;0),"Green","Red")</f>
        <v>Red</v>
      </c>
      <c r="AD148" t="str">
        <f>IF(OR($J148=0,$K148=0),"Green","Red")</f>
        <v>Green</v>
      </c>
    </row>
    <row r="149" spans="1:30" x14ac:dyDescent="0.2">
      <c r="A149" t="str">
        <f>L149&amp;F149&amp;G149</f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>DAY(D149)&amp;"/"&amp;"07"&amp;"/"&amp;YEAR(D149)</f>
        <v>21/07/2026</v>
      </c>
      <c r="M149" s="23">
        <f>E149-TIME(3,0,0)</f>
        <v>0.63541666666666663</v>
      </c>
      <c r="N149" t="str">
        <f>J149&amp;" - "&amp;K149</f>
        <v>2 - 6</v>
      </c>
      <c r="O149" t="str">
        <f>IF($J149&gt;$K149,"Green","Red")</f>
        <v>Red</v>
      </c>
      <c r="P149" t="str">
        <f>IF($J149=$K149,"Green","Red")</f>
        <v>Red</v>
      </c>
      <c r="Q149" t="str">
        <f>IF($J149&lt;$K149,"Green","Red")</f>
        <v>Green</v>
      </c>
      <c r="R149" t="str">
        <f>IF($J149&gt;=$K149,"Green","Red")</f>
        <v>Red</v>
      </c>
      <c r="S149" t="str">
        <f>IF($J149&lt;=$K149,"Green","Red")</f>
        <v>Green</v>
      </c>
      <c r="T149" t="str">
        <f>IF(OR($J149&gt;$K149,$J149&lt;$K149),"Green","Red")</f>
        <v>Green</v>
      </c>
      <c r="U149" t="str">
        <f>IF($H149&gt;$I149,"Green","Red")</f>
        <v>Red</v>
      </c>
      <c r="V149" t="str">
        <f>IF($H149=$I149,"Green","Red")</f>
        <v>Red</v>
      </c>
      <c r="W149" t="str">
        <f>IF($H149&lt;$I149,"Green","Red")</f>
        <v>Green</v>
      </c>
      <c r="X149" t="str">
        <f>IF($H149+$I149&gt;0,"Green","Red")</f>
        <v>Green</v>
      </c>
      <c r="Y149" t="str">
        <f>IF($J149+$K149&gt;1.5,"Green","Red")</f>
        <v>Green</v>
      </c>
      <c r="Z149" t="str">
        <f>IF($J149+$K149&gt;2.5,"Green","Red")</f>
        <v>Green</v>
      </c>
      <c r="AA149" t="str">
        <f>IF($J149+$K149&lt;2.5,"Green","Red")</f>
        <v>Red</v>
      </c>
      <c r="AB149" t="str">
        <f>IF($J149+$K149&lt;3.5,"Green","Red")</f>
        <v>Red</v>
      </c>
      <c r="AC149" t="str">
        <f>IF(AND($J149&gt;0,$K149&gt;0),"Green","Red")</f>
        <v>Green</v>
      </c>
      <c r="AD149" t="str">
        <f>IF(OR($J149=0,$K149=0),"Green","Red")</f>
        <v>Red</v>
      </c>
    </row>
    <row r="150" spans="1:30" x14ac:dyDescent="0.2">
      <c r="A150" t="str">
        <f>L150&amp;F150&amp;G150</f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>DAY(D150)&amp;"/"&amp;"07"&amp;"/"&amp;YEAR(D150)</f>
        <v>21/07/2026</v>
      </c>
      <c r="M150" s="23">
        <f>E150-TIME(3,0,0)</f>
        <v>0.64236111111111116</v>
      </c>
      <c r="N150" t="str">
        <f>J150&amp;" - "&amp;K150</f>
        <v>2 - 0</v>
      </c>
      <c r="O150" t="str">
        <f>IF($J150&gt;$K150,"Green","Red")</f>
        <v>Green</v>
      </c>
      <c r="P150" t="str">
        <f>IF($J150=$K150,"Green","Red")</f>
        <v>Red</v>
      </c>
      <c r="Q150" t="str">
        <f>IF($J150&lt;$K150,"Green","Red")</f>
        <v>Red</v>
      </c>
      <c r="R150" t="str">
        <f>IF($J150&gt;=$K150,"Green","Red")</f>
        <v>Green</v>
      </c>
      <c r="S150" t="str">
        <f>IF($J150&lt;=$K150,"Green","Red")</f>
        <v>Red</v>
      </c>
      <c r="T150" t="str">
        <f>IF(OR($J150&gt;$K150,$J150&lt;$K150),"Green","Red")</f>
        <v>Green</v>
      </c>
      <c r="U150" t="str">
        <f>IF($H150&gt;$I150,"Green","Red")</f>
        <v>Red</v>
      </c>
      <c r="V150" t="str">
        <f>IF($H150=$I150,"Green","Red")</f>
        <v>Green</v>
      </c>
      <c r="W150" t="str">
        <f>IF($H150&lt;$I150,"Green","Red")</f>
        <v>Red</v>
      </c>
      <c r="X150" t="str">
        <f>IF($H150+$I150&gt;0,"Green","Red")</f>
        <v>Red</v>
      </c>
      <c r="Y150" t="str">
        <f>IF($J150+$K150&gt;1.5,"Green","Red")</f>
        <v>Green</v>
      </c>
      <c r="Z150" t="str">
        <f>IF($J150+$K150&gt;2.5,"Green","Red")</f>
        <v>Red</v>
      </c>
      <c r="AA150" t="str">
        <f>IF($J150+$K150&lt;2.5,"Green","Red")</f>
        <v>Green</v>
      </c>
      <c r="AB150" t="str">
        <f>IF($J150+$K150&lt;3.5,"Green","Red")</f>
        <v>Green</v>
      </c>
      <c r="AC150" t="str">
        <f>IF(AND($J150&gt;0,$K150&gt;0),"Green","Red")</f>
        <v>Red</v>
      </c>
      <c r="AD150" t="str">
        <f>IF(OR($J150=0,$K150=0),"Green","Red")</f>
        <v>Green</v>
      </c>
    </row>
    <row r="151" spans="1:30" x14ac:dyDescent="0.2">
      <c r="A151" t="str">
        <f>L151&amp;F151&amp;G151</f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>DAY(D151)&amp;"/"&amp;"07"&amp;"/"&amp;YEAR(D151)</f>
        <v>21/07/2026</v>
      </c>
      <c r="M151" s="23">
        <f>E151-TIME(3,0,0)</f>
        <v>0.64583333333333337</v>
      </c>
      <c r="N151" t="str">
        <f>J151&amp;" - "&amp;K151</f>
        <v>4 - 0</v>
      </c>
      <c r="O151" t="str">
        <f>IF($J151&gt;$K151,"Green","Red")</f>
        <v>Green</v>
      </c>
      <c r="P151" t="str">
        <f>IF($J151=$K151,"Green","Red")</f>
        <v>Red</v>
      </c>
      <c r="Q151" t="str">
        <f>IF($J151&lt;$K151,"Green","Red")</f>
        <v>Red</v>
      </c>
      <c r="R151" t="str">
        <f>IF($J151&gt;=$K151,"Green","Red")</f>
        <v>Green</v>
      </c>
      <c r="S151" t="str">
        <f>IF($J151&lt;=$K151,"Green","Red")</f>
        <v>Red</v>
      </c>
      <c r="T151" t="str">
        <f>IF(OR($J151&gt;$K151,$J151&lt;$K151),"Green","Red")</f>
        <v>Green</v>
      </c>
      <c r="U151" t="str">
        <f>IF($H151&gt;$I151,"Green","Red")</f>
        <v>Green</v>
      </c>
      <c r="V151" t="str">
        <f>IF($H151=$I151,"Green","Red")</f>
        <v>Red</v>
      </c>
      <c r="W151" t="str">
        <f>IF($H151&lt;$I151,"Green","Red")</f>
        <v>Red</v>
      </c>
      <c r="X151" t="str">
        <f>IF($H151+$I151&gt;0,"Green","Red")</f>
        <v>Green</v>
      </c>
      <c r="Y151" t="str">
        <f>IF($J151+$K151&gt;1.5,"Green","Red")</f>
        <v>Green</v>
      </c>
      <c r="Z151" t="str">
        <f>IF($J151+$K151&gt;2.5,"Green","Red")</f>
        <v>Green</v>
      </c>
      <c r="AA151" t="str">
        <f>IF($J151+$K151&lt;2.5,"Green","Red")</f>
        <v>Red</v>
      </c>
      <c r="AB151" t="str">
        <f>IF($J151+$K151&lt;3.5,"Green","Red")</f>
        <v>Red</v>
      </c>
      <c r="AC151" t="str">
        <f>IF(AND($J151&gt;0,$K151&gt;0),"Green","Red")</f>
        <v>Red</v>
      </c>
      <c r="AD151" t="str">
        <f>IF(OR($J151=0,$K151=0),"Green","Red")</f>
        <v>Green</v>
      </c>
    </row>
    <row r="152" spans="1:30" x14ac:dyDescent="0.2">
      <c r="A152" t="str">
        <f>L152&amp;F152&amp;G152</f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>DAY(D152)&amp;"/"&amp;"07"&amp;"/"&amp;YEAR(D152)</f>
        <v>21/07/2026</v>
      </c>
      <c r="M152" s="23">
        <f>E152-TIME(3,0,0)</f>
        <v>0.64583333333333337</v>
      </c>
      <c r="N152" t="str">
        <f>J152&amp;" - "&amp;K152</f>
        <v>0 - 1</v>
      </c>
      <c r="O152" t="str">
        <f>IF($J152&gt;$K152,"Green","Red")</f>
        <v>Red</v>
      </c>
      <c r="P152" t="str">
        <f>IF($J152=$K152,"Green","Red")</f>
        <v>Red</v>
      </c>
      <c r="Q152" t="str">
        <f>IF($J152&lt;$K152,"Green","Red")</f>
        <v>Green</v>
      </c>
      <c r="R152" t="str">
        <f>IF($J152&gt;=$K152,"Green","Red")</f>
        <v>Red</v>
      </c>
      <c r="S152" t="str">
        <f>IF($J152&lt;=$K152,"Green","Red")</f>
        <v>Green</v>
      </c>
      <c r="T152" t="str">
        <f>IF(OR($J152&gt;$K152,$J152&lt;$K152),"Green","Red")</f>
        <v>Green</v>
      </c>
      <c r="U152" t="str">
        <f>IF($H152&gt;$I152,"Green","Red")</f>
        <v>Red</v>
      </c>
      <c r="V152" t="str">
        <f>IF($H152=$I152,"Green","Red")</f>
        <v>Red</v>
      </c>
      <c r="W152" t="str">
        <f>IF($H152&lt;$I152,"Green","Red")</f>
        <v>Green</v>
      </c>
      <c r="X152" t="str">
        <f>IF($H152+$I152&gt;0,"Green","Red")</f>
        <v>Green</v>
      </c>
      <c r="Y152" t="str">
        <f>IF($J152+$K152&gt;1.5,"Green","Red")</f>
        <v>Red</v>
      </c>
      <c r="Z152" t="str">
        <f>IF($J152+$K152&gt;2.5,"Green","Red")</f>
        <v>Red</v>
      </c>
      <c r="AA152" t="str">
        <f>IF($J152+$K152&lt;2.5,"Green","Red")</f>
        <v>Green</v>
      </c>
      <c r="AB152" t="str">
        <f>IF($J152+$K152&lt;3.5,"Green","Red")</f>
        <v>Green</v>
      </c>
      <c r="AC152" t="str">
        <f>IF(AND($J152&gt;0,$K152&gt;0),"Green","Red")</f>
        <v>Red</v>
      </c>
      <c r="AD152" t="str">
        <f>IF(OR($J152=0,$K152=0),"Green","Red")</f>
        <v>Green</v>
      </c>
    </row>
    <row r="153" spans="1:30" x14ac:dyDescent="0.2">
      <c r="A153" t="str">
        <f>L153&amp;F153&amp;G153</f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>DAY(D153)&amp;"/"&amp;"07"&amp;"/"&amp;YEAR(D153)</f>
        <v>21/07/2026</v>
      </c>
      <c r="M153" s="23">
        <f>E153-TIME(3,0,0)</f>
        <v>0.64583333333333337</v>
      </c>
      <c r="N153" t="str">
        <f>J153&amp;" - "&amp;K153</f>
        <v>4 - 0</v>
      </c>
      <c r="O153" t="str">
        <f>IF($J153&gt;$K153,"Green","Red")</f>
        <v>Green</v>
      </c>
      <c r="P153" t="str">
        <f>IF($J153=$K153,"Green","Red")</f>
        <v>Red</v>
      </c>
      <c r="Q153" t="str">
        <f>IF($J153&lt;$K153,"Green","Red")</f>
        <v>Red</v>
      </c>
      <c r="R153" t="str">
        <f>IF($J153&gt;=$K153,"Green","Red")</f>
        <v>Green</v>
      </c>
      <c r="S153" t="str">
        <f>IF($J153&lt;=$K153,"Green","Red")</f>
        <v>Red</v>
      </c>
      <c r="T153" t="str">
        <f>IF(OR($J153&gt;$K153,$J153&lt;$K153),"Green","Red")</f>
        <v>Green</v>
      </c>
      <c r="U153" t="str">
        <f>IF($H153&gt;$I153,"Green","Red")</f>
        <v>Green</v>
      </c>
      <c r="V153" t="str">
        <f>IF($H153=$I153,"Green","Red")</f>
        <v>Red</v>
      </c>
      <c r="W153" t="str">
        <f>IF($H153&lt;$I153,"Green","Red")</f>
        <v>Red</v>
      </c>
      <c r="X153" t="str">
        <f>IF($H153+$I153&gt;0,"Green","Red")</f>
        <v>Green</v>
      </c>
      <c r="Y153" t="str">
        <f>IF($J153+$K153&gt;1.5,"Green","Red")</f>
        <v>Green</v>
      </c>
      <c r="Z153" t="str">
        <f>IF($J153+$K153&gt;2.5,"Green","Red")</f>
        <v>Green</v>
      </c>
      <c r="AA153" t="str">
        <f>IF($J153+$K153&lt;2.5,"Green","Red")</f>
        <v>Red</v>
      </c>
      <c r="AB153" t="str">
        <f>IF($J153+$K153&lt;3.5,"Green","Red")</f>
        <v>Red</v>
      </c>
      <c r="AC153" t="str">
        <f>IF(AND($J153&gt;0,$K153&gt;0),"Green","Red")</f>
        <v>Red</v>
      </c>
      <c r="AD153" t="str">
        <f>IF(OR($J153=0,$K153=0),"Green","Red")</f>
        <v>Green</v>
      </c>
    </row>
    <row r="154" spans="1:30" x14ac:dyDescent="0.2">
      <c r="A154" t="str">
        <f>L154&amp;F154&amp;G154</f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>DAY(D154)&amp;"/"&amp;"07"&amp;"/"&amp;YEAR(D154)</f>
        <v>21/07/2026</v>
      </c>
      <c r="M154" s="23">
        <f>E154-TIME(3,0,0)</f>
        <v>0.64583333333333337</v>
      </c>
      <c r="N154" t="str">
        <f>J154&amp;" - "&amp;K154</f>
        <v>2 - 0</v>
      </c>
      <c r="O154" t="str">
        <f>IF($J154&gt;$K154,"Green","Red")</f>
        <v>Green</v>
      </c>
      <c r="P154" t="str">
        <f>IF($J154=$K154,"Green","Red")</f>
        <v>Red</v>
      </c>
      <c r="Q154" t="str">
        <f>IF($J154&lt;$K154,"Green","Red")</f>
        <v>Red</v>
      </c>
      <c r="R154" t="str">
        <f>IF($J154&gt;=$K154,"Green","Red")</f>
        <v>Green</v>
      </c>
      <c r="S154" t="str">
        <f>IF($J154&lt;=$K154,"Green","Red")</f>
        <v>Red</v>
      </c>
      <c r="T154" t="str">
        <f>IF(OR($J154&gt;$K154,$J154&lt;$K154),"Green","Red")</f>
        <v>Green</v>
      </c>
      <c r="U154" t="str">
        <f>IF($H154&gt;$I154,"Green","Red")</f>
        <v>Red</v>
      </c>
      <c r="V154" t="str">
        <f>IF($H154=$I154,"Green","Red")</f>
        <v>Green</v>
      </c>
      <c r="W154" t="str">
        <f>IF($H154&lt;$I154,"Green","Red")</f>
        <v>Red</v>
      </c>
      <c r="X154" t="str">
        <f>IF($H154+$I154&gt;0,"Green","Red")</f>
        <v>Red</v>
      </c>
      <c r="Y154" t="str">
        <f>IF($J154+$K154&gt;1.5,"Green","Red")</f>
        <v>Green</v>
      </c>
      <c r="Z154" t="str">
        <f>IF($J154+$K154&gt;2.5,"Green","Red")</f>
        <v>Red</v>
      </c>
      <c r="AA154" t="str">
        <f>IF($J154+$K154&lt;2.5,"Green","Red")</f>
        <v>Green</v>
      </c>
      <c r="AB154" t="str">
        <f>IF($J154+$K154&lt;3.5,"Green","Red")</f>
        <v>Green</v>
      </c>
      <c r="AC154" t="str">
        <f>IF(AND($J154&gt;0,$K154&gt;0),"Green","Red")</f>
        <v>Red</v>
      </c>
      <c r="AD154" t="str">
        <f>IF(OR($J154=0,$K154=0),"Green","Red")</f>
        <v>Green</v>
      </c>
    </row>
    <row r="155" spans="1:30" x14ac:dyDescent="0.2">
      <c r="A155" t="str">
        <f>L155&amp;F155&amp;G155</f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>DAY(D155)&amp;"/"&amp;"07"&amp;"/"&amp;YEAR(D155)</f>
        <v>21/07/2026</v>
      </c>
      <c r="M155" s="23">
        <f>E155-TIME(3,0,0)</f>
        <v>0.64583333333333337</v>
      </c>
      <c r="N155" t="str">
        <f>J155&amp;" - "&amp;K155</f>
        <v>5 - 0</v>
      </c>
      <c r="O155" t="str">
        <f>IF($J155&gt;$K155,"Green","Red")</f>
        <v>Green</v>
      </c>
      <c r="P155" t="str">
        <f>IF($J155=$K155,"Green","Red")</f>
        <v>Red</v>
      </c>
      <c r="Q155" t="str">
        <f>IF($J155&lt;$K155,"Green","Red")</f>
        <v>Red</v>
      </c>
      <c r="R155" t="str">
        <f>IF($J155&gt;=$K155,"Green","Red")</f>
        <v>Green</v>
      </c>
      <c r="S155" t="str">
        <f>IF($J155&lt;=$K155,"Green","Red")</f>
        <v>Red</v>
      </c>
      <c r="T155" t="str">
        <f>IF(OR($J155&gt;$K155,$J155&lt;$K155),"Green","Red")</f>
        <v>Green</v>
      </c>
      <c r="U155" t="str">
        <f>IF($H155&gt;$I155,"Green","Red")</f>
        <v>Green</v>
      </c>
      <c r="V155" t="str">
        <f>IF($H155=$I155,"Green","Red")</f>
        <v>Red</v>
      </c>
      <c r="W155" t="str">
        <f>IF($H155&lt;$I155,"Green","Red")</f>
        <v>Red</v>
      </c>
      <c r="X155" t="str">
        <f>IF($H155+$I155&gt;0,"Green","Red")</f>
        <v>Green</v>
      </c>
      <c r="Y155" t="str">
        <f>IF($J155+$K155&gt;1.5,"Green","Red")</f>
        <v>Green</v>
      </c>
      <c r="Z155" t="str">
        <f>IF($J155+$K155&gt;2.5,"Green","Red")</f>
        <v>Green</v>
      </c>
      <c r="AA155" t="str">
        <f>IF($J155+$K155&lt;2.5,"Green","Red")</f>
        <v>Red</v>
      </c>
      <c r="AB155" t="str">
        <f>IF($J155+$K155&lt;3.5,"Green","Red")</f>
        <v>Red</v>
      </c>
      <c r="AC155" t="str">
        <f>IF(AND($J155&gt;0,$K155&gt;0),"Green","Red")</f>
        <v>Red</v>
      </c>
      <c r="AD155" t="str">
        <f>IF(OR($J155=0,$K155=0),"Green","Red")</f>
        <v>Green</v>
      </c>
    </row>
    <row r="156" spans="1:30" x14ac:dyDescent="0.2">
      <c r="A156" t="str">
        <f>L156&amp;F156&amp;G156</f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>DAY(D156)&amp;"/"&amp;"07"&amp;"/"&amp;YEAR(D156)</f>
        <v>21/07/2026</v>
      </c>
      <c r="M156" s="23">
        <f>E156-TIME(3,0,0)</f>
        <v>0.64583333333333337</v>
      </c>
      <c r="N156" t="str">
        <f>J156&amp;" - "&amp;K156</f>
        <v>2 - 1</v>
      </c>
      <c r="O156" t="str">
        <f>IF($J156&gt;$K156,"Green","Red")</f>
        <v>Green</v>
      </c>
      <c r="P156" t="str">
        <f>IF($J156=$K156,"Green","Red")</f>
        <v>Red</v>
      </c>
      <c r="Q156" t="str">
        <f>IF($J156&lt;$K156,"Green","Red")</f>
        <v>Red</v>
      </c>
      <c r="R156" t="str">
        <f>IF($J156&gt;=$K156,"Green","Red")</f>
        <v>Green</v>
      </c>
      <c r="S156" t="str">
        <f>IF($J156&lt;=$K156,"Green","Red")</f>
        <v>Red</v>
      </c>
      <c r="T156" t="str">
        <f>IF(OR($J156&gt;$K156,$J156&lt;$K156),"Green","Red")</f>
        <v>Green</v>
      </c>
      <c r="U156" t="str">
        <f>IF($H156&gt;$I156,"Green","Red")</f>
        <v>Red</v>
      </c>
      <c r="V156" t="str">
        <f>IF($H156=$I156,"Green","Red")</f>
        <v>Green</v>
      </c>
      <c r="W156" t="str">
        <f>IF($H156&lt;$I156,"Green","Red")</f>
        <v>Red</v>
      </c>
      <c r="X156" t="str">
        <f>IF($H156+$I156&gt;0,"Green","Red")</f>
        <v>Green</v>
      </c>
      <c r="Y156" t="str">
        <f>IF($J156+$K156&gt;1.5,"Green","Red")</f>
        <v>Green</v>
      </c>
      <c r="Z156" t="str">
        <f>IF($J156+$K156&gt;2.5,"Green","Red")</f>
        <v>Green</v>
      </c>
      <c r="AA156" t="str">
        <f>IF($J156+$K156&lt;2.5,"Green","Red")</f>
        <v>Red</v>
      </c>
      <c r="AB156" t="str">
        <f>IF($J156+$K156&lt;3.5,"Green","Red")</f>
        <v>Green</v>
      </c>
      <c r="AC156" t="str">
        <f>IF(AND($J156&gt;0,$K156&gt;0),"Green","Red")</f>
        <v>Green</v>
      </c>
      <c r="AD156" t="str">
        <f>IF(OR($J156=0,$K156=0),"Green","Red")</f>
        <v>Red</v>
      </c>
    </row>
    <row r="157" spans="1:30" x14ac:dyDescent="0.2">
      <c r="A157" t="str">
        <f>L157&amp;F157&amp;G157</f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>DAY(D157)&amp;"/"&amp;"07"&amp;"/"&amp;YEAR(D157)</f>
        <v>21/07/2026</v>
      </c>
      <c r="M157" s="23">
        <f>E157-TIME(3,0,0)</f>
        <v>0.64583333333333337</v>
      </c>
      <c r="N157" t="str">
        <f>J157&amp;" - "&amp;K157</f>
        <v>0 - 1</v>
      </c>
      <c r="O157" t="str">
        <f>IF($J157&gt;$K157,"Green","Red")</f>
        <v>Red</v>
      </c>
      <c r="P157" t="str">
        <f>IF($J157=$K157,"Green","Red")</f>
        <v>Red</v>
      </c>
      <c r="Q157" t="str">
        <f>IF($J157&lt;$K157,"Green","Red")</f>
        <v>Green</v>
      </c>
      <c r="R157" t="str">
        <f>IF($J157&gt;=$K157,"Green","Red")</f>
        <v>Red</v>
      </c>
      <c r="S157" t="str">
        <f>IF($J157&lt;=$K157,"Green","Red")</f>
        <v>Green</v>
      </c>
      <c r="T157" t="str">
        <f>IF(OR($J157&gt;$K157,$J157&lt;$K157),"Green","Red")</f>
        <v>Green</v>
      </c>
      <c r="U157" t="str">
        <f>IF($H157&gt;$I157,"Green","Red")</f>
        <v>Red</v>
      </c>
      <c r="V157" t="str">
        <f>IF($H157=$I157,"Green","Red")</f>
        <v>Red</v>
      </c>
      <c r="W157" t="str">
        <f>IF($H157&lt;$I157,"Green","Red")</f>
        <v>Green</v>
      </c>
      <c r="X157" t="str">
        <f>IF($H157+$I157&gt;0,"Green","Red")</f>
        <v>Green</v>
      </c>
      <c r="Y157" t="str">
        <f>IF($J157+$K157&gt;1.5,"Green","Red")</f>
        <v>Red</v>
      </c>
      <c r="Z157" t="str">
        <f>IF($J157+$K157&gt;2.5,"Green","Red")</f>
        <v>Red</v>
      </c>
      <c r="AA157" t="str">
        <f>IF($J157+$K157&lt;2.5,"Green","Red")</f>
        <v>Green</v>
      </c>
      <c r="AB157" t="str">
        <f>IF($J157+$K157&lt;3.5,"Green","Red")</f>
        <v>Green</v>
      </c>
      <c r="AC157" t="str">
        <f>IF(AND($J157&gt;0,$K157&gt;0),"Green","Red")</f>
        <v>Red</v>
      </c>
      <c r="AD157" t="str">
        <f>IF(OR($J157=0,$K157=0),"Green","Red")</f>
        <v>Green</v>
      </c>
    </row>
    <row r="158" spans="1:30" x14ac:dyDescent="0.2">
      <c r="A158" t="str">
        <f>L158&amp;F158&amp;G158</f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>DAY(D158)&amp;"/"&amp;"07"&amp;"/"&amp;YEAR(D158)</f>
        <v>21/07/2026</v>
      </c>
      <c r="M158" s="23">
        <f>E158-TIME(3,0,0)</f>
        <v>0.64583333333333337</v>
      </c>
      <c r="N158" t="str">
        <f>J158&amp;" - "&amp;K158</f>
        <v>0 - 1</v>
      </c>
      <c r="O158" t="str">
        <f>IF($J158&gt;$K158,"Green","Red")</f>
        <v>Red</v>
      </c>
      <c r="P158" t="str">
        <f>IF($J158=$K158,"Green","Red")</f>
        <v>Red</v>
      </c>
      <c r="Q158" t="str">
        <f>IF($J158&lt;$K158,"Green","Red")</f>
        <v>Green</v>
      </c>
      <c r="R158" t="str">
        <f>IF($J158&gt;=$K158,"Green","Red")</f>
        <v>Red</v>
      </c>
      <c r="S158" t="str">
        <f>IF($J158&lt;=$K158,"Green","Red")</f>
        <v>Green</v>
      </c>
      <c r="T158" t="str">
        <f>IF(OR($J158&gt;$K158,$J158&lt;$K158),"Green","Red")</f>
        <v>Green</v>
      </c>
      <c r="U158" t="str">
        <f>IF($H158&gt;$I158,"Green","Red")</f>
        <v>Red</v>
      </c>
      <c r="V158" t="str">
        <f>IF($H158=$I158,"Green","Red")</f>
        <v>Red</v>
      </c>
      <c r="W158" t="str">
        <f>IF($H158&lt;$I158,"Green","Red")</f>
        <v>Green</v>
      </c>
      <c r="X158" t="str">
        <f>IF($H158+$I158&gt;0,"Green","Red")</f>
        <v>Green</v>
      </c>
      <c r="Y158" t="str">
        <f>IF($J158+$K158&gt;1.5,"Green","Red")</f>
        <v>Red</v>
      </c>
      <c r="Z158" t="str">
        <f>IF($J158+$K158&gt;2.5,"Green","Red")</f>
        <v>Red</v>
      </c>
      <c r="AA158" t="str">
        <f>IF($J158+$K158&lt;2.5,"Green","Red")</f>
        <v>Green</v>
      </c>
      <c r="AB158" t="str">
        <f>IF($J158+$K158&lt;3.5,"Green","Red")</f>
        <v>Green</v>
      </c>
      <c r="AC158" t="str">
        <f>IF(AND($J158&gt;0,$K158&gt;0),"Green","Red")</f>
        <v>Red</v>
      </c>
      <c r="AD158" t="str">
        <f>IF(OR($J158=0,$K158=0),"Green","Red")</f>
        <v>Green</v>
      </c>
    </row>
    <row r="159" spans="1:30" x14ac:dyDescent="0.2">
      <c r="A159" t="str">
        <f>L159&amp;F159&amp;G159</f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>DAY(D159)&amp;"/"&amp;"07"&amp;"/"&amp;YEAR(D159)</f>
        <v>21/07/2026</v>
      </c>
      <c r="M159" s="23">
        <f>E159-TIME(3,0,0)</f>
        <v>0.64583333333333337</v>
      </c>
      <c r="N159" t="str">
        <f>J159&amp;" - "&amp;K159</f>
        <v>3 - 0</v>
      </c>
      <c r="O159" t="str">
        <f>IF($J159&gt;$K159,"Green","Red")</f>
        <v>Green</v>
      </c>
      <c r="P159" t="str">
        <f>IF($J159=$K159,"Green","Red")</f>
        <v>Red</v>
      </c>
      <c r="Q159" t="str">
        <f>IF($J159&lt;$K159,"Green","Red")</f>
        <v>Red</v>
      </c>
      <c r="R159" t="str">
        <f>IF($J159&gt;=$K159,"Green","Red")</f>
        <v>Green</v>
      </c>
      <c r="S159" t="str">
        <f>IF($J159&lt;=$K159,"Green","Red")</f>
        <v>Red</v>
      </c>
      <c r="T159" t="str">
        <f>IF(OR($J159&gt;$K159,$J159&lt;$K159),"Green","Red")</f>
        <v>Green</v>
      </c>
      <c r="U159" t="str">
        <f>IF($H159&gt;$I159,"Green","Red")</f>
        <v>Green</v>
      </c>
      <c r="V159" t="str">
        <f>IF($H159=$I159,"Green","Red")</f>
        <v>Red</v>
      </c>
      <c r="W159" t="str">
        <f>IF($H159&lt;$I159,"Green","Red")</f>
        <v>Red</v>
      </c>
      <c r="X159" t="str">
        <f>IF($H159+$I159&gt;0,"Green","Red")</f>
        <v>Green</v>
      </c>
      <c r="Y159" t="str">
        <f>IF($J159+$K159&gt;1.5,"Green","Red")</f>
        <v>Green</v>
      </c>
      <c r="Z159" t="str">
        <f>IF($J159+$K159&gt;2.5,"Green","Red")</f>
        <v>Green</v>
      </c>
      <c r="AA159" t="str">
        <f>IF($J159+$K159&lt;2.5,"Green","Red")</f>
        <v>Red</v>
      </c>
      <c r="AB159" t="str">
        <f>IF($J159+$K159&lt;3.5,"Green","Red")</f>
        <v>Green</v>
      </c>
      <c r="AC159" t="str">
        <f>IF(AND($J159&gt;0,$K159&gt;0),"Green","Red")</f>
        <v>Red</v>
      </c>
      <c r="AD159" t="str">
        <f>IF(OR($J159=0,$K159=0),"Green","Red")</f>
        <v>Green</v>
      </c>
    </row>
    <row r="160" spans="1:30" x14ac:dyDescent="0.2">
      <c r="A160" t="str">
        <f>L160&amp;F160&amp;G160</f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>DAY(D160)&amp;"/"&amp;"07"&amp;"/"&amp;YEAR(D160)</f>
        <v>21/07/2026</v>
      </c>
      <c r="M160" s="23">
        <f>E160-TIME(3,0,0)</f>
        <v>0.64583333333333337</v>
      </c>
      <c r="N160" t="str">
        <f>J160&amp;" - "&amp;K160</f>
        <v>2 - 1</v>
      </c>
      <c r="O160" t="str">
        <f>IF($J160&gt;$K160,"Green","Red")</f>
        <v>Green</v>
      </c>
      <c r="P160" t="str">
        <f>IF($J160=$K160,"Green","Red")</f>
        <v>Red</v>
      </c>
      <c r="Q160" t="str">
        <f>IF($J160&lt;$K160,"Green","Red")</f>
        <v>Red</v>
      </c>
      <c r="R160" t="str">
        <f>IF($J160&gt;=$K160,"Green","Red")</f>
        <v>Green</v>
      </c>
      <c r="S160" t="str">
        <f>IF($J160&lt;=$K160,"Green","Red")</f>
        <v>Red</v>
      </c>
      <c r="T160" t="str">
        <f>IF(OR($J160&gt;$K160,$J160&lt;$K160),"Green","Red")</f>
        <v>Green</v>
      </c>
      <c r="U160" t="str">
        <f>IF($H160&gt;$I160,"Green","Red")</f>
        <v>Green</v>
      </c>
      <c r="V160" t="str">
        <f>IF($H160=$I160,"Green","Red")</f>
        <v>Red</v>
      </c>
      <c r="W160" t="str">
        <f>IF($H160&lt;$I160,"Green","Red")</f>
        <v>Red</v>
      </c>
      <c r="X160" t="str">
        <f>IF($H160+$I160&gt;0,"Green","Red")</f>
        <v>Green</v>
      </c>
      <c r="Y160" t="str">
        <f>IF($J160+$K160&gt;1.5,"Green","Red")</f>
        <v>Green</v>
      </c>
      <c r="Z160" t="str">
        <f>IF($J160+$K160&gt;2.5,"Green","Red")</f>
        <v>Green</v>
      </c>
      <c r="AA160" t="str">
        <f>IF($J160+$K160&lt;2.5,"Green","Red")</f>
        <v>Red</v>
      </c>
      <c r="AB160" t="str">
        <f>IF($J160+$K160&lt;3.5,"Green","Red")</f>
        <v>Green</v>
      </c>
      <c r="AC160" t="str">
        <f>IF(AND($J160&gt;0,$K160&gt;0),"Green","Red")</f>
        <v>Green</v>
      </c>
      <c r="AD160" t="str">
        <f>IF(OR($J160=0,$K160=0),"Green","Red")</f>
        <v>Red</v>
      </c>
    </row>
    <row r="161" spans="1:30" x14ac:dyDescent="0.2">
      <c r="A161" t="str">
        <f>L161&amp;F161&amp;G161</f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>DAY(D161)&amp;"/"&amp;"07"&amp;"/"&amp;YEAR(D161)</f>
        <v>21/07/2026</v>
      </c>
      <c r="M161" s="23">
        <f>E161-TIME(3,0,0)</f>
        <v>0.64583333333333337</v>
      </c>
      <c r="N161" t="str">
        <f>J161&amp;" - "&amp;K161</f>
        <v>0 - 1</v>
      </c>
      <c r="O161" t="str">
        <f>IF($J161&gt;$K161,"Green","Red")</f>
        <v>Red</v>
      </c>
      <c r="P161" t="str">
        <f>IF($J161=$K161,"Green","Red")</f>
        <v>Red</v>
      </c>
      <c r="Q161" t="str">
        <f>IF($J161&lt;$K161,"Green","Red")</f>
        <v>Green</v>
      </c>
      <c r="R161" t="str">
        <f>IF($J161&gt;=$K161,"Green","Red")</f>
        <v>Red</v>
      </c>
      <c r="S161" t="str">
        <f>IF($J161&lt;=$K161,"Green","Red")</f>
        <v>Green</v>
      </c>
      <c r="T161" t="str">
        <f>IF(OR($J161&gt;$K161,$J161&lt;$K161),"Green","Red")</f>
        <v>Green</v>
      </c>
      <c r="U161" t="str">
        <f>IF($H161&gt;$I161,"Green","Red")</f>
        <v>Red</v>
      </c>
      <c r="V161" t="str">
        <f>IF($H161=$I161,"Green","Red")</f>
        <v>Green</v>
      </c>
      <c r="W161" t="str">
        <f>IF($H161&lt;$I161,"Green","Red")</f>
        <v>Red</v>
      </c>
      <c r="X161" t="str">
        <f>IF($H161+$I161&gt;0,"Green","Red")</f>
        <v>Red</v>
      </c>
      <c r="Y161" t="str">
        <f>IF($J161+$K161&gt;1.5,"Green","Red")</f>
        <v>Red</v>
      </c>
      <c r="Z161" t="str">
        <f>IF($J161+$K161&gt;2.5,"Green","Red")</f>
        <v>Red</v>
      </c>
      <c r="AA161" t="str">
        <f>IF($J161+$K161&lt;2.5,"Green","Red")</f>
        <v>Green</v>
      </c>
      <c r="AB161" t="str">
        <f>IF($J161+$K161&lt;3.5,"Green","Red")</f>
        <v>Green</v>
      </c>
      <c r="AC161" t="str">
        <f>IF(AND($J161&gt;0,$K161&gt;0),"Green","Red")</f>
        <v>Red</v>
      </c>
      <c r="AD161" t="str">
        <f>IF(OR($J161=0,$K161=0),"Green","Red")</f>
        <v>Green</v>
      </c>
    </row>
    <row r="162" spans="1:30" x14ac:dyDescent="0.2">
      <c r="A162" t="str">
        <f>L162&amp;F162&amp;G162</f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>DAY(D162)&amp;"/"&amp;"07"&amp;"/"&amp;YEAR(D162)</f>
        <v>21/07/2026</v>
      </c>
      <c r="M162" s="23">
        <f>E162-TIME(3,0,0)</f>
        <v>0.64583333333333337</v>
      </c>
      <c r="N162" t="str">
        <f>J162&amp;" - "&amp;K162</f>
        <v>0 - 0</v>
      </c>
      <c r="O162" t="str">
        <f>IF($J162&gt;$K162,"Green","Red")</f>
        <v>Red</v>
      </c>
      <c r="P162" t="str">
        <f>IF($J162=$K162,"Green","Red")</f>
        <v>Green</v>
      </c>
      <c r="Q162" t="str">
        <f>IF($J162&lt;$K162,"Green","Red")</f>
        <v>Red</v>
      </c>
      <c r="R162" t="str">
        <f>IF($J162&gt;=$K162,"Green","Red")</f>
        <v>Green</v>
      </c>
      <c r="S162" t="str">
        <f>IF($J162&lt;=$K162,"Green","Red")</f>
        <v>Green</v>
      </c>
      <c r="T162" t="str">
        <f>IF(OR($J162&gt;$K162,$J162&lt;$K162),"Green","Red")</f>
        <v>Red</v>
      </c>
      <c r="U162" t="str">
        <f>IF($H162&gt;$I162,"Green","Red")</f>
        <v>Red</v>
      </c>
      <c r="V162" t="str">
        <f>IF($H162=$I162,"Green","Red")</f>
        <v>Green</v>
      </c>
      <c r="W162" t="str">
        <f>IF($H162&lt;$I162,"Green","Red")</f>
        <v>Red</v>
      </c>
      <c r="X162" t="str">
        <f>IF($H162+$I162&gt;0,"Green","Red")</f>
        <v>Red</v>
      </c>
      <c r="Y162" t="str">
        <f>IF($J162+$K162&gt;1.5,"Green","Red")</f>
        <v>Red</v>
      </c>
      <c r="Z162" t="str">
        <f>IF($J162+$K162&gt;2.5,"Green","Red")</f>
        <v>Red</v>
      </c>
      <c r="AA162" t="str">
        <f>IF($J162+$K162&lt;2.5,"Green","Red")</f>
        <v>Green</v>
      </c>
      <c r="AB162" t="str">
        <f>IF($J162+$K162&lt;3.5,"Green","Red")</f>
        <v>Green</v>
      </c>
      <c r="AC162" t="str">
        <f>IF(AND($J162&gt;0,$K162&gt;0),"Green","Red")</f>
        <v>Red</v>
      </c>
      <c r="AD162" t="str">
        <f>IF(OR($J162=0,$K162=0),"Green","Red")</f>
        <v>Green</v>
      </c>
    </row>
    <row r="163" spans="1:30" x14ac:dyDescent="0.2">
      <c r="A163" t="str">
        <f>L163&amp;F163&amp;G163</f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>DAY(D163)&amp;"/"&amp;"07"&amp;"/"&amp;YEAR(D163)</f>
        <v>21/07/2026</v>
      </c>
      <c r="M163" s="23">
        <f>E163-TIME(3,0,0)</f>
        <v>0.64583333333333337</v>
      </c>
      <c r="N163" t="str">
        <f>J163&amp;" - "&amp;K163</f>
        <v>1 - 0</v>
      </c>
      <c r="O163" t="str">
        <f>IF($J163&gt;$K163,"Green","Red")</f>
        <v>Green</v>
      </c>
      <c r="P163" t="str">
        <f>IF($J163=$K163,"Green","Red")</f>
        <v>Red</v>
      </c>
      <c r="Q163" t="str">
        <f>IF($J163&lt;$K163,"Green","Red")</f>
        <v>Red</v>
      </c>
      <c r="R163" t="str">
        <f>IF($J163&gt;=$K163,"Green","Red")</f>
        <v>Green</v>
      </c>
      <c r="S163" t="str">
        <f>IF($J163&lt;=$K163,"Green","Red")</f>
        <v>Red</v>
      </c>
      <c r="T163" t="str">
        <f>IF(OR($J163&gt;$K163,$J163&lt;$K163),"Green","Red")</f>
        <v>Green</v>
      </c>
      <c r="U163" t="str">
        <f>IF($H163&gt;$I163,"Green","Red")</f>
        <v>Red</v>
      </c>
      <c r="V163" t="str">
        <f>IF($H163=$I163,"Green","Red")</f>
        <v>Green</v>
      </c>
      <c r="W163" t="str">
        <f>IF($H163&lt;$I163,"Green","Red")</f>
        <v>Red</v>
      </c>
      <c r="X163" t="str">
        <f>IF($H163+$I163&gt;0,"Green","Red")</f>
        <v>Red</v>
      </c>
      <c r="Y163" t="str">
        <f>IF($J163+$K163&gt;1.5,"Green","Red")</f>
        <v>Red</v>
      </c>
      <c r="Z163" t="str">
        <f>IF($J163+$K163&gt;2.5,"Green","Red")</f>
        <v>Red</v>
      </c>
      <c r="AA163" t="str">
        <f>IF($J163+$K163&lt;2.5,"Green","Red")</f>
        <v>Green</v>
      </c>
      <c r="AB163" t="str">
        <f>IF($J163+$K163&lt;3.5,"Green","Red")</f>
        <v>Green</v>
      </c>
      <c r="AC163" t="str">
        <f>IF(AND($J163&gt;0,$K163&gt;0),"Green","Red")</f>
        <v>Red</v>
      </c>
      <c r="AD163" t="str">
        <f>IF(OR($J163=0,$K163=0),"Green","Red")</f>
        <v>Green</v>
      </c>
    </row>
    <row r="164" spans="1:30" x14ac:dyDescent="0.2">
      <c r="A164" t="str">
        <f>L164&amp;F164&amp;G164</f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>DAY(D164)&amp;"/"&amp;"07"&amp;"/"&amp;YEAR(D164)</f>
        <v>21/07/2026</v>
      </c>
      <c r="M164" s="23">
        <f>E164-TIME(3,0,0)</f>
        <v>0.64583333333333337</v>
      </c>
      <c r="N164" t="str">
        <f>J164&amp;" - "&amp;K164</f>
        <v>1 - 2</v>
      </c>
      <c r="O164" t="str">
        <f>IF($J164&gt;$K164,"Green","Red")</f>
        <v>Red</v>
      </c>
      <c r="P164" t="str">
        <f>IF($J164=$K164,"Green","Red")</f>
        <v>Red</v>
      </c>
      <c r="Q164" t="str">
        <f>IF($J164&lt;$K164,"Green","Red")</f>
        <v>Green</v>
      </c>
      <c r="R164" t="str">
        <f>IF($J164&gt;=$K164,"Green","Red")</f>
        <v>Red</v>
      </c>
      <c r="S164" t="str">
        <f>IF($J164&lt;=$K164,"Green","Red")</f>
        <v>Green</v>
      </c>
      <c r="T164" t="str">
        <f>IF(OR($J164&gt;$K164,$J164&lt;$K164),"Green","Red")</f>
        <v>Green</v>
      </c>
      <c r="U164" t="str">
        <f>IF($H164&gt;$I164,"Green","Red")</f>
        <v>Red</v>
      </c>
      <c r="V164" t="str">
        <f>IF($H164=$I164,"Green","Red")</f>
        <v>Green</v>
      </c>
      <c r="W164" t="str">
        <f>IF($H164&lt;$I164,"Green","Red")</f>
        <v>Red</v>
      </c>
      <c r="X164" t="str">
        <f>IF($H164+$I164&gt;0,"Green","Red")</f>
        <v>Red</v>
      </c>
      <c r="Y164" t="str">
        <f>IF($J164+$K164&gt;1.5,"Green","Red")</f>
        <v>Green</v>
      </c>
      <c r="Z164" t="str">
        <f>IF($J164+$K164&gt;2.5,"Green","Red")</f>
        <v>Green</v>
      </c>
      <c r="AA164" t="str">
        <f>IF($J164+$K164&lt;2.5,"Green","Red")</f>
        <v>Red</v>
      </c>
      <c r="AB164" t="str">
        <f>IF($J164+$K164&lt;3.5,"Green","Red")</f>
        <v>Green</v>
      </c>
      <c r="AC164" t="str">
        <f>IF(AND($J164&gt;0,$K164&gt;0),"Green","Red")</f>
        <v>Green</v>
      </c>
      <c r="AD164" t="str">
        <f>IF(OR($J164=0,$K164=0),"Green","Red")</f>
        <v>Red</v>
      </c>
    </row>
    <row r="165" spans="1:30" x14ac:dyDescent="0.2">
      <c r="A165" t="str">
        <f>L165&amp;F165&amp;G165</f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>DAY(D165)&amp;"/"&amp;"07"&amp;"/"&amp;YEAR(D165)</f>
        <v>21/07/2026</v>
      </c>
      <c r="M165" s="23">
        <f>E165-TIME(3,0,0)</f>
        <v>0.64583333333333337</v>
      </c>
      <c r="N165" t="str">
        <f>J165&amp;" - "&amp;K165</f>
        <v>0 - 4</v>
      </c>
      <c r="O165" t="str">
        <f>IF($J165&gt;$K165,"Green","Red")</f>
        <v>Red</v>
      </c>
      <c r="P165" t="str">
        <f>IF($J165=$K165,"Green","Red")</f>
        <v>Red</v>
      </c>
      <c r="Q165" t="str">
        <f>IF($J165&lt;$K165,"Green","Red")</f>
        <v>Green</v>
      </c>
      <c r="R165" t="str">
        <f>IF($J165&gt;=$K165,"Green","Red")</f>
        <v>Red</v>
      </c>
      <c r="S165" t="str">
        <f>IF($J165&lt;=$K165,"Green","Red")</f>
        <v>Green</v>
      </c>
      <c r="T165" t="str">
        <f>IF(OR($J165&gt;$K165,$J165&lt;$K165),"Green","Red")</f>
        <v>Green</v>
      </c>
      <c r="U165" t="str">
        <f>IF($H165&gt;$I165,"Green","Red")</f>
        <v>Red</v>
      </c>
      <c r="V165" t="str">
        <f>IF($H165=$I165,"Green","Red")</f>
        <v>Red</v>
      </c>
      <c r="W165" t="str">
        <f>IF($H165&lt;$I165,"Green","Red")</f>
        <v>Green</v>
      </c>
      <c r="X165" t="str">
        <f>IF($H165+$I165&gt;0,"Green","Red")</f>
        <v>Green</v>
      </c>
      <c r="Y165" t="str">
        <f>IF($J165+$K165&gt;1.5,"Green","Red")</f>
        <v>Green</v>
      </c>
      <c r="Z165" t="str">
        <f>IF($J165+$K165&gt;2.5,"Green","Red")</f>
        <v>Green</v>
      </c>
      <c r="AA165" t="str">
        <f>IF($J165+$K165&lt;2.5,"Green","Red")</f>
        <v>Red</v>
      </c>
      <c r="AB165" t="str">
        <f>IF($J165+$K165&lt;3.5,"Green","Red")</f>
        <v>Red</v>
      </c>
      <c r="AC165" t="str">
        <f>IF(AND($J165&gt;0,$K165&gt;0),"Green","Red")</f>
        <v>Red</v>
      </c>
      <c r="AD165" t="str">
        <f>IF(OR($J165=0,$K165=0),"Green","Red")</f>
        <v>Green</v>
      </c>
    </row>
    <row r="166" spans="1:30" x14ac:dyDescent="0.2">
      <c r="A166" t="str">
        <f>L166&amp;F166&amp;G166</f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>DAY(D166)&amp;"/"&amp;"07"&amp;"/"&amp;YEAR(D166)</f>
        <v>21/07/2026</v>
      </c>
      <c r="M166" s="23">
        <f>E166-TIME(3,0,0)</f>
        <v>0.64583333333333337</v>
      </c>
      <c r="N166" t="str">
        <f>J166&amp;" - "&amp;K166</f>
        <v>0 - 3</v>
      </c>
      <c r="O166" t="str">
        <f>IF($J166&gt;$K166,"Green","Red")</f>
        <v>Red</v>
      </c>
      <c r="P166" t="str">
        <f>IF($J166=$K166,"Green","Red")</f>
        <v>Red</v>
      </c>
      <c r="Q166" t="str">
        <f>IF($J166&lt;$K166,"Green","Red")</f>
        <v>Green</v>
      </c>
      <c r="R166" t="str">
        <f>IF($J166&gt;=$K166,"Green","Red")</f>
        <v>Red</v>
      </c>
      <c r="S166" t="str">
        <f>IF($J166&lt;=$K166,"Green","Red")</f>
        <v>Green</v>
      </c>
      <c r="T166" t="str">
        <f>IF(OR($J166&gt;$K166,$J166&lt;$K166),"Green","Red")</f>
        <v>Green</v>
      </c>
      <c r="U166" t="str">
        <f>IF($H166&gt;$I166,"Green","Red")</f>
        <v>Red</v>
      </c>
      <c r="V166" t="str">
        <f>IF($H166=$I166,"Green","Red")</f>
        <v>Red</v>
      </c>
      <c r="W166" t="str">
        <f>IF($H166&lt;$I166,"Green","Red")</f>
        <v>Green</v>
      </c>
      <c r="X166" t="str">
        <f>IF($H166+$I166&gt;0,"Green","Red")</f>
        <v>Green</v>
      </c>
      <c r="Y166" t="str">
        <f>IF($J166+$K166&gt;1.5,"Green","Red")</f>
        <v>Green</v>
      </c>
      <c r="Z166" t="str">
        <f>IF($J166+$K166&gt;2.5,"Green","Red")</f>
        <v>Green</v>
      </c>
      <c r="AA166" t="str">
        <f>IF($J166+$K166&lt;2.5,"Green","Red")</f>
        <v>Red</v>
      </c>
      <c r="AB166" t="str">
        <f>IF($J166+$K166&lt;3.5,"Green","Red")</f>
        <v>Green</v>
      </c>
      <c r="AC166" t="str">
        <f>IF(AND($J166&gt;0,$K166&gt;0),"Green","Red")</f>
        <v>Red</v>
      </c>
      <c r="AD166" t="str">
        <f>IF(OR($J166=0,$K166=0),"Green","Red")</f>
        <v>Green</v>
      </c>
    </row>
    <row r="167" spans="1:30" x14ac:dyDescent="0.2">
      <c r="A167" t="str">
        <f>L167&amp;F167&amp;G167</f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>DAY(D167)&amp;"/"&amp;"07"&amp;"/"&amp;YEAR(D167)</f>
        <v>21/07/2026</v>
      </c>
      <c r="M167" s="23">
        <f>E167-TIME(3,0,0)</f>
        <v>0.64583333333333337</v>
      </c>
      <c r="N167" t="str">
        <f>J167&amp;" - "&amp;K167</f>
        <v>0 - 1</v>
      </c>
      <c r="O167" t="str">
        <f>IF($J167&gt;$K167,"Green","Red")</f>
        <v>Red</v>
      </c>
      <c r="P167" t="str">
        <f>IF($J167=$K167,"Green","Red")</f>
        <v>Red</v>
      </c>
      <c r="Q167" t="str">
        <f>IF($J167&lt;$K167,"Green","Red")</f>
        <v>Green</v>
      </c>
      <c r="R167" t="str">
        <f>IF($J167&gt;=$K167,"Green","Red")</f>
        <v>Red</v>
      </c>
      <c r="S167" t="str">
        <f>IF($J167&lt;=$K167,"Green","Red")</f>
        <v>Green</v>
      </c>
      <c r="T167" t="str">
        <f>IF(OR($J167&gt;$K167,$J167&lt;$K167),"Green","Red")</f>
        <v>Green</v>
      </c>
      <c r="U167" t="str">
        <f>IF($H167&gt;$I167,"Green","Red")</f>
        <v>Red</v>
      </c>
      <c r="V167" t="str">
        <f>IF($H167=$I167,"Green","Red")</f>
        <v>Red</v>
      </c>
      <c r="W167" t="str">
        <f>IF($H167&lt;$I167,"Green","Red")</f>
        <v>Green</v>
      </c>
      <c r="X167" t="str">
        <f>IF($H167+$I167&gt;0,"Green","Red")</f>
        <v>Green</v>
      </c>
      <c r="Y167" t="str">
        <f>IF($J167+$K167&gt;1.5,"Green","Red")</f>
        <v>Red</v>
      </c>
      <c r="Z167" t="str">
        <f>IF($J167+$K167&gt;2.5,"Green","Red")</f>
        <v>Red</v>
      </c>
      <c r="AA167" t="str">
        <f>IF($J167+$K167&lt;2.5,"Green","Red")</f>
        <v>Green</v>
      </c>
      <c r="AB167" t="str">
        <f>IF($J167+$K167&lt;3.5,"Green","Red")</f>
        <v>Green</v>
      </c>
      <c r="AC167" t="str">
        <f>IF(AND($J167&gt;0,$K167&gt;0),"Green","Red")</f>
        <v>Red</v>
      </c>
      <c r="AD167" t="str">
        <f>IF(OR($J167=0,$K167=0),"Green","Red")</f>
        <v>Green</v>
      </c>
    </row>
    <row r="168" spans="1:30" x14ac:dyDescent="0.2">
      <c r="A168" t="str">
        <f>L168&amp;F168&amp;G168</f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>DAY(D168)&amp;"/"&amp;"07"&amp;"/"&amp;YEAR(D168)</f>
        <v>21/07/2026</v>
      </c>
      <c r="M168" s="23">
        <f>E168-TIME(3,0,0)</f>
        <v>0.64583333333333337</v>
      </c>
      <c r="N168" t="str">
        <f>J168&amp;" - "&amp;K168</f>
        <v>0 - 5</v>
      </c>
      <c r="O168" t="str">
        <f>IF($J168&gt;$K168,"Green","Red")</f>
        <v>Red</v>
      </c>
      <c r="P168" t="str">
        <f>IF($J168=$K168,"Green","Red")</f>
        <v>Red</v>
      </c>
      <c r="Q168" t="str">
        <f>IF($J168&lt;$K168,"Green","Red")</f>
        <v>Green</v>
      </c>
      <c r="R168" t="str">
        <f>IF($J168&gt;=$K168,"Green","Red")</f>
        <v>Red</v>
      </c>
      <c r="S168" t="str">
        <f>IF($J168&lt;=$K168,"Green","Red")</f>
        <v>Green</v>
      </c>
      <c r="T168" t="str">
        <f>IF(OR($J168&gt;$K168,$J168&lt;$K168),"Green","Red")</f>
        <v>Green</v>
      </c>
      <c r="U168" t="str">
        <f>IF($H168&gt;$I168,"Green","Red")</f>
        <v>Red</v>
      </c>
      <c r="V168" t="str">
        <f>IF($H168=$I168,"Green","Red")</f>
        <v>Red</v>
      </c>
      <c r="W168" t="str">
        <f>IF($H168&lt;$I168,"Green","Red")</f>
        <v>Green</v>
      </c>
      <c r="X168" t="str">
        <f>IF($H168+$I168&gt;0,"Green","Red")</f>
        <v>Green</v>
      </c>
      <c r="Y168" t="str">
        <f>IF($J168+$K168&gt;1.5,"Green","Red")</f>
        <v>Green</v>
      </c>
      <c r="Z168" t="str">
        <f>IF($J168+$K168&gt;2.5,"Green","Red")</f>
        <v>Green</v>
      </c>
      <c r="AA168" t="str">
        <f>IF($J168+$K168&lt;2.5,"Green","Red")</f>
        <v>Red</v>
      </c>
      <c r="AB168" t="str">
        <f>IF($J168+$K168&lt;3.5,"Green","Red")</f>
        <v>Red</v>
      </c>
      <c r="AC168" t="str">
        <f>IF(AND($J168&gt;0,$K168&gt;0),"Green","Red")</f>
        <v>Red</v>
      </c>
      <c r="AD168" t="str">
        <f>IF(OR($J168=0,$K168=0),"Green","Red")</f>
        <v>Green</v>
      </c>
    </row>
    <row r="169" spans="1:30" x14ac:dyDescent="0.2">
      <c r="A169" t="str">
        <f>L169&amp;F169&amp;G169</f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>DAY(D169)&amp;"/"&amp;"07"&amp;"/"&amp;YEAR(D169)</f>
        <v>21/07/2026</v>
      </c>
      <c r="M169" s="23">
        <f>E169-TIME(3,0,0)</f>
        <v>0.65625</v>
      </c>
      <c r="N169" t="str">
        <f>J169&amp;" - "&amp;K169</f>
        <v>0 - 0</v>
      </c>
      <c r="O169" t="str">
        <f>IF($J169&gt;$K169,"Green","Red")</f>
        <v>Red</v>
      </c>
      <c r="P169" t="str">
        <f>IF($J169=$K169,"Green","Red")</f>
        <v>Green</v>
      </c>
      <c r="Q169" t="str">
        <f>IF($J169&lt;$K169,"Green","Red")</f>
        <v>Red</v>
      </c>
      <c r="R169" t="str">
        <f>IF($J169&gt;=$K169,"Green","Red")</f>
        <v>Green</v>
      </c>
      <c r="S169" t="str">
        <f>IF($J169&lt;=$K169,"Green","Red")</f>
        <v>Green</v>
      </c>
      <c r="T169" t="str">
        <f>IF(OR($J169&gt;$K169,$J169&lt;$K169),"Green","Red")</f>
        <v>Red</v>
      </c>
      <c r="U169" t="str">
        <f>IF($H169&gt;$I169,"Green","Red")</f>
        <v>Red</v>
      </c>
      <c r="V169" t="str">
        <f>IF($H169=$I169,"Green","Red")</f>
        <v>Green</v>
      </c>
      <c r="W169" t="str">
        <f>IF($H169&lt;$I169,"Green","Red")</f>
        <v>Red</v>
      </c>
      <c r="X169" t="str">
        <f>IF($H169+$I169&gt;0,"Green","Red")</f>
        <v>Red</v>
      </c>
      <c r="Y169" t="str">
        <f>IF($J169+$K169&gt;1.5,"Green","Red")</f>
        <v>Red</v>
      </c>
      <c r="Z169" t="str">
        <f>IF($J169+$K169&gt;2.5,"Green","Red")</f>
        <v>Red</v>
      </c>
      <c r="AA169" t="str">
        <f>IF($J169+$K169&lt;2.5,"Green","Red")</f>
        <v>Green</v>
      </c>
      <c r="AB169" t="str">
        <f>IF($J169+$K169&lt;3.5,"Green","Red")</f>
        <v>Green</v>
      </c>
      <c r="AC169" t="str">
        <f>IF(AND($J169&gt;0,$K169&gt;0),"Green","Red")</f>
        <v>Red</v>
      </c>
      <c r="AD169" t="str">
        <f>IF(OR($J169=0,$K169=0),"Green","Red")</f>
        <v>Green</v>
      </c>
    </row>
    <row r="170" spans="1:30" x14ac:dyDescent="0.2">
      <c r="A170" t="str">
        <f>L170&amp;F170&amp;G170</f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>DAY(D170)&amp;"/"&amp;"07"&amp;"/"&amp;YEAR(D170)</f>
        <v>21/07/2026</v>
      </c>
      <c r="M170" s="23">
        <f>E170-TIME(3,0,0)</f>
        <v>0.65625</v>
      </c>
      <c r="N170" t="str">
        <f>J170&amp;" - "&amp;K170</f>
        <v>1 - 1</v>
      </c>
      <c r="O170" t="str">
        <f>IF($J170&gt;$K170,"Green","Red")</f>
        <v>Red</v>
      </c>
      <c r="P170" t="str">
        <f>IF($J170=$K170,"Green","Red")</f>
        <v>Green</v>
      </c>
      <c r="Q170" t="str">
        <f>IF($J170&lt;$K170,"Green","Red")</f>
        <v>Red</v>
      </c>
      <c r="R170" t="str">
        <f>IF($J170&gt;=$K170,"Green","Red")</f>
        <v>Green</v>
      </c>
      <c r="S170" t="str">
        <f>IF($J170&lt;=$K170,"Green","Red")</f>
        <v>Green</v>
      </c>
      <c r="T170" t="str">
        <f>IF(OR($J170&gt;$K170,$J170&lt;$K170),"Green","Red")</f>
        <v>Red</v>
      </c>
      <c r="U170" t="str">
        <f>IF($H170&gt;$I170,"Green","Red")</f>
        <v>Red</v>
      </c>
      <c r="V170" t="str">
        <f>IF($H170=$I170,"Green","Red")</f>
        <v>Red</v>
      </c>
      <c r="W170" t="str">
        <f>IF($H170&lt;$I170,"Green","Red")</f>
        <v>Green</v>
      </c>
      <c r="X170" t="str">
        <f>IF($H170+$I170&gt;0,"Green","Red")</f>
        <v>Green</v>
      </c>
      <c r="Y170" t="str">
        <f>IF($J170+$K170&gt;1.5,"Green","Red")</f>
        <v>Green</v>
      </c>
      <c r="Z170" t="str">
        <f>IF($J170+$K170&gt;2.5,"Green","Red")</f>
        <v>Red</v>
      </c>
      <c r="AA170" t="str">
        <f>IF($J170+$K170&lt;2.5,"Green","Red")</f>
        <v>Green</v>
      </c>
      <c r="AB170" t="str">
        <f>IF($J170+$K170&lt;3.5,"Green","Red")</f>
        <v>Green</v>
      </c>
      <c r="AC170" t="str">
        <f>IF(AND($J170&gt;0,$K170&gt;0),"Green","Red")</f>
        <v>Green</v>
      </c>
      <c r="AD170" t="str">
        <f>IF(OR($J170=0,$K170=0),"Green","Red")</f>
        <v>Red</v>
      </c>
    </row>
    <row r="171" spans="1:30" x14ac:dyDescent="0.2">
      <c r="A171" t="str">
        <f>L171&amp;F171&amp;G171</f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>DAY(D171)&amp;"/"&amp;"07"&amp;"/"&amp;YEAR(D171)</f>
        <v>21/07/2026</v>
      </c>
      <c r="M171" s="23">
        <f>E171-TIME(3,0,0)</f>
        <v>0.65625</v>
      </c>
      <c r="N171" t="str">
        <f>J171&amp;" - "&amp;K171</f>
        <v>0 - 2</v>
      </c>
      <c r="O171" t="str">
        <f>IF($J171&gt;$K171,"Green","Red")</f>
        <v>Red</v>
      </c>
      <c r="P171" t="str">
        <f>IF($J171=$K171,"Green","Red")</f>
        <v>Red</v>
      </c>
      <c r="Q171" t="str">
        <f>IF($J171&lt;$K171,"Green","Red")</f>
        <v>Green</v>
      </c>
      <c r="R171" t="str">
        <f>IF($J171&gt;=$K171,"Green","Red")</f>
        <v>Red</v>
      </c>
      <c r="S171" t="str">
        <f>IF($J171&lt;=$K171,"Green","Red")</f>
        <v>Green</v>
      </c>
      <c r="T171" t="str">
        <f>IF(OR($J171&gt;$K171,$J171&lt;$K171),"Green","Red")</f>
        <v>Green</v>
      </c>
      <c r="U171" t="str">
        <f>IF($H171&gt;$I171,"Green","Red")</f>
        <v>Red</v>
      </c>
      <c r="V171" t="str">
        <f>IF($H171=$I171,"Green","Red")</f>
        <v>Red</v>
      </c>
      <c r="W171" t="str">
        <f>IF($H171&lt;$I171,"Green","Red")</f>
        <v>Green</v>
      </c>
      <c r="X171" t="str">
        <f>IF($H171+$I171&gt;0,"Green","Red")</f>
        <v>Green</v>
      </c>
      <c r="Y171" t="str">
        <f>IF($J171+$K171&gt;1.5,"Green","Red")</f>
        <v>Green</v>
      </c>
      <c r="Z171" t="str">
        <f>IF($J171+$K171&gt;2.5,"Green","Red")</f>
        <v>Red</v>
      </c>
      <c r="AA171" t="str">
        <f>IF($J171+$K171&lt;2.5,"Green","Red")</f>
        <v>Green</v>
      </c>
      <c r="AB171" t="str">
        <f>IF($J171+$K171&lt;3.5,"Green","Red")</f>
        <v>Green</v>
      </c>
      <c r="AC171" t="str">
        <f>IF(AND($J171&gt;0,$K171&gt;0),"Green","Red")</f>
        <v>Red</v>
      </c>
      <c r="AD171" t="str">
        <f>IF(OR($J171=0,$K171=0),"Green","Red")</f>
        <v>Green</v>
      </c>
    </row>
    <row r="172" spans="1:30" x14ac:dyDescent="0.2">
      <c r="A172" t="str">
        <f>L172&amp;F172&amp;G172</f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>DAY(D172)&amp;"/"&amp;"07"&amp;"/"&amp;YEAR(D172)</f>
        <v>21/07/2026</v>
      </c>
      <c r="M172" s="23">
        <f>E172-TIME(3,0,0)</f>
        <v>0.65625</v>
      </c>
      <c r="N172" t="str">
        <f>J172&amp;" - "&amp;K172</f>
        <v>4 - 1</v>
      </c>
      <c r="O172" t="str">
        <f>IF($J172&gt;$K172,"Green","Red")</f>
        <v>Green</v>
      </c>
      <c r="P172" t="str">
        <f>IF($J172=$K172,"Green","Red")</f>
        <v>Red</v>
      </c>
      <c r="Q172" t="str">
        <f>IF($J172&lt;$K172,"Green","Red")</f>
        <v>Red</v>
      </c>
      <c r="R172" t="str">
        <f>IF($J172&gt;=$K172,"Green","Red")</f>
        <v>Green</v>
      </c>
      <c r="S172" t="str">
        <f>IF($J172&lt;=$K172,"Green","Red")</f>
        <v>Red</v>
      </c>
      <c r="T172" t="str">
        <f>IF(OR($J172&gt;$K172,$J172&lt;$K172),"Green","Red")</f>
        <v>Green</v>
      </c>
      <c r="U172" t="str">
        <f>IF($H172&gt;$I172,"Green","Red")</f>
        <v>Green</v>
      </c>
      <c r="V172" t="str">
        <f>IF($H172=$I172,"Green","Red")</f>
        <v>Red</v>
      </c>
      <c r="W172" t="str">
        <f>IF($H172&lt;$I172,"Green","Red")</f>
        <v>Red</v>
      </c>
      <c r="X172" t="str">
        <f>IF($H172+$I172&gt;0,"Green","Red")</f>
        <v>Green</v>
      </c>
      <c r="Y172" t="str">
        <f>IF($J172+$K172&gt;1.5,"Green","Red")</f>
        <v>Green</v>
      </c>
      <c r="Z172" t="str">
        <f>IF($J172+$K172&gt;2.5,"Green","Red")</f>
        <v>Green</v>
      </c>
      <c r="AA172" t="str">
        <f>IF($J172+$K172&lt;2.5,"Green","Red")</f>
        <v>Red</v>
      </c>
      <c r="AB172" t="str">
        <f>IF($J172+$K172&lt;3.5,"Green","Red")</f>
        <v>Red</v>
      </c>
      <c r="AC172" t="str">
        <f>IF(AND($J172&gt;0,$K172&gt;0),"Green","Red")</f>
        <v>Green</v>
      </c>
      <c r="AD172" t="str">
        <f>IF(OR($J172=0,$K172=0),"Green","Red")</f>
        <v>Red</v>
      </c>
    </row>
    <row r="173" spans="1:30" x14ac:dyDescent="0.2">
      <c r="A173" t="str">
        <f>L173&amp;F173&amp;G173</f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>DAY(D173)&amp;"/"&amp;"07"&amp;"/"&amp;YEAR(D173)</f>
        <v>21/07/2026</v>
      </c>
      <c r="M173" s="23">
        <f>E173-TIME(3,0,0)</f>
        <v>0.65625</v>
      </c>
      <c r="N173" t="str">
        <f>J173&amp;" - "&amp;K173</f>
        <v>4 - 0</v>
      </c>
      <c r="O173" t="str">
        <f>IF($J173&gt;$K173,"Green","Red")</f>
        <v>Green</v>
      </c>
      <c r="P173" t="str">
        <f>IF($J173=$K173,"Green","Red")</f>
        <v>Red</v>
      </c>
      <c r="Q173" t="str">
        <f>IF($J173&lt;$K173,"Green","Red")</f>
        <v>Red</v>
      </c>
      <c r="R173" t="str">
        <f>IF($J173&gt;=$K173,"Green","Red")</f>
        <v>Green</v>
      </c>
      <c r="S173" t="str">
        <f>IF($J173&lt;=$K173,"Green","Red")</f>
        <v>Red</v>
      </c>
      <c r="T173" t="str">
        <f>IF(OR($J173&gt;$K173,$J173&lt;$K173),"Green","Red")</f>
        <v>Green</v>
      </c>
      <c r="U173" t="str">
        <f>IF($H173&gt;$I173,"Green","Red")</f>
        <v>Green</v>
      </c>
      <c r="V173" t="str">
        <f>IF($H173=$I173,"Green","Red")</f>
        <v>Red</v>
      </c>
      <c r="W173" t="str">
        <f>IF($H173&lt;$I173,"Green","Red")</f>
        <v>Red</v>
      </c>
      <c r="X173" t="str">
        <f>IF($H173+$I173&gt;0,"Green","Red")</f>
        <v>Green</v>
      </c>
      <c r="Y173" t="str">
        <f>IF($J173+$K173&gt;1.5,"Green","Red")</f>
        <v>Green</v>
      </c>
      <c r="Z173" t="str">
        <f>IF($J173+$K173&gt;2.5,"Green","Red")</f>
        <v>Green</v>
      </c>
      <c r="AA173" t="str">
        <f>IF($J173+$K173&lt;2.5,"Green","Red")</f>
        <v>Red</v>
      </c>
      <c r="AB173" t="str">
        <f>IF($J173+$K173&lt;3.5,"Green","Red")</f>
        <v>Red</v>
      </c>
      <c r="AC173" t="str">
        <f>IF(AND($J173&gt;0,$K173&gt;0),"Green","Red")</f>
        <v>Red</v>
      </c>
      <c r="AD173" t="str">
        <f>IF(OR($J173=0,$K173=0),"Green","Red")</f>
        <v>Green</v>
      </c>
    </row>
    <row r="174" spans="1:30" x14ac:dyDescent="0.2">
      <c r="A174" t="str">
        <f>L174&amp;F174&amp;G174</f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>DAY(D174)&amp;"/"&amp;"07"&amp;"/"&amp;YEAR(D174)</f>
        <v>21/07/2026</v>
      </c>
      <c r="M174" s="23">
        <f>E174-TIME(3,0,0)</f>
        <v>0.65625</v>
      </c>
      <c r="N174" t="str">
        <f>J174&amp;" - "&amp;K174</f>
        <v>5 - 0</v>
      </c>
      <c r="O174" t="str">
        <f>IF($J174&gt;$K174,"Green","Red")</f>
        <v>Green</v>
      </c>
      <c r="P174" t="str">
        <f>IF($J174=$K174,"Green","Red")</f>
        <v>Red</v>
      </c>
      <c r="Q174" t="str">
        <f>IF($J174&lt;$K174,"Green","Red")</f>
        <v>Red</v>
      </c>
      <c r="R174" t="str">
        <f>IF($J174&gt;=$K174,"Green","Red")</f>
        <v>Green</v>
      </c>
      <c r="S174" t="str">
        <f>IF($J174&lt;=$K174,"Green","Red")</f>
        <v>Red</v>
      </c>
      <c r="T174" t="str">
        <f>IF(OR($J174&gt;$K174,$J174&lt;$K174),"Green","Red")</f>
        <v>Green</v>
      </c>
      <c r="U174" t="str">
        <f>IF($H174&gt;$I174,"Green","Red")</f>
        <v>Green</v>
      </c>
      <c r="V174" t="str">
        <f>IF($H174=$I174,"Green","Red")</f>
        <v>Red</v>
      </c>
      <c r="W174" t="str">
        <f>IF($H174&lt;$I174,"Green","Red")</f>
        <v>Red</v>
      </c>
      <c r="X174" t="str">
        <f>IF($H174+$I174&gt;0,"Green","Red")</f>
        <v>Green</v>
      </c>
      <c r="Y174" t="str">
        <f>IF($J174+$K174&gt;1.5,"Green","Red")</f>
        <v>Green</v>
      </c>
      <c r="Z174" t="str">
        <f>IF($J174+$K174&gt;2.5,"Green","Red")</f>
        <v>Green</v>
      </c>
      <c r="AA174" t="str">
        <f>IF($J174+$K174&lt;2.5,"Green","Red")</f>
        <v>Red</v>
      </c>
      <c r="AB174" t="str">
        <f>IF($J174+$K174&lt;3.5,"Green","Red")</f>
        <v>Red</v>
      </c>
      <c r="AC174" t="str">
        <f>IF(AND($J174&gt;0,$K174&gt;0),"Green","Red")</f>
        <v>Red</v>
      </c>
      <c r="AD174" t="str">
        <f>IF(OR($J174=0,$K174=0),"Green","Red")</f>
        <v>Green</v>
      </c>
    </row>
    <row r="175" spans="1:30" x14ac:dyDescent="0.2">
      <c r="A175" t="str">
        <f>L175&amp;F175&amp;G175</f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>DAY(D175)&amp;"/"&amp;"07"&amp;"/"&amp;YEAR(D175)</f>
        <v>21/07/2026</v>
      </c>
      <c r="M175" s="23">
        <f>E175-TIME(3,0,0)</f>
        <v>0.65625</v>
      </c>
      <c r="N175" t="str">
        <f>J175&amp;" - "&amp;K175</f>
        <v>3 - 1</v>
      </c>
      <c r="O175" t="str">
        <f>IF($J175&gt;$K175,"Green","Red")</f>
        <v>Green</v>
      </c>
      <c r="P175" t="str">
        <f>IF($J175=$K175,"Green","Red")</f>
        <v>Red</v>
      </c>
      <c r="Q175" t="str">
        <f>IF($J175&lt;$K175,"Green","Red")</f>
        <v>Red</v>
      </c>
      <c r="R175" t="str">
        <f>IF($J175&gt;=$K175,"Green","Red")</f>
        <v>Green</v>
      </c>
      <c r="S175" t="str">
        <f>IF($J175&lt;=$K175,"Green","Red")</f>
        <v>Red</v>
      </c>
      <c r="T175" t="str">
        <f>IF(OR($J175&gt;$K175,$J175&lt;$K175),"Green","Red")</f>
        <v>Green</v>
      </c>
      <c r="U175" t="str">
        <f>IF($H175&gt;$I175,"Green","Red")</f>
        <v>Red</v>
      </c>
      <c r="V175" t="str">
        <f>IF($H175=$I175,"Green","Red")</f>
        <v>Red</v>
      </c>
      <c r="W175" t="str">
        <f>IF($H175&lt;$I175,"Green","Red")</f>
        <v>Green</v>
      </c>
      <c r="X175" t="str">
        <f>IF($H175+$I175&gt;0,"Green","Red")</f>
        <v>Green</v>
      </c>
      <c r="Y175" t="str">
        <f>IF($J175+$K175&gt;1.5,"Green","Red")</f>
        <v>Green</v>
      </c>
      <c r="Z175" t="str">
        <f>IF($J175+$K175&gt;2.5,"Green","Red")</f>
        <v>Green</v>
      </c>
      <c r="AA175" t="str">
        <f>IF($J175+$K175&lt;2.5,"Green","Red")</f>
        <v>Red</v>
      </c>
      <c r="AB175" t="str">
        <f>IF($J175+$K175&lt;3.5,"Green","Red")</f>
        <v>Red</v>
      </c>
      <c r="AC175" t="str">
        <f>IF(AND($J175&gt;0,$K175&gt;0),"Green","Red")</f>
        <v>Green</v>
      </c>
      <c r="AD175" t="str">
        <f>IF(OR($J175=0,$K175=0),"Green","Red")</f>
        <v>Red</v>
      </c>
    </row>
    <row r="176" spans="1:30" x14ac:dyDescent="0.2">
      <c r="A176" t="str">
        <f>L176&amp;F176&amp;G176</f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>DAY(D176)&amp;"/"&amp;"07"&amp;"/"&amp;YEAR(D176)</f>
        <v>21/07/2026</v>
      </c>
      <c r="M176" s="23">
        <f>E176-TIME(3,0,0)</f>
        <v>0.65625</v>
      </c>
      <c r="N176" t="str">
        <f>J176&amp;" - "&amp;K176</f>
        <v>1 - 0</v>
      </c>
      <c r="O176" t="str">
        <f>IF($J176&gt;$K176,"Green","Red")</f>
        <v>Green</v>
      </c>
      <c r="P176" t="str">
        <f>IF($J176=$K176,"Green","Red")</f>
        <v>Red</v>
      </c>
      <c r="Q176" t="str">
        <f>IF($J176&lt;$K176,"Green","Red")</f>
        <v>Red</v>
      </c>
      <c r="R176" t="str">
        <f>IF($J176&gt;=$K176,"Green","Red")</f>
        <v>Green</v>
      </c>
      <c r="S176" t="str">
        <f>IF($J176&lt;=$K176,"Green","Red")</f>
        <v>Red</v>
      </c>
      <c r="T176" t="str">
        <f>IF(OR($J176&gt;$K176,$J176&lt;$K176),"Green","Red")</f>
        <v>Green</v>
      </c>
      <c r="U176" t="str">
        <f>IF($H176&gt;$I176,"Green","Red")</f>
        <v>Green</v>
      </c>
      <c r="V176" t="str">
        <f>IF($H176=$I176,"Green","Red")</f>
        <v>Red</v>
      </c>
      <c r="W176" t="str">
        <f>IF($H176&lt;$I176,"Green","Red")</f>
        <v>Red</v>
      </c>
      <c r="X176" t="str">
        <f>IF($H176+$I176&gt;0,"Green","Red")</f>
        <v>Green</v>
      </c>
      <c r="Y176" t="str">
        <f>IF($J176+$K176&gt;1.5,"Green","Red")</f>
        <v>Red</v>
      </c>
      <c r="Z176" t="str">
        <f>IF($J176+$K176&gt;2.5,"Green","Red")</f>
        <v>Red</v>
      </c>
      <c r="AA176" t="str">
        <f>IF($J176+$K176&lt;2.5,"Green","Red")</f>
        <v>Green</v>
      </c>
      <c r="AB176" t="str">
        <f>IF($J176+$K176&lt;3.5,"Green","Red")</f>
        <v>Green</v>
      </c>
      <c r="AC176" t="str">
        <f>IF(AND($J176&gt;0,$K176&gt;0),"Green","Red")</f>
        <v>Red</v>
      </c>
      <c r="AD176" t="str">
        <f>IF(OR($J176=0,$K176=0),"Green","Red")</f>
        <v>Green</v>
      </c>
    </row>
    <row r="177" spans="1:30" x14ac:dyDescent="0.2">
      <c r="A177" t="str">
        <f>L177&amp;F177&amp;G177</f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>DAY(D177)&amp;"/"&amp;"07"&amp;"/"&amp;YEAR(D177)</f>
        <v>21/07/2026</v>
      </c>
      <c r="M177" s="23">
        <f>E177-TIME(3,0,0)</f>
        <v>0.65625</v>
      </c>
      <c r="N177" t="str">
        <f>J177&amp;" - "&amp;K177</f>
        <v>3 - 2</v>
      </c>
      <c r="O177" t="str">
        <f>IF($J177&gt;$K177,"Green","Red")</f>
        <v>Green</v>
      </c>
      <c r="P177" t="str">
        <f>IF($J177=$K177,"Green","Red")</f>
        <v>Red</v>
      </c>
      <c r="Q177" t="str">
        <f>IF($J177&lt;$K177,"Green","Red")</f>
        <v>Red</v>
      </c>
      <c r="R177" t="str">
        <f>IF($J177&gt;=$K177,"Green","Red")</f>
        <v>Green</v>
      </c>
      <c r="S177" t="str">
        <f>IF($J177&lt;=$K177,"Green","Red")</f>
        <v>Red</v>
      </c>
      <c r="T177" t="str">
        <f>IF(OR($J177&gt;$K177,$J177&lt;$K177),"Green","Red")</f>
        <v>Green</v>
      </c>
      <c r="U177" t="str">
        <f>IF($H177&gt;$I177,"Green","Red")</f>
        <v>Green</v>
      </c>
      <c r="V177" t="str">
        <f>IF($H177=$I177,"Green","Red")</f>
        <v>Red</v>
      </c>
      <c r="W177" t="str">
        <f>IF($H177&lt;$I177,"Green","Red")</f>
        <v>Red</v>
      </c>
      <c r="X177" t="str">
        <f>IF($H177+$I177&gt;0,"Green","Red")</f>
        <v>Green</v>
      </c>
      <c r="Y177" t="str">
        <f>IF($J177+$K177&gt;1.5,"Green","Red")</f>
        <v>Green</v>
      </c>
      <c r="Z177" t="str">
        <f>IF($J177+$K177&gt;2.5,"Green","Red")</f>
        <v>Green</v>
      </c>
      <c r="AA177" t="str">
        <f>IF($J177+$K177&lt;2.5,"Green","Red")</f>
        <v>Red</v>
      </c>
      <c r="AB177" t="str">
        <f>IF($J177+$K177&lt;3.5,"Green","Red")</f>
        <v>Red</v>
      </c>
      <c r="AC177" t="str">
        <f>IF(AND($J177&gt;0,$K177&gt;0),"Green","Red")</f>
        <v>Green</v>
      </c>
      <c r="AD177" t="str">
        <f>IF(OR($J177=0,$K177=0),"Green","Red")</f>
        <v>Red</v>
      </c>
    </row>
    <row r="178" spans="1:30" x14ac:dyDescent="0.2">
      <c r="A178" t="str">
        <f>L178&amp;F178&amp;G178</f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>DAY(D178)&amp;"/"&amp;"07"&amp;"/"&amp;YEAR(D178)</f>
        <v>21/07/2026</v>
      </c>
      <c r="M178" s="23">
        <f>E178-TIME(3,0,0)</f>
        <v>0.65625</v>
      </c>
      <c r="N178" t="str">
        <f>J178&amp;" - "&amp;K178</f>
        <v>1 - 0</v>
      </c>
      <c r="O178" t="str">
        <f>IF($J178&gt;$K178,"Green","Red")</f>
        <v>Green</v>
      </c>
      <c r="P178" t="str">
        <f>IF($J178=$K178,"Green","Red")</f>
        <v>Red</v>
      </c>
      <c r="Q178" t="str">
        <f>IF($J178&lt;$K178,"Green","Red")</f>
        <v>Red</v>
      </c>
      <c r="R178" t="str">
        <f>IF($J178&gt;=$K178,"Green","Red")</f>
        <v>Green</v>
      </c>
      <c r="S178" t="str">
        <f>IF($J178&lt;=$K178,"Green","Red")</f>
        <v>Red</v>
      </c>
      <c r="T178" t="str">
        <f>IF(OR($J178&gt;$K178,$J178&lt;$K178),"Green","Red")</f>
        <v>Green</v>
      </c>
      <c r="U178" t="str">
        <f>IF($H178&gt;$I178,"Green","Red")</f>
        <v>Red</v>
      </c>
      <c r="V178" t="str">
        <f>IF($H178=$I178,"Green","Red")</f>
        <v>Green</v>
      </c>
      <c r="W178" t="str">
        <f>IF($H178&lt;$I178,"Green","Red")</f>
        <v>Red</v>
      </c>
      <c r="X178" t="str">
        <f>IF($H178+$I178&gt;0,"Green","Red")</f>
        <v>Red</v>
      </c>
      <c r="Y178" t="str">
        <f>IF($J178+$K178&gt;1.5,"Green","Red")</f>
        <v>Red</v>
      </c>
      <c r="Z178" t="str">
        <f>IF($J178+$K178&gt;2.5,"Green","Red")</f>
        <v>Red</v>
      </c>
      <c r="AA178" t="str">
        <f>IF($J178+$K178&lt;2.5,"Green","Red")</f>
        <v>Green</v>
      </c>
      <c r="AB178" t="str">
        <f>IF($J178+$K178&lt;3.5,"Green","Red")</f>
        <v>Green</v>
      </c>
      <c r="AC178" t="str">
        <f>IF(AND($J178&gt;0,$K178&gt;0),"Green","Red")</f>
        <v>Red</v>
      </c>
      <c r="AD178" t="str">
        <f>IF(OR($J178=0,$K178=0),"Green","Red")</f>
        <v>Green</v>
      </c>
    </row>
    <row r="179" spans="1:30" x14ac:dyDescent="0.2">
      <c r="A179" t="str">
        <f>L179&amp;F179&amp;G179</f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>DAY(D179)&amp;"/"&amp;"07"&amp;"/"&amp;YEAR(D179)</f>
        <v>21/07/2026</v>
      </c>
      <c r="M179" s="23">
        <f>E179-TIME(3,0,0)</f>
        <v>0.65625</v>
      </c>
      <c r="N179" t="str">
        <f>J179&amp;" - "&amp;K179</f>
        <v>8 - 0</v>
      </c>
      <c r="O179" t="str">
        <f>IF($J179&gt;$K179,"Green","Red")</f>
        <v>Green</v>
      </c>
      <c r="P179" t="str">
        <f>IF($J179=$K179,"Green","Red")</f>
        <v>Red</v>
      </c>
      <c r="Q179" t="str">
        <f>IF($J179&lt;$K179,"Green","Red")</f>
        <v>Red</v>
      </c>
      <c r="R179" t="str">
        <f>IF($J179&gt;=$K179,"Green","Red")</f>
        <v>Green</v>
      </c>
      <c r="S179" t="str">
        <f>IF($J179&lt;=$K179,"Green","Red")</f>
        <v>Red</v>
      </c>
      <c r="T179" t="str">
        <f>IF(OR($J179&gt;$K179,$J179&lt;$K179),"Green","Red")</f>
        <v>Green</v>
      </c>
      <c r="U179" t="str">
        <f>IF($H179&gt;$I179,"Green","Red")</f>
        <v>Green</v>
      </c>
      <c r="V179" t="str">
        <f>IF($H179=$I179,"Green","Red")</f>
        <v>Red</v>
      </c>
      <c r="W179" t="str">
        <f>IF($H179&lt;$I179,"Green","Red")</f>
        <v>Red</v>
      </c>
      <c r="X179" t="str">
        <f>IF($H179+$I179&gt;0,"Green","Red")</f>
        <v>Green</v>
      </c>
      <c r="Y179" t="str">
        <f>IF($J179+$K179&gt;1.5,"Green","Red")</f>
        <v>Green</v>
      </c>
      <c r="Z179" t="str">
        <f>IF($J179+$K179&gt;2.5,"Green","Red")</f>
        <v>Green</v>
      </c>
      <c r="AA179" t="str">
        <f>IF($J179+$K179&lt;2.5,"Green","Red")</f>
        <v>Red</v>
      </c>
      <c r="AB179" t="str">
        <f>IF($J179+$K179&lt;3.5,"Green","Red")</f>
        <v>Red</v>
      </c>
      <c r="AC179" t="str">
        <f>IF(AND($J179&gt;0,$K179&gt;0),"Green","Red")</f>
        <v>Red</v>
      </c>
      <c r="AD179" t="str">
        <f>IF(OR($J179=0,$K179=0),"Green","Red")</f>
        <v>Green</v>
      </c>
    </row>
    <row r="180" spans="1:30" x14ac:dyDescent="0.2">
      <c r="A180" t="str">
        <f>L180&amp;F180&amp;G180</f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>DAY(D180)&amp;"/"&amp;"07"&amp;"/"&amp;YEAR(D180)</f>
        <v>21/07/2026</v>
      </c>
      <c r="M180" s="23">
        <f>E180-TIME(3,0,0)</f>
        <v>0.65625</v>
      </c>
      <c r="N180" t="str">
        <f>J180&amp;" - "&amp;K180</f>
        <v>2 - 2</v>
      </c>
      <c r="O180" t="str">
        <f>IF($J180&gt;$K180,"Green","Red")</f>
        <v>Red</v>
      </c>
      <c r="P180" t="str">
        <f>IF($J180=$K180,"Green","Red")</f>
        <v>Green</v>
      </c>
      <c r="Q180" t="str">
        <f>IF($J180&lt;$K180,"Green","Red")</f>
        <v>Red</v>
      </c>
      <c r="R180" t="str">
        <f>IF($J180&gt;=$K180,"Green","Red")</f>
        <v>Green</v>
      </c>
      <c r="S180" t="str">
        <f>IF($J180&lt;=$K180,"Green","Red")</f>
        <v>Green</v>
      </c>
      <c r="T180" t="str">
        <f>IF(OR($J180&gt;$K180,$J180&lt;$K180),"Green","Red")</f>
        <v>Red</v>
      </c>
      <c r="U180" t="str">
        <f>IF($H180&gt;$I180,"Green","Red")</f>
        <v>Red</v>
      </c>
      <c r="V180" t="str">
        <f>IF($H180=$I180,"Green","Red")</f>
        <v>Red</v>
      </c>
      <c r="W180" t="str">
        <f>IF($H180&lt;$I180,"Green","Red")</f>
        <v>Green</v>
      </c>
      <c r="X180" t="str">
        <f>IF($H180+$I180&gt;0,"Green","Red")</f>
        <v>Green</v>
      </c>
      <c r="Y180" t="str">
        <f>IF($J180+$K180&gt;1.5,"Green","Red")</f>
        <v>Green</v>
      </c>
      <c r="Z180" t="str">
        <f>IF($J180+$K180&gt;2.5,"Green","Red")</f>
        <v>Green</v>
      </c>
      <c r="AA180" t="str">
        <f>IF($J180+$K180&lt;2.5,"Green","Red")</f>
        <v>Red</v>
      </c>
      <c r="AB180" t="str">
        <f>IF($J180+$K180&lt;3.5,"Green","Red")</f>
        <v>Red</v>
      </c>
      <c r="AC180" t="str">
        <f>IF(AND($J180&gt;0,$K180&gt;0),"Green","Red")</f>
        <v>Green</v>
      </c>
      <c r="AD180" t="str">
        <f>IF(OR($J180=0,$K180=0),"Green","Red")</f>
        <v>Red</v>
      </c>
    </row>
    <row r="181" spans="1:30" x14ac:dyDescent="0.2">
      <c r="A181" t="str">
        <f>L181&amp;F181&amp;G181</f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>DAY(D181)&amp;"/"&amp;"07"&amp;"/"&amp;YEAR(D181)</f>
        <v>21/07/2026</v>
      </c>
      <c r="M181" s="23">
        <f>E181-TIME(3,0,0)</f>
        <v>0.65625</v>
      </c>
      <c r="N181" t="str">
        <f>J181&amp;" - "&amp;K181</f>
        <v>1 - 0</v>
      </c>
      <c r="O181" t="str">
        <f>IF($J181&gt;$K181,"Green","Red")</f>
        <v>Green</v>
      </c>
      <c r="P181" t="str">
        <f>IF($J181=$K181,"Green","Red")</f>
        <v>Red</v>
      </c>
      <c r="Q181" t="str">
        <f>IF($J181&lt;$K181,"Green","Red")</f>
        <v>Red</v>
      </c>
      <c r="R181" t="str">
        <f>IF($J181&gt;=$K181,"Green","Red")</f>
        <v>Green</v>
      </c>
      <c r="S181" t="str">
        <f>IF($J181&lt;=$K181,"Green","Red")</f>
        <v>Red</v>
      </c>
      <c r="T181" t="str">
        <f>IF(OR($J181&gt;$K181,$J181&lt;$K181),"Green","Red")</f>
        <v>Green</v>
      </c>
      <c r="U181" t="str">
        <f>IF($H181&gt;$I181,"Green","Red")</f>
        <v>Green</v>
      </c>
      <c r="V181" t="str">
        <f>IF($H181=$I181,"Green","Red")</f>
        <v>Red</v>
      </c>
      <c r="W181" t="str">
        <f>IF($H181&lt;$I181,"Green","Red")</f>
        <v>Red</v>
      </c>
      <c r="X181" t="str">
        <f>IF($H181+$I181&gt;0,"Green","Red")</f>
        <v>Green</v>
      </c>
      <c r="Y181" t="str">
        <f>IF($J181+$K181&gt;1.5,"Green","Red")</f>
        <v>Red</v>
      </c>
      <c r="Z181" t="str">
        <f>IF($J181+$K181&gt;2.5,"Green","Red")</f>
        <v>Red</v>
      </c>
      <c r="AA181" t="str">
        <f>IF($J181+$K181&lt;2.5,"Green","Red")</f>
        <v>Green</v>
      </c>
      <c r="AB181" t="str">
        <f>IF($J181+$K181&lt;3.5,"Green","Red")</f>
        <v>Green</v>
      </c>
      <c r="AC181" t="str">
        <f>IF(AND($J181&gt;0,$K181&gt;0),"Green","Red")</f>
        <v>Red</v>
      </c>
      <c r="AD181" t="str">
        <f>IF(OR($J181=0,$K181=0),"Green","Red")</f>
        <v>Green</v>
      </c>
    </row>
    <row r="182" spans="1:30" x14ac:dyDescent="0.2">
      <c r="A182" t="str">
        <f>L182&amp;F182&amp;G182</f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>DAY(D182)&amp;"/"&amp;"07"&amp;"/"&amp;YEAR(D182)</f>
        <v>21/07/2026</v>
      </c>
      <c r="M182" s="23">
        <f>E182-TIME(3,0,0)</f>
        <v>0.65625</v>
      </c>
      <c r="N182" t="str">
        <f>J182&amp;" - "&amp;K182</f>
        <v>1 - 1</v>
      </c>
      <c r="O182" t="str">
        <f>IF($J182&gt;$K182,"Green","Red")</f>
        <v>Red</v>
      </c>
      <c r="P182" t="str">
        <f>IF($J182=$K182,"Green","Red")</f>
        <v>Green</v>
      </c>
      <c r="Q182" t="str">
        <f>IF($J182&lt;$K182,"Green","Red")</f>
        <v>Red</v>
      </c>
      <c r="R182" t="str">
        <f>IF($J182&gt;=$K182,"Green","Red")</f>
        <v>Green</v>
      </c>
      <c r="S182" t="str">
        <f>IF($J182&lt;=$K182,"Green","Red")</f>
        <v>Green</v>
      </c>
      <c r="T182" t="str">
        <f>IF(OR($J182&gt;$K182,$J182&lt;$K182),"Green","Red")</f>
        <v>Red</v>
      </c>
      <c r="U182" t="str">
        <f>IF($H182&gt;$I182,"Green","Red")</f>
        <v>Red</v>
      </c>
      <c r="V182" t="str">
        <f>IF($H182=$I182,"Green","Red")</f>
        <v>Red</v>
      </c>
      <c r="W182" t="str">
        <f>IF($H182&lt;$I182,"Green","Red")</f>
        <v>Green</v>
      </c>
      <c r="X182" t="str">
        <f>IF($H182+$I182&gt;0,"Green","Red")</f>
        <v>Green</v>
      </c>
      <c r="Y182" t="str">
        <f>IF($J182+$K182&gt;1.5,"Green","Red")</f>
        <v>Green</v>
      </c>
      <c r="Z182" t="str">
        <f>IF($J182+$K182&gt;2.5,"Green","Red")</f>
        <v>Red</v>
      </c>
      <c r="AA182" t="str">
        <f>IF($J182+$K182&lt;2.5,"Green","Red")</f>
        <v>Green</v>
      </c>
      <c r="AB182" t="str">
        <f>IF($J182+$K182&lt;3.5,"Green","Red")</f>
        <v>Green</v>
      </c>
      <c r="AC182" t="str">
        <f>IF(AND($J182&gt;0,$K182&gt;0),"Green","Red")</f>
        <v>Green</v>
      </c>
      <c r="AD182" t="str">
        <f>IF(OR($J182=0,$K182=0),"Green","Red")</f>
        <v>Red</v>
      </c>
    </row>
    <row r="183" spans="1:30" x14ac:dyDescent="0.2">
      <c r="A183" t="str">
        <f>L183&amp;F183&amp;G183</f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>DAY(D183)&amp;"/"&amp;"07"&amp;"/"&amp;YEAR(D183)</f>
        <v>21/07/2026</v>
      </c>
      <c r="M183" s="23">
        <f>E183-TIME(3,0,0)</f>
        <v>0.65625</v>
      </c>
      <c r="N183" t="str">
        <f>J183&amp;" - "&amp;K183</f>
        <v>4 - 3</v>
      </c>
      <c r="O183" t="str">
        <f>IF($J183&gt;$K183,"Green","Red")</f>
        <v>Green</v>
      </c>
      <c r="P183" t="str">
        <f>IF($J183=$K183,"Green","Red")</f>
        <v>Red</v>
      </c>
      <c r="Q183" t="str">
        <f>IF($J183&lt;$K183,"Green","Red")</f>
        <v>Red</v>
      </c>
      <c r="R183" t="str">
        <f>IF($J183&gt;=$K183,"Green","Red")</f>
        <v>Green</v>
      </c>
      <c r="S183" t="str">
        <f>IF($J183&lt;=$K183,"Green","Red")</f>
        <v>Red</v>
      </c>
      <c r="T183" t="str">
        <f>IF(OR($J183&gt;$K183,$J183&lt;$K183),"Green","Red")</f>
        <v>Green</v>
      </c>
      <c r="U183" t="str">
        <f>IF($H183&gt;$I183,"Green","Red")</f>
        <v>Red</v>
      </c>
      <c r="V183" t="str">
        <f>IF($H183=$I183,"Green","Red")</f>
        <v>Red</v>
      </c>
      <c r="W183" t="str">
        <f>IF($H183&lt;$I183,"Green","Red")</f>
        <v>Green</v>
      </c>
      <c r="X183" t="str">
        <f>IF($H183+$I183&gt;0,"Green","Red")</f>
        <v>Green</v>
      </c>
      <c r="Y183" t="str">
        <f>IF($J183+$K183&gt;1.5,"Green","Red")</f>
        <v>Green</v>
      </c>
      <c r="Z183" t="str">
        <f>IF($J183+$K183&gt;2.5,"Green","Red")</f>
        <v>Green</v>
      </c>
      <c r="AA183" t="str">
        <f>IF($J183+$K183&lt;2.5,"Green","Red")</f>
        <v>Red</v>
      </c>
      <c r="AB183" t="str">
        <f>IF($J183+$K183&lt;3.5,"Green","Red")</f>
        <v>Red</v>
      </c>
      <c r="AC183" t="str">
        <f>IF(AND($J183&gt;0,$K183&gt;0),"Green","Red")</f>
        <v>Green</v>
      </c>
      <c r="AD183" t="str">
        <f>IF(OR($J183=0,$K183=0),"Green","Red")</f>
        <v>Red</v>
      </c>
    </row>
    <row r="184" spans="1:30" x14ac:dyDescent="0.2">
      <c r="A184" t="str">
        <f>L184&amp;F184&amp;G184</f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>DAY(D184)&amp;"/"&amp;"07"&amp;"/"&amp;YEAR(D184)</f>
        <v>21/07/2026</v>
      </c>
      <c r="M184" s="23">
        <f>E184-TIME(3,0,0)</f>
        <v>0.65625</v>
      </c>
      <c r="N184" t="str">
        <f>J184&amp;" - "&amp;K184</f>
        <v>0 - 2</v>
      </c>
      <c r="O184" t="str">
        <f>IF($J184&gt;$K184,"Green","Red")</f>
        <v>Red</v>
      </c>
      <c r="P184" t="str">
        <f>IF($J184=$K184,"Green","Red")</f>
        <v>Red</v>
      </c>
      <c r="Q184" t="str">
        <f>IF($J184&lt;$K184,"Green","Red")</f>
        <v>Green</v>
      </c>
      <c r="R184" t="str">
        <f>IF($J184&gt;=$K184,"Green","Red")</f>
        <v>Red</v>
      </c>
      <c r="S184" t="str">
        <f>IF($J184&lt;=$K184,"Green","Red")</f>
        <v>Green</v>
      </c>
      <c r="T184" t="str">
        <f>IF(OR($J184&gt;$K184,$J184&lt;$K184),"Green","Red")</f>
        <v>Green</v>
      </c>
      <c r="U184" t="str">
        <f>IF($H184&gt;$I184,"Green","Red")</f>
        <v>Red</v>
      </c>
      <c r="V184" t="str">
        <f>IF($H184=$I184,"Green","Red")</f>
        <v>Red</v>
      </c>
      <c r="W184" t="str">
        <f>IF($H184&lt;$I184,"Green","Red")</f>
        <v>Green</v>
      </c>
      <c r="X184" t="str">
        <f>IF($H184+$I184&gt;0,"Green","Red")</f>
        <v>Green</v>
      </c>
      <c r="Y184" t="str">
        <f>IF($J184+$K184&gt;1.5,"Green","Red")</f>
        <v>Green</v>
      </c>
      <c r="Z184" t="str">
        <f>IF($J184+$K184&gt;2.5,"Green","Red")</f>
        <v>Red</v>
      </c>
      <c r="AA184" t="str">
        <f>IF($J184+$K184&lt;2.5,"Green","Red")</f>
        <v>Green</v>
      </c>
      <c r="AB184" t="str">
        <f>IF($J184+$K184&lt;3.5,"Green","Red")</f>
        <v>Green</v>
      </c>
      <c r="AC184" t="str">
        <f>IF(AND($J184&gt;0,$K184&gt;0),"Green","Red")</f>
        <v>Red</v>
      </c>
      <c r="AD184" t="str">
        <f>IF(OR($J184=0,$K184=0),"Green","Red")</f>
        <v>Green</v>
      </c>
    </row>
    <row r="185" spans="1:30" x14ac:dyDescent="0.2">
      <c r="A185" t="str">
        <f>L185&amp;F185&amp;G185</f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>DAY(D185)&amp;"/"&amp;"07"&amp;"/"&amp;YEAR(D185)</f>
        <v>21/07/2026</v>
      </c>
      <c r="M185" s="23">
        <f>E185-TIME(3,0,0)</f>
        <v>0.65625</v>
      </c>
      <c r="N185" t="str">
        <f>J185&amp;" - "&amp;K185</f>
        <v>2 - 1</v>
      </c>
      <c r="O185" t="str">
        <f>IF($J185&gt;$K185,"Green","Red")</f>
        <v>Green</v>
      </c>
      <c r="P185" t="str">
        <f>IF($J185=$K185,"Green","Red")</f>
        <v>Red</v>
      </c>
      <c r="Q185" t="str">
        <f>IF($J185&lt;$K185,"Green","Red")</f>
        <v>Red</v>
      </c>
      <c r="R185" t="str">
        <f>IF($J185&gt;=$K185,"Green","Red")</f>
        <v>Green</v>
      </c>
      <c r="S185" t="str">
        <f>IF($J185&lt;=$K185,"Green","Red")</f>
        <v>Red</v>
      </c>
      <c r="T185" t="str">
        <f>IF(OR($J185&gt;$K185,$J185&lt;$K185),"Green","Red")</f>
        <v>Green</v>
      </c>
      <c r="U185" t="str">
        <f>IF($H185&gt;$I185,"Green","Red")</f>
        <v>Red</v>
      </c>
      <c r="V185" t="str">
        <f>IF($H185=$I185,"Green","Red")</f>
        <v>Green</v>
      </c>
      <c r="W185" t="str">
        <f>IF($H185&lt;$I185,"Green","Red")</f>
        <v>Red</v>
      </c>
      <c r="X185" t="str">
        <f>IF($H185+$I185&gt;0,"Green","Red")</f>
        <v>Red</v>
      </c>
      <c r="Y185" t="str">
        <f>IF($J185+$K185&gt;1.5,"Green","Red")</f>
        <v>Green</v>
      </c>
      <c r="Z185" t="str">
        <f>IF($J185+$K185&gt;2.5,"Green","Red")</f>
        <v>Green</v>
      </c>
      <c r="AA185" t="str">
        <f>IF($J185+$K185&lt;2.5,"Green","Red")</f>
        <v>Red</v>
      </c>
      <c r="AB185" t="str">
        <f>IF($J185+$K185&lt;3.5,"Green","Red")</f>
        <v>Green</v>
      </c>
      <c r="AC185" t="str">
        <f>IF(AND($J185&gt;0,$K185&gt;0),"Green","Red")</f>
        <v>Green</v>
      </c>
      <c r="AD185" t="str">
        <f>IF(OR($J185=0,$K185=0),"Green","Red")</f>
        <v>Red</v>
      </c>
    </row>
    <row r="186" spans="1:30" x14ac:dyDescent="0.2">
      <c r="A186" t="str">
        <f>L186&amp;F186&amp;G186</f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>DAY(D186)&amp;"/"&amp;"07"&amp;"/"&amp;YEAR(D186)</f>
        <v>21/07/2026</v>
      </c>
      <c r="M186" s="23">
        <f>E186-TIME(3,0,0)</f>
        <v>0.65625</v>
      </c>
      <c r="N186" t="str">
        <f>J186&amp;" - "&amp;K186</f>
        <v>2 - 6</v>
      </c>
      <c r="O186" t="str">
        <f>IF($J186&gt;$K186,"Green","Red")</f>
        <v>Red</v>
      </c>
      <c r="P186" t="str">
        <f>IF($J186=$K186,"Green","Red")</f>
        <v>Red</v>
      </c>
      <c r="Q186" t="str">
        <f>IF($J186&lt;$K186,"Green","Red")</f>
        <v>Green</v>
      </c>
      <c r="R186" t="str">
        <f>IF($J186&gt;=$K186,"Green","Red")</f>
        <v>Red</v>
      </c>
      <c r="S186" t="str">
        <f>IF($J186&lt;=$K186,"Green","Red")</f>
        <v>Green</v>
      </c>
      <c r="T186" t="str">
        <f>IF(OR($J186&gt;$K186,$J186&lt;$K186),"Green","Red")</f>
        <v>Green</v>
      </c>
      <c r="U186" t="str">
        <f>IF($H186&gt;$I186,"Green","Red")</f>
        <v>Red</v>
      </c>
      <c r="V186" t="str">
        <f>IF($H186=$I186,"Green","Red")</f>
        <v>Red</v>
      </c>
      <c r="W186" t="str">
        <f>IF($H186&lt;$I186,"Green","Red")</f>
        <v>Green</v>
      </c>
      <c r="X186" t="str">
        <f>IF($H186+$I186&gt;0,"Green","Red")</f>
        <v>Green</v>
      </c>
      <c r="Y186" t="str">
        <f>IF($J186+$K186&gt;1.5,"Green","Red")</f>
        <v>Green</v>
      </c>
      <c r="Z186" t="str">
        <f>IF($J186+$K186&gt;2.5,"Green","Red")</f>
        <v>Green</v>
      </c>
      <c r="AA186" t="str">
        <f>IF($J186+$K186&lt;2.5,"Green","Red")</f>
        <v>Red</v>
      </c>
      <c r="AB186" t="str">
        <f>IF($J186+$K186&lt;3.5,"Green","Red")</f>
        <v>Red</v>
      </c>
      <c r="AC186" t="str">
        <f>IF(AND($J186&gt;0,$K186&gt;0),"Green","Red")</f>
        <v>Green</v>
      </c>
      <c r="AD186" t="str">
        <f>IF(OR($J186=0,$K186=0),"Green","Red")</f>
        <v>Red</v>
      </c>
    </row>
    <row r="187" spans="1:30" x14ac:dyDescent="0.2">
      <c r="A187" t="str">
        <f>L187&amp;F187&amp;G187</f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>DAY(D187)&amp;"/"&amp;"07"&amp;"/"&amp;YEAR(D187)</f>
        <v>21/07/2026</v>
      </c>
      <c r="M187" s="23">
        <f>E187-TIME(3,0,0)</f>
        <v>0.65625</v>
      </c>
      <c r="N187" t="str">
        <f>J187&amp;" - "&amp;K187</f>
        <v>0 - 2</v>
      </c>
      <c r="O187" t="str">
        <f>IF($J187&gt;$K187,"Green","Red")</f>
        <v>Red</v>
      </c>
      <c r="P187" t="str">
        <f>IF($J187=$K187,"Green","Red")</f>
        <v>Red</v>
      </c>
      <c r="Q187" t="str">
        <f>IF($J187&lt;$K187,"Green","Red")</f>
        <v>Green</v>
      </c>
      <c r="R187" t="str">
        <f>IF($J187&gt;=$K187,"Green","Red")</f>
        <v>Red</v>
      </c>
      <c r="S187" t="str">
        <f>IF($J187&lt;=$K187,"Green","Red")</f>
        <v>Green</v>
      </c>
      <c r="T187" t="str">
        <f>IF(OR($J187&gt;$K187,$J187&lt;$K187),"Green","Red")</f>
        <v>Green</v>
      </c>
      <c r="U187" t="str">
        <f>IF($H187&gt;$I187,"Green","Red")</f>
        <v>Red</v>
      </c>
      <c r="V187" t="str">
        <f>IF($H187=$I187,"Green","Red")</f>
        <v>Green</v>
      </c>
      <c r="W187" t="str">
        <f>IF($H187&lt;$I187,"Green","Red")</f>
        <v>Red</v>
      </c>
      <c r="X187" t="str">
        <f>IF($H187+$I187&gt;0,"Green","Red")</f>
        <v>Red</v>
      </c>
      <c r="Y187" t="str">
        <f>IF($J187+$K187&gt;1.5,"Green","Red")</f>
        <v>Green</v>
      </c>
      <c r="Z187" t="str">
        <f>IF($J187+$K187&gt;2.5,"Green","Red")</f>
        <v>Red</v>
      </c>
      <c r="AA187" t="str">
        <f>IF($J187+$K187&lt;2.5,"Green","Red")</f>
        <v>Green</v>
      </c>
      <c r="AB187" t="str">
        <f>IF($J187+$K187&lt;3.5,"Green","Red")</f>
        <v>Green</v>
      </c>
      <c r="AC187" t="str">
        <f>IF(AND($J187&gt;0,$K187&gt;0),"Green","Red")</f>
        <v>Red</v>
      </c>
      <c r="AD187" t="str">
        <f>IF(OR($J187=0,$K187=0),"Green","Red")</f>
        <v>Green</v>
      </c>
    </row>
    <row r="188" spans="1:30" x14ac:dyDescent="0.2">
      <c r="A188" t="str">
        <f>L188&amp;F188&amp;G188</f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>DAY(D188)&amp;"/"&amp;"07"&amp;"/"&amp;YEAR(D188)</f>
        <v>21/07/2026</v>
      </c>
      <c r="M188" s="23">
        <f>E188-TIME(3,0,0)</f>
        <v>0.65625</v>
      </c>
      <c r="N188" t="str">
        <f>J188&amp;" - "&amp;K188</f>
        <v>6 - 0</v>
      </c>
      <c r="O188" t="str">
        <f>IF($J188&gt;$K188,"Green","Red")</f>
        <v>Green</v>
      </c>
      <c r="P188" t="str">
        <f>IF($J188=$K188,"Green","Red")</f>
        <v>Red</v>
      </c>
      <c r="Q188" t="str">
        <f>IF($J188&lt;$K188,"Green","Red")</f>
        <v>Red</v>
      </c>
      <c r="R188" t="str">
        <f>IF($J188&gt;=$K188,"Green","Red")</f>
        <v>Green</v>
      </c>
      <c r="S188" t="str">
        <f>IF($J188&lt;=$K188,"Green","Red")</f>
        <v>Red</v>
      </c>
      <c r="T188" t="str">
        <f>IF(OR($J188&gt;$K188,$J188&lt;$K188),"Green","Red")</f>
        <v>Green</v>
      </c>
      <c r="U188" t="str">
        <f>IF($H188&gt;$I188,"Green","Red")</f>
        <v>Green</v>
      </c>
      <c r="V188" t="str">
        <f>IF($H188=$I188,"Green","Red")</f>
        <v>Red</v>
      </c>
      <c r="W188" t="str">
        <f>IF($H188&lt;$I188,"Green","Red")</f>
        <v>Red</v>
      </c>
      <c r="X188" t="str">
        <f>IF($H188+$I188&gt;0,"Green","Red")</f>
        <v>Green</v>
      </c>
      <c r="Y188" t="str">
        <f>IF($J188+$K188&gt;1.5,"Green","Red")</f>
        <v>Green</v>
      </c>
      <c r="Z188" t="str">
        <f>IF($J188+$K188&gt;2.5,"Green","Red")</f>
        <v>Green</v>
      </c>
      <c r="AA188" t="str">
        <f>IF($J188+$K188&lt;2.5,"Green","Red")</f>
        <v>Red</v>
      </c>
      <c r="AB188" t="str">
        <f>IF($J188+$K188&lt;3.5,"Green","Red")</f>
        <v>Red</v>
      </c>
      <c r="AC188" t="str">
        <f>IF(AND($J188&gt;0,$K188&gt;0),"Green","Red")</f>
        <v>Red</v>
      </c>
      <c r="AD188" t="str">
        <f>IF(OR($J188=0,$K188=0),"Green","Red")</f>
        <v>Green</v>
      </c>
    </row>
    <row r="189" spans="1:30" x14ac:dyDescent="0.2">
      <c r="A189" t="str">
        <f>L189&amp;F189&amp;G189</f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>DAY(D189)&amp;"/"&amp;"07"&amp;"/"&amp;YEAR(D189)</f>
        <v>21/07/2026</v>
      </c>
      <c r="M189" s="23">
        <f>E189-TIME(3,0,0)</f>
        <v>0.65625</v>
      </c>
      <c r="N189" t="str">
        <f>J189&amp;" - "&amp;K189</f>
        <v>2 - 1</v>
      </c>
      <c r="O189" t="str">
        <f>IF($J189&gt;$K189,"Green","Red")</f>
        <v>Green</v>
      </c>
      <c r="P189" t="str">
        <f>IF($J189=$K189,"Green","Red")</f>
        <v>Red</v>
      </c>
      <c r="Q189" t="str">
        <f>IF($J189&lt;$K189,"Green","Red")</f>
        <v>Red</v>
      </c>
      <c r="R189" t="str">
        <f>IF($J189&gt;=$K189,"Green","Red")</f>
        <v>Green</v>
      </c>
      <c r="S189" t="str">
        <f>IF($J189&lt;=$K189,"Green","Red")</f>
        <v>Red</v>
      </c>
      <c r="T189" t="str">
        <f>IF(OR($J189&gt;$K189,$J189&lt;$K189),"Green","Red")</f>
        <v>Green</v>
      </c>
      <c r="U189" t="str">
        <f>IF($H189&gt;$I189,"Green","Red")</f>
        <v>Red</v>
      </c>
      <c r="V189" t="str">
        <f>IF($H189=$I189,"Green","Red")</f>
        <v>Green</v>
      </c>
      <c r="W189" t="str">
        <f>IF($H189&lt;$I189,"Green","Red")</f>
        <v>Red</v>
      </c>
      <c r="X189" t="str">
        <f>IF($H189+$I189&gt;0,"Green","Red")</f>
        <v>Red</v>
      </c>
      <c r="Y189" t="str">
        <f>IF($J189+$K189&gt;1.5,"Green","Red")</f>
        <v>Green</v>
      </c>
      <c r="Z189" t="str">
        <f>IF($J189+$K189&gt;2.5,"Green","Red")</f>
        <v>Green</v>
      </c>
      <c r="AA189" t="str">
        <f>IF($J189+$K189&lt;2.5,"Green","Red")</f>
        <v>Red</v>
      </c>
      <c r="AB189" t="str">
        <f>IF($J189+$K189&lt;3.5,"Green","Red")</f>
        <v>Green</v>
      </c>
      <c r="AC189" t="str">
        <f>IF(AND($J189&gt;0,$K189&gt;0),"Green","Red")</f>
        <v>Green</v>
      </c>
      <c r="AD189" t="str">
        <f>IF(OR($J189=0,$K189=0),"Green","Red")</f>
        <v>Red</v>
      </c>
    </row>
    <row r="190" spans="1:30" x14ac:dyDescent="0.2">
      <c r="A190" t="str">
        <f>L190&amp;F190&amp;G190</f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>DAY(D190)&amp;"/"&amp;"07"&amp;"/"&amp;YEAR(D190)</f>
        <v>21/07/2026</v>
      </c>
      <c r="M190" s="23">
        <f>E190-TIME(3,0,0)</f>
        <v>0.65625</v>
      </c>
      <c r="N190" t="str">
        <f>J190&amp;" - "&amp;K190</f>
        <v>0 - 0</v>
      </c>
      <c r="O190" t="str">
        <f>IF($J190&gt;$K190,"Green","Red")</f>
        <v>Red</v>
      </c>
      <c r="P190" t="str">
        <f>IF($J190=$K190,"Green","Red")</f>
        <v>Green</v>
      </c>
      <c r="Q190" t="str">
        <f>IF($J190&lt;$K190,"Green","Red")</f>
        <v>Red</v>
      </c>
      <c r="R190" t="str">
        <f>IF($J190&gt;=$K190,"Green","Red")</f>
        <v>Green</v>
      </c>
      <c r="S190" t="str">
        <f>IF($J190&lt;=$K190,"Green","Red")</f>
        <v>Green</v>
      </c>
      <c r="T190" t="str">
        <f>IF(OR($J190&gt;$K190,$J190&lt;$K190),"Green","Red")</f>
        <v>Red</v>
      </c>
      <c r="U190" t="str">
        <f>IF($H190&gt;$I190,"Green","Red")</f>
        <v>Red</v>
      </c>
      <c r="V190" t="str">
        <f>IF($H190=$I190,"Green","Red")</f>
        <v>Green</v>
      </c>
      <c r="W190" t="str">
        <f>IF($H190&lt;$I190,"Green","Red")</f>
        <v>Red</v>
      </c>
      <c r="X190" t="str">
        <f>IF($H190+$I190&gt;0,"Green","Red")</f>
        <v>Red</v>
      </c>
      <c r="Y190" t="str">
        <f>IF($J190+$K190&gt;1.5,"Green","Red")</f>
        <v>Red</v>
      </c>
      <c r="Z190" t="str">
        <f>IF($J190+$K190&gt;2.5,"Green","Red")</f>
        <v>Red</v>
      </c>
      <c r="AA190" t="str">
        <f>IF($J190+$K190&lt;2.5,"Green","Red")</f>
        <v>Green</v>
      </c>
      <c r="AB190" t="str">
        <f>IF($J190+$K190&lt;3.5,"Green","Red")</f>
        <v>Green</v>
      </c>
      <c r="AC190" t="str">
        <f>IF(AND($J190&gt;0,$K190&gt;0),"Green","Red")</f>
        <v>Red</v>
      </c>
      <c r="AD190" t="str">
        <f>IF(OR($J190=0,$K190=0),"Green","Red")</f>
        <v>Green</v>
      </c>
    </row>
    <row r="191" spans="1:30" x14ac:dyDescent="0.2">
      <c r="A191" t="str">
        <f>L191&amp;F191&amp;G191</f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>DAY(D191)&amp;"/"&amp;"07"&amp;"/"&amp;YEAR(D191)</f>
        <v>21/07/2026</v>
      </c>
      <c r="M191" s="23">
        <f>E191-TIME(3,0,0)</f>
        <v>0.65625</v>
      </c>
      <c r="N191" t="str">
        <f>J191&amp;" - "&amp;K191</f>
        <v>1 - 1</v>
      </c>
      <c r="O191" t="str">
        <f>IF($J191&gt;$K191,"Green","Red")</f>
        <v>Red</v>
      </c>
      <c r="P191" t="str">
        <f>IF($J191=$K191,"Green","Red")</f>
        <v>Green</v>
      </c>
      <c r="Q191" t="str">
        <f>IF($J191&lt;$K191,"Green","Red")</f>
        <v>Red</v>
      </c>
      <c r="R191" t="str">
        <f>IF($J191&gt;=$K191,"Green","Red")</f>
        <v>Green</v>
      </c>
      <c r="S191" t="str">
        <f>IF($J191&lt;=$K191,"Green","Red")</f>
        <v>Green</v>
      </c>
      <c r="T191" t="str">
        <f>IF(OR($J191&gt;$K191,$J191&lt;$K191),"Green","Red")</f>
        <v>Red</v>
      </c>
      <c r="U191" t="str">
        <f>IF($H191&gt;$I191,"Green","Red")</f>
        <v>Red</v>
      </c>
      <c r="V191" t="str">
        <f>IF($H191=$I191,"Green","Red")</f>
        <v>Green</v>
      </c>
      <c r="W191" t="str">
        <f>IF($H191&lt;$I191,"Green","Red")</f>
        <v>Red</v>
      </c>
      <c r="X191" t="str">
        <f>IF($H191+$I191&gt;0,"Green","Red")</f>
        <v>Green</v>
      </c>
      <c r="Y191" t="str">
        <f>IF($J191+$K191&gt;1.5,"Green","Red")</f>
        <v>Green</v>
      </c>
      <c r="Z191" t="str">
        <f>IF($J191+$K191&gt;2.5,"Green","Red")</f>
        <v>Red</v>
      </c>
      <c r="AA191" t="str">
        <f>IF($J191+$K191&lt;2.5,"Green","Red")</f>
        <v>Green</v>
      </c>
      <c r="AB191" t="str">
        <f>IF($J191+$K191&lt;3.5,"Green","Red")</f>
        <v>Green</v>
      </c>
      <c r="AC191" t="str">
        <f>IF(AND($J191&gt;0,$K191&gt;0),"Green","Red")</f>
        <v>Green</v>
      </c>
      <c r="AD191" t="str">
        <f>IF(OR($J191=0,$K191=0),"Green","Red")</f>
        <v>Red</v>
      </c>
    </row>
    <row r="192" spans="1:30" x14ac:dyDescent="0.2">
      <c r="A192" t="str">
        <f>L192&amp;F192&amp;G192</f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>DAY(D192)&amp;"/"&amp;"07"&amp;"/"&amp;YEAR(D192)</f>
        <v>21/07/2026</v>
      </c>
      <c r="M192" s="23">
        <f>E192-TIME(3,0,0)</f>
        <v>0.65625</v>
      </c>
      <c r="N192" t="str">
        <f>J192&amp;" - "&amp;K192</f>
        <v>2 - 3</v>
      </c>
      <c r="O192" t="str">
        <f>IF($J192&gt;$K192,"Green","Red")</f>
        <v>Red</v>
      </c>
      <c r="P192" t="str">
        <f>IF($J192=$K192,"Green","Red")</f>
        <v>Red</v>
      </c>
      <c r="Q192" t="str">
        <f>IF($J192&lt;$K192,"Green","Red")</f>
        <v>Green</v>
      </c>
      <c r="R192" t="str">
        <f>IF($J192&gt;=$K192,"Green","Red")</f>
        <v>Red</v>
      </c>
      <c r="S192" t="str">
        <f>IF($J192&lt;=$K192,"Green","Red")</f>
        <v>Green</v>
      </c>
      <c r="T192" t="str">
        <f>IF(OR($J192&gt;$K192,$J192&lt;$K192),"Green","Red")</f>
        <v>Green</v>
      </c>
      <c r="U192" t="str">
        <f>IF($H192&gt;$I192,"Green","Red")</f>
        <v>Red</v>
      </c>
      <c r="V192" t="str">
        <f>IF($H192=$I192,"Green","Red")</f>
        <v>Green</v>
      </c>
      <c r="W192" t="str">
        <f>IF($H192&lt;$I192,"Green","Red")</f>
        <v>Red</v>
      </c>
      <c r="X192" t="str">
        <f>IF($H192+$I192&gt;0,"Green","Red")</f>
        <v>Green</v>
      </c>
      <c r="Y192" t="str">
        <f>IF($J192+$K192&gt;1.5,"Green","Red")</f>
        <v>Green</v>
      </c>
      <c r="Z192" t="str">
        <f>IF($J192+$K192&gt;2.5,"Green","Red")</f>
        <v>Green</v>
      </c>
      <c r="AA192" t="str">
        <f>IF($J192+$K192&lt;2.5,"Green","Red")</f>
        <v>Red</v>
      </c>
      <c r="AB192" t="str">
        <f>IF($J192+$K192&lt;3.5,"Green","Red")</f>
        <v>Red</v>
      </c>
      <c r="AC192" t="str">
        <f>IF(AND($J192&gt;0,$K192&gt;0),"Green","Red")</f>
        <v>Green</v>
      </c>
      <c r="AD192" t="str">
        <f>IF(OR($J192=0,$K192=0),"Green","Red")</f>
        <v>Red</v>
      </c>
    </row>
    <row r="193" spans="1:30" x14ac:dyDescent="0.2">
      <c r="A193" t="str">
        <f>L193&amp;F193&amp;G193</f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>DAY(D193)&amp;"/"&amp;"07"&amp;"/"&amp;YEAR(D193)</f>
        <v>21/07/2026</v>
      </c>
      <c r="M193" s="23">
        <f>E193-TIME(3,0,0)</f>
        <v>0.65625</v>
      </c>
      <c r="N193" t="str">
        <f>J193&amp;" - "&amp;K193</f>
        <v>2 - 0</v>
      </c>
      <c r="O193" t="str">
        <f>IF($J193&gt;$K193,"Green","Red")</f>
        <v>Green</v>
      </c>
      <c r="P193" t="str">
        <f>IF($J193=$K193,"Green","Red")</f>
        <v>Red</v>
      </c>
      <c r="Q193" t="str">
        <f>IF($J193&lt;$K193,"Green","Red")</f>
        <v>Red</v>
      </c>
      <c r="R193" t="str">
        <f>IF($J193&gt;=$K193,"Green","Red")</f>
        <v>Green</v>
      </c>
      <c r="S193" t="str">
        <f>IF($J193&lt;=$K193,"Green","Red")</f>
        <v>Red</v>
      </c>
      <c r="T193" t="str">
        <f>IF(OR($J193&gt;$K193,$J193&lt;$K193),"Green","Red")</f>
        <v>Green</v>
      </c>
      <c r="U193" t="str">
        <f>IF($H193&gt;$I193,"Green","Red")</f>
        <v>Green</v>
      </c>
      <c r="V193" t="str">
        <f>IF($H193=$I193,"Green","Red")</f>
        <v>Red</v>
      </c>
      <c r="W193" t="str">
        <f>IF($H193&lt;$I193,"Green","Red")</f>
        <v>Red</v>
      </c>
      <c r="X193" t="str">
        <f>IF($H193+$I193&gt;0,"Green","Red")</f>
        <v>Green</v>
      </c>
      <c r="Y193" t="str">
        <f>IF($J193+$K193&gt;1.5,"Green","Red")</f>
        <v>Green</v>
      </c>
      <c r="Z193" t="str">
        <f>IF($J193+$K193&gt;2.5,"Green","Red")</f>
        <v>Red</v>
      </c>
      <c r="AA193" t="str">
        <f>IF($J193+$K193&lt;2.5,"Green","Red")</f>
        <v>Green</v>
      </c>
      <c r="AB193" t="str">
        <f>IF($J193+$K193&lt;3.5,"Green","Red")</f>
        <v>Green</v>
      </c>
      <c r="AC193" t="str">
        <f>IF(AND($J193&gt;0,$K193&gt;0),"Green","Red")</f>
        <v>Red</v>
      </c>
      <c r="AD193" t="str">
        <f>IF(OR($J193=0,$K193=0),"Green","Red")</f>
        <v>Green</v>
      </c>
    </row>
    <row r="194" spans="1:30" x14ac:dyDescent="0.2">
      <c r="A194" t="str">
        <f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>DAY(D194)&amp;"/"&amp;"07"&amp;"/"&amp;YEAR(D194)</f>
        <v>21/07/2026</v>
      </c>
      <c r="M194" s="23">
        <f>E194-TIME(3,0,0)</f>
        <v>0.65625</v>
      </c>
      <c r="N194" t="str">
        <f>J194&amp;" - "&amp;K194</f>
        <v>2 - 4</v>
      </c>
      <c r="O194" t="str">
        <f>IF($J194&gt;$K194,"Green","Red")</f>
        <v>Red</v>
      </c>
      <c r="P194" t="str">
        <f>IF($J194=$K194,"Green","Red")</f>
        <v>Red</v>
      </c>
      <c r="Q194" t="str">
        <f>IF($J194&lt;$K194,"Green","Red")</f>
        <v>Green</v>
      </c>
      <c r="R194" t="str">
        <f>IF($J194&gt;=$K194,"Green","Red")</f>
        <v>Red</v>
      </c>
      <c r="S194" t="str">
        <f>IF($J194&lt;=$K194,"Green","Red")</f>
        <v>Green</v>
      </c>
      <c r="T194" t="str">
        <f>IF(OR($J194&gt;$K194,$J194&lt;$K194),"Green","Red")</f>
        <v>Green</v>
      </c>
      <c r="U194" t="str">
        <f>IF($H194&gt;$I194,"Green","Red")</f>
        <v>Red</v>
      </c>
      <c r="V194" t="str">
        <f>IF($H194=$I194,"Green","Red")</f>
        <v>Red</v>
      </c>
      <c r="W194" t="str">
        <f>IF($H194&lt;$I194,"Green","Red")</f>
        <v>Green</v>
      </c>
      <c r="X194" t="str">
        <f>IF($H194+$I194&gt;0,"Green","Red")</f>
        <v>Green</v>
      </c>
      <c r="Y194" t="str">
        <f>IF($J194+$K194&gt;1.5,"Green","Red")</f>
        <v>Green</v>
      </c>
      <c r="Z194" t="str">
        <f>IF($J194+$K194&gt;2.5,"Green","Red")</f>
        <v>Green</v>
      </c>
      <c r="AA194" t="str">
        <f>IF($J194+$K194&lt;2.5,"Green","Red")</f>
        <v>Red</v>
      </c>
      <c r="AB194" t="str">
        <f>IF($J194+$K194&lt;3.5,"Green","Red")</f>
        <v>Red</v>
      </c>
      <c r="AC194" t="str">
        <f>IF(AND($J194&gt;0,$K194&gt;0),"Green","Red")</f>
        <v>Green</v>
      </c>
      <c r="AD194" t="str">
        <f>IF(OR($J194=0,$K194=0),"Green","Red")</f>
        <v>Red</v>
      </c>
    </row>
    <row r="195" spans="1:30" x14ac:dyDescent="0.2">
      <c r="A195" t="str">
        <f>L195&amp;F195&amp;G195</f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>DAY(D195)&amp;"/"&amp;"07"&amp;"/"&amp;YEAR(D195)</f>
        <v>21/07/2026</v>
      </c>
      <c r="M195" s="23">
        <f>E195-TIME(3,0,0)</f>
        <v>0.65625</v>
      </c>
      <c r="N195" t="str">
        <f>J195&amp;" - "&amp;K195</f>
        <v>0 - 3</v>
      </c>
      <c r="O195" t="str">
        <f>IF($J195&gt;$K195,"Green","Red")</f>
        <v>Red</v>
      </c>
      <c r="P195" t="str">
        <f>IF($J195=$K195,"Green","Red")</f>
        <v>Red</v>
      </c>
      <c r="Q195" t="str">
        <f>IF($J195&lt;$K195,"Green","Red")</f>
        <v>Green</v>
      </c>
      <c r="R195" t="str">
        <f>IF($J195&gt;=$K195,"Green","Red")</f>
        <v>Red</v>
      </c>
      <c r="S195" t="str">
        <f>IF($J195&lt;=$K195,"Green","Red")</f>
        <v>Green</v>
      </c>
      <c r="T195" t="str">
        <f>IF(OR($J195&gt;$K195,$J195&lt;$K195),"Green","Red")</f>
        <v>Green</v>
      </c>
      <c r="U195" t="str">
        <f>IF($H195&gt;$I195,"Green","Red")</f>
        <v>Red</v>
      </c>
      <c r="V195" t="str">
        <f>IF($H195=$I195,"Green","Red")</f>
        <v>Red</v>
      </c>
      <c r="W195" t="str">
        <f>IF($H195&lt;$I195,"Green","Red")</f>
        <v>Green</v>
      </c>
      <c r="X195" t="str">
        <f>IF($H195+$I195&gt;0,"Green","Red")</f>
        <v>Green</v>
      </c>
      <c r="Y195" t="str">
        <f>IF($J195+$K195&gt;1.5,"Green","Red")</f>
        <v>Green</v>
      </c>
      <c r="Z195" t="str">
        <f>IF($J195+$K195&gt;2.5,"Green","Red")</f>
        <v>Green</v>
      </c>
      <c r="AA195" t="str">
        <f>IF($J195+$K195&lt;2.5,"Green","Red")</f>
        <v>Red</v>
      </c>
      <c r="AB195" t="str">
        <f>IF($J195+$K195&lt;3.5,"Green","Red")</f>
        <v>Green</v>
      </c>
      <c r="AC195" t="str">
        <f>IF(AND($J195&gt;0,$K195&gt;0),"Green","Red")</f>
        <v>Red</v>
      </c>
      <c r="AD195" t="str">
        <f>IF(OR($J195=0,$K195=0),"Green","Red")</f>
        <v>Green</v>
      </c>
    </row>
    <row r="196" spans="1:30" x14ac:dyDescent="0.2">
      <c r="A196" t="str">
        <f>L196&amp;F196&amp;G196</f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>DAY(D196)&amp;"/"&amp;"07"&amp;"/"&amp;YEAR(D196)</f>
        <v>21/07/2026</v>
      </c>
      <c r="M196" s="23">
        <f>E196-TIME(3,0,0)</f>
        <v>0.65625</v>
      </c>
      <c r="N196" t="str">
        <f>J196&amp;" - "&amp;K196</f>
        <v>0 - 1</v>
      </c>
      <c r="O196" t="str">
        <f>IF($J196&gt;$K196,"Green","Red")</f>
        <v>Red</v>
      </c>
      <c r="P196" t="str">
        <f>IF($J196=$K196,"Green","Red")</f>
        <v>Red</v>
      </c>
      <c r="Q196" t="str">
        <f>IF($J196&lt;$K196,"Green","Red")</f>
        <v>Green</v>
      </c>
      <c r="R196" t="str">
        <f>IF($J196&gt;=$K196,"Green","Red")</f>
        <v>Red</v>
      </c>
      <c r="S196" t="str">
        <f>IF($J196&lt;=$K196,"Green","Red")</f>
        <v>Green</v>
      </c>
      <c r="T196" t="str">
        <f>IF(OR($J196&gt;$K196,$J196&lt;$K196),"Green","Red")</f>
        <v>Green</v>
      </c>
      <c r="U196" t="str">
        <f>IF($H196&gt;$I196,"Green","Red")</f>
        <v>Red</v>
      </c>
      <c r="V196" t="str">
        <f>IF($H196=$I196,"Green","Red")</f>
        <v>Green</v>
      </c>
      <c r="W196" t="str">
        <f>IF($H196&lt;$I196,"Green","Red")</f>
        <v>Red</v>
      </c>
      <c r="X196" t="str">
        <f>IF($H196+$I196&gt;0,"Green","Red")</f>
        <v>Red</v>
      </c>
      <c r="Y196" t="str">
        <f>IF($J196+$K196&gt;1.5,"Green","Red")</f>
        <v>Red</v>
      </c>
      <c r="Z196" t="str">
        <f>IF($J196+$K196&gt;2.5,"Green","Red")</f>
        <v>Red</v>
      </c>
      <c r="AA196" t="str">
        <f>IF($J196+$K196&lt;2.5,"Green","Red")</f>
        <v>Green</v>
      </c>
      <c r="AB196" t="str">
        <f>IF($J196+$K196&lt;3.5,"Green","Red")</f>
        <v>Green</v>
      </c>
      <c r="AC196" t="str">
        <f>IF(AND($J196&gt;0,$K196&gt;0),"Green","Red")</f>
        <v>Red</v>
      </c>
      <c r="AD196" t="str">
        <f>IF(OR($J196=0,$K196=0),"Green","Red")</f>
        <v>Green</v>
      </c>
    </row>
    <row r="197" spans="1:30" x14ac:dyDescent="0.2">
      <c r="A197" t="str">
        <f>L197&amp;F197&amp;G197</f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>DAY(D197)&amp;"/"&amp;"07"&amp;"/"&amp;YEAR(D197)</f>
        <v>21/07/2026</v>
      </c>
      <c r="M197" s="23">
        <f>E197-TIME(3,0,0)</f>
        <v>0.65625</v>
      </c>
      <c r="N197" t="str">
        <f>J197&amp;" - "&amp;K197</f>
        <v>2 - 1</v>
      </c>
      <c r="O197" t="str">
        <f>IF($J197&gt;$K197,"Green","Red")</f>
        <v>Green</v>
      </c>
      <c r="P197" t="str">
        <f>IF($J197=$K197,"Green","Red")</f>
        <v>Red</v>
      </c>
      <c r="Q197" t="str">
        <f>IF($J197&lt;$K197,"Green","Red")</f>
        <v>Red</v>
      </c>
      <c r="R197" t="str">
        <f>IF($J197&gt;=$K197,"Green","Red")</f>
        <v>Green</v>
      </c>
      <c r="S197" t="str">
        <f>IF($J197&lt;=$K197,"Green","Red")</f>
        <v>Red</v>
      </c>
      <c r="T197" t="str">
        <f>IF(OR($J197&gt;$K197,$J197&lt;$K197),"Green","Red")</f>
        <v>Green</v>
      </c>
      <c r="U197" t="str">
        <f>IF($H197&gt;$I197,"Green","Red")</f>
        <v>Green</v>
      </c>
      <c r="V197" t="str">
        <f>IF($H197=$I197,"Green","Red")</f>
        <v>Red</v>
      </c>
      <c r="W197" t="str">
        <f>IF($H197&lt;$I197,"Green","Red")</f>
        <v>Red</v>
      </c>
      <c r="X197" t="str">
        <f>IF($H197+$I197&gt;0,"Green","Red")</f>
        <v>Green</v>
      </c>
      <c r="Y197" t="str">
        <f>IF($J197+$K197&gt;1.5,"Green","Red")</f>
        <v>Green</v>
      </c>
      <c r="Z197" t="str">
        <f>IF($J197+$K197&gt;2.5,"Green","Red")</f>
        <v>Green</v>
      </c>
      <c r="AA197" t="str">
        <f>IF($J197+$K197&lt;2.5,"Green","Red")</f>
        <v>Red</v>
      </c>
      <c r="AB197" t="str">
        <f>IF($J197+$K197&lt;3.5,"Green","Red")</f>
        <v>Green</v>
      </c>
      <c r="AC197" t="str">
        <f>IF(AND($J197&gt;0,$K197&gt;0),"Green","Red")</f>
        <v>Green</v>
      </c>
      <c r="AD197" t="str">
        <f>IF(OR($J197=0,$K197=0),"Green","Red")</f>
        <v>Red</v>
      </c>
    </row>
    <row r="198" spans="1:30" x14ac:dyDescent="0.2">
      <c r="A198" t="str">
        <f>L198&amp;F198&amp;G198</f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>DAY(D198)&amp;"/"&amp;"07"&amp;"/"&amp;YEAR(D198)</f>
        <v>21/07/2026</v>
      </c>
      <c r="M198" s="23">
        <f>E198-TIME(3,0,0)</f>
        <v>0.65625</v>
      </c>
      <c r="N198" t="str">
        <f>J198&amp;" - "&amp;K198</f>
        <v>2 - 1</v>
      </c>
      <c r="O198" t="str">
        <f>IF($J198&gt;$K198,"Green","Red")</f>
        <v>Green</v>
      </c>
      <c r="P198" t="str">
        <f>IF($J198=$K198,"Green","Red")</f>
        <v>Red</v>
      </c>
      <c r="Q198" t="str">
        <f>IF($J198&lt;$K198,"Green","Red")</f>
        <v>Red</v>
      </c>
      <c r="R198" t="str">
        <f>IF($J198&gt;=$K198,"Green","Red")</f>
        <v>Green</v>
      </c>
      <c r="S198" t="str">
        <f>IF($J198&lt;=$K198,"Green","Red")</f>
        <v>Red</v>
      </c>
      <c r="T198" t="str">
        <f>IF(OR($J198&gt;$K198,$J198&lt;$K198),"Green","Red")</f>
        <v>Green</v>
      </c>
      <c r="U198" t="str">
        <f>IF($H198&gt;$I198,"Green","Red")</f>
        <v>Green</v>
      </c>
      <c r="V198" t="str">
        <f>IF($H198=$I198,"Green","Red")</f>
        <v>Red</v>
      </c>
      <c r="W198" t="str">
        <f>IF($H198&lt;$I198,"Green","Red")</f>
        <v>Red</v>
      </c>
      <c r="X198" t="str">
        <f>IF($H198+$I198&gt;0,"Green","Red")</f>
        <v>Green</v>
      </c>
      <c r="Y198" t="str">
        <f>IF($J198+$K198&gt;1.5,"Green","Red")</f>
        <v>Green</v>
      </c>
      <c r="Z198" t="str">
        <f>IF($J198+$K198&gt;2.5,"Green","Red")</f>
        <v>Green</v>
      </c>
      <c r="AA198" t="str">
        <f>IF($J198+$K198&lt;2.5,"Green","Red")</f>
        <v>Red</v>
      </c>
      <c r="AB198" t="str">
        <f>IF($J198+$K198&lt;3.5,"Green","Red")</f>
        <v>Green</v>
      </c>
      <c r="AC198" t="str">
        <f>IF(AND($J198&gt;0,$K198&gt;0),"Green","Red")</f>
        <v>Green</v>
      </c>
      <c r="AD198" t="str">
        <f>IF(OR($J198=0,$K198=0),"Green","Red")</f>
        <v>Red</v>
      </c>
    </row>
    <row r="199" spans="1:30" x14ac:dyDescent="0.2">
      <c r="A199" t="str">
        <f>L199&amp;F199&amp;G199</f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>DAY(D199)&amp;"/"&amp;"07"&amp;"/"&amp;YEAR(D199)</f>
        <v>21/07/2026</v>
      </c>
      <c r="M199" s="23">
        <f>E199-TIME(3,0,0)</f>
        <v>0.65625</v>
      </c>
      <c r="N199" t="str">
        <f>J199&amp;" - "&amp;K199</f>
        <v>2 - 3</v>
      </c>
      <c r="O199" t="str">
        <f>IF($J199&gt;$K199,"Green","Red")</f>
        <v>Red</v>
      </c>
      <c r="P199" t="str">
        <f>IF($J199=$K199,"Green","Red")</f>
        <v>Red</v>
      </c>
      <c r="Q199" t="str">
        <f>IF($J199&lt;$K199,"Green","Red")</f>
        <v>Green</v>
      </c>
      <c r="R199" t="str">
        <f>IF($J199&gt;=$K199,"Green","Red")</f>
        <v>Red</v>
      </c>
      <c r="S199" t="str">
        <f>IF($J199&lt;=$K199,"Green","Red")</f>
        <v>Green</v>
      </c>
      <c r="T199" t="str">
        <f>IF(OR($J199&gt;$K199,$J199&lt;$K199),"Green","Red")</f>
        <v>Green</v>
      </c>
      <c r="U199" t="str">
        <f>IF($H199&gt;$I199,"Green","Red")</f>
        <v>Red</v>
      </c>
      <c r="V199" t="str">
        <f>IF($H199=$I199,"Green","Red")</f>
        <v>Red</v>
      </c>
      <c r="W199" t="str">
        <f>IF($H199&lt;$I199,"Green","Red")</f>
        <v>Green</v>
      </c>
      <c r="X199" t="str">
        <f>IF($H199+$I199&gt;0,"Green","Red")</f>
        <v>Green</v>
      </c>
      <c r="Y199" t="str">
        <f>IF($J199+$K199&gt;1.5,"Green","Red")</f>
        <v>Green</v>
      </c>
      <c r="Z199" t="str">
        <f>IF($J199+$K199&gt;2.5,"Green","Red")</f>
        <v>Green</v>
      </c>
      <c r="AA199" t="str">
        <f>IF($J199+$K199&lt;2.5,"Green","Red")</f>
        <v>Red</v>
      </c>
      <c r="AB199" t="str">
        <f>IF($J199+$K199&lt;3.5,"Green","Red")</f>
        <v>Red</v>
      </c>
      <c r="AC199" t="str">
        <f>IF(AND($J199&gt;0,$K199&gt;0),"Green","Red")</f>
        <v>Green</v>
      </c>
      <c r="AD199" t="str">
        <f>IF(OR($J199=0,$K199=0),"Green","Red")</f>
        <v>Red</v>
      </c>
    </row>
    <row r="200" spans="1:30" x14ac:dyDescent="0.2">
      <c r="A200" t="str">
        <f>L200&amp;F200&amp;G200</f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>DAY(D200)&amp;"/"&amp;"07"&amp;"/"&amp;YEAR(D200)</f>
        <v>21/07/2026</v>
      </c>
      <c r="M200" s="23">
        <f>E200-TIME(3,0,0)</f>
        <v>0.65625</v>
      </c>
      <c r="N200" t="str">
        <f>J200&amp;" - "&amp;K200</f>
        <v>1 - 5</v>
      </c>
      <c r="O200" t="str">
        <f>IF($J200&gt;$K200,"Green","Red")</f>
        <v>Red</v>
      </c>
      <c r="P200" t="str">
        <f>IF($J200=$K200,"Green","Red")</f>
        <v>Red</v>
      </c>
      <c r="Q200" t="str">
        <f>IF($J200&lt;$K200,"Green","Red")</f>
        <v>Green</v>
      </c>
      <c r="R200" t="str">
        <f>IF($J200&gt;=$K200,"Green","Red")</f>
        <v>Red</v>
      </c>
      <c r="S200" t="str">
        <f>IF($J200&lt;=$K200,"Green","Red")</f>
        <v>Green</v>
      </c>
      <c r="T200" t="str">
        <f>IF(OR($J200&gt;$K200,$J200&lt;$K200),"Green","Red")</f>
        <v>Green</v>
      </c>
      <c r="U200" t="str">
        <f>IF($H200&gt;$I200,"Green","Red")</f>
        <v>Red</v>
      </c>
      <c r="V200" t="str">
        <f>IF($H200=$I200,"Green","Red")</f>
        <v>Red</v>
      </c>
      <c r="W200" t="str">
        <f>IF($H200&lt;$I200,"Green","Red")</f>
        <v>Green</v>
      </c>
      <c r="X200" t="str">
        <f>IF($H200+$I200&gt;0,"Green","Red")</f>
        <v>Green</v>
      </c>
      <c r="Y200" t="str">
        <f>IF($J200+$K200&gt;1.5,"Green","Red")</f>
        <v>Green</v>
      </c>
      <c r="Z200" t="str">
        <f>IF($J200+$K200&gt;2.5,"Green","Red")</f>
        <v>Green</v>
      </c>
      <c r="AA200" t="str">
        <f>IF($J200+$K200&lt;2.5,"Green","Red")</f>
        <v>Red</v>
      </c>
      <c r="AB200" t="str">
        <f>IF($J200+$K200&lt;3.5,"Green","Red")</f>
        <v>Red</v>
      </c>
      <c r="AC200" t="str">
        <f>IF(AND($J200&gt;0,$K200&gt;0),"Green","Red")</f>
        <v>Green</v>
      </c>
      <c r="AD200" t="str">
        <f>IF(OR($J200=0,$K200=0),"Green","Red")</f>
        <v>Red</v>
      </c>
    </row>
    <row r="201" spans="1:30" x14ac:dyDescent="0.2">
      <c r="A201" t="str">
        <f>L201&amp;F201&amp;G201</f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>DAY(D201)&amp;"/"&amp;"07"&amp;"/"&amp;YEAR(D201)</f>
        <v>21/07/2026</v>
      </c>
      <c r="M201" s="23">
        <f>E201-TIME(3,0,0)</f>
        <v>0.65625</v>
      </c>
      <c r="N201" t="str">
        <f>J201&amp;" - "&amp;K201</f>
        <v>3 - 1</v>
      </c>
      <c r="O201" t="str">
        <f>IF($J201&gt;$K201,"Green","Red")</f>
        <v>Green</v>
      </c>
      <c r="P201" t="str">
        <f>IF($J201=$K201,"Green","Red")</f>
        <v>Red</v>
      </c>
      <c r="Q201" t="str">
        <f>IF($J201&lt;$K201,"Green","Red")</f>
        <v>Red</v>
      </c>
      <c r="R201" t="str">
        <f>IF($J201&gt;=$K201,"Green","Red")</f>
        <v>Green</v>
      </c>
      <c r="S201" t="str">
        <f>IF($J201&lt;=$K201,"Green","Red")</f>
        <v>Red</v>
      </c>
      <c r="T201" t="str">
        <f>IF(OR($J201&gt;$K201,$J201&lt;$K201),"Green","Red")</f>
        <v>Green</v>
      </c>
      <c r="U201" t="str">
        <f>IF($H201&gt;$I201,"Green","Red")</f>
        <v>Green</v>
      </c>
      <c r="V201" t="str">
        <f>IF($H201=$I201,"Green","Red")</f>
        <v>Red</v>
      </c>
      <c r="W201" t="str">
        <f>IF($H201&lt;$I201,"Green","Red")</f>
        <v>Red</v>
      </c>
      <c r="X201" t="str">
        <f>IF($H201+$I201&gt;0,"Green","Red")</f>
        <v>Green</v>
      </c>
      <c r="Y201" t="str">
        <f>IF($J201+$K201&gt;1.5,"Green","Red")</f>
        <v>Green</v>
      </c>
      <c r="Z201" t="str">
        <f>IF($J201+$K201&gt;2.5,"Green","Red")</f>
        <v>Green</v>
      </c>
      <c r="AA201" t="str">
        <f>IF($J201+$K201&lt;2.5,"Green","Red")</f>
        <v>Red</v>
      </c>
      <c r="AB201" t="str">
        <f>IF($J201+$K201&lt;3.5,"Green","Red")</f>
        <v>Red</v>
      </c>
      <c r="AC201" t="str">
        <f>IF(AND($J201&gt;0,$K201&gt;0),"Green","Red")</f>
        <v>Green</v>
      </c>
      <c r="AD201" t="str">
        <f>IF(OR($J201=0,$K201=0),"Green","Red")</f>
        <v>Red</v>
      </c>
    </row>
    <row r="202" spans="1:30" x14ac:dyDescent="0.2">
      <c r="A202" t="str">
        <f>L202&amp;F202&amp;G202</f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>DAY(D202)&amp;"/"&amp;"07"&amp;"/"&amp;YEAR(D202)</f>
        <v>21/07/2026</v>
      </c>
      <c r="M202" s="23">
        <f>E202-TIME(3,0,0)</f>
        <v>0.65625</v>
      </c>
      <c r="N202" t="str">
        <f>J202&amp;" - "&amp;K202</f>
        <v>1 - 1</v>
      </c>
      <c r="O202" t="str">
        <f>IF($J202&gt;$K202,"Green","Red")</f>
        <v>Red</v>
      </c>
      <c r="P202" t="str">
        <f>IF($J202=$K202,"Green","Red")</f>
        <v>Green</v>
      </c>
      <c r="Q202" t="str">
        <f>IF($J202&lt;$K202,"Green","Red")</f>
        <v>Red</v>
      </c>
      <c r="R202" t="str">
        <f>IF($J202&gt;=$K202,"Green","Red")</f>
        <v>Green</v>
      </c>
      <c r="S202" t="str">
        <f>IF($J202&lt;=$K202,"Green","Red")</f>
        <v>Green</v>
      </c>
      <c r="T202" t="str">
        <f>IF(OR($J202&gt;$K202,$J202&lt;$K202),"Green","Red")</f>
        <v>Red</v>
      </c>
      <c r="U202" t="str">
        <f>IF($H202&gt;$I202,"Green","Red")</f>
        <v>Red</v>
      </c>
      <c r="V202" t="str">
        <f>IF($H202=$I202,"Green","Red")</f>
        <v>Green</v>
      </c>
      <c r="W202" t="str">
        <f>IF($H202&lt;$I202,"Green","Red")</f>
        <v>Red</v>
      </c>
      <c r="X202" t="str">
        <f>IF($H202+$I202&gt;0,"Green","Red")</f>
        <v>Red</v>
      </c>
      <c r="Y202" t="str">
        <f>IF($J202+$K202&gt;1.5,"Green","Red")</f>
        <v>Green</v>
      </c>
      <c r="Z202" t="str">
        <f>IF($J202+$K202&gt;2.5,"Green","Red")</f>
        <v>Red</v>
      </c>
      <c r="AA202" t="str">
        <f>IF($J202+$K202&lt;2.5,"Green","Red")</f>
        <v>Green</v>
      </c>
      <c r="AB202" t="str">
        <f>IF($J202+$K202&lt;3.5,"Green","Red")</f>
        <v>Green</v>
      </c>
      <c r="AC202" t="str">
        <f>IF(AND($J202&gt;0,$K202&gt;0),"Green","Red")</f>
        <v>Green</v>
      </c>
      <c r="AD202" t="str">
        <f>IF(OR($J202=0,$K202=0),"Green","Red")</f>
        <v>Red</v>
      </c>
    </row>
    <row r="203" spans="1:30" x14ac:dyDescent="0.2">
      <c r="A203" t="str">
        <f>L203&amp;F203&amp;G203</f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>DAY(D203)&amp;"/"&amp;"07"&amp;"/"&amp;YEAR(D203)</f>
        <v>21/07/2026</v>
      </c>
      <c r="M203" s="23">
        <f>E203-TIME(3,0,0)</f>
        <v>0.65625</v>
      </c>
      <c r="N203" t="str">
        <f>J203&amp;" - "&amp;K203</f>
        <v>1 - 1</v>
      </c>
      <c r="O203" t="str">
        <f>IF($J203&gt;$K203,"Green","Red")</f>
        <v>Red</v>
      </c>
      <c r="P203" t="str">
        <f>IF($J203=$K203,"Green","Red")</f>
        <v>Green</v>
      </c>
      <c r="Q203" t="str">
        <f>IF($J203&lt;$K203,"Green","Red")</f>
        <v>Red</v>
      </c>
      <c r="R203" t="str">
        <f>IF($J203&gt;=$K203,"Green","Red")</f>
        <v>Green</v>
      </c>
      <c r="S203" t="str">
        <f>IF($J203&lt;=$K203,"Green","Red")</f>
        <v>Green</v>
      </c>
      <c r="T203" t="str">
        <f>IF(OR($J203&gt;$K203,$J203&lt;$K203),"Green","Red")</f>
        <v>Red</v>
      </c>
      <c r="U203" t="str">
        <f>IF($H203&gt;$I203,"Green","Red")</f>
        <v>Green</v>
      </c>
      <c r="V203" t="str">
        <f>IF($H203=$I203,"Green","Red")</f>
        <v>Red</v>
      </c>
      <c r="W203" t="str">
        <f>IF($H203&lt;$I203,"Green","Red")</f>
        <v>Red</v>
      </c>
      <c r="X203" t="str">
        <f>IF($H203+$I203&gt;0,"Green","Red")</f>
        <v>Green</v>
      </c>
      <c r="Y203" t="str">
        <f>IF($J203+$K203&gt;1.5,"Green","Red")</f>
        <v>Green</v>
      </c>
      <c r="Z203" t="str">
        <f>IF($J203+$K203&gt;2.5,"Green","Red")</f>
        <v>Red</v>
      </c>
      <c r="AA203" t="str">
        <f>IF($J203+$K203&lt;2.5,"Green","Red")</f>
        <v>Green</v>
      </c>
      <c r="AB203" t="str">
        <f>IF($J203+$K203&lt;3.5,"Green","Red")</f>
        <v>Green</v>
      </c>
      <c r="AC203" t="str">
        <f>IF(AND($J203&gt;0,$K203&gt;0),"Green","Red")</f>
        <v>Green</v>
      </c>
      <c r="AD203" t="str">
        <f>IF(OR($J203=0,$K203=0),"Green","Red")</f>
        <v>Red</v>
      </c>
    </row>
    <row r="204" spans="1:30" x14ac:dyDescent="0.2">
      <c r="A204" t="str">
        <f>L204&amp;F204&amp;G204</f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>DAY(D204)&amp;"/"&amp;"07"&amp;"/"&amp;YEAR(D204)</f>
        <v>21/07/2026</v>
      </c>
      <c r="M204" s="23">
        <f>E204-TIME(3,0,0)</f>
        <v>0.65625</v>
      </c>
      <c r="N204" t="str">
        <f>J204&amp;" - "&amp;K204</f>
        <v>1 - 4</v>
      </c>
      <c r="O204" t="str">
        <f>IF($J204&gt;$K204,"Green","Red")</f>
        <v>Red</v>
      </c>
      <c r="P204" t="str">
        <f>IF($J204=$K204,"Green","Red")</f>
        <v>Red</v>
      </c>
      <c r="Q204" t="str">
        <f>IF($J204&lt;$K204,"Green","Red")</f>
        <v>Green</v>
      </c>
      <c r="R204" t="str">
        <f>IF($J204&gt;=$K204,"Green","Red")</f>
        <v>Red</v>
      </c>
      <c r="S204" t="str">
        <f>IF($J204&lt;=$K204,"Green","Red")</f>
        <v>Green</v>
      </c>
      <c r="T204" t="str">
        <f>IF(OR($J204&gt;$K204,$J204&lt;$K204),"Green","Red")</f>
        <v>Green</v>
      </c>
      <c r="U204" t="str">
        <f>IF($H204&gt;$I204,"Green","Red")</f>
        <v>Red</v>
      </c>
      <c r="V204" t="str">
        <f>IF($H204=$I204,"Green","Red")</f>
        <v>Red</v>
      </c>
      <c r="W204" t="str">
        <f>IF($H204&lt;$I204,"Green","Red")</f>
        <v>Green</v>
      </c>
      <c r="X204" t="str">
        <f>IF($H204+$I204&gt;0,"Green","Red")</f>
        <v>Green</v>
      </c>
      <c r="Y204" t="str">
        <f>IF($J204+$K204&gt;1.5,"Green","Red")</f>
        <v>Green</v>
      </c>
      <c r="Z204" t="str">
        <f>IF($J204+$K204&gt;2.5,"Green","Red")</f>
        <v>Green</v>
      </c>
      <c r="AA204" t="str">
        <f>IF($J204+$K204&lt;2.5,"Green","Red")</f>
        <v>Red</v>
      </c>
      <c r="AB204" t="str">
        <f>IF($J204+$K204&lt;3.5,"Green","Red")</f>
        <v>Red</v>
      </c>
      <c r="AC204" t="str">
        <f>IF(AND($J204&gt;0,$K204&gt;0),"Green","Red")</f>
        <v>Green</v>
      </c>
      <c r="AD204" t="str">
        <f>IF(OR($J204=0,$K204=0),"Green","Red")</f>
        <v>Red</v>
      </c>
    </row>
    <row r="205" spans="1:30" x14ac:dyDescent="0.2">
      <c r="A205" t="str">
        <f>L205&amp;F205&amp;G205</f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>DAY(D205)&amp;"/"&amp;"07"&amp;"/"&amp;YEAR(D205)</f>
        <v>21/07/2026</v>
      </c>
      <c r="M205" s="23">
        <f>E205-TIME(3,0,0)</f>
        <v>0.65625</v>
      </c>
      <c r="N205" t="str">
        <f>J205&amp;" - "&amp;K205</f>
        <v>3 - 1</v>
      </c>
      <c r="O205" t="str">
        <f>IF($J205&gt;$K205,"Green","Red")</f>
        <v>Green</v>
      </c>
      <c r="P205" t="str">
        <f>IF($J205=$K205,"Green","Red")</f>
        <v>Red</v>
      </c>
      <c r="Q205" t="str">
        <f>IF($J205&lt;$K205,"Green","Red")</f>
        <v>Red</v>
      </c>
      <c r="R205" t="str">
        <f>IF($J205&gt;=$K205,"Green","Red")</f>
        <v>Green</v>
      </c>
      <c r="S205" t="str">
        <f>IF($J205&lt;=$K205,"Green","Red")</f>
        <v>Red</v>
      </c>
      <c r="T205" t="str">
        <f>IF(OR($J205&gt;$K205,$J205&lt;$K205),"Green","Red")</f>
        <v>Green</v>
      </c>
      <c r="U205" t="str">
        <f>IF($H205&gt;$I205,"Green","Red")</f>
        <v>Red</v>
      </c>
      <c r="V205" t="str">
        <f>IF($H205=$I205,"Green","Red")</f>
        <v>Green</v>
      </c>
      <c r="W205" t="str">
        <f>IF($H205&lt;$I205,"Green","Red")</f>
        <v>Red</v>
      </c>
      <c r="X205" t="str">
        <f>IF($H205+$I205&gt;0,"Green","Red")</f>
        <v>Red</v>
      </c>
      <c r="Y205" t="str">
        <f>IF($J205+$K205&gt;1.5,"Green","Red")</f>
        <v>Green</v>
      </c>
      <c r="Z205" t="str">
        <f>IF($J205+$K205&gt;2.5,"Green","Red")</f>
        <v>Green</v>
      </c>
      <c r="AA205" t="str">
        <f>IF($J205+$K205&lt;2.5,"Green","Red")</f>
        <v>Red</v>
      </c>
      <c r="AB205" t="str">
        <f>IF($J205+$K205&lt;3.5,"Green","Red")</f>
        <v>Red</v>
      </c>
      <c r="AC205" t="str">
        <f>IF(AND($J205&gt;0,$K205&gt;0),"Green","Red")</f>
        <v>Green</v>
      </c>
      <c r="AD205" t="str">
        <f>IF(OR($J205=0,$K205=0),"Green","Red")</f>
        <v>Red</v>
      </c>
    </row>
    <row r="206" spans="1:30" x14ac:dyDescent="0.2">
      <c r="A206" t="str">
        <f>L206&amp;F206&amp;G206</f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>DAY(D206)&amp;"/"&amp;"07"&amp;"/"&amp;YEAR(D206)</f>
        <v>21/07/2026</v>
      </c>
      <c r="M206" s="23">
        <f>E206-TIME(3,0,0)</f>
        <v>0.65625</v>
      </c>
      <c r="N206" t="str">
        <f>J206&amp;" - "&amp;K206</f>
        <v>2 - 1</v>
      </c>
      <c r="O206" t="str">
        <f>IF($J206&gt;$K206,"Green","Red")</f>
        <v>Green</v>
      </c>
      <c r="P206" t="str">
        <f>IF($J206=$K206,"Green","Red")</f>
        <v>Red</v>
      </c>
      <c r="Q206" t="str">
        <f>IF($J206&lt;$K206,"Green","Red")</f>
        <v>Red</v>
      </c>
      <c r="R206" t="str">
        <f>IF($J206&gt;=$K206,"Green","Red")</f>
        <v>Green</v>
      </c>
      <c r="S206" t="str">
        <f>IF($J206&lt;=$K206,"Green","Red")</f>
        <v>Red</v>
      </c>
      <c r="T206" t="str">
        <f>IF(OR($J206&gt;$K206,$J206&lt;$K206),"Green","Red")</f>
        <v>Green</v>
      </c>
      <c r="U206" t="str">
        <f>IF($H206&gt;$I206,"Green","Red")</f>
        <v>Green</v>
      </c>
      <c r="V206" t="str">
        <f>IF($H206=$I206,"Green","Red")</f>
        <v>Red</v>
      </c>
      <c r="W206" t="str">
        <f>IF($H206&lt;$I206,"Green","Red")</f>
        <v>Red</v>
      </c>
      <c r="X206" t="str">
        <f>IF($H206+$I206&gt;0,"Green","Red")</f>
        <v>Green</v>
      </c>
      <c r="Y206" t="str">
        <f>IF($J206+$K206&gt;1.5,"Green","Red")</f>
        <v>Green</v>
      </c>
      <c r="Z206" t="str">
        <f>IF($J206+$K206&gt;2.5,"Green","Red")</f>
        <v>Green</v>
      </c>
      <c r="AA206" t="str">
        <f>IF($J206+$K206&lt;2.5,"Green","Red")</f>
        <v>Red</v>
      </c>
      <c r="AB206" t="str">
        <f>IF($J206+$K206&lt;3.5,"Green","Red")</f>
        <v>Green</v>
      </c>
      <c r="AC206" t="str">
        <f>IF(AND($J206&gt;0,$K206&gt;0),"Green","Red")</f>
        <v>Green</v>
      </c>
      <c r="AD206" t="str">
        <f>IF(OR($J206=0,$K206=0),"Green","Red")</f>
        <v>Red</v>
      </c>
    </row>
    <row r="207" spans="1:30" x14ac:dyDescent="0.2">
      <c r="A207" t="str">
        <f>L207&amp;F207&amp;G207</f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>DAY(D207)&amp;"/"&amp;"07"&amp;"/"&amp;YEAR(D207)</f>
        <v>21/07/2026</v>
      </c>
      <c r="M207" s="23">
        <f>E207-TIME(3,0,0)</f>
        <v>0.65625</v>
      </c>
      <c r="N207" t="str">
        <f>J207&amp;" - "&amp;K207</f>
        <v>4 - 2</v>
      </c>
      <c r="O207" t="str">
        <f>IF($J207&gt;$K207,"Green","Red")</f>
        <v>Green</v>
      </c>
      <c r="P207" t="str">
        <f>IF($J207=$K207,"Green","Red")</f>
        <v>Red</v>
      </c>
      <c r="Q207" t="str">
        <f>IF($J207&lt;$K207,"Green","Red")</f>
        <v>Red</v>
      </c>
      <c r="R207" t="str">
        <f>IF($J207&gt;=$K207,"Green","Red")</f>
        <v>Green</v>
      </c>
      <c r="S207" t="str">
        <f>IF($J207&lt;=$K207,"Green","Red")</f>
        <v>Red</v>
      </c>
      <c r="T207" t="str">
        <f>IF(OR($J207&gt;$K207,$J207&lt;$K207),"Green","Red")</f>
        <v>Green</v>
      </c>
      <c r="U207" t="str">
        <f>IF($H207&gt;$I207,"Green","Red")</f>
        <v>Red</v>
      </c>
      <c r="V207" t="str">
        <f>IF($H207=$I207,"Green","Red")</f>
        <v>Red</v>
      </c>
      <c r="W207" t="str">
        <f>IF($H207&lt;$I207,"Green","Red")</f>
        <v>Green</v>
      </c>
      <c r="X207" t="str">
        <f>IF($H207+$I207&gt;0,"Green","Red")</f>
        <v>Green</v>
      </c>
      <c r="Y207" t="str">
        <f>IF($J207+$K207&gt;1.5,"Green","Red")</f>
        <v>Green</v>
      </c>
      <c r="Z207" t="str">
        <f>IF($J207+$K207&gt;2.5,"Green","Red")</f>
        <v>Green</v>
      </c>
      <c r="AA207" t="str">
        <f>IF($J207+$K207&lt;2.5,"Green","Red")</f>
        <v>Red</v>
      </c>
      <c r="AB207" t="str">
        <f>IF($J207+$K207&lt;3.5,"Green","Red")</f>
        <v>Red</v>
      </c>
      <c r="AC207" t="str">
        <f>IF(AND($J207&gt;0,$K207&gt;0),"Green","Red")</f>
        <v>Green</v>
      </c>
      <c r="AD207" t="str">
        <f>IF(OR($J207=0,$K207=0),"Green","Red")</f>
        <v>Red</v>
      </c>
    </row>
    <row r="208" spans="1:30" x14ac:dyDescent="0.2">
      <c r="A208" t="str">
        <f>L208&amp;F208&amp;G208</f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>DAY(D208)&amp;"/"&amp;"07"&amp;"/"&amp;YEAR(D208)</f>
        <v>21/07/2026</v>
      </c>
      <c r="M208" s="23">
        <f>E208-TIME(3,0,0)</f>
        <v>0.65625</v>
      </c>
      <c r="N208" t="str">
        <f>J208&amp;" - "&amp;K208</f>
        <v>4 - 0</v>
      </c>
      <c r="O208" t="str">
        <f>IF($J208&gt;$K208,"Green","Red")</f>
        <v>Green</v>
      </c>
      <c r="P208" t="str">
        <f>IF($J208=$K208,"Green","Red")</f>
        <v>Red</v>
      </c>
      <c r="Q208" t="str">
        <f>IF($J208&lt;$K208,"Green","Red")</f>
        <v>Red</v>
      </c>
      <c r="R208" t="str">
        <f>IF($J208&gt;=$K208,"Green","Red")</f>
        <v>Green</v>
      </c>
      <c r="S208" t="str">
        <f>IF($J208&lt;=$K208,"Green","Red")</f>
        <v>Red</v>
      </c>
      <c r="T208" t="str">
        <f>IF(OR($J208&gt;$K208,$J208&lt;$K208),"Green","Red")</f>
        <v>Green</v>
      </c>
      <c r="U208" t="str">
        <f>IF($H208&gt;$I208,"Green","Red")</f>
        <v>Green</v>
      </c>
      <c r="V208" t="str">
        <f>IF($H208=$I208,"Green","Red")</f>
        <v>Red</v>
      </c>
      <c r="W208" t="str">
        <f>IF($H208&lt;$I208,"Green","Red")</f>
        <v>Red</v>
      </c>
      <c r="X208" t="str">
        <f>IF($H208+$I208&gt;0,"Green","Red")</f>
        <v>Green</v>
      </c>
      <c r="Y208" t="str">
        <f>IF($J208+$K208&gt;1.5,"Green","Red")</f>
        <v>Green</v>
      </c>
      <c r="Z208" t="str">
        <f>IF($J208+$K208&gt;2.5,"Green","Red")</f>
        <v>Green</v>
      </c>
      <c r="AA208" t="str">
        <f>IF($J208+$K208&lt;2.5,"Green","Red")</f>
        <v>Red</v>
      </c>
      <c r="AB208" t="str">
        <f>IF($J208+$K208&lt;3.5,"Green","Red")</f>
        <v>Red</v>
      </c>
      <c r="AC208" t="str">
        <f>IF(AND($J208&gt;0,$K208&gt;0),"Green","Red")</f>
        <v>Red</v>
      </c>
      <c r="AD208" t="str">
        <f>IF(OR($J208=0,$K208=0),"Green","Red")</f>
        <v>Green</v>
      </c>
    </row>
    <row r="209" spans="1:30" x14ac:dyDescent="0.2">
      <c r="A209" t="str">
        <f>L209&amp;F209&amp;G209</f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>DAY(D209)&amp;"/"&amp;"07"&amp;"/"&amp;YEAR(D209)</f>
        <v>21/07/2026</v>
      </c>
      <c r="M209" s="23">
        <f>E209-TIME(3,0,0)</f>
        <v>0.65625</v>
      </c>
      <c r="N209" t="str">
        <f>J209&amp;" - "&amp;K209</f>
        <v>0 - 3</v>
      </c>
      <c r="O209" t="str">
        <f>IF($J209&gt;$K209,"Green","Red")</f>
        <v>Red</v>
      </c>
      <c r="P209" t="str">
        <f>IF($J209=$K209,"Green","Red")</f>
        <v>Red</v>
      </c>
      <c r="Q209" t="str">
        <f>IF($J209&lt;$K209,"Green","Red")</f>
        <v>Green</v>
      </c>
      <c r="R209" t="str">
        <f>IF($J209&gt;=$K209,"Green","Red")</f>
        <v>Red</v>
      </c>
      <c r="S209" t="str">
        <f>IF($J209&lt;=$K209,"Green","Red")</f>
        <v>Green</v>
      </c>
      <c r="T209" t="str">
        <f>IF(OR($J209&gt;$K209,$J209&lt;$K209),"Green","Red")</f>
        <v>Green</v>
      </c>
      <c r="U209" t="str">
        <f>IF($H209&gt;$I209,"Green","Red")</f>
        <v>Red</v>
      </c>
      <c r="V209" t="str">
        <f>IF($H209=$I209,"Green","Red")</f>
        <v>Green</v>
      </c>
      <c r="W209" t="str">
        <f>IF($H209&lt;$I209,"Green","Red")</f>
        <v>Red</v>
      </c>
      <c r="X209" t="str">
        <f>IF($H209+$I209&gt;0,"Green","Red")</f>
        <v>Red</v>
      </c>
      <c r="Y209" t="str">
        <f>IF($J209+$K209&gt;1.5,"Green","Red")</f>
        <v>Green</v>
      </c>
      <c r="Z209" t="str">
        <f>IF($J209+$K209&gt;2.5,"Green","Red")</f>
        <v>Green</v>
      </c>
      <c r="AA209" t="str">
        <f>IF($J209+$K209&lt;2.5,"Green","Red")</f>
        <v>Red</v>
      </c>
      <c r="AB209" t="str">
        <f>IF($J209+$K209&lt;3.5,"Green","Red")</f>
        <v>Green</v>
      </c>
      <c r="AC209" t="str">
        <f>IF(AND($J209&gt;0,$K209&gt;0),"Green","Red")</f>
        <v>Red</v>
      </c>
      <c r="AD209" t="str">
        <f>IF(OR($J209=0,$K209=0),"Green","Red")</f>
        <v>Green</v>
      </c>
    </row>
    <row r="210" spans="1:30" x14ac:dyDescent="0.2">
      <c r="A210" t="str">
        <f>L210&amp;F210&amp;G210</f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>DAY(D210)&amp;"/"&amp;"07"&amp;"/"&amp;YEAR(D210)</f>
        <v>21/07/2026</v>
      </c>
      <c r="M210" s="23">
        <f>E210-TIME(3,0,0)</f>
        <v>0.65625</v>
      </c>
      <c r="N210" t="str">
        <f>J210&amp;" - "&amp;K210</f>
        <v>1 - 0</v>
      </c>
      <c r="O210" t="str">
        <f>IF($J210&gt;$K210,"Green","Red")</f>
        <v>Green</v>
      </c>
      <c r="P210" t="str">
        <f>IF($J210=$K210,"Green","Red")</f>
        <v>Red</v>
      </c>
      <c r="Q210" t="str">
        <f>IF($J210&lt;$K210,"Green","Red")</f>
        <v>Red</v>
      </c>
      <c r="R210" t="str">
        <f>IF($J210&gt;=$K210,"Green","Red")</f>
        <v>Green</v>
      </c>
      <c r="S210" t="str">
        <f>IF($J210&lt;=$K210,"Green","Red")</f>
        <v>Red</v>
      </c>
      <c r="T210" t="str">
        <f>IF(OR($J210&gt;$K210,$J210&lt;$K210),"Green","Red")</f>
        <v>Green</v>
      </c>
      <c r="U210" t="str">
        <f>IF($H210&gt;$I210,"Green","Red")</f>
        <v>Green</v>
      </c>
      <c r="V210" t="str">
        <f>IF($H210=$I210,"Green","Red")</f>
        <v>Red</v>
      </c>
      <c r="W210" t="str">
        <f>IF($H210&lt;$I210,"Green","Red")</f>
        <v>Red</v>
      </c>
      <c r="X210" t="str">
        <f>IF($H210+$I210&gt;0,"Green","Red")</f>
        <v>Green</v>
      </c>
      <c r="Y210" t="str">
        <f>IF($J210+$K210&gt;1.5,"Green","Red")</f>
        <v>Red</v>
      </c>
      <c r="Z210" t="str">
        <f>IF($J210+$K210&gt;2.5,"Green","Red")</f>
        <v>Red</v>
      </c>
      <c r="AA210" t="str">
        <f>IF($J210+$K210&lt;2.5,"Green","Red")</f>
        <v>Green</v>
      </c>
      <c r="AB210" t="str">
        <f>IF($J210+$K210&lt;3.5,"Green","Red")</f>
        <v>Green</v>
      </c>
      <c r="AC210" t="str">
        <f>IF(AND($J210&gt;0,$K210&gt;0),"Green","Red")</f>
        <v>Red</v>
      </c>
      <c r="AD210" t="str">
        <f>IF(OR($J210=0,$K210=0),"Green","Red")</f>
        <v>Green</v>
      </c>
    </row>
    <row r="211" spans="1:30" x14ac:dyDescent="0.2">
      <c r="A211" t="str">
        <f>L211&amp;F211&amp;G211</f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>DAY(D211)&amp;"/"&amp;"07"&amp;"/"&amp;YEAR(D211)</f>
        <v>21/07/2026</v>
      </c>
      <c r="M211" s="23">
        <f>E211-TIME(3,0,0)</f>
        <v>0.65625</v>
      </c>
      <c r="N211" t="str">
        <f>J211&amp;" - "&amp;K211</f>
        <v>1 - 1</v>
      </c>
      <c r="O211" t="str">
        <f>IF($J211&gt;$K211,"Green","Red")</f>
        <v>Red</v>
      </c>
      <c r="P211" t="str">
        <f>IF($J211=$K211,"Green","Red")</f>
        <v>Green</v>
      </c>
      <c r="Q211" t="str">
        <f>IF($J211&lt;$K211,"Green","Red")</f>
        <v>Red</v>
      </c>
      <c r="R211" t="str">
        <f>IF($J211&gt;=$K211,"Green","Red")</f>
        <v>Green</v>
      </c>
      <c r="S211" t="str">
        <f>IF($J211&lt;=$K211,"Green","Red")</f>
        <v>Green</v>
      </c>
      <c r="T211" t="str">
        <f>IF(OR($J211&gt;$K211,$J211&lt;$K211),"Green","Red")</f>
        <v>Red</v>
      </c>
      <c r="U211" t="str">
        <f>IF($H211&gt;$I211,"Green","Red")</f>
        <v>Green</v>
      </c>
      <c r="V211" t="str">
        <f>IF($H211=$I211,"Green","Red")</f>
        <v>Red</v>
      </c>
      <c r="W211" t="str">
        <f>IF($H211&lt;$I211,"Green","Red")</f>
        <v>Red</v>
      </c>
      <c r="X211" t="str">
        <f>IF($H211+$I211&gt;0,"Green","Red")</f>
        <v>Green</v>
      </c>
      <c r="Y211" t="str">
        <f>IF($J211+$K211&gt;1.5,"Green","Red")</f>
        <v>Green</v>
      </c>
      <c r="Z211" t="str">
        <f>IF($J211+$K211&gt;2.5,"Green","Red")</f>
        <v>Red</v>
      </c>
      <c r="AA211" t="str">
        <f>IF($J211+$K211&lt;2.5,"Green","Red")</f>
        <v>Green</v>
      </c>
      <c r="AB211" t="str">
        <f>IF($J211+$K211&lt;3.5,"Green","Red")</f>
        <v>Green</v>
      </c>
      <c r="AC211" t="str">
        <f>IF(AND($J211&gt;0,$K211&gt;0),"Green","Red")</f>
        <v>Green</v>
      </c>
      <c r="AD211" t="str">
        <f>IF(OR($J211=0,$K211=0),"Green","Red")</f>
        <v>Red</v>
      </c>
    </row>
    <row r="212" spans="1:30" x14ac:dyDescent="0.2">
      <c r="A212" t="str">
        <f>L212&amp;F212&amp;G212</f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>DAY(D212)&amp;"/"&amp;"07"&amp;"/"&amp;YEAR(D212)</f>
        <v>21/07/2026</v>
      </c>
      <c r="M212" s="23">
        <f>E212-TIME(3,0,0)</f>
        <v>0.65625</v>
      </c>
      <c r="N212" t="str">
        <f>J212&amp;" - "&amp;K212</f>
        <v>2 - 4</v>
      </c>
      <c r="O212" t="str">
        <f>IF($J212&gt;$K212,"Green","Red")</f>
        <v>Red</v>
      </c>
      <c r="P212" t="str">
        <f>IF($J212=$K212,"Green","Red")</f>
        <v>Red</v>
      </c>
      <c r="Q212" t="str">
        <f>IF($J212&lt;$K212,"Green","Red")</f>
        <v>Green</v>
      </c>
      <c r="R212" t="str">
        <f>IF($J212&gt;=$K212,"Green","Red")</f>
        <v>Red</v>
      </c>
      <c r="S212" t="str">
        <f>IF($J212&lt;=$K212,"Green","Red")</f>
        <v>Green</v>
      </c>
      <c r="T212" t="str">
        <f>IF(OR($J212&gt;$K212,$J212&lt;$K212),"Green","Red")</f>
        <v>Green</v>
      </c>
      <c r="U212" t="str">
        <f>IF($H212&gt;$I212,"Green","Red")</f>
        <v>Red</v>
      </c>
      <c r="V212" t="str">
        <f>IF($H212=$I212,"Green","Red")</f>
        <v>Green</v>
      </c>
      <c r="W212" t="str">
        <f>IF($H212&lt;$I212,"Green","Red")</f>
        <v>Red</v>
      </c>
      <c r="X212" t="str">
        <f>IF($H212+$I212&gt;0,"Green","Red")</f>
        <v>Green</v>
      </c>
      <c r="Y212" t="str">
        <f>IF($J212+$K212&gt;1.5,"Green","Red")</f>
        <v>Green</v>
      </c>
      <c r="Z212" t="str">
        <f>IF($J212+$K212&gt;2.5,"Green","Red")</f>
        <v>Green</v>
      </c>
      <c r="AA212" t="str">
        <f>IF($J212+$K212&lt;2.5,"Green","Red")</f>
        <v>Red</v>
      </c>
      <c r="AB212" t="str">
        <f>IF($J212+$K212&lt;3.5,"Green","Red")</f>
        <v>Red</v>
      </c>
      <c r="AC212" t="str">
        <f>IF(AND($J212&gt;0,$K212&gt;0),"Green","Red")</f>
        <v>Green</v>
      </c>
      <c r="AD212" t="str">
        <f>IF(OR($J212=0,$K212=0),"Green","Red")</f>
        <v>Red</v>
      </c>
    </row>
    <row r="213" spans="1:30" x14ac:dyDescent="0.2">
      <c r="A213" t="str">
        <f>L213&amp;F213&amp;G213</f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>DAY(D213)&amp;"/"&amp;"07"&amp;"/"&amp;YEAR(D213)</f>
        <v>21/07/2026</v>
      </c>
      <c r="M213" s="23">
        <f>E213-TIME(3,0,0)</f>
        <v>0.65625</v>
      </c>
      <c r="N213" t="str">
        <f>J213&amp;" - "&amp;K213</f>
        <v>2 - 2</v>
      </c>
      <c r="O213" t="str">
        <f>IF($J213&gt;$K213,"Green","Red")</f>
        <v>Red</v>
      </c>
      <c r="P213" t="str">
        <f>IF($J213=$K213,"Green","Red")</f>
        <v>Green</v>
      </c>
      <c r="Q213" t="str">
        <f>IF($J213&lt;$K213,"Green","Red")</f>
        <v>Red</v>
      </c>
      <c r="R213" t="str">
        <f>IF($J213&gt;=$K213,"Green","Red")</f>
        <v>Green</v>
      </c>
      <c r="S213" t="str">
        <f>IF($J213&lt;=$K213,"Green","Red")</f>
        <v>Green</v>
      </c>
      <c r="T213" t="str">
        <f>IF(OR($J213&gt;$K213,$J213&lt;$K213),"Green","Red")</f>
        <v>Red</v>
      </c>
      <c r="U213" t="str">
        <f>IF($H213&gt;$I213,"Green","Red")</f>
        <v>Red</v>
      </c>
      <c r="V213" t="str">
        <f>IF($H213=$I213,"Green","Red")</f>
        <v>Green</v>
      </c>
      <c r="W213" t="str">
        <f>IF($H213&lt;$I213,"Green","Red")</f>
        <v>Red</v>
      </c>
      <c r="X213" t="str">
        <f>IF($H213+$I213&gt;0,"Green","Red")</f>
        <v>Green</v>
      </c>
      <c r="Y213" t="str">
        <f>IF($J213+$K213&gt;1.5,"Green","Red")</f>
        <v>Green</v>
      </c>
      <c r="Z213" t="str">
        <f>IF($J213+$K213&gt;2.5,"Green","Red")</f>
        <v>Green</v>
      </c>
      <c r="AA213" t="str">
        <f>IF($J213+$K213&lt;2.5,"Green","Red")</f>
        <v>Red</v>
      </c>
      <c r="AB213" t="str">
        <f>IF($J213+$K213&lt;3.5,"Green","Red")</f>
        <v>Red</v>
      </c>
      <c r="AC213" t="str">
        <f>IF(AND($J213&gt;0,$K213&gt;0),"Green","Red")</f>
        <v>Green</v>
      </c>
      <c r="AD213" t="str">
        <f>IF(OR($J213=0,$K213=0),"Green","Red")</f>
        <v>Red</v>
      </c>
    </row>
    <row r="214" spans="1:30" x14ac:dyDescent="0.2">
      <c r="A214" t="str">
        <f>L214&amp;F214&amp;G214</f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>DAY(D214)&amp;"/"&amp;"07"&amp;"/"&amp;YEAR(D214)</f>
        <v>21/07/2026</v>
      </c>
      <c r="M214" s="23">
        <f>E214-TIME(3,0,0)</f>
        <v>0.65625</v>
      </c>
      <c r="N214" t="str">
        <f>J214&amp;" - "&amp;K214</f>
        <v>0 - 0</v>
      </c>
      <c r="O214" t="str">
        <f>IF($J214&gt;$K214,"Green","Red")</f>
        <v>Red</v>
      </c>
      <c r="P214" t="str">
        <f>IF($J214=$K214,"Green","Red")</f>
        <v>Green</v>
      </c>
      <c r="Q214" t="str">
        <f>IF($J214&lt;$K214,"Green","Red")</f>
        <v>Red</v>
      </c>
      <c r="R214" t="str">
        <f>IF($J214&gt;=$K214,"Green","Red")</f>
        <v>Green</v>
      </c>
      <c r="S214" t="str">
        <f>IF($J214&lt;=$K214,"Green","Red")</f>
        <v>Green</v>
      </c>
      <c r="T214" t="str">
        <f>IF(OR($J214&gt;$K214,$J214&lt;$K214),"Green","Red")</f>
        <v>Red</v>
      </c>
      <c r="U214" t="str">
        <f>IF($H214&gt;$I214,"Green","Red")</f>
        <v>Red</v>
      </c>
      <c r="V214" t="str">
        <f>IF($H214=$I214,"Green","Red")</f>
        <v>Green</v>
      </c>
      <c r="W214" t="str">
        <f>IF($H214&lt;$I214,"Green","Red")</f>
        <v>Red</v>
      </c>
      <c r="X214" t="str">
        <f>IF($H214+$I214&gt;0,"Green","Red")</f>
        <v>Red</v>
      </c>
      <c r="Y214" t="str">
        <f>IF($J214+$K214&gt;1.5,"Green","Red")</f>
        <v>Red</v>
      </c>
      <c r="Z214" t="str">
        <f>IF($J214+$K214&gt;2.5,"Green","Red")</f>
        <v>Red</v>
      </c>
      <c r="AA214" t="str">
        <f>IF($J214+$K214&lt;2.5,"Green","Red")</f>
        <v>Green</v>
      </c>
      <c r="AB214" t="str">
        <f>IF($J214+$K214&lt;3.5,"Green","Red")</f>
        <v>Green</v>
      </c>
      <c r="AC214" t="str">
        <f>IF(AND($J214&gt;0,$K214&gt;0),"Green","Red")</f>
        <v>Red</v>
      </c>
      <c r="AD214" t="str">
        <f>IF(OR($J214=0,$K214=0),"Green","Red")</f>
        <v>Green</v>
      </c>
    </row>
    <row r="215" spans="1:30" x14ac:dyDescent="0.2">
      <c r="A215" t="str">
        <f>L215&amp;F215&amp;G215</f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>DAY(D215)&amp;"/"&amp;"07"&amp;"/"&amp;YEAR(D215)</f>
        <v>21/07/2026</v>
      </c>
      <c r="M215" s="23">
        <f>E215-TIME(3,0,0)</f>
        <v>0.65625</v>
      </c>
      <c r="N215" t="str">
        <f>J215&amp;" - "&amp;K215</f>
        <v>2 - 2</v>
      </c>
      <c r="O215" t="str">
        <f>IF($J215&gt;$K215,"Green","Red")</f>
        <v>Red</v>
      </c>
      <c r="P215" t="str">
        <f>IF($J215=$K215,"Green","Red")</f>
        <v>Green</v>
      </c>
      <c r="Q215" t="str">
        <f>IF($J215&lt;$K215,"Green","Red")</f>
        <v>Red</v>
      </c>
      <c r="R215" t="str">
        <f>IF($J215&gt;=$K215,"Green","Red")</f>
        <v>Green</v>
      </c>
      <c r="S215" t="str">
        <f>IF($J215&lt;=$K215,"Green","Red")</f>
        <v>Green</v>
      </c>
      <c r="T215" t="str">
        <f>IF(OR($J215&gt;$K215,$J215&lt;$K215),"Green","Red")</f>
        <v>Red</v>
      </c>
      <c r="U215" t="str">
        <f>IF($H215&gt;$I215,"Green","Red")</f>
        <v>Red</v>
      </c>
      <c r="V215" t="str">
        <f>IF($H215=$I215,"Green","Red")</f>
        <v>Red</v>
      </c>
      <c r="W215" t="str">
        <f>IF($H215&lt;$I215,"Green","Red")</f>
        <v>Green</v>
      </c>
      <c r="X215" t="str">
        <f>IF($H215+$I215&gt;0,"Green","Red")</f>
        <v>Green</v>
      </c>
      <c r="Y215" t="str">
        <f>IF($J215+$K215&gt;1.5,"Green","Red")</f>
        <v>Green</v>
      </c>
      <c r="Z215" t="str">
        <f>IF($J215+$K215&gt;2.5,"Green","Red")</f>
        <v>Green</v>
      </c>
      <c r="AA215" t="str">
        <f>IF($J215+$K215&lt;2.5,"Green","Red")</f>
        <v>Red</v>
      </c>
      <c r="AB215" t="str">
        <f>IF($J215+$K215&lt;3.5,"Green","Red")</f>
        <v>Red</v>
      </c>
      <c r="AC215" t="str">
        <f>IF(AND($J215&gt;0,$K215&gt;0),"Green","Red")</f>
        <v>Green</v>
      </c>
      <c r="AD215" t="str">
        <f>IF(OR($J215=0,$K215=0),"Green","Red")</f>
        <v>Red</v>
      </c>
    </row>
    <row r="216" spans="1:30" x14ac:dyDescent="0.2">
      <c r="A216" t="str">
        <f>L216&amp;F216&amp;G216</f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>DAY(D216)&amp;"/"&amp;"07"&amp;"/"&amp;YEAR(D216)</f>
        <v>21/07/2026</v>
      </c>
      <c r="M216" s="23">
        <f>E216-TIME(3,0,0)</f>
        <v>0.66666666666666663</v>
      </c>
      <c r="N216" t="str">
        <f>J216&amp;" - "&amp;K216</f>
        <v>0 - 4</v>
      </c>
      <c r="O216" t="str">
        <f>IF($J216&gt;$K216,"Green","Red")</f>
        <v>Red</v>
      </c>
      <c r="P216" t="str">
        <f>IF($J216=$K216,"Green","Red")</f>
        <v>Red</v>
      </c>
      <c r="Q216" t="str">
        <f>IF($J216&lt;$K216,"Green","Red")</f>
        <v>Green</v>
      </c>
      <c r="R216" t="str">
        <f>IF($J216&gt;=$K216,"Green","Red")</f>
        <v>Red</v>
      </c>
      <c r="S216" t="str">
        <f>IF($J216&lt;=$K216,"Green","Red")</f>
        <v>Green</v>
      </c>
      <c r="T216" t="str">
        <f>IF(OR($J216&gt;$K216,$J216&lt;$K216),"Green","Red")</f>
        <v>Green</v>
      </c>
      <c r="U216" t="str">
        <f>IF($H216&gt;$I216,"Green","Red")</f>
        <v>Red</v>
      </c>
      <c r="V216" t="str">
        <f>IF($H216=$I216,"Green","Red")</f>
        <v>Red</v>
      </c>
      <c r="W216" t="str">
        <f>IF($H216&lt;$I216,"Green","Red")</f>
        <v>Green</v>
      </c>
      <c r="X216" t="str">
        <f>IF($H216+$I216&gt;0,"Green","Red")</f>
        <v>Green</v>
      </c>
      <c r="Y216" t="str">
        <f>IF($J216+$K216&gt;1.5,"Green","Red")</f>
        <v>Green</v>
      </c>
      <c r="Z216" t="str">
        <f>IF($J216+$K216&gt;2.5,"Green","Red")</f>
        <v>Green</v>
      </c>
      <c r="AA216" t="str">
        <f>IF($J216+$K216&lt;2.5,"Green","Red")</f>
        <v>Red</v>
      </c>
      <c r="AB216" t="str">
        <f>IF($J216+$K216&lt;3.5,"Green","Red")</f>
        <v>Red</v>
      </c>
      <c r="AC216" t="str">
        <f>IF(AND($J216&gt;0,$K216&gt;0),"Green","Red")</f>
        <v>Red</v>
      </c>
      <c r="AD216" t="str">
        <f>IF(OR($J216=0,$K216=0),"Green","Red")</f>
        <v>Green</v>
      </c>
    </row>
    <row r="217" spans="1:30" x14ac:dyDescent="0.2">
      <c r="A217" t="str">
        <f>L217&amp;F217&amp;G217</f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>DAY(D217)&amp;"/"&amp;"07"&amp;"/"&amp;YEAR(D217)</f>
        <v>21/07/2026</v>
      </c>
      <c r="M217" s="23">
        <f>E217-TIME(3,0,0)</f>
        <v>0.66666666666666663</v>
      </c>
      <c r="N217" t="str">
        <f>J217&amp;" - "&amp;K217</f>
        <v>2 - 1</v>
      </c>
      <c r="O217" t="str">
        <f>IF($J217&gt;$K217,"Green","Red")</f>
        <v>Green</v>
      </c>
      <c r="P217" t="str">
        <f>IF($J217=$K217,"Green","Red")</f>
        <v>Red</v>
      </c>
      <c r="Q217" t="str">
        <f>IF($J217&lt;$K217,"Green","Red")</f>
        <v>Red</v>
      </c>
      <c r="R217" t="str">
        <f>IF($J217&gt;=$K217,"Green","Red")</f>
        <v>Green</v>
      </c>
      <c r="S217" t="str">
        <f>IF($J217&lt;=$K217,"Green","Red")</f>
        <v>Red</v>
      </c>
      <c r="T217" t="str">
        <f>IF(OR($J217&gt;$K217,$J217&lt;$K217),"Green","Red")</f>
        <v>Green</v>
      </c>
      <c r="U217" t="str">
        <f>IF($H217&gt;$I217,"Green","Red")</f>
        <v>Red</v>
      </c>
      <c r="V217" t="str">
        <f>IF($H217=$I217,"Green","Red")</f>
        <v>Green</v>
      </c>
      <c r="W217" t="str">
        <f>IF($H217&lt;$I217,"Green","Red")</f>
        <v>Red</v>
      </c>
      <c r="X217" t="str">
        <f>IF($H217+$I217&gt;0,"Green","Red")</f>
        <v>Red</v>
      </c>
      <c r="Y217" t="str">
        <f>IF($J217+$K217&gt;1.5,"Green","Red")</f>
        <v>Green</v>
      </c>
      <c r="Z217" t="str">
        <f>IF($J217+$K217&gt;2.5,"Green","Red")</f>
        <v>Green</v>
      </c>
      <c r="AA217" t="str">
        <f>IF($J217+$K217&lt;2.5,"Green","Red")</f>
        <v>Red</v>
      </c>
      <c r="AB217" t="str">
        <f>IF($J217+$K217&lt;3.5,"Green","Red")</f>
        <v>Green</v>
      </c>
      <c r="AC217" t="str">
        <f>IF(AND($J217&gt;0,$K217&gt;0),"Green","Red")</f>
        <v>Green</v>
      </c>
      <c r="AD217" t="str">
        <f>IF(OR($J217=0,$K217=0),"Green","Red")</f>
        <v>Red</v>
      </c>
    </row>
    <row r="218" spans="1:30" x14ac:dyDescent="0.2">
      <c r="A218" t="str">
        <f>L218&amp;F218&amp;G218</f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>DAY(D218)&amp;"/"&amp;"07"&amp;"/"&amp;YEAR(D218)</f>
        <v>21/07/2026</v>
      </c>
      <c r="M218" s="23">
        <f>E218-TIME(3,0,0)</f>
        <v>0.66666666666666663</v>
      </c>
      <c r="N218" t="str">
        <f>J218&amp;" - "&amp;K218</f>
        <v>5 - 0</v>
      </c>
      <c r="O218" t="str">
        <f>IF($J218&gt;$K218,"Green","Red")</f>
        <v>Green</v>
      </c>
      <c r="P218" t="str">
        <f>IF($J218=$K218,"Green","Red")</f>
        <v>Red</v>
      </c>
      <c r="Q218" t="str">
        <f>IF($J218&lt;$K218,"Green","Red")</f>
        <v>Red</v>
      </c>
      <c r="R218" t="str">
        <f>IF($J218&gt;=$K218,"Green","Red")</f>
        <v>Green</v>
      </c>
      <c r="S218" t="str">
        <f>IF($J218&lt;=$K218,"Green","Red")</f>
        <v>Red</v>
      </c>
      <c r="T218" t="str">
        <f>IF(OR($J218&gt;$K218,$J218&lt;$K218),"Green","Red")</f>
        <v>Green</v>
      </c>
      <c r="U218" t="str">
        <f>IF($H218&gt;$I218,"Green","Red")</f>
        <v>Green</v>
      </c>
      <c r="V218" t="str">
        <f>IF($H218=$I218,"Green","Red")</f>
        <v>Red</v>
      </c>
      <c r="W218" t="str">
        <f>IF($H218&lt;$I218,"Green","Red")</f>
        <v>Red</v>
      </c>
      <c r="X218" t="str">
        <f>IF($H218+$I218&gt;0,"Green","Red")</f>
        <v>Green</v>
      </c>
      <c r="Y218" t="str">
        <f>IF($J218+$K218&gt;1.5,"Green","Red")</f>
        <v>Green</v>
      </c>
      <c r="Z218" t="str">
        <f>IF($J218+$K218&gt;2.5,"Green","Red")</f>
        <v>Green</v>
      </c>
      <c r="AA218" t="str">
        <f>IF($J218+$K218&lt;2.5,"Green","Red")</f>
        <v>Red</v>
      </c>
      <c r="AB218" t="str">
        <f>IF($J218+$K218&lt;3.5,"Green","Red")</f>
        <v>Red</v>
      </c>
      <c r="AC218" t="str">
        <f>IF(AND($J218&gt;0,$K218&gt;0),"Green","Red")</f>
        <v>Red</v>
      </c>
      <c r="AD218" t="str">
        <f>IF(OR($J218=0,$K218=0),"Green","Red")</f>
        <v>Green</v>
      </c>
    </row>
    <row r="219" spans="1:30" x14ac:dyDescent="0.2">
      <c r="A219" t="str">
        <f>L219&amp;F219&amp;G219</f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>DAY(D219)&amp;"/"&amp;"07"&amp;"/"&amp;YEAR(D219)</f>
        <v>21/07/2026</v>
      </c>
      <c r="M219" s="23">
        <f>E219-TIME(3,0,0)</f>
        <v>0.67708333333333337</v>
      </c>
      <c r="N219" t="str">
        <f>J219&amp;" - "&amp;K219</f>
        <v>7 - 3</v>
      </c>
      <c r="O219" t="str">
        <f>IF($J219&gt;$K219,"Green","Red")</f>
        <v>Green</v>
      </c>
      <c r="P219" t="str">
        <f>IF($J219=$K219,"Green","Red")</f>
        <v>Red</v>
      </c>
      <c r="Q219" t="str">
        <f>IF($J219&lt;$K219,"Green","Red")</f>
        <v>Red</v>
      </c>
      <c r="R219" t="str">
        <f>IF($J219&gt;=$K219,"Green","Red")</f>
        <v>Green</v>
      </c>
      <c r="S219" t="str">
        <f>IF($J219&lt;=$K219,"Green","Red")</f>
        <v>Red</v>
      </c>
      <c r="T219" t="str">
        <f>IF(OR($J219&gt;$K219,$J219&lt;$K219),"Green","Red")</f>
        <v>Green</v>
      </c>
      <c r="U219" t="str">
        <f>IF($H219&gt;$I219,"Green","Red")</f>
        <v>Green</v>
      </c>
      <c r="V219" t="str">
        <f>IF($H219=$I219,"Green","Red")</f>
        <v>Red</v>
      </c>
      <c r="W219" t="str">
        <f>IF($H219&lt;$I219,"Green","Red")</f>
        <v>Red</v>
      </c>
      <c r="X219" t="str">
        <f>IF($H219+$I219&gt;0,"Green","Red")</f>
        <v>Green</v>
      </c>
      <c r="Y219" t="str">
        <f>IF($J219+$K219&gt;1.5,"Green","Red")</f>
        <v>Green</v>
      </c>
      <c r="Z219" t="str">
        <f>IF($J219+$K219&gt;2.5,"Green","Red")</f>
        <v>Green</v>
      </c>
      <c r="AA219" t="str">
        <f>IF($J219+$K219&lt;2.5,"Green","Red")</f>
        <v>Red</v>
      </c>
      <c r="AB219" t="str">
        <f>IF($J219+$K219&lt;3.5,"Green","Red")</f>
        <v>Red</v>
      </c>
      <c r="AC219" t="str">
        <f>IF(AND($J219&gt;0,$K219&gt;0),"Green","Red")</f>
        <v>Green</v>
      </c>
      <c r="AD219" t="str">
        <f>IF(OR($J219=0,$K219=0),"Green","Red")</f>
        <v>Red</v>
      </c>
    </row>
    <row r="220" spans="1:30" x14ac:dyDescent="0.2">
      <c r="A220" t="str">
        <f>L220&amp;F220&amp;G220</f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>DAY(D220)&amp;"/"&amp;"07"&amp;"/"&amp;YEAR(D220)</f>
        <v>21/07/2026</v>
      </c>
      <c r="M220" s="23">
        <f>E220-TIME(3,0,0)</f>
        <v>0.67708333333333337</v>
      </c>
      <c r="N220" t="str">
        <f>J220&amp;" - "&amp;K220</f>
        <v>1 - 7</v>
      </c>
      <c r="O220" t="str">
        <f>IF($J220&gt;$K220,"Green","Red")</f>
        <v>Red</v>
      </c>
      <c r="P220" t="str">
        <f>IF($J220=$K220,"Green","Red")</f>
        <v>Red</v>
      </c>
      <c r="Q220" t="str">
        <f>IF($J220&lt;$K220,"Green","Red")</f>
        <v>Green</v>
      </c>
      <c r="R220" t="str">
        <f>IF($J220&gt;=$K220,"Green","Red")</f>
        <v>Red</v>
      </c>
      <c r="S220" t="str">
        <f>IF($J220&lt;=$K220,"Green","Red")</f>
        <v>Green</v>
      </c>
      <c r="T220" t="str">
        <f>IF(OR($J220&gt;$K220,$J220&lt;$K220),"Green","Red")</f>
        <v>Green</v>
      </c>
      <c r="U220" t="str">
        <f>IF($H220&gt;$I220,"Green","Red")</f>
        <v>Red</v>
      </c>
      <c r="V220" t="str">
        <f>IF($H220=$I220,"Green","Red")</f>
        <v>Red</v>
      </c>
      <c r="W220" t="str">
        <f>IF($H220&lt;$I220,"Green","Red")</f>
        <v>Green</v>
      </c>
      <c r="X220" t="str">
        <f>IF($H220+$I220&gt;0,"Green","Red")</f>
        <v>Green</v>
      </c>
      <c r="Y220" t="str">
        <f>IF($J220+$K220&gt;1.5,"Green","Red")</f>
        <v>Green</v>
      </c>
      <c r="Z220" t="str">
        <f>IF($J220+$K220&gt;2.5,"Green","Red")</f>
        <v>Green</v>
      </c>
      <c r="AA220" t="str">
        <f>IF($J220+$K220&lt;2.5,"Green","Red")</f>
        <v>Red</v>
      </c>
      <c r="AB220" t="str">
        <f>IF($J220+$K220&lt;3.5,"Green","Red")</f>
        <v>Red</v>
      </c>
      <c r="AC220" t="str">
        <f>IF(AND($J220&gt;0,$K220&gt;0),"Green","Red")</f>
        <v>Green</v>
      </c>
      <c r="AD220" t="str">
        <f>IF(OR($J220=0,$K220=0),"Green","Red")</f>
        <v>Red</v>
      </c>
    </row>
    <row r="221" spans="1:30" x14ac:dyDescent="0.2">
      <c r="A221" t="str">
        <f>L221&amp;F221&amp;G221</f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>DAY(D221)&amp;"/"&amp;"07"&amp;"/"&amp;YEAR(D221)</f>
        <v>21/07/2026</v>
      </c>
      <c r="M221" s="23">
        <f>E221-TIME(3,0,0)</f>
        <v>0.6875</v>
      </c>
      <c r="N221" t="str">
        <f>J221&amp;" - "&amp;K221</f>
        <v>2 - 1</v>
      </c>
      <c r="O221" t="str">
        <f>IF($J221&gt;$K221,"Green","Red")</f>
        <v>Green</v>
      </c>
      <c r="P221" t="str">
        <f>IF($J221=$K221,"Green","Red")</f>
        <v>Red</v>
      </c>
      <c r="Q221" t="str">
        <f>IF($J221&lt;$K221,"Green","Red")</f>
        <v>Red</v>
      </c>
      <c r="R221" t="str">
        <f>IF($J221&gt;=$K221,"Green","Red")</f>
        <v>Green</v>
      </c>
      <c r="S221" t="str">
        <f>IF($J221&lt;=$K221,"Green","Red")</f>
        <v>Red</v>
      </c>
      <c r="T221" t="str">
        <f>IF(OR($J221&gt;$K221,$J221&lt;$K221),"Green","Red")</f>
        <v>Green</v>
      </c>
      <c r="U221" t="str">
        <f>IF($H221&gt;$I221,"Green","Red")</f>
        <v>Red</v>
      </c>
      <c r="V221" t="str">
        <f>IF($H221=$I221,"Green","Red")</f>
        <v>Green</v>
      </c>
      <c r="W221" t="str">
        <f>IF($H221&lt;$I221,"Green","Red")</f>
        <v>Red</v>
      </c>
      <c r="X221" t="str">
        <f>IF($H221+$I221&gt;0,"Green","Red")</f>
        <v>Red</v>
      </c>
      <c r="Y221" t="str">
        <f>IF($J221+$K221&gt;1.5,"Green","Red")</f>
        <v>Green</v>
      </c>
      <c r="Z221" t="str">
        <f>IF($J221+$K221&gt;2.5,"Green","Red")</f>
        <v>Green</v>
      </c>
      <c r="AA221" t="str">
        <f>IF($J221+$K221&lt;2.5,"Green","Red")</f>
        <v>Red</v>
      </c>
      <c r="AB221" t="str">
        <f>IF($J221+$K221&lt;3.5,"Green","Red")</f>
        <v>Green</v>
      </c>
      <c r="AC221" t="str">
        <f>IF(AND($J221&gt;0,$K221&gt;0),"Green","Red")</f>
        <v>Green</v>
      </c>
      <c r="AD221" t="str">
        <f>IF(OR($J221=0,$K221=0),"Green","Red")</f>
        <v>Red</v>
      </c>
    </row>
    <row r="222" spans="1:30" x14ac:dyDescent="0.2">
      <c r="A222" t="str">
        <f>L222&amp;F222&amp;G222</f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>DAY(D222)&amp;"/"&amp;"07"&amp;"/"&amp;YEAR(D222)</f>
        <v>21/07/2026</v>
      </c>
      <c r="M222" s="23">
        <f>E222-TIME(3,0,0)</f>
        <v>0.6875</v>
      </c>
      <c r="N222" t="str">
        <f>J222&amp;" - "&amp;K222</f>
        <v>1 - 1</v>
      </c>
      <c r="O222" t="str">
        <f>IF($J222&gt;$K222,"Green","Red")</f>
        <v>Red</v>
      </c>
      <c r="P222" t="str">
        <f>IF($J222=$K222,"Green","Red")</f>
        <v>Green</v>
      </c>
      <c r="Q222" t="str">
        <f>IF($J222&lt;$K222,"Green","Red")</f>
        <v>Red</v>
      </c>
      <c r="R222" t="str">
        <f>IF($J222&gt;=$K222,"Green","Red")</f>
        <v>Green</v>
      </c>
      <c r="S222" t="str">
        <f>IF($J222&lt;=$K222,"Green","Red")</f>
        <v>Green</v>
      </c>
      <c r="T222" t="str">
        <f>IF(OR($J222&gt;$K222,$J222&lt;$K222),"Green","Red")</f>
        <v>Red</v>
      </c>
      <c r="U222" t="str">
        <f>IF($H222&gt;$I222,"Green","Red")</f>
        <v>Red</v>
      </c>
      <c r="V222" t="str">
        <f>IF($H222=$I222,"Green","Red")</f>
        <v>Green</v>
      </c>
      <c r="W222" t="str">
        <f>IF($H222&lt;$I222,"Green","Red")</f>
        <v>Red</v>
      </c>
      <c r="X222" t="str">
        <f>IF($H222+$I222&gt;0,"Green","Red")</f>
        <v>Red</v>
      </c>
      <c r="Y222" t="str">
        <f>IF($J222+$K222&gt;1.5,"Green","Red")</f>
        <v>Green</v>
      </c>
      <c r="Z222" t="str">
        <f>IF($J222+$K222&gt;2.5,"Green","Red")</f>
        <v>Red</v>
      </c>
      <c r="AA222" t="str">
        <f>IF($J222+$K222&lt;2.5,"Green","Red")</f>
        <v>Green</v>
      </c>
      <c r="AB222" t="str">
        <f>IF($J222+$K222&lt;3.5,"Green","Red")</f>
        <v>Green</v>
      </c>
      <c r="AC222" t="str">
        <f>IF(AND($J222&gt;0,$K222&gt;0),"Green","Red")</f>
        <v>Green</v>
      </c>
      <c r="AD222" t="str">
        <f>IF(OR($J222=0,$K222=0),"Green","Red")</f>
        <v>Red</v>
      </c>
    </row>
    <row r="223" spans="1:30" x14ac:dyDescent="0.2">
      <c r="A223" t="str">
        <f>L223&amp;F223&amp;G223</f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>DAY(D223)&amp;"/"&amp;"07"&amp;"/"&amp;YEAR(D223)</f>
        <v>21/07/2026</v>
      </c>
      <c r="M223" s="23">
        <f>E223-TIME(3,0,0)</f>
        <v>0.75</v>
      </c>
      <c r="N223" t="str">
        <f>J223&amp;" - "&amp;K223</f>
        <v xml:space="preserve"> - </v>
      </c>
      <c r="O223" t="str">
        <f>IF($J223&gt;$K223,"Green","Red")</f>
        <v>Red</v>
      </c>
      <c r="P223" t="str">
        <f>IF($J223=$K223,"Green","Red")</f>
        <v>Green</v>
      </c>
      <c r="Q223" t="str">
        <f>IF($J223&lt;$K223,"Green","Red")</f>
        <v>Red</v>
      </c>
      <c r="R223" t="str">
        <f>IF($J223&gt;=$K223,"Green","Red")</f>
        <v>Green</v>
      </c>
      <c r="S223" t="str">
        <f>IF($J223&lt;=$K223,"Green","Red")</f>
        <v>Green</v>
      </c>
      <c r="T223" t="str">
        <f>IF(OR($J223&gt;$K223,$J223&lt;$K223),"Green","Red")</f>
        <v>Red</v>
      </c>
      <c r="U223" t="str">
        <f>IF($H223&gt;$I223,"Green","Red")</f>
        <v>Red</v>
      </c>
      <c r="V223" t="str">
        <f>IF($H223=$I223,"Green","Red")</f>
        <v>Green</v>
      </c>
      <c r="W223" t="str">
        <f>IF($H223&lt;$I223,"Green","Red")</f>
        <v>Red</v>
      </c>
      <c r="X223" t="str">
        <f>IF($H223+$I223&gt;0,"Green","Red")</f>
        <v>Red</v>
      </c>
      <c r="Y223" t="str">
        <f>IF($J223+$K223&gt;1.5,"Green","Red")</f>
        <v>Red</v>
      </c>
      <c r="Z223" t="str">
        <f>IF($J223+$K223&gt;2.5,"Green","Red")</f>
        <v>Red</v>
      </c>
      <c r="AA223" t="str">
        <f>IF($J223+$K223&lt;2.5,"Green","Red")</f>
        <v>Green</v>
      </c>
      <c r="AB223" t="str">
        <f>IF($J223+$K223&lt;3.5,"Green","Red")</f>
        <v>Green</v>
      </c>
      <c r="AC223" t="str">
        <f>IF(AND($J223&gt;0,$K223&gt;0),"Green","Red")</f>
        <v>Red</v>
      </c>
      <c r="AD223" t="str">
        <f>IF(OR($J223=0,$K223=0),"Green","Red")</f>
        <v>Green</v>
      </c>
    </row>
    <row r="224" spans="1:30" x14ac:dyDescent="0.2">
      <c r="A224" t="str">
        <f>L224&amp;F224&amp;G224</f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>DAY(D224)&amp;"/"&amp;"07"&amp;"/"&amp;YEAR(D224)</f>
        <v>21/07/2026</v>
      </c>
      <c r="M224" s="23">
        <f>E224-TIME(3,0,0)</f>
        <v>0.75</v>
      </c>
      <c r="N224" t="str">
        <f>J224&amp;" - "&amp;K224</f>
        <v>2 - 0</v>
      </c>
      <c r="O224" t="str">
        <f>IF($J224&gt;$K224,"Green","Red")</f>
        <v>Green</v>
      </c>
      <c r="P224" t="str">
        <f>IF($J224=$K224,"Green","Red")</f>
        <v>Red</v>
      </c>
      <c r="Q224" t="str">
        <f>IF($J224&lt;$K224,"Green","Red")</f>
        <v>Red</v>
      </c>
      <c r="R224" t="str">
        <f>IF($J224&gt;=$K224,"Green","Red")</f>
        <v>Green</v>
      </c>
      <c r="S224" t="str">
        <f>IF($J224&lt;=$K224,"Green","Red")</f>
        <v>Red</v>
      </c>
      <c r="T224" t="str">
        <f>IF(OR($J224&gt;$K224,$J224&lt;$K224),"Green","Red")</f>
        <v>Green</v>
      </c>
      <c r="U224" t="str">
        <f>IF($H224&gt;$I224,"Green","Red")</f>
        <v>Green</v>
      </c>
      <c r="V224" t="str">
        <f>IF($H224=$I224,"Green","Red")</f>
        <v>Red</v>
      </c>
      <c r="W224" t="str">
        <f>IF($H224&lt;$I224,"Green","Red")</f>
        <v>Red</v>
      </c>
      <c r="X224" t="str">
        <f>IF($H224+$I224&gt;0,"Green","Red")</f>
        <v>Green</v>
      </c>
      <c r="Y224" t="str">
        <f>IF($J224+$K224&gt;1.5,"Green","Red")</f>
        <v>Green</v>
      </c>
      <c r="Z224" t="str">
        <f>IF($J224+$K224&gt;2.5,"Green","Red")</f>
        <v>Red</v>
      </c>
      <c r="AA224" t="str">
        <f>IF($J224+$K224&lt;2.5,"Green","Red")</f>
        <v>Green</v>
      </c>
      <c r="AB224" t="str">
        <f>IF($J224+$K224&lt;3.5,"Green","Red")</f>
        <v>Green</v>
      </c>
      <c r="AC224" t="str">
        <f>IF(AND($J224&gt;0,$K224&gt;0),"Green","Red")</f>
        <v>Red</v>
      </c>
      <c r="AD224" t="str">
        <f>IF(OR($J224=0,$K224=0),"Green","Red")</f>
        <v>Green</v>
      </c>
    </row>
    <row r="225" spans="1:30" x14ac:dyDescent="0.2">
      <c r="A225" t="str">
        <f>L225&amp;F225&amp;G225</f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>DAY(D225)&amp;"/"&amp;"07"&amp;"/"&amp;YEAR(D225)</f>
        <v>21/07/2026</v>
      </c>
      <c r="M225" s="23">
        <f>E225-TIME(3,0,0)</f>
        <v>0.77083333333333337</v>
      </c>
      <c r="N225" t="str">
        <f>J225&amp;" - "&amp;K225</f>
        <v>1 - 0</v>
      </c>
      <c r="O225" t="str">
        <f>IF($J225&gt;$K225,"Green","Red")</f>
        <v>Green</v>
      </c>
      <c r="P225" t="str">
        <f>IF($J225=$K225,"Green","Red")</f>
        <v>Red</v>
      </c>
      <c r="Q225" t="str">
        <f>IF($J225&lt;$K225,"Green","Red")</f>
        <v>Red</v>
      </c>
      <c r="R225" t="str">
        <f>IF($J225&gt;=$K225,"Green","Red")</f>
        <v>Green</v>
      </c>
      <c r="S225" t="str">
        <f>IF($J225&lt;=$K225,"Green","Red")</f>
        <v>Red</v>
      </c>
      <c r="T225" t="str">
        <f>IF(OR($J225&gt;$K225,$J225&lt;$K225),"Green","Red")</f>
        <v>Green</v>
      </c>
      <c r="U225" t="str">
        <f>IF($H225&gt;$I225,"Green","Red")</f>
        <v>Red</v>
      </c>
      <c r="V225" t="str">
        <f>IF($H225=$I225,"Green","Red")</f>
        <v>Green</v>
      </c>
      <c r="W225" t="str">
        <f>IF($H225&lt;$I225,"Green","Red")</f>
        <v>Red</v>
      </c>
      <c r="X225" t="str">
        <f>IF($H225+$I225&gt;0,"Green","Red")</f>
        <v>Red</v>
      </c>
      <c r="Y225" t="str">
        <f>IF($J225+$K225&gt;1.5,"Green","Red")</f>
        <v>Red</v>
      </c>
      <c r="Z225" t="str">
        <f>IF($J225+$K225&gt;2.5,"Green","Red")</f>
        <v>Red</v>
      </c>
      <c r="AA225" t="str">
        <f>IF($J225+$K225&lt;2.5,"Green","Red")</f>
        <v>Green</v>
      </c>
      <c r="AB225" t="str">
        <f>IF($J225+$K225&lt;3.5,"Green","Red")</f>
        <v>Green</v>
      </c>
      <c r="AC225" t="str">
        <f>IF(AND($J225&gt;0,$K225&gt;0),"Green","Red")</f>
        <v>Red</v>
      </c>
      <c r="AD225" t="str">
        <f>IF(OR($J225=0,$K225=0),"Green","Red")</f>
        <v>Green</v>
      </c>
    </row>
    <row r="226" spans="1:30" x14ac:dyDescent="0.2">
      <c r="A226" t="str">
        <f>L226&amp;F226&amp;G226</f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>DAY(D226)&amp;"/"&amp;"07"&amp;"/"&amp;YEAR(D226)</f>
        <v>21/07/2026</v>
      </c>
      <c r="M226" s="23">
        <f>E226-TIME(3,0,0)</f>
        <v>0.79166666666666663</v>
      </c>
      <c r="N226" t="str">
        <f>J226&amp;" - "&amp;K226</f>
        <v>0 - 3</v>
      </c>
      <c r="O226" t="str">
        <f>IF($J226&gt;$K226,"Green","Red")</f>
        <v>Red</v>
      </c>
      <c r="P226" t="str">
        <f>IF($J226=$K226,"Green","Red")</f>
        <v>Red</v>
      </c>
      <c r="Q226" t="str">
        <f>IF($J226&lt;$K226,"Green","Red")</f>
        <v>Green</v>
      </c>
      <c r="R226" t="str">
        <f>IF($J226&gt;=$K226,"Green","Red")</f>
        <v>Red</v>
      </c>
      <c r="S226" t="str">
        <f>IF($J226&lt;=$K226,"Green","Red")</f>
        <v>Green</v>
      </c>
      <c r="T226" t="str">
        <f>IF(OR($J226&gt;$K226,$J226&lt;$K226),"Green","Red")</f>
        <v>Green</v>
      </c>
      <c r="U226" t="str">
        <f>IF($H226&gt;$I226,"Green","Red")</f>
        <v>Red</v>
      </c>
      <c r="V226" t="str">
        <f>IF($H226=$I226,"Green","Red")</f>
        <v>Red</v>
      </c>
      <c r="W226" t="str">
        <f>IF($H226&lt;$I226,"Green","Red")</f>
        <v>Green</v>
      </c>
      <c r="X226" t="str">
        <f>IF($H226+$I226&gt;0,"Green","Red")</f>
        <v>Green</v>
      </c>
      <c r="Y226" t="str">
        <f>IF($J226+$K226&gt;1.5,"Green","Red")</f>
        <v>Green</v>
      </c>
      <c r="Z226" t="str">
        <f>IF($J226+$K226&gt;2.5,"Green","Red")</f>
        <v>Green</v>
      </c>
      <c r="AA226" t="str">
        <f>IF($J226+$K226&lt;2.5,"Green","Red")</f>
        <v>Red</v>
      </c>
      <c r="AB226" t="str">
        <f>IF($J226+$K226&lt;3.5,"Green","Red")</f>
        <v>Green</v>
      </c>
      <c r="AC226" t="str">
        <f>IF(AND($J226&gt;0,$K226&gt;0),"Green","Red")</f>
        <v>Red</v>
      </c>
      <c r="AD226" t="str">
        <f>IF(OR($J226=0,$K226=0),"Green","Red")</f>
        <v>Green</v>
      </c>
    </row>
    <row r="227" spans="1:30" x14ac:dyDescent="0.2">
      <c r="A227" t="str">
        <f>L227&amp;F227&amp;G227</f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>DAY(D227)&amp;"/"&amp;"07"&amp;"/"&amp;YEAR(D227)</f>
        <v>21/07/2026</v>
      </c>
      <c r="M227" s="23">
        <f>E227-TIME(3,0,0)</f>
        <v>0.79166666666666663</v>
      </c>
      <c r="N227" t="str">
        <f>J227&amp;" - "&amp;K227</f>
        <v xml:space="preserve"> - </v>
      </c>
      <c r="O227" t="str">
        <f>IF($J227&gt;$K227,"Green","Red")</f>
        <v>Red</v>
      </c>
      <c r="P227" t="str">
        <f>IF($J227=$K227,"Green","Red")</f>
        <v>Green</v>
      </c>
      <c r="Q227" t="str">
        <f>IF($J227&lt;$K227,"Green","Red")</f>
        <v>Red</v>
      </c>
      <c r="R227" t="str">
        <f>IF($J227&gt;=$K227,"Green","Red")</f>
        <v>Green</v>
      </c>
      <c r="S227" t="str">
        <f>IF($J227&lt;=$K227,"Green","Red")</f>
        <v>Green</v>
      </c>
      <c r="T227" t="str">
        <f>IF(OR($J227&gt;$K227,$J227&lt;$K227),"Green","Red")</f>
        <v>Red</v>
      </c>
      <c r="U227" t="str">
        <f>IF($H227&gt;$I227,"Green","Red")</f>
        <v>Red</v>
      </c>
      <c r="V227" t="str">
        <f>IF($H227=$I227,"Green","Red")</f>
        <v>Green</v>
      </c>
      <c r="W227" t="str">
        <f>IF($H227&lt;$I227,"Green","Red")</f>
        <v>Red</v>
      </c>
      <c r="X227" t="str">
        <f>IF($H227+$I227&gt;0,"Green","Red")</f>
        <v>Red</v>
      </c>
      <c r="Y227" t="str">
        <f>IF($J227+$K227&gt;1.5,"Green","Red")</f>
        <v>Red</v>
      </c>
      <c r="Z227" t="str">
        <f>IF($J227+$K227&gt;2.5,"Green","Red")</f>
        <v>Red</v>
      </c>
      <c r="AA227" t="str">
        <f>IF($J227+$K227&lt;2.5,"Green","Red")</f>
        <v>Green</v>
      </c>
      <c r="AB227" t="str">
        <f>IF($J227+$K227&lt;3.5,"Green","Red")</f>
        <v>Green</v>
      </c>
      <c r="AC227" t="str">
        <f>IF(AND($J227&gt;0,$K227&gt;0),"Green","Red")</f>
        <v>Red</v>
      </c>
      <c r="AD227" t="str">
        <f>IF(OR($J227=0,$K227=0),"Green","Red")</f>
        <v>Green</v>
      </c>
    </row>
    <row r="228" spans="1:30" x14ac:dyDescent="0.2">
      <c r="A228" t="str">
        <f>L228&amp;F228&amp;G228</f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>DAY(D228)&amp;"/"&amp;"07"&amp;"/"&amp;YEAR(D228)</f>
        <v>21/07/2026</v>
      </c>
      <c r="M228" s="23">
        <f>E228-TIME(3,0,0)</f>
        <v>0.79166666666666663</v>
      </c>
      <c r="N228" t="str">
        <f>J228&amp;" - "&amp;K228</f>
        <v>1 - 0</v>
      </c>
      <c r="O228" t="str">
        <f>IF($J228&gt;$K228,"Green","Red")</f>
        <v>Green</v>
      </c>
      <c r="P228" t="str">
        <f>IF($J228=$K228,"Green","Red")</f>
        <v>Red</v>
      </c>
      <c r="Q228" t="str">
        <f>IF($J228&lt;$K228,"Green","Red")</f>
        <v>Red</v>
      </c>
      <c r="R228" t="str">
        <f>IF($J228&gt;=$K228,"Green","Red")</f>
        <v>Green</v>
      </c>
      <c r="S228" t="str">
        <f>IF($J228&lt;=$K228,"Green","Red")</f>
        <v>Red</v>
      </c>
      <c r="T228" t="str">
        <f>IF(OR($J228&gt;$K228,$J228&lt;$K228),"Green","Red")</f>
        <v>Green</v>
      </c>
      <c r="U228" t="str">
        <f>IF($H228&gt;$I228,"Green","Red")</f>
        <v>Red</v>
      </c>
      <c r="V228" t="str">
        <f>IF($H228=$I228,"Green","Red")</f>
        <v>Green</v>
      </c>
      <c r="W228" t="str">
        <f>IF($H228&lt;$I228,"Green","Red")</f>
        <v>Red</v>
      </c>
      <c r="X228" t="str">
        <f>IF($H228+$I228&gt;0,"Green","Red")</f>
        <v>Red</v>
      </c>
      <c r="Y228" t="str">
        <f>IF($J228+$K228&gt;1.5,"Green","Red")</f>
        <v>Red</v>
      </c>
      <c r="Z228" t="str">
        <f>IF($J228+$K228&gt;2.5,"Green","Red")</f>
        <v>Red</v>
      </c>
      <c r="AA228" t="str">
        <f>IF($J228+$K228&lt;2.5,"Green","Red")</f>
        <v>Green</v>
      </c>
      <c r="AB228" t="str">
        <f>IF($J228+$K228&lt;3.5,"Green","Red")</f>
        <v>Green</v>
      </c>
      <c r="AC228" t="str">
        <f>IF(AND($J228&gt;0,$K228&gt;0),"Green","Red")</f>
        <v>Red</v>
      </c>
      <c r="AD228" t="str">
        <f>IF(OR($J228=0,$K228=0),"Green","Red")</f>
        <v>Green</v>
      </c>
    </row>
    <row r="229" spans="1:30" x14ac:dyDescent="0.2">
      <c r="A229" t="str">
        <f>L229&amp;F229&amp;G229</f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>DAY(D229)&amp;"/"&amp;"07"&amp;"/"&amp;YEAR(D229)</f>
        <v>21/07/2026</v>
      </c>
      <c r="M229" s="23">
        <f>E229-TIME(3,0,0)</f>
        <v>0.8125</v>
      </c>
      <c r="N229" t="str">
        <f>J229&amp;" - "&amp;K229</f>
        <v>1 - 1</v>
      </c>
      <c r="O229" t="str">
        <f>IF($J229&gt;$K229,"Green","Red")</f>
        <v>Red</v>
      </c>
      <c r="P229" t="str">
        <f>IF($J229=$K229,"Green","Red")</f>
        <v>Green</v>
      </c>
      <c r="Q229" t="str">
        <f>IF($J229&lt;$K229,"Green","Red")</f>
        <v>Red</v>
      </c>
      <c r="R229" t="str">
        <f>IF($J229&gt;=$K229,"Green","Red")</f>
        <v>Green</v>
      </c>
      <c r="S229" t="str">
        <f>IF($J229&lt;=$K229,"Green","Red")</f>
        <v>Green</v>
      </c>
      <c r="T229" t="str">
        <f>IF(OR($J229&gt;$K229,$J229&lt;$K229),"Green","Red")</f>
        <v>Red</v>
      </c>
      <c r="U229" t="str">
        <f>IF($H229&gt;$I229,"Green","Red")</f>
        <v>Green</v>
      </c>
      <c r="V229" t="str">
        <f>IF($H229=$I229,"Green","Red")</f>
        <v>Red</v>
      </c>
      <c r="W229" t="str">
        <f>IF($H229&lt;$I229,"Green","Red")</f>
        <v>Red</v>
      </c>
      <c r="X229" t="str">
        <f>IF($H229+$I229&gt;0,"Green","Red")</f>
        <v>Green</v>
      </c>
      <c r="Y229" t="str">
        <f>IF($J229+$K229&gt;1.5,"Green","Red")</f>
        <v>Green</v>
      </c>
      <c r="Z229" t="str">
        <f>IF($J229+$K229&gt;2.5,"Green","Red")</f>
        <v>Red</v>
      </c>
      <c r="AA229" t="str">
        <f>IF($J229+$K229&lt;2.5,"Green","Red")</f>
        <v>Green</v>
      </c>
      <c r="AB229" t="str">
        <f>IF($J229+$K229&lt;3.5,"Green","Red")</f>
        <v>Green</v>
      </c>
      <c r="AC229" t="str">
        <f>IF(AND($J229&gt;0,$K229&gt;0),"Green","Red")</f>
        <v>Green</v>
      </c>
      <c r="AD229" t="str">
        <f>IF(OR($J229=0,$K229=0),"Green","Red")</f>
        <v>Red</v>
      </c>
    </row>
    <row r="230" spans="1:30" x14ac:dyDescent="0.2">
      <c r="A230" t="str">
        <f>L230&amp;F230&amp;G230</f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>DAY(D230)&amp;"/"&amp;"07"&amp;"/"&amp;YEAR(D230)</f>
        <v>21/07/2026</v>
      </c>
      <c r="M230" s="23">
        <f>E230-TIME(3,0,0)</f>
        <v>0.8125</v>
      </c>
      <c r="N230" t="str">
        <f>J230&amp;" - "&amp;K230</f>
        <v>2 - 1</v>
      </c>
      <c r="O230" t="str">
        <f>IF($J230&gt;$K230,"Green","Red")</f>
        <v>Green</v>
      </c>
      <c r="P230" t="str">
        <f>IF($J230=$K230,"Green","Red")</f>
        <v>Red</v>
      </c>
      <c r="Q230" t="str">
        <f>IF($J230&lt;$K230,"Green","Red")</f>
        <v>Red</v>
      </c>
      <c r="R230" t="str">
        <f>IF($J230&gt;=$K230,"Green","Red")</f>
        <v>Green</v>
      </c>
      <c r="S230" t="str">
        <f>IF($J230&lt;=$K230,"Green","Red")</f>
        <v>Red</v>
      </c>
      <c r="T230" t="str">
        <f>IF(OR($J230&gt;$K230,$J230&lt;$K230),"Green","Red")</f>
        <v>Green</v>
      </c>
      <c r="U230" t="str">
        <f>IF($H230&gt;$I230,"Green","Red")</f>
        <v>Red</v>
      </c>
      <c r="V230" t="str">
        <f>IF($H230=$I230,"Green","Red")</f>
        <v>Red</v>
      </c>
      <c r="W230" t="str">
        <f>IF($H230&lt;$I230,"Green","Red")</f>
        <v>Green</v>
      </c>
      <c r="X230" t="str">
        <f>IF($H230+$I230&gt;0,"Green","Red")</f>
        <v>Green</v>
      </c>
      <c r="Y230" t="str">
        <f>IF($J230+$K230&gt;1.5,"Green","Red")</f>
        <v>Green</v>
      </c>
      <c r="Z230" t="str">
        <f>IF($J230+$K230&gt;2.5,"Green","Red")</f>
        <v>Green</v>
      </c>
      <c r="AA230" t="str">
        <f>IF($J230+$K230&lt;2.5,"Green","Red")</f>
        <v>Red</v>
      </c>
      <c r="AB230" t="str">
        <f>IF($J230+$K230&lt;3.5,"Green","Red")</f>
        <v>Green</v>
      </c>
      <c r="AC230" t="str">
        <f>IF(AND($J230&gt;0,$K230&gt;0),"Green","Red")</f>
        <v>Green</v>
      </c>
      <c r="AD230" t="str">
        <f>IF(OR($J230=0,$K230=0),"Green","Red")</f>
        <v>Red</v>
      </c>
    </row>
    <row r="231" spans="1:30" x14ac:dyDescent="0.2">
      <c r="A231" t="str">
        <f>L231&amp;F231&amp;G231</f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>DAY(D231)&amp;"/"&amp;"07"&amp;"/"&amp;YEAR(D231)</f>
        <v>21/07/2026</v>
      </c>
      <c r="M231" s="23">
        <f>E231-TIME(3,0,0)</f>
        <v>0.8125</v>
      </c>
      <c r="N231" t="str">
        <f>J231&amp;" - "&amp;K231</f>
        <v>0 - 1</v>
      </c>
      <c r="O231" t="str">
        <f>IF($J231&gt;$K231,"Green","Red")</f>
        <v>Red</v>
      </c>
      <c r="P231" t="str">
        <f>IF($J231=$K231,"Green","Red")</f>
        <v>Red</v>
      </c>
      <c r="Q231" t="str">
        <f>IF($J231&lt;$K231,"Green","Red")</f>
        <v>Green</v>
      </c>
      <c r="R231" t="str">
        <f>IF($J231&gt;=$K231,"Green","Red")</f>
        <v>Red</v>
      </c>
      <c r="S231" t="str">
        <f>IF($J231&lt;=$K231,"Green","Red")</f>
        <v>Green</v>
      </c>
      <c r="T231" t="str">
        <f>IF(OR($J231&gt;$K231,$J231&lt;$K231),"Green","Red")</f>
        <v>Green</v>
      </c>
      <c r="U231" t="str">
        <f>IF($H231&gt;$I231,"Green","Red")</f>
        <v>Red</v>
      </c>
      <c r="V231" t="str">
        <f>IF($H231=$I231,"Green","Red")</f>
        <v>Green</v>
      </c>
      <c r="W231" t="str">
        <f>IF($H231&lt;$I231,"Green","Red")</f>
        <v>Red</v>
      </c>
      <c r="X231" t="str">
        <f>IF($H231+$I231&gt;0,"Green","Red")</f>
        <v>Red</v>
      </c>
      <c r="Y231" t="str">
        <f>IF($J231+$K231&gt;1.5,"Green","Red")</f>
        <v>Red</v>
      </c>
      <c r="Z231" t="str">
        <f>IF($J231+$K231&gt;2.5,"Green","Red")</f>
        <v>Red</v>
      </c>
      <c r="AA231" t="str">
        <f>IF($J231+$K231&lt;2.5,"Green","Red")</f>
        <v>Green</v>
      </c>
      <c r="AB231" t="str">
        <f>IF($J231+$K231&lt;3.5,"Green","Red")</f>
        <v>Green</v>
      </c>
      <c r="AC231" t="str">
        <f>IF(AND($J231&gt;0,$K231&gt;0),"Green","Red")</f>
        <v>Red</v>
      </c>
      <c r="AD231" t="str">
        <f>IF(OR($J231=0,$K231=0),"Green","Red")</f>
        <v>Green</v>
      </c>
    </row>
    <row r="232" spans="1:30" x14ac:dyDescent="0.2">
      <c r="A232" t="str">
        <f>L232&amp;F232&amp;G232</f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>DAY(D232)&amp;"/"&amp;"07"&amp;"/"&amp;YEAR(D232)</f>
        <v>21/07/2026</v>
      </c>
      <c r="M232" s="23">
        <f>E232-TIME(3,0,0)</f>
        <v>0.83333333333333337</v>
      </c>
      <c r="N232" t="str">
        <f>J232&amp;" - "&amp;K232</f>
        <v>1 - 2</v>
      </c>
      <c r="O232" t="str">
        <f>IF($J232&gt;$K232,"Green","Red")</f>
        <v>Red</v>
      </c>
      <c r="P232" t="str">
        <f>IF($J232=$K232,"Green","Red")</f>
        <v>Red</v>
      </c>
      <c r="Q232" t="str">
        <f>IF($J232&lt;$K232,"Green","Red")</f>
        <v>Green</v>
      </c>
      <c r="R232" t="str">
        <f>IF($J232&gt;=$K232,"Green","Red")</f>
        <v>Red</v>
      </c>
      <c r="S232" t="str">
        <f>IF($J232&lt;=$K232,"Green","Red")</f>
        <v>Green</v>
      </c>
      <c r="T232" t="str">
        <f>IF(OR($J232&gt;$K232,$J232&lt;$K232),"Green","Red")</f>
        <v>Green</v>
      </c>
      <c r="U232" t="str">
        <f>IF($H232&gt;$I232,"Green","Red")</f>
        <v>Red</v>
      </c>
      <c r="V232" t="str">
        <f>IF($H232=$I232,"Green","Red")</f>
        <v>Green</v>
      </c>
      <c r="W232" t="str">
        <f>IF($H232&lt;$I232,"Green","Red")</f>
        <v>Red</v>
      </c>
      <c r="X232" t="str">
        <f>IF($H232+$I232&gt;0,"Green","Red")</f>
        <v>Green</v>
      </c>
      <c r="Y232" t="str">
        <f>IF($J232+$K232&gt;1.5,"Green","Red")</f>
        <v>Green</v>
      </c>
      <c r="Z232" t="str">
        <f>IF($J232+$K232&gt;2.5,"Green","Red")</f>
        <v>Green</v>
      </c>
      <c r="AA232" t="str">
        <f>IF($J232+$K232&lt;2.5,"Green","Red")</f>
        <v>Red</v>
      </c>
      <c r="AB232" t="str">
        <f>IF($J232+$K232&lt;3.5,"Green","Red")</f>
        <v>Green</v>
      </c>
      <c r="AC232" t="str">
        <f>IF(AND($J232&gt;0,$K232&gt;0),"Green","Red")</f>
        <v>Green</v>
      </c>
      <c r="AD232" t="str">
        <f>IF(OR($J232=0,$K232=0),"Green","Red")</f>
        <v>Red</v>
      </c>
    </row>
    <row r="233" spans="1:30" x14ac:dyDescent="0.2">
      <c r="A233" t="str">
        <f>L233&amp;F233&amp;G233</f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>DAY(D233)&amp;"/"&amp;"07"&amp;"/"&amp;YEAR(D233)</f>
        <v>21/07/2026</v>
      </c>
      <c r="M233" s="23">
        <f>E233-TIME(3,0,0)</f>
        <v>0.83333333333333337</v>
      </c>
      <c r="N233" t="str">
        <f>J233&amp;" - "&amp;K233</f>
        <v>0 - 1</v>
      </c>
      <c r="O233" t="str">
        <f>IF($J233&gt;$K233,"Green","Red")</f>
        <v>Red</v>
      </c>
      <c r="P233" t="str">
        <f>IF($J233=$K233,"Green","Red")</f>
        <v>Red</v>
      </c>
      <c r="Q233" t="str">
        <f>IF($J233&lt;$K233,"Green","Red")</f>
        <v>Green</v>
      </c>
      <c r="R233" t="str">
        <f>IF($J233&gt;=$K233,"Green","Red")</f>
        <v>Red</v>
      </c>
      <c r="S233" t="str">
        <f>IF($J233&lt;=$K233,"Green","Red")</f>
        <v>Green</v>
      </c>
      <c r="T233" t="str">
        <f>IF(OR($J233&gt;$K233,$J233&lt;$K233),"Green","Red")</f>
        <v>Green</v>
      </c>
      <c r="U233" t="str">
        <f>IF($H233&gt;$I233,"Green","Red")</f>
        <v>Red</v>
      </c>
      <c r="V233" t="str">
        <f>IF($H233=$I233,"Green","Red")</f>
        <v>Green</v>
      </c>
      <c r="W233" t="str">
        <f>IF($H233&lt;$I233,"Green","Red")</f>
        <v>Red</v>
      </c>
      <c r="X233" t="str">
        <f>IF($H233+$I233&gt;0,"Green","Red")</f>
        <v>Red</v>
      </c>
      <c r="Y233" t="str">
        <f>IF($J233+$K233&gt;1.5,"Green","Red")</f>
        <v>Red</v>
      </c>
      <c r="Z233" t="str">
        <f>IF($J233+$K233&gt;2.5,"Green","Red")</f>
        <v>Red</v>
      </c>
      <c r="AA233" t="str">
        <f>IF($J233+$K233&lt;2.5,"Green","Red")</f>
        <v>Green</v>
      </c>
      <c r="AB233" t="str">
        <f>IF($J233+$K233&lt;3.5,"Green","Red")</f>
        <v>Green</v>
      </c>
      <c r="AC233" t="str">
        <f>IF(AND($J233&gt;0,$K233&gt;0),"Green","Red")</f>
        <v>Red</v>
      </c>
      <c r="AD233" t="str">
        <f>IF(OR($J233=0,$K233=0),"Green","Red")</f>
        <v>Green</v>
      </c>
    </row>
    <row r="234" spans="1:30" x14ac:dyDescent="0.2">
      <c r="A234" t="str">
        <f>L234&amp;F234&amp;G234</f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>DAY(D234)&amp;"/"&amp;"07"&amp;"/"&amp;YEAR(D234)</f>
        <v>21/07/2026</v>
      </c>
      <c r="M234" s="23">
        <f>E234-TIME(3,0,0)</f>
        <v>0.83333333333333337</v>
      </c>
      <c r="N234" t="str">
        <f>J234&amp;" - "&amp;K234</f>
        <v>2 - 1</v>
      </c>
      <c r="O234" t="str">
        <f>IF($J234&gt;$K234,"Green","Red")</f>
        <v>Green</v>
      </c>
      <c r="P234" t="str">
        <f>IF($J234=$K234,"Green","Red")</f>
        <v>Red</v>
      </c>
      <c r="Q234" t="str">
        <f>IF($J234&lt;$K234,"Green","Red")</f>
        <v>Red</v>
      </c>
      <c r="R234" t="str">
        <f>IF($J234&gt;=$K234,"Green","Red")</f>
        <v>Green</v>
      </c>
      <c r="S234" t="str">
        <f>IF($J234&lt;=$K234,"Green","Red")</f>
        <v>Red</v>
      </c>
      <c r="T234" t="str">
        <f>IF(OR($J234&gt;$K234,$J234&lt;$K234),"Green","Red")</f>
        <v>Green</v>
      </c>
      <c r="U234" t="str">
        <f>IF($H234&gt;$I234,"Green","Red")</f>
        <v>Red</v>
      </c>
      <c r="V234" t="str">
        <f>IF($H234=$I234,"Green","Red")</f>
        <v>Red</v>
      </c>
      <c r="W234" t="str">
        <f>IF($H234&lt;$I234,"Green","Red")</f>
        <v>Green</v>
      </c>
      <c r="X234" t="str">
        <f>IF($H234+$I234&gt;0,"Green","Red")</f>
        <v>Green</v>
      </c>
      <c r="Y234" t="str">
        <f>IF($J234+$K234&gt;1.5,"Green","Red")</f>
        <v>Green</v>
      </c>
      <c r="Z234" t="str">
        <f>IF($J234+$K234&gt;2.5,"Green","Red")</f>
        <v>Green</v>
      </c>
      <c r="AA234" t="str">
        <f>IF($J234+$K234&lt;2.5,"Green","Red")</f>
        <v>Red</v>
      </c>
      <c r="AB234" t="str">
        <f>IF($J234+$K234&lt;3.5,"Green","Red")</f>
        <v>Green</v>
      </c>
      <c r="AC234" t="str">
        <f>IF(AND($J234&gt;0,$K234&gt;0),"Green","Red")</f>
        <v>Green</v>
      </c>
      <c r="AD234" t="str">
        <f>IF(OR($J234=0,$K234=0),"Green","Red")</f>
        <v>Red</v>
      </c>
    </row>
    <row r="235" spans="1:30" x14ac:dyDescent="0.2">
      <c r="A235" t="str">
        <f>L235&amp;F235&amp;G235</f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>DAY(D235)&amp;"/"&amp;"07"&amp;"/"&amp;YEAR(D235)</f>
        <v>21/07/2026</v>
      </c>
      <c r="M235" s="23">
        <f>E235-TIME(3,0,0)</f>
        <v>0.83333333333333337</v>
      </c>
      <c r="N235" t="str">
        <f>J235&amp;" - "&amp;K235</f>
        <v xml:space="preserve"> - </v>
      </c>
      <c r="O235" t="str">
        <f>IF($J235&gt;$K235,"Green","Red")</f>
        <v>Red</v>
      </c>
      <c r="P235" t="str">
        <f>IF($J235=$K235,"Green","Red")</f>
        <v>Green</v>
      </c>
      <c r="Q235" t="str">
        <f>IF($J235&lt;$K235,"Green","Red")</f>
        <v>Red</v>
      </c>
      <c r="R235" t="str">
        <f>IF($J235&gt;=$K235,"Green","Red")</f>
        <v>Green</v>
      </c>
      <c r="S235" t="str">
        <f>IF($J235&lt;=$K235,"Green","Red")</f>
        <v>Green</v>
      </c>
      <c r="T235" t="str">
        <f>IF(OR($J235&gt;$K235,$J235&lt;$K235),"Green","Red")</f>
        <v>Red</v>
      </c>
      <c r="U235" t="str">
        <f>IF($H235&gt;$I235,"Green","Red")</f>
        <v>Red</v>
      </c>
      <c r="V235" t="str">
        <f>IF($H235=$I235,"Green","Red")</f>
        <v>Green</v>
      </c>
      <c r="W235" t="str">
        <f>IF($H235&lt;$I235,"Green","Red")</f>
        <v>Red</v>
      </c>
      <c r="X235" t="str">
        <f>IF($H235+$I235&gt;0,"Green","Red")</f>
        <v>Red</v>
      </c>
      <c r="Y235" t="str">
        <f>IF($J235+$K235&gt;1.5,"Green","Red")</f>
        <v>Red</v>
      </c>
      <c r="Z235" t="str">
        <f>IF($J235+$K235&gt;2.5,"Green","Red")</f>
        <v>Red</v>
      </c>
      <c r="AA235" t="str">
        <f>IF($J235+$K235&lt;2.5,"Green","Red")</f>
        <v>Green</v>
      </c>
      <c r="AB235" t="str">
        <f>IF($J235+$K235&lt;3.5,"Green","Red")</f>
        <v>Green</v>
      </c>
      <c r="AC235" t="str">
        <f>IF(AND($J235&gt;0,$K235&gt;0),"Green","Red")</f>
        <v>Red</v>
      </c>
      <c r="AD235" t="str">
        <f>IF(OR($J235=0,$K235=0),"Green","Red")</f>
        <v>Green</v>
      </c>
    </row>
    <row r="236" spans="1:30" x14ac:dyDescent="0.2">
      <c r="A236" t="str">
        <f>L236&amp;F236&amp;G236</f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>J236&amp;" - "&amp;K236</f>
        <v>0 - 1</v>
      </c>
      <c r="O236" t="str">
        <f>IF($J236&gt;$K236,"Green","Red")</f>
        <v>Red</v>
      </c>
      <c r="P236" t="str">
        <f>IF($J236=$K236,"Green","Red")</f>
        <v>Red</v>
      </c>
      <c r="Q236" t="str">
        <f>IF($J236&lt;$K236,"Green","Red")</f>
        <v>Green</v>
      </c>
      <c r="R236" t="str">
        <f>IF($J236&gt;=$K236,"Green","Red")</f>
        <v>Red</v>
      </c>
      <c r="S236" t="str">
        <f>IF($J236&lt;=$K236,"Green","Red")</f>
        <v>Green</v>
      </c>
      <c r="T236" t="str">
        <f>IF(OR($J236&gt;$K236,$J236&lt;$K236),"Green","Red")</f>
        <v>Green</v>
      </c>
      <c r="U236" t="str">
        <f>IF($H236&gt;$I236,"Green","Red")</f>
        <v>Red</v>
      </c>
      <c r="V236" t="str">
        <f>IF($H236=$I236,"Green","Red")</f>
        <v>Green</v>
      </c>
      <c r="W236" t="str">
        <f>IF($H236&lt;$I236,"Green","Red")</f>
        <v>Red</v>
      </c>
      <c r="X236" t="str">
        <f>IF($H236+$I236&gt;0,"Green","Red")</f>
        <v>Red</v>
      </c>
      <c r="Y236" t="str">
        <f>IF($J236+$K236&gt;1.5,"Green","Red")</f>
        <v>Red</v>
      </c>
      <c r="Z236" t="str">
        <f>IF($J236+$K236&gt;2.5,"Green","Red")</f>
        <v>Red</v>
      </c>
      <c r="AA236" t="str">
        <f>IF($J236+$K236&lt;2.5,"Green","Red")</f>
        <v>Green</v>
      </c>
      <c r="AB236" t="str">
        <f>IF($J236+$K236&lt;3.5,"Green","Red")</f>
        <v>Green</v>
      </c>
      <c r="AC236" t="str">
        <f>IF(AND($J236&gt;0,$K236&gt;0),"Green","Red")</f>
        <v>Red</v>
      </c>
      <c r="AD236" t="str">
        <f>IF(OR($J236=0,$K236=0),"Green","Red")</f>
        <v>Green</v>
      </c>
    </row>
    <row r="237" spans="1:30" x14ac:dyDescent="0.2">
      <c r="A237" t="str">
        <f>L237&amp;F237&amp;G237</f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>J237&amp;" - "&amp;K237</f>
        <v>3 - 0</v>
      </c>
      <c r="O237" t="str">
        <f>IF($J237&gt;$K237,"Green","Red")</f>
        <v>Green</v>
      </c>
      <c r="P237" t="str">
        <f>IF($J237=$K237,"Green","Red")</f>
        <v>Red</v>
      </c>
      <c r="Q237" t="str">
        <f>IF($J237&lt;$K237,"Green","Red")</f>
        <v>Red</v>
      </c>
      <c r="R237" t="str">
        <f>IF($J237&gt;=$K237,"Green","Red")</f>
        <v>Green</v>
      </c>
      <c r="S237" t="str">
        <f>IF($J237&lt;=$K237,"Green","Red")</f>
        <v>Red</v>
      </c>
      <c r="T237" t="str">
        <f>IF(OR($J237&gt;$K237,$J237&lt;$K237),"Green","Red")</f>
        <v>Green</v>
      </c>
      <c r="U237" t="str">
        <f>IF($H237&gt;$I237,"Green","Red")</f>
        <v>Green</v>
      </c>
      <c r="V237" t="str">
        <f>IF($H237=$I237,"Green","Red")</f>
        <v>Red</v>
      </c>
      <c r="W237" t="str">
        <f>IF($H237&lt;$I237,"Green","Red")</f>
        <v>Red</v>
      </c>
      <c r="X237" t="str">
        <f>IF($H237+$I237&gt;0,"Green","Red")</f>
        <v>Green</v>
      </c>
      <c r="Y237" t="str">
        <f>IF($J237+$K237&gt;1.5,"Green","Red")</f>
        <v>Green</v>
      </c>
      <c r="Z237" t="str">
        <f>IF($J237+$K237&gt;2.5,"Green","Red")</f>
        <v>Green</v>
      </c>
      <c r="AA237" t="str">
        <f>IF($J237+$K237&lt;2.5,"Green","Red")</f>
        <v>Red</v>
      </c>
      <c r="AB237" t="str">
        <f>IF($J237+$K237&lt;3.5,"Green","Red")</f>
        <v>Green</v>
      </c>
      <c r="AC237" t="str">
        <f>IF(AND($J237&gt;0,$K237&gt;0),"Green","Red")</f>
        <v>Red</v>
      </c>
      <c r="AD237" t="str">
        <f>IF(OR($J237=0,$K237=0),"Green","Red")</f>
        <v>Green</v>
      </c>
    </row>
    <row r="238" spans="1:30" x14ac:dyDescent="0.2">
      <c r="A238" t="str">
        <f>L238&amp;F238&amp;G238</f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>J238&amp;" - "&amp;K238</f>
        <v>2 - 1</v>
      </c>
      <c r="O238" t="str">
        <f>IF($J238&gt;$K238,"Green","Red")</f>
        <v>Green</v>
      </c>
      <c r="P238" t="str">
        <f>IF($J238=$K238,"Green","Red")</f>
        <v>Red</v>
      </c>
      <c r="Q238" t="str">
        <f>IF($J238&lt;$K238,"Green","Red")</f>
        <v>Red</v>
      </c>
      <c r="R238" t="str">
        <f>IF($J238&gt;=$K238,"Green","Red")</f>
        <v>Green</v>
      </c>
      <c r="S238" t="str">
        <f>IF($J238&lt;=$K238,"Green","Red")</f>
        <v>Red</v>
      </c>
      <c r="T238" t="str">
        <f>IF(OR($J238&gt;$K238,$J238&lt;$K238),"Green","Red")</f>
        <v>Green</v>
      </c>
      <c r="U238" t="str">
        <f>IF($H238&gt;$I238,"Green","Red")</f>
        <v>Green</v>
      </c>
      <c r="V238" t="str">
        <f>IF($H238=$I238,"Green","Red")</f>
        <v>Red</v>
      </c>
      <c r="W238" t="str">
        <f>IF($H238&lt;$I238,"Green","Red")</f>
        <v>Red</v>
      </c>
      <c r="X238" t="str">
        <f>IF($H238+$I238&gt;0,"Green","Red")</f>
        <v>Green</v>
      </c>
      <c r="Y238" t="str">
        <f>IF($J238+$K238&gt;1.5,"Green","Red")</f>
        <v>Green</v>
      </c>
      <c r="Z238" t="str">
        <f>IF($J238+$K238&gt;2.5,"Green","Red")</f>
        <v>Green</v>
      </c>
      <c r="AA238" t="str">
        <f>IF($J238+$K238&lt;2.5,"Green","Red")</f>
        <v>Red</v>
      </c>
      <c r="AB238" t="str">
        <f>IF($J238+$K238&lt;3.5,"Green","Red")</f>
        <v>Green</v>
      </c>
      <c r="AC238" t="str">
        <f>IF(AND($J238&gt;0,$K238&gt;0),"Green","Red")</f>
        <v>Green</v>
      </c>
      <c r="AD238" t="str">
        <f>IF(OR($J238=0,$K238=0),"Green","Red")</f>
        <v>Red</v>
      </c>
    </row>
    <row r="239" spans="1:30" x14ac:dyDescent="0.2">
      <c r="A239" t="str">
        <f>L239&amp;F239&amp;G239</f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>J239&amp;" - "&amp;K239</f>
        <v>1 - 4</v>
      </c>
      <c r="O239" t="str">
        <f>IF($J239&gt;$K239,"Green","Red")</f>
        <v>Red</v>
      </c>
      <c r="P239" t="str">
        <f>IF($J239=$K239,"Green","Red")</f>
        <v>Red</v>
      </c>
      <c r="Q239" t="str">
        <f>IF($J239&lt;$K239,"Green","Red")</f>
        <v>Green</v>
      </c>
      <c r="R239" t="str">
        <f>IF($J239&gt;=$K239,"Green","Red")</f>
        <v>Red</v>
      </c>
      <c r="S239" t="str">
        <f>IF($J239&lt;=$K239,"Green","Red")</f>
        <v>Green</v>
      </c>
      <c r="T239" t="str">
        <f>IF(OR($J239&gt;$K239,$J239&lt;$K239),"Green","Red")</f>
        <v>Green</v>
      </c>
      <c r="U239" t="str">
        <f>IF($H239&gt;$I239,"Green","Red")</f>
        <v>Red</v>
      </c>
      <c r="V239" t="str">
        <f>IF($H239=$I239,"Green","Red")</f>
        <v>Red</v>
      </c>
      <c r="W239" t="str">
        <f>IF($H239&lt;$I239,"Green","Red")</f>
        <v>Green</v>
      </c>
      <c r="X239" t="str">
        <f>IF($H239+$I239&gt;0,"Green","Red")</f>
        <v>Green</v>
      </c>
      <c r="Y239" t="str">
        <f>IF($J239+$K239&gt;1.5,"Green","Red")</f>
        <v>Green</v>
      </c>
      <c r="Z239" t="str">
        <f>IF($J239+$K239&gt;2.5,"Green","Red")</f>
        <v>Green</v>
      </c>
      <c r="AA239" t="str">
        <f>IF($J239+$K239&lt;2.5,"Green","Red")</f>
        <v>Red</v>
      </c>
      <c r="AB239" t="str">
        <f>IF($J239+$K239&lt;3.5,"Green","Red")</f>
        <v>Red</v>
      </c>
      <c r="AC239" t="str">
        <f>IF(AND($J239&gt;0,$K239&gt;0),"Green","Red")</f>
        <v>Green</v>
      </c>
      <c r="AD239" t="str">
        <f>IF(OR($J239=0,$K239=0),"Green","Red")</f>
        <v>Red</v>
      </c>
    </row>
    <row r="240" spans="1:30" x14ac:dyDescent="0.2">
      <c r="A240" t="str">
        <f>L240&amp;F240&amp;G240</f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>J240&amp;" - "&amp;K240</f>
        <v>2 - 1</v>
      </c>
      <c r="O240" t="str">
        <f>IF($J240&gt;$K240,"Green","Red")</f>
        <v>Green</v>
      </c>
      <c r="P240" t="str">
        <f>IF($J240=$K240,"Green","Red")</f>
        <v>Red</v>
      </c>
      <c r="Q240" t="str">
        <f>IF($J240&lt;$K240,"Green","Red")</f>
        <v>Red</v>
      </c>
      <c r="R240" t="str">
        <f>IF($J240&gt;=$K240,"Green","Red")</f>
        <v>Green</v>
      </c>
      <c r="S240" t="str">
        <f>IF($J240&lt;=$K240,"Green","Red")</f>
        <v>Red</v>
      </c>
      <c r="T240" t="str">
        <f>IF(OR($J240&gt;$K240,$J240&lt;$K240),"Green","Red")</f>
        <v>Green</v>
      </c>
      <c r="U240" t="str">
        <f>IF($H240&gt;$I240,"Green","Red")</f>
        <v>Green</v>
      </c>
      <c r="V240" t="str">
        <f>IF($H240=$I240,"Green","Red")</f>
        <v>Red</v>
      </c>
      <c r="W240" t="str">
        <f>IF($H240&lt;$I240,"Green","Red")</f>
        <v>Red</v>
      </c>
      <c r="X240" t="str">
        <f>IF($H240+$I240&gt;0,"Green","Red")</f>
        <v>Green</v>
      </c>
      <c r="Y240" t="str">
        <f>IF($J240+$K240&gt;1.5,"Green","Red")</f>
        <v>Green</v>
      </c>
      <c r="Z240" t="str">
        <f>IF($J240+$K240&gt;2.5,"Green","Red")</f>
        <v>Green</v>
      </c>
      <c r="AA240" t="str">
        <f>IF($J240+$K240&lt;2.5,"Green","Red")</f>
        <v>Red</v>
      </c>
      <c r="AB240" t="str">
        <f>IF($J240+$K240&lt;3.5,"Green","Red")</f>
        <v>Green</v>
      </c>
      <c r="AC240" t="str">
        <f>IF(AND($J240&gt;0,$K240&gt;0),"Green","Red")</f>
        <v>Green</v>
      </c>
      <c r="AD240" t="str">
        <f>IF(OR($J240=0,$K240=0),"Green","Red")</f>
        <v>Red</v>
      </c>
    </row>
    <row r="241" spans="1:30" x14ac:dyDescent="0.2">
      <c r="A241" t="str">
        <f>L241&amp;F241&amp;G241</f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>J241&amp;" - "&amp;K241</f>
        <v>2 - 1</v>
      </c>
      <c r="O241" t="str">
        <f>IF($J241&gt;$K241,"Green","Red")</f>
        <v>Green</v>
      </c>
      <c r="P241" t="str">
        <f>IF($J241=$K241,"Green","Red")</f>
        <v>Red</v>
      </c>
      <c r="Q241" t="str">
        <f>IF($J241&lt;$K241,"Green","Red")</f>
        <v>Red</v>
      </c>
      <c r="R241" t="str">
        <f>IF($J241&gt;=$K241,"Green","Red")</f>
        <v>Green</v>
      </c>
      <c r="S241" t="str">
        <f>IF($J241&lt;=$K241,"Green","Red")</f>
        <v>Red</v>
      </c>
      <c r="T241" t="str">
        <f>IF(OR($J241&gt;$K241,$J241&lt;$K241),"Green","Red")</f>
        <v>Green</v>
      </c>
      <c r="U241" t="str">
        <f>IF($H241&gt;$I241,"Green","Red")</f>
        <v>Green</v>
      </c>
      <c r="V241" t="str">
        <f>IF($H241=$I241,"Green","Red")</f>
        <v>Red</v>
      </c>
      <c r="W241" t="str">
        <f>IF($H241&lt;$I241,"Green","Red")</f>
        <v>Red</v>
      </c>
      <c r="X241" t="str">
        <f>IF($H241+$I241&gt;0,"Green","Red")</f>
        <v>Green</v>
      </c>
      <c r="Y241" t="str">
        <f>IF($J241+$K241&gt;1.5,"Green","Red")</f>
        <v>Green</v>
      </c>
      <c r="Z241" t="str">
        <f>IF($J241+$K241&gt;2.5,"Green","Red")</f>
        <v>Green</v>
      </c>
      <c r="AA241" t="str">
        <f>IF($J241+$K241&lt;2.5,"Green","Red")</f>
        <v>Red</v>
      </c>
      <c r="AB241" t="str">
        <f>IF($J241+$K241&lt;3.5,"Green","Red")</f>
        <v>Green</v>
      </c>
      <c r="AC241" t="str">
        <f>IF(AND($J241&gt;0,$K241&gt;0),"Green","Red")</f>
        <v>Green</v>
      </c>
      <c r="AD241" t="str">
        <f>IF(OR($J241=0,$K241=0),"Green","Red")</f>
        <v>Red</v>
      </c>
    </row>
    <row r="242" spans="1:30" x14ac:dyDescent="0.2">
      <c r="A242" t="str">
        <f>L242&amp;F242&amp;G242</f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>J242&amp;" - "&amp;K242</f>
        <v>0 - 1</v>
      </c>
      <c r="O242" t="str">
        <f>IF($J242&gt;$K242,"Green","Red")</f>
        <v>Red</v>
      </c>
      <c r="P242" t="str">
        <f>IF($J242=$K242,"Green","Red")</f>
        <v>Red</v>
      </c>
      <c r="Q242" t="str">
        <f>IF($J242&lt;$K242,"Green","Red")</f>
        <v>Green</v>
      </c>
      <c r="R242" t="str">
        <f>IF($J242&gt;=$K242,"Green","Red")</f>
        <v>Red</v>
      </c>
      <c r="S242" t="str">
        <f>IF($J242&lt;=$K242,"Green","Red")</f>
        <v>Green</v>
      </c>
      <c r="T242" t="str">
        <f>IF(OR($J242&gt;$K242,$J242&lt;$K242),"Green","Red")</f>
        <v>Green</v>
      </c>
      <c r="U242" t="str">
        <f>IF($H242&gt;$I242,"Green","Red")</f>
        <v>Red</v>
      </c>
      <c r="V242" t="str">
        <f>IF($H242=$I242,"Green","Red")</f>
        <v>Green</v>
      </c>
      <c r="W242" t="str">
        <f>IF($H242&lt;$I242,"Green","Red")</f>
        <v>Red</v>
      </c>
      <c r="X242" t="str">
        <f>IF($H242+$I242&gt;0,"Green","Red")</f>
        <v>Red</v>
      </c>
      <c r="Y242" t="str">
        <f>IF($J242+$K242&gt;1.5,"Green","Red")</f>
        <v>Red</v>
      </c>
      <c r="Z242" t="str">
        <f>IF($J242+$K242&gt;2.5,"Green","Red")</f>
        <v>Red</v>
      </c>
      <c r="AA242" t="str">
        <f>IF($J242+$K242&lt;2.5,"Green","Red")</f>
        <v>Green</v>
      </c>
      <c r="AB242" t="str">
        <f>IF($J242+$K242&lt;3.5,"Green","Red")</f>
        <v>Green</v>
      </c>
      <c r="AC242" t="str">
        <f>IF(AND($J242&gt;0,$K242&gt;0),"Green","Red")</f>
        <v>Red</v>
      </c>
      <c r="AD242" t="str">
        <f>IF(OR($J242=0,$K242=0),"Green","Red")</f>
        <v>Green</v>
      </c>
    </row>
    <row r="243" spans="1:30" x14ac:dyDescent="0.2">
      <c r="A243" t="str">
        <f>L243&amp;F243&amp;G243</f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>J243&amp;" - "&amp;K243</f>
        <v>2 - 1</v>
      </c>
      <c r="O243" t="str">
        <f>IF($J243&gt;$K243,"Green","Red")</f>
        <v>Green</v>
      </c>
      <c r="P243" t="str">
        <f>IF($J243=$K243,"Green","Red")</f>
        <v>Red</v>
      </c>
      <c r="Q243" t="str">
        <f>IF($J243&lt;$K243,"Green","Red")</f>
        <v>Red</v>
      </c>
      <c r="R243" t="str">
        <f>IF($J243&gt;=$K243,"Green","Red")</f>
        <v>Green</v>
      </c>
      <c r="S243" t="str">
        <f>IF($J243&lt;=$K243,"Green","Red")</f>
        <v>Red</v>
      </c>
      <c r="T243" t="str">
        <f>IF(OR($J243&gt;$K243,$J243&lt;$K243),"Green","Red")</f>
        <v>Green</v>
      </c>
      <c r="U243" t="str">
        <f>IF($H243&gt;$I243,"Green","Red")</f>
        <v>Red</v>
      </c>
      <c r="V243" t="str">
        <f>IF($H243=$I243,"Green","Red")</f>
        <v>Green</v>
      </c>
      <c r="W243" t="str">
        <f>IF($H243&lt;$I243,"Green","Red")</f>
        <v>Red</v>
      </c>
      <c r="X243" t="str">
        <f>IF($H243+$I243&gt;0,"Green","Red")</f>
        <v>Green</v>
      </c>
      <c r="Y243" t="str">
        <f>IF($J243+$K243&gt;1.5,"Green","Red")</f>
        <v>Green</v>
      </c>
      <c r="Z243" t="str">
        <f>IF($J243+$K243&gt;2.5,"Green","Red")</f>
        <v>Green</v>
      </c>
      <c r="AA243" t="str">
        <f>IF($J243+$K243&lt;2.5,"Green","Red")</f>
        <v>Red</v>
      </c>
      <c r="AB243" t="str">
        <f>IF($J243+$K243&lt;3.5,"Green","Red")</f>
        <v>Green</v>
      </c>
      <c r="AC243" t="str">
        <f>IF(AND($J243&gt;0,$K243&gt;0),"Green","Red")</f>
        <v>Green</v>
      </c>
      <c r="AD243" t="str">
        <f>IF(OR($J243=0,$K243=0),"Green","Red")</f>
        <v>Red</v>
      </c>
    </row>
    <row r="244" spans="1:30" x14ac:dyDescent="0.2">
      <c r="A244" t="str">
        <f>L244&amp;F244&amp;G244</f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>DAY(D244)&amp;"/"&amp;"07"&amp;"/"&amp;YEAR(D244)</f>
        <v>22/07/2026</v>
      </c>
      <c r="M244" s="23">
        <f>E244-TIME(3,0,0)</f>
        <v>3.4722222222222099E-3</v>
      </c>
      <c r="N244" t="str">
        <f>J244&amp;" - "&amp;K244</f>
        <v>1 - 2</v>
      </c>
      <c r="O244" t="str">
        <f>IF($J244&gt;$K244,"Green","Red")</f>
        <v>Red</v>
      </c>
      <c r="P244" t="str">
        <f>IF($J244=$K244,"Green","Red")</f>
        <v>Red</v>
      </c>
      <c r="Q244" t="str">
        <f>IF($J244&lt;$K244,"Green","Red")</f>
        <v>Green</v>
      </c>
      <c r="R244" t="str">
        <f>IF($J244&gt;=$K244,"Green","Red")</f>
        <v>Red</v>
      </c>
      <c r="S244" t="str">
        <f>IF($J244&lt;=$K244,"Green","Red")</f>
        <v>Green</v>
      </c>
      <c r="T244" t="str">
        <f>IF(OR($J244&gt;$K244,$J244&lt;$K244),"Green","Red")</f>
        <v>Green</v>
      </c>
      <c r="U244" t="str">
        <f>IF($H244&gt;$I244,"Green","Red")</f>
        <v>Green</v>
      </c>
      <c r="V244" t="str">
        <f>IF($H244=$I244,"Green","Red")</f>
        <v>Red</v>
      </c>
      <c r="W244" t="str">
        <f>IF($H244&lt;$I244,"Green","Red")</f>
        <v>Red</v>
      </c>
      <c r="X244" t="str">
        <f>IF($H244+$I244&gt;0,"Green","Red")</f>
        <v>Green</v>
      </c>
      <c r="Y244" t="str">
        <f>IF($J244+$K244&gt;1.5,"Green","Red")</f>
        <v>Green</v>
      </c>
      <c r="Z244" t="str">
        <f>IF($J244+$K244&gt;2.5,"Green","Red")</f>
        <v>Green</v>
      </c>
      <c r="AA244" t="str">
        <f>IF($J244+$K244&lt;2.5,"Green","Red")</f>
        <v>Red</v>
      </c>
      <c r="AB244" t="str">
        <f>IF($J244+$K244&lt;3.5,"Green","Red")</f>
        <v>Green</v>
      </c>
      <c r="AC244" t="str">
        <f>IF(AND($J244&gt;0,$K244&gt;0),"Green","Red")</f>
        <v>Green</v>
      </c>
      <c r="AD244" t="str">
        <f>IF(OR($J244=0,$K244=0),"Green","Red")</f>
        <v>Red</v>
      </c>
    </row>
    <row r="245" spans="1:30" x14ac:dyDescent="0.2">
      <c r="A245" t="str">
        <f>L245&amp;F245&amp;G245</f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>DAY(D245)&amp;"/"&amp;"07"&amp;"/"&amp;YEAR(D245)</f>
        <v>22/07/2026</v>
      </c>
      <c r="M245" s="23">
        <f>E245-TIME(3,0,0)</f>
        <v>0.1875</v>
      </c>
      <c r="N245" t="str">
        <f>J245&amp;" - "&amp;K245</f>
        <v>3 - 2</v>
      </c>
      <c r="O245" t="str">
        <f>IF($J245&gt;$K245,"Green","Red")</f>
        <v>Green</v>
      </c>
      <c r="P245" t="str">
        <f>IF($J245=$K245,"Green","Red")</f>
        <v>Red</v>
      </c>
      <c r="Q245" t="str">
        <f>IF($J245&lt;$K245,"Green","Red")</f>
        <v>Red</v>
      </c>
      <c r="R245" t="str">
        <f>IF($J245&gt;=$K245,"Green","Red")</f>
        <v>Green</v>
      </c>
      <c r="S245" t="str">
        <f>IF($J245&lt;=$K245,"Green","Red")</f>
        <v>Red</v>
      </c>
      <c r="T245" t="str">
        <f>IF(OR($J245&gt;$K245,$J245&lt;$K245),"Green","Red")</f>
        <v>Green</v>
      </c>
      <c r="U245" t="str">
        <f>IF($H245&gt;$I245,"Green","Red")</f>
        <v>Green</v>
      </c>
      <c r="V245" t="str">
        <f>IF($H245=$I245,"Green","Red")</f>
        <v>Red</v>
      </c>
      <c r="W245" t="str">
        <f>IF($H245&lt;$I245,"Green","Red")</f>
        <v>Red</v>
      </c>
      <c r="X245" t="str">
        <f>IF($H245+$I245&gt;0,"Green","Red")</f>
        <v>Green</v>
      </c>
      <c r="Y245" t="str">
        <f>IF($J245+$K245&gt;1.5,"Green","Red")</f>
        <v>Green</v>
      </c>
      <c r="Z245" t="str">
        <f>IF($J245+$K245&gt;2.5,"Green","Red")</f>
        <v>Green</v>
      </c>
      <c r="AA245" t="str">
        <f>IF($J245+$K245&lt;2.5,"Green","Red")</f>
        <v>Red</v>
      </c>
      <c r="AB245" t="str">
        <f>IF($J245+$K245&lt;3.5,"Green","Red")</f>
        <v>Red</v>
      </c>
      <c r="AC245" t="str">
        <f>IF(AND($J245&gt;0,$K245&gt;0),"Green","Red")</f>
        <v>Green</v>
      </c>
      <c r="AD245" t="str">
        <f>IF(OR($J245=0,$K245=0),"Green","Red")</f>
        <v>Red</v>
      </c>
    </row>
    <row r="246" spans="1:30" x14ac:dyDescent="0.2">
      <c r="A246" t="str">
        <f>L246&amp;F246&amp;G246</f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>DAY(D246)&amp;"/"&amp;"07"&amp;"/"&amp;YEAR(D246)</f>
        <v>22/07/2026</v>
      </c>
      <c r="M246" s="23">
        <f>E246-TIME(3,0,0)</f>
        <v>0.20833333333333331</v>
      </c>
      <c r="N246" t="str">
        <f>J246&amp;" - "&amp;K246</f>
        <v>0 - 0</v>
      </c>
      <c r="O246" t="str">
        <f>IF($J246&gt;$K246,"Green","Red")</f>
        <v>Red</v>
      </c>
      <c r="P246" t="str">
        <f>IF($J246=$K246,"Green","Red")</f>
        <v>Green</v>
      </c>
      <c r="Q246" t="str">
        <f>IF($J246&lt;$K246,"Green","Red")</f>
        <v>Red</v>
      </c>
      <c r="R246" t="str">
        <f>IF($J246&gt;=$K246,"Green","Red")</f>
        <v>Green</v>
      </c>
      <c r="S246" t="str">
        <f>IF($J246&lt;=$K246,"Green","Red")</f>
        <v>Green</v>
      </c>
      <c r="T246" t="str">
        <f>IF(OR($J246&gt;$K246,$J246&lt;$K246),"Green","Red")</f>
        <v>Red</v>
      </c>
      <c r="U246" t="str">
        <f>IF($H246&gt;$I246,"Green","Red")</f>
        <v>Red</v>
      </c>
      <c r="V246" t="str">
        <f>IF($H246=$I246,"Green","Red")</f>
        <v>Green</v>
      </c>
      <c r="W246" t="str">
        <f>IF($H246&lt;$I246,"Green","Red")</f>
        <v>Red</v>
      </c>
      <c r="X246" t="str">
        <f>IF($H246+$I246&gt;0,"Green","Red")</f>
        <v>Red</v>
      </c>
      <c r="Y246" t="str">
        <f>IF($J246+$K246&gt;1.5,"Green","Red")</f>
        <v>Red</v>
      </c>
      <c r="Z246" t="str">
        <f>IF($J246+$K246&gt;2.5,"Green","Red")</f>
        <v>Red</v>
      </c>
      <c r="AA246" t="str">
        <f>IF($J246+$K246&lt;2.5,"Green","Red")</f>
        <v>Green</v>
      </c>
      <c r="AB246" t="str">
        <f>IF($J246+$K246&lt;3.5,"Green","Red")</f>
        <v>Green</v>
      </c>
      <c r="AC246" t="str">
        <f>IF(AND($J246&gt;0,$K246&gt;0),"Green","Red")</f>
        <v>Red</v>
      </c>
      <c r="AD246" t="str">
        <f>IF(OR($J246=0,$K246=0),"Green","Red")</f>
        <v>Green</v>
      </c>
    </row>
    <row r="247" spans="1:30" x14ac:dyDescent="0.2">
      <c r="A247" t="str">
        <f>L247&amp;F247&amp;G247</f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>DAY(D247)&amp;"/"&amp;"07"&amp;"/"&amp;YEAR(D247)</f>
        <v>22/07/2026</v>
      </c>
      <c r="M247" s="23">
        <f>E247-TIME(3,0,0)</f>
        <v>0.22916666666666669</v>
      </c>
      <c r="N247" t="str">
        <f>J247&amp;" - "&amp;K247</f>
        <v>4 - 1</v>
      </c>
      <c r="O247" t="str">
        <f>IF($J247&gt;$K247,"Green","Red")</f>
        <v>Green</v>
      </c>
      <c r="P247" t="str">
        <f>IF($J247=$K247,"Green","Red")</f>
        <v>Red</v>
      </c>
      <c r="Q247" t="str">
        <f>IF($J247&lt;$K247,"Green","Red")</f>
        <v>Red</v>
      </c>
      <c r="R247" t="str">
        <f>IF($J247&gt;=$K247,"Green","Red")</f>
        <v>Green</v>
      </c>
      <c r="S247" t="str">
        <f>IF($J247&lt;=$K247,"Green","Red")</f>
        <v>Red</v>
      </c>
      <c r="T247" t="str">
        <f>IF(OR($J247&gt;$K247,$J247&lt;$K247),"Green","Red")</f>
        <v>Green</v>
      </c>
      <c r="U247" t="str">
        <f>IF($H247&gt;$I247,"Green","Red")</f>
        <v>Red</v>
      </c>
      <c r="V247" t="str">
        <f>IF($H247=$I247,"Green","Red")</f>
        <v>Red</v>
      </c>
      <c r="W247" t="str">
        <f>IF($H247&lt;$I247,"Green","Red")</f>
        <v>Green</v>
      </c>
      <c r="X247" t="str">
        <f>IF($H247+$I247&gt;0,"Green","Red")</f>
        <v>Green</v>
      </c>
      <c r="Y247" t="str">
        <f>IF($J247+$K247&gt;1.5,"Green","Red")</f>
        <v>Green</v>
      </c>
      <c r="Z247" t="str">
        <f>IF($J247+$K247&gt;2.5,"Green","Red")</f>
        <v>Green</v>
      </c>
      <c r="AA247" t="str">
        <f>IF($J247+$K247&lt;2.5,"Green","Red")</f>
        <v>Red</v>
      </c>
      <c r="AB247" t="str">
        <f>IF($J247+$K247&lt;3.5,"Green","Red")</f>
        <v>Red</v>
      </c>
      <c r="AC247" t="str">
        <f>IF(AND($J247&gt;0,$K247&gt;0),"Green","Red")</f>
        <v>Green</v>
      </c>
      <c r="AD247" t="str">
        <f>IF(OR($J247=0,$K247=0),"Green","Red")</f>
        <v>Red</v>
      </c>
    </row>
    <row r="248" spans="1:30" x14ac:dyDescent="0.2">
      <c r="A248" t="str">
        <f>L248&amp;F248&amp;G248</f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>DAY(D248)&amp;"/"&amp;"07"&amp;"/"&amp;YEAR(D248)</f>
        <v>22/07/2026</v>
      </c>
      <c r="M248" s="23">
        <f>E248-TIME(3,0,0)</f>
        <v>0.25</v>
      </c>
      <c r="N248" t="str">
        <f>J248&amp;" - "&amp;K248</f>
        <v>5 - 2</v>
      </c>
      <c r="O248" t="str">
        <f>IF($J248&gt;$K248,"Green","Red")</f>
        <v>Green</v>
      </c>
      <c r="P248" t="str">
        <f>IF($J248=$K248,"Green","Red")</f>
        <v>Red</v>
      </c>
      <c r="Q248" t="str">
        <f>IF($J248&lt;$K248,"Green","Red")</f>
        <v>Red</v>
      </c>
      <c r="R248" t="str">
        <f>IF($J248&gt;=$K248,"Green","Red")</f>
        <v>Green</v>
      </c>
      <c r="S248" t="str">
        <f>IF($J248&lt;=$K248,"Green","Red")</f>
        <v>Red</v>
      </c>
      <c r="T248" t="str">
        <f>IF(OR($J248&gt;$K248,$J248&lt;$K248),"Green","Red")</f>
        <v>Green</v>
      </c>
      <c r="U248" t="str">
        <f>IF($H248&gt;$I248,"Green","Red")</f>
        <v>Green</v>
      </c>
      <c r="V248" t="str">
        <f>IF($H248=$I248,"Green","Red")</f>
        <v>Red</v>
      </c>
      <c r="W248" t="str">
        <f>IF($H248&lt;$I248,"Green","Red")</f>
        <v>Red</v>
      </c>
      <c r="X248" t="str">
        <f>IF($H248+$I248&gt;0,"Green","Red")</f>
        <v>Green</v>
      </c>
      <c r="Y248" t="str">
        <f>IF($J248+$K248&gt;1.5,"Green","Red")</f>
        <v>Green</v>
      </c>
      <c r="Z248" t="str">
        <f>IF($J248+$K248&gt;2.5,"Green","Red")</f>
        <v>Green</v>
      </c>
      <c r="AA248" t="str">
        <f>IF($J248+$K248&lt;2.5,"Green","Red")</f>
        <v>Red</v>
      </c>
      <c r="AB248" t="str">
        <f>IF($J248+$K248&lt;3.5,"Green","Red")</f>
        <v>Red</v>
      </c>
      <c r="AC248" t="str">
        <f>IF(AND($J248&gt;0,$K248&gt;0),"Green","Red")</f>
        <v>Green</v>
      </c>
      <c r="AD248" t="str">
        <f>IF(OR($J248=0,$K248=0),"Green","Red")</f>
        <v>Red</v>
      </c>
    </row>
    <row r="249" spans="1:30" x14ac:dyDescent="0.2">
      <c r="A249" t="str">
        <f>L249&amp;F249&amp;G249</f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>DAY(D249)&amp;"/"&amp;"07"&amp;"/"&amp;YEAR(D249)</f>
        <v>22/07/2026</v>
      </c>
      <c r="M249" s="23">
        <f>E249-TIME(3,0,0)</f>
        <v>0.25</v>
      </c>
      <c r="N249" t="str">
        <f>J249&amp;" - "&amp;K249</f>
        <v>2 - 2</v>
      </c>
      <c r="O249" t="str">
        <f>IF($J249&gt;$K249,"Green","Red")</f>
        <v>Red</v>
      </c>
      <c r="P249" t="str">
        <f>IF($J249=$K249,"Green","Red")</f>
        <v>Green</v>
      </c>
      <c r="Q249" t="str">
        <f>IF($J249&lt;$K249,"Green","Red")</f>
        <v>Red</v>
      </c>
      <c r="R249" t="str">
        <f>IF($J249&gt;=$K249,"Green","Red")</f>
        <v>Green</v>
      </c>
      <c r="S249" t="str">
        <f>IF($J249&lt;=$K249,"Green","Red")</f>
        <v>Green</v>
      </c>
      <c r="T249" t="str">
        <f>IF(OR($J249&gt;$K249,$J249&lt;$K249),"Green","Red")</f>
        <v>Red</v>
      </c>
      <c r="U249" t="str">
        <f>IF($H249&gt;$I249,"Green","Red")</f>
        <v>Red</v>
      </c>
      <c r="V249" t="str">
        <f>IF($H249=$I249,"Green","Red")</f>
        <v>Red</v>
      </c>
      <c r="W249" t="str">
        <f>IF($H249&lt;$I249,"Green","Red")</f>
        <v>Green</v>
      </c>
      <c r="X249" t="str">
        <f>IF($H249+$I249&gt;0,"Green","Red")</f>
        <v>Green</v>
      </c>
      <c r="Y249" t="str">
        <f>IF($J249+$K249&gt;1.5,"Green","Red")</f>
        <v>Green</v>
      </c>
      <c r="Z249" t="str">
        <f>IF($J249+$K249&gt;2.5,"Green","Red")</f>
        <v>Green</v>
      </c>
      <c r="AA249" t="str">
        <f>IF($J249+$K249&lt;2.5,"Green","Red")</f>
        <v>Red</v>
      </c>
      <c r="AB249" t="str">
        <f>IF($J249+$K249&lt;3.5,"Green","Red")</f>
        <v>Red</v>
      </c>
      <c r="AC249" t="str">
        <f>IF(AND($J249&gt;0,$K249&gt;0),"Green","Red")</f>
        <v>Green</v>
      </c>
      <c r="AD249" t="str">
        <f>IF(OR($J249=0,$K249=0),"Green","Red")</f>
        <v>Red</v>
      </c>
    </row>
    <row r="250" spans="1:30" x14ac:dyDescent="0.2">
      <c r="A250" t="str">
        <f>L250&amp;F250&amp;G250</f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>DAY(D250)&amp;"/"&amp;"07"&amp;"/"&amp;YEAR(D250)</f>
        <v>22/07/2026</v>
      </c>
      <c r="M250" s="23">
        <f>E250-TIME(3,0,0)</f>
        <v>0.25</v>
      </c>
      <c r="N250" t="str">
        <f>J250&amp;" - "&amp;K250</f>
        <v xml:space="preserve"> - </v>
      </c>
      <c r="O250" t="str">
        <f>IF($J250&gt;$K250,"Green","Red")</f>
        <v>Red</v>
      </c>
      <c r="P250" t="str">
        <f>IF($J250=$K250,"Green","Red")</f>
        <v>Green</v>
      </c>
      <c r="Q250" t="str">
        <f>IF($J250&lt;$K250,"Green","Red")</f>
        <v>Red</v>
      </c>
      <c r="R250" t="str">
        <f>IF($J250&gt;=$K250,"Green","Red")</f>
        <v>Green</v>
      </c>
      <c r="S250" t="str">
        <f>IF($J250&lt;=$K250,"Green","Red")</f>
        <v>Green</v>
      </c>
      <c r="T250" t="str">
        <f>IF(OR($J250&gt;$K250,$J250&lt;$K250),"Green","Red")</f>
        <v>Red</v>
      </c>
      <c r="U250" t="str">
        <f>IF($H250&gt;$I250,"Green","Red")</f>
        <v>Red</v>
      </c>
      <c r="V250" t="str">
        <f>IF($H250=$I250,"Green","Red")</f>
        <v>Green</v>
      </c>
      <c r="W250" t="str">
        <f>IF($H250&lt;$I250,"Green","Red")</f>
        <v>Red</v>
      </c>
      <c r="X250" t="str">
        <f>IF($H250+$I250&gt;0,"Green","Red")</f>
        <v>Red</v>
      </c>
      <c r="Y250" t="str">
        <f>IF($J250+$K250&gt;1.5,"Green","Red")</f>
        <v>Red</v>
      </c>
      <c r="Z250" t="str">
        <f>IF($J250+$K250&gt;2.5,"Green","Red")</f>
        <v>Red</v>
      </c>
      <c r="AA250" t="str">
        <f>IF($J250+$K250&lt;2.5,"Green","Red")</f>
        <v>Green</v>
      </c>
      <c r="AB250" t="str">
        <f>IF($J250+$K250&lt;3.5,"Green","Red")</f>
        <v>Green</v>
      </c>
      <c r="AC250" t="str">
        <f>IF(AND($J250&gt;0,$K250&gt;0),"Green","Red")</f>
        <v>Red</v>
      </c>
      <c r="AD250" t="str">
        <f>IF(OR($J250=0,$K250=0),"Green","Red")</f>
        <v>Green</v>
      </c>
    </row>
    <row r="251" spans="1:30" x14ac:dyDescent="0.2">
      <c r="A251" t="str">
        <f>L251&amp;F251&amp;G251</f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>DAY(D251)&amp;"/"&amp;"07"&amp;"/"&amp;YEAR(D251)</f>
        <v>22/07/2026</v>
      </c>
      <c r="M251" s="23">
        <f>E251-TIME(3,0,0)</f>
        <v>0.25</v>
      </c>
      <c r="N251" t="str">
        <f>J251&amp;" - "&amp;K251</f>
        <v>4 - 0</v>
      </c>
      <c r="O251" t="str">
        <f>IF($J251&gt;$K251,"Green","Red")</f>
        <v>Green</v>
      </c>
      <c r="P251" t="str">
        <f>IF($J251=$K251,"Green","Red")</f>
        <v>Red</v>
      </c>
      <c r="Q251" t="str">
        <f>IF($J251&lt;$K251,"Green","Red")</f>
        <v>Red</v>
      </c>
      <c r="R251" t="str">
        <f>IF($J251&gt;=$K251,"Green","Red")</f>
        <v>Green</v>
      </c>
      <c r="S251" t="str">
        <f>IF($J251&lt;=$K251,"Green","Red")</f>
        <v>Red</v>
      </c>
      <c r="T251" t="str">
        <f>IF(OR($J251&gt;$K251,$J251&lt;$K251),"Green","Red")</f>
        <v>Green</v>
      </c>
      <c r="U251" t="str">
        <f>IF($H251&gt;$I251,"Green","Red")</f>
        <v>Green</v>
      </c>
      <c r="V251" t="str">
        <f>IF($H251=$I251,"Green","Red")</f>
        <v>Red</v>
      </c>
      <c r="W251" t="str">
        <f>IF($H251&lt;$I251,"Green","Red")</f>
        <v>Red</v>
      </c>
      <c r="X251" t="str">
        <f>IF($H251+$I251&gt;0,"Green","Red")</f>
        <v>Green</v>
      </c>
      <c r="Y251" t="str">
        <f>IF($J251+$K251&gt;1.5,"Green","Red")</f>
        <v>Green</v>
      </c>
      <c r="Z251" t="str">
        <f>IF($J251+$K251&gt;2.5,"Green","Red")</f>
        <v>Green</v>
      </c>
      <c r="AA251" t="str">
        <f>IF($J251+$K251&lt;2.5,"Green","Red")</f>
        <v>Red</v>
      </c>
      <c r="AB251" t="str">
        <f>IF($J251+$K251&lt;3.5,"Green","Red")</f>
        <v>Red</v>
      </c>
      <c r="AC251" t="str">
        <f>IF(AND($J251&gt;0,$K251&gt;0),"Green","Red")</f>
        <v>Red</v>
      </c>
      <c r="AD251" t="str">
        <f>IF(OR($J251=0,$K251=0),"Green","Red")</f>
        <v>Green</v>
      </c>
    </row>
    <row r="252" spans="1:30" x14ac:dyDescent="0.2">
      <c r="A252" t="str">
        <f>L252&amp;F252&amp;G252</f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>DAY(D252)&amp;"/"&amp;"07"&amp;"/"&amp;YEAR(D252)</f>
        <v>22/07/2026</v>
      </c>
      <c r="M252" s="23">
        <f>E252-TIME(3,0,0)</f>
        <v>0.25</v>
      </c>
      <c r="N252" t="str">
        <f>J252&amp;" - "&amp;K252</f>
        <v>0 - 5</v>
      </c>
      <c r="O252" t="str">
        <f>IF($J252&gt;$K252,"Green","Red")</f>
        <v>Red</v>
      </c>
      <c r="P252" t="str">
        <f>IF($J252=$K252,"Green","Red")</f>
        <v>Red</v>
      </c>
      <c r="Q252" t="str">
        <f>IF($J252&lt;$K252,"Green","Red")</f>
        <v>Green</v>
      </c>
      <c r="R252" t="str">
        <f>IF($J252&gt;=$K252,"Green","Red")</f>
        <v>Red</v>
      </c>
      <c r="S252" t="str">
        <f>IF($J252&lt;=$K252,"Green","Red")</f>
        <v>Green</v>
      </c>
      <c r="T252" t="str">
        <f>IF(OR($J252&gt;$K252,$J252&lt;$K252),"Green","Red")</f>
        <v>Green</v>
      </c>
      <c r="U252" t="str">
        <f>IF($H252&gt;$I252,"Green","Red")</f>
        <v>Red</v>
      </c>
      <c r="V252" t="str">
        <f>IF($H252=$I252,"Green","Red")</f>
        <v>Red</v>
      </c>
      <c r="W252" t="str">
        <f>IF($H252&lt;$I252,"Green","Red")</f>
        <v>Green</v>
      </c>
      <c r="X252" t="str">
        <f>IF($H252+$I252&gt;0,"Green","Red")</f>
        <v>Green</v>
      </c>
      <c r="Y252" t="str">
        <f>IF($J252+$K252&gt;1.5,"Green","Red")</f>
        <v>Green</v>
      </c>
      <c r="Z252" t="str">
        <f>IF($J252+$K252&gt;2.5,"Green","Red")</f>
        <v>Green</v>
      </c>
      <c r="AA252" t="str">
        <f>IF($J252+$K252&lt;2.5,"Green","Red")</f>
        <v>Red</v>
      </c>
      <c r="AB252" t="str">
        <f>IF($J252+$K252&lt;3.5,"Green","Red")</f>
        <v>Red</v>
      </c>
      <c r="AC252" t="str">
        <f>IF(AND($J252&gt;0,$K252&gt;0),"Green","Red")</f>
        <v>Red</v>
      </c>
      <c r="AD252" t="str">
        <f>IF(OR($J252=0,$K252=0),"Green","Red")</f>
        <v>Green</v>
      </c>
    </row>
    <row r="253" spans="1:30" x14ac:dyDescent="0.2">
      <c r="A253" t="str">
        <f>L253&amp;F253&amp;G253</f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>DAY(D253)&amp;"/"&amp;"07"&amp;"/"&amp;YEAR(D253)</f>
        <v>22/07/2026</v>
      </c>
      <c r="M253" s="23">
        <f>E253-TIME(3,0,0)</f>
        <v>0.27083333333333331</v>
      </c>
      <c r="N253" t="str">
        <f>J253&amp;" - "&amp;K253</f>
        <v>2 - 1</v>
      </c>
      <c r="O253" t="str">
        <f>IF($J253&gt;$K253,"Green","Red")</f>
        <v>Green</v>
      </c>
      <c r="P253" t="str">
        <f>IF($J253=$K253,"Green","Red")</f>
        <v>Red</v>
      </c>
      <c r="Q253" t="str">
        <f>IF($J253&lt;$K253,"Green","Red")</f>
        <v>Red</v>
      </c>
      <c r="R253" t="str">
        <f>IF($J253&gt;=$K253,"Green","Red")</f>
        <v>Green</v>
      </c>
      <c r="S253" t="str">
        <f>IF($J253&lt;=$K253,"Green","Red")</f>
        <v>Red</v>
      </c>
      <c r="T253" t="str">
        <f>IF(OR($J253&gt;$K253,$J253&lt;$K253),"Green","Red")</f>
        <v>Green</v>
      </c>
      <c r="U253" t="str">
        <f>IF($H253&gt;$I253,"Green","Red")</f>
        <v>Red</v>
      </c>
      <c r="V253" t="str">
        <f>IF($H253=$I253,"Green","Red")</f>
        <v>Green</v>
      </c>
      <c r="W253" t="str">
        <f>IF($H253&lt;$I253,"Green","Red")</f>
        <v>Red</v>
      </c>
      <c r="X253" t="str">
        <f>IF($H253+$I253&gt;0,"Green","Red")</f>
        <v>Green</v>
      </c>
      <c r="Y253" t="str">
        <f>IF($J253+$K253&gt;1.5,"Green","Red")</f>
        <v>Green</v>
      </c>
      <c r="Z253" t="str">
        <f>IF($J253+$K253&gt;2.5,"Green","Red")</f>
        <v>Green</v>
      </c>
      <c r="AA253" t="str">
        <f>IF($J253+$K253&lt;2.5,"Green","Red")</f>
        <v>Red</v>
      </c>
      <c r="AB253" t="str">
        <f>IF($J253+$K253&lt;3.5,"Green","Red")</f>
        <v>Green</v>
      </c>
      <c r="AC253" t="str">
        <f>IF(AND($J253&gt;0,$K253&gt;0),"Green","Red")</f>
        <v>Green</v>
      </c>
      <c r="AD253" t="str">
        <f>IF(OR($J253=0,$K253=0),"Green","Red")</f>
        <v>Red</v>
      </c>
    </row>
    <row r="254" spans="1:30" x14ac:dyDescent="0.2">
      <c r="A254" t="str">
        <f>L254&amp;F254&amp;G254</f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>DAY(D254)&amp;"/"&amp;"07"&amp;"/"&amp;YEAR(D254)</f>
        <v>22/07/2026</v>
      </c>
      <c r="M254" s="23">
        <f>E254-TIME(3,0,0)</f>
        <v>0.27083333333333331</v>
      </c>
      <c r="N254" t="str">
        <f>J254&amp;" - "&amp;K254</f>
        <v>0 - 2</v>
      </c>
      <c r="O254" t="str">
        <f>IF($J254&gt;$K254,"Green","Red")</f>
        <v>Red</v>
      </c>
      <c r="P254" t="str">
        <f>IF($J254=$K254,"Green","Red")</f>
        <v>Red</v>
      </c>
      <c r="Q254" t="str">
        <f>IF($J254&lt;$K254,"Green","Red")</f>
        <v>Green</v>
      </c>
      <c r="R254" t="str">
        <f>IF($J254&gt;=$K254,"Green","Red")</f>
        <v>Red</v>
      </c>
      <c r="S254" t="str">
        <f>IF($J254&lt;=$K254,"Green","Red")</f>
        <v>Green</v>
      </c>
      <c r="T254" t="str">
        <f>IF(OR($J254&gt;$K254,$J254&lt;$K254),"Green","Red")</f>
        <v>Green</v>
      </c>
      <c r="U254" t="str">
        <f>IF($H254&gt;$I254,"Green","Red")</f>
        <v>Red</v>
      </c>
      <c r="V254" t="str">
        <f>IF($H254=$I254,"Green","Red")</f>
        <v>Green</v>
      </c>
      <c r="W254" t="str">
        <f>IF($H254&lt;$I254,"Green","Red")</f>
        <v>Red</v>
      </c>
      <c r="X254" t="str">
        <f>IF($H254+$I254&gt;0,"Green","Red")</f>
        <v>Red</v>
      </c>
      <c r="Y254" t="str">
        <f>IF($J254+$K254&gt;1.5,"Green","Red")</f>
        <v>Green</v>
      </c>
      <c r="Z254" t="str">
        <f>IF($J254+$K254&gt;2.5,"Green","Red")</f>
        <v>Red</v>
      </c>
      <c r="AA254" t="str">
        <f>IF($J254+$K254&lt;2.5,"Green","Red")</f>
        <v>Green</v>
      </c>
      <c r="AB254" t="str">
        <f>IF($J254+$K254&lt;3.5,"Green","Red")</f>
        <v>Green</v>
      </c>
      <c r="AC254" t="str">
        <f>IF(AND($J254&gt;0,$K254&gt;0),"Green","Red")</f>
        <v>Red</v>
      </c>
      <c r="AD254" t="str">
        <f>IF(OR($J254=0,$K254=0),"Green","Red")</f>
        <v>Green</v>
      </c>
    </row>
    <row r="255" spans="1:30" x14ac:dyDescent="0.2">
      <c r="A255" t="str">
        <f>L255&amp;F255&amp;G255</f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>DAY(D255)&amp;"/"&amp;"07"&amp;"/"&amp;YEAR(D255)</f>
        <v>22/07/2026</v>
      </c>
      <c r="M255" s="23">
        <f>E255-TIME(3,0,0)</f>
        <v>0.27083333333333331</v>
      </c>
      <c r="N255" t="str">
        <f>J255&amp;" - "&amp;K255</f>
        <v>1 - 2</v>
      </c>
      <c r="O255" t="str">
        <f>IF($J255&gt;$K255,"Green","Red")</f>
        <v>Red</v>
      </c>
      <c r="P255" t="str">
        <f>IF($J255=$K255,"Green","Red")</f>
        <v>Red</v>
      </c>
      <c r="Q255" t="str">
        <f>IF($J255&lt;$K255,"Green","Red")</f>
        <v>Green</v>
      </c>
      <c r="R255" t="str">
        <f>IF($J255&gt;=$K255,"Green","Red")</f>
        <v>Red</v>
      </c>
      <c r="S255" t="str">
        <f>IF($J255&lt;=$K255,"Green","Red")</f>
        <v>Green</v>
      </c>
      <c r="T255" t="str">
        <f>IF(OR($J255&gt;$K255,$J255&lt;$K255),"Green","Red")</f>
        <v>Green</v>
      </c>
      <c r="U255" t="str">
        <f>IF($H255&gt;$I255,"Green","Red")</f>
        <v>Red</v>
      </c>
      <c r="V255" t="str">
        <f>IF($H255=$I255,"Green","Red")</f>
        <v>Green</v>
      </c>
      <c r="W255" t="str">
        <f>IF($H255&lt;$I255,"Green","Red")</f>
        <v>Red</v>
      </c>
      <c r="X255" t="str">
        <f>IF($H255+$I255&gt;0,"Green","Red")</f>
        <v>Red</v>
      </c>
      <c r="Y255" t="str">
        <f>IF($J255+$K255&gt;1.5,"Green","Red")</f>
        <v>Green</v>
      </c>
      <c r="Z255" t="str">
        <f>IF($J255+$K255&gt;2.5,"Green","Red")</f>
        <v>Green</v>
      </c>
      <c r="AA255" t="str">
        <f>IF($J255+$K255&lt;2.5,"Green","Red")</f>
        <v>Red</v>
      </c>
      <c r="AB255" t="str">
        <f>IF($J255+$K255&lt;3.5,"Green","Red")</f>
        <v>Green</v>
      </c>
      <c r="AC255" t="str">
        <f>IF(AND($J255&gt;0,$K255&gt;0),"Green","Red")</f>
        <v>Green</v>
      </c>
      <c r="AD255" t="str">
        <f>IF(OR($J255=0,$K255=0),"Green","Red")</f>
        <v>Red</v>
      </c>
    </row>
    <row r="256" spans="1:30" x14ac:dyDescent="0.2">
      <c r="A256" t="str">
        <f>L256&amp;F256&amp;G256</f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>DAY(D256)&amp;"/"&amp;"07"&amp;"/"&amp;YEAR(D256)</f>
        <v>22/07/2026</v>
      </c>
      <c r="M256" s="23">
        <f>E256-TIME(3,0,0)</f>
        <v>0.27083333333333331</v>
      </c>
      <c r="N256" t="str">
        <f>J256&amp;" - "&amp;K256</f>
        <v>1 - 1</v>
      </c>
      <c r="O256" t="str">
        <f>IF($J256&gt;$K256,"Green","Red")</f>
        <v>Red</v>
      </c>
      <c r="P256" t="str">
        <f>IF($J256=$K256,"Green","Red")</f>
        <v>Green</v>
      </c>
      <c r="Q256" t="str">
        <f>IF($J256&lt;$K256,"Green","Red")</f>
        <v>Red</v>
      </c>
      <c r="R256" t="str">
        <f>IF($J256&gt;=$K256,"Green","Red")</f>
        <v>Green</v>
      </c>
      <c r="S256" t="str">
        <f>IF($J256&lt;=$K256,"Green","Red")</f>
        <v>Green</v>
      </c>
      <c r="T256" t="str">
        <f>IF(OR($J256&gt;$K256,$J256&lt;$K256),"Green","Red")</f>
        <v>Red</v>
      </c>
      <c r="U256" t="str">
        <f>IF($H256&gt;$I256,"Green","Red")</f>
        <v>Red</v>
      </c>
      <c r="V256" t="str">
        <f>IF($H256=$I256,"Green","Red")</f>
        <v>Green</v>
      </c>
      <c r="W256" t="str">
        <f>IF($H256&lt;$I256,"Green","Red")</f>
        <v>Red</v>
      </c>
      <c r="X256" t="str">
        <f>IF($H256+$I256&gt;0,"Green","Red")</f>
        <v>Red</v>
      </c>
      <c r="Y256" t="str">
        <f>IF($J256+$K256&gt;1.5,"Green","Red")</f>
        <v>Green</v>
      </c>
      <c r="Z256" t="str">
        <f>IF($J256+$K256&gt;2.5,"Green","Red")</f>
        <v>Red</v>
      </c>
      <c r="AA256" t="str">
        <f>IF($J256+$K256&lt;2.5,"Green","Red")</f>
        <v>Green</v>
      </c>
      <c r="AB256" t="str">
        <f>IF($J256+$K256&lt;3.5,"Green","Red")</f>
        <v>Green</v>
      </c>
      <c r="AC256" t="str">
        <f>IF(AND($J256&gt;0,$K256&gt;0),"Green","Red")</f>
        <v>Green</v>
      </c>
      <c r="AD256" t="str">
        <f>IF(OR($J256=0,$K256=0),"Green","Red")</f>
        <v>Red</v>
      </c>
    </row>
    <row r="257" spans="1:30" x14ac:dyDescent="0.2">
      <c r="A257" t="str">
        <f>L257&amp;F257&amp;G257</f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>DAY(D257)&amp;"/"&amp;"07"&amp;"/"&amp;YEAR(D257)</f>
        <v>22/07/2026</v>
      </c>
      <c r="M257" s="23">
        <f>E257-TIME(3,0,0)</f>
        <v>0.29166666666666669</v>
      </c>
      <c r="N257" t="str">
        <f>J257&amp;" - "&amp;K257</f>
        <v>0 - 3</v>
      </c>
      <c r="O257" t="str">
        <f>IF($J257&gt;$K257,"Green","Red")</f>
        <v>Red</v>
      </c>
      <c r="P257" t="str">
        <f>IF($J257=$K257,"Green","Red")</f>
        <v>Red</v>
      </c>
      <c r="Q257" t="str">
        <f>IF($J257&lt;$K257,"Green","Red")</f>
        <v>Green</v>
      </c>
      <c r="R257" t="str">
        <f>IF($J257&gt;=$K257,"Green","Red")</f>
        <v>Red</v>
      </c>
      <c r="S257" t="str">
        <f>IF($J257&lt;=$K257,"Green","Red")</f>
        <v>Green</v>
      </c>
      <c r="T257" t="str">
        <f>IF(OR($J257&gt;$K257,$J257&lt;$K257),"Green","Red")</f>
        <v>Green</v>
      </c>
      <c r="U257" t="str">
        <f>IF($H257&gt;$I257,"Green","Red")</f>
        <v>Red</v>
      </c>
      <c r="V257" t="str">
        <f>IF($H257=$I257,"Green","Red")</f>
        <v>Red</v>
      </c>
      <c r="W257" t="str">
        <f>IF($H257&lt;$I257,"Green","Red")</f>
        <v>Green</v>
      </c>
      <c r="X257" t="str">
        <f>IF($H257+$I257&gt;0,"Green","Red")</f>
        <v>Green</v>
      </c>
      <c r="Y257" t="str">
        <f>IF($J257+$K257&gt;1.5,"Green","Red")</f>
        <v>Green</v>
      </c>
      <c r="Z257" t="str">
        <f>IF($J257+$K257&gt;2.5,"Green","Red")</f>
        <v>Green</v>
      </c>
      <c r="AA257" t="str">
        <f>IF($J257+$K257&lt;2.5,"Green","Red")</f>
        <v>Red</v>
      </c>
      <c r="AB257" t="str">
        <f>IF($J257+$K257&lt;3.5,"Green","Red")</f>
        <v>Green</v>
      </c>
      <c r="AC257" t="str">
        <f>IF(AND($J257&gt;0,$K257&gt;0),"Green","Red")</f>
        <v>Red</v>
      </c>
      <c r="AD257" t="str">
        <f>IF(OR($J257=0,$K257=0),"Green","Red")</f>
        <v>Green</v>
      </c>
    </row>
    <row r="258" spans="1:30" x14ac:dyDescent="0.2">
      <c r="A258" t="str">
        <f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>DAY(D258)&amp;"/"&amp;"07"&amp;"/"&amp;YEAR(D258)</f>
        <v>22/07/2026</v>
      </c>
      <c r="M258" s="23">
        <f>E258-TIME(3,0,0)</f>
        <v>0.29166666666666669</v>
      </c>
      <c r="N258" t="str">
        <f>J258&amp;" - "&amp;K258</f>
        <v>0 - 0</v>
      </c>
      <c r="O258" t="str">
        <f>IF($J258&gt;$K258,"Green","Red")</f>
        <v>Red</v>
      </c>
      <c r="P258" t="str">
        <f>IF($J258=$K258,"Green","Red")</f>
        <v>Green</v>
      </c>
      <c r="Q258" t="str">
        <f>IF($J258&lt;$K258,"Green","Red")</f>
        <v>Red</v>
      </c>
      <c r="R258" t="str">
        <f>IF($J258&gt;=$K258,"Green","Red")</f>
        <v>Green</v>
      </c>
      <c r="S258" t="str">
        <f>IF($J258&lt;=$K258,"Green","Red")</f>
        <v>Green</v>
      </c>
      <c r="T258" t="str">
        <f>IF(OR($J258&gt;$K258,$J258&lt;$K258),"Green","Red")</f>
        <v>Red</v>
      </c>
      <c r="U258" t="str">
        <f>IF($H258&gt;$I258,"Green","Red")</f>
        <v>Red</v>
      </c>
      <c r="V258" t="str">
        <f>IF($H258=$I258,"Green","Red")</f>
        <v>Green</v>
      </c>
      <c r="W258" t="str">
        <f>IF($H258&lt;$I258,"Green","Red")</f>
        <v>Red</v>
      </c>
      <c r="X258" t="str">
        <f>IF($H258+$I258&gt;0,"Green","Red")</f>
        <v>Red</v>
      </c>
      <c r="Y258" t="str">
        <f>IF($J258+$K258&gt;1.5,"Green","Red")</f>
        <v>Red</v>
      </c>
      <c r="Z258" t="str">
        <f>IF($J258+$K258&gt;2.5,"Green","Red")</f>
        <v>Red</v>
      </c>
      <c r="AA258" t="str">
        <f>IF($J258+$K258&lt;2.5,"Green","Red")</f>
        <v>Green</v>
      </c>
      <c r="AB258" t="str">
        <f>IF($J258+$K258&lt;3.5,"Green","Red")</f>
        <v>Green</v>
      </c>
      <c r="AC258" t="str">
        <f>IF(AND($J258&gt;0,$K258&gt;0),"Green","Red")</f>
        <v>Red</v>
      </c>
      <c r="AD258" t="str">
        <f>IF(OR($J258=0,$K258=0),"Green","Red")</f>
        <v>Green</v>
      </c>
    </row>
    <row r="259" spans="1:30" x14ac:dyDescent="0.2">
      <c r="A259" t="str">
        <f>L259&amp;F259&amp;G259</f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>DAY(D259)&amp;"/"&amp;"07"&amp;"/"&amp;YEAR(D259)</f>
        <v>22/07/2026</v>
      </c>
      <c r="M259" s="23">
        <f>E259-TIME(3,0,0)</f>
        <v>0.29166666666666669</v>
      </c>
      <c r="N259" t="str">
        <f>J259&amp;" - "&amp;K259</f>
        <v>3 - 0</v>
      </c>
      <c r="O259" t="str">
        <f>IF($J259&gt;$K259,"Green","Red")</f>
        <v>Green</v>
      </c>
      <c r="P259" t="str">
        <f>IF($J259=$K259,"Green","Red")</f>
        <v>Red</v>
      </c>
      <c r="Q259" t="str">
        <f>IF($J259&lt;$K259,"Green","Red")</f>
        <v>Red</v>
      </c>
      <c r="R259" t="str">
        <f>IF($J259&gt;=$K259,"Green","Red")</f>
        <v>Green</v>
      </c>
      <c r="S259" t="str">
        <f>IF($J259&lt;=$K259,"Green","Red")</f>
        <v>Red</v>
      </c>
      <c r="T259" t="str">
        <f>IF(OR($J259&gt;$K259,$J259&lt;$K259),"Green","Red")</f>
        <v>Green</v>
      </c>
      <c r="U259" t="str">
        <f>IF($H259&gt;$I259,"Green","Red")</f>
        <v>Green</v>
      </c>
      <c r="V259" t="str">
        <f>IF($H259=$I259,"Green","Red")</f>
        <v>Red</v>
      </c>
      <c r="W259" t="str">
        <f>IF($H259&lt;$I259,"Green","Red")</f>
        <v>Red</v>
      </c>
      <c r="X259" t="str">
        <f>IF($H259+$I259&gt;0,"Green","Red")</f>
        <v>Green</v>
      </c>
      <c r="Y259" t="str">
        <f>IF($J259+$K259&gt;1.5,"Green","Red")</f>
        <v>Green</v>
      </c>
      <c r="Z259" t="str">
        <f>IF($J259+$K259&gt;2.5,"Green","Red")</f>
        <v>Green</v>
      </c>
      <c r="AA259" t="str">
        <f>IF($J259+$K259&lt;2.5,"Green","Red")</f>
        <v>Red</v>
      </c>
      <c r="AB259" t="str">
        <f>IF($J259+$K259&lt;3.5,"Green","Red")</f>
        <v>Green</v>
      </c>
      <c r="AC259" t="str">
        <f>IF(AND($J259&gt;0,$K259&gt;0),"Green","Red")</f>
        <v>Red</v>
      </c>
      <c r="AD259" t="str">
        <f>IF(OR($J259=0,$K259=0),"Green","Red")</f>
        <v>Green</v>
      </c>
    </row>
    <row r="260" spans="1:30" x14ac:dyDescent="0.2">
      <c r="A260" t="str">
        <f>L260&amp;F260&amp;G260</f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>DAY(D260)&amp;"/"&amp;"07"&amp;"/"&amp;YEAR(D260)</f>
        <v>22/07/2026</v>
      </c>
      <c r="M260" s="23">
        <f>E260-TIME(3,0,0)</f>
        <v>0.30208333333333331</v>
      </c>
      <c r="N260" t="str">
        <f>J260&amp;" - "&amp;K260</f>
        <v>4 - 2</v>
      </c>
      <c r="O260" t="str">
        <f>IF($J260&gt;$K260,"Green","Red")</f>
        <v>Green</v>
      </c>
      <c r="P260" t="str">
        <f>IF($J260=$K260,"Green","Red")</f>
        <v>Red</v>
      </c>
      <c r="Q260" t="str">
        <f>IF($J260&lt;$K260,"Green","Red")</f>
        <v>Red</v>
      </c>
      <c r="R260" t="str">
        <f>IF($J260&gt;=$K260,"Green","Red")</f>
        <v>Green</v>
      </c>
      <c r="S260" t="str">
        <f>IF($J260&lt;=$K260,"Green","Red")</f>
        <v>Red</v>
      </c>
      <c r="T260" t="str">
        <f>IF(OR($J260&gt;$K260,$J260&lt;$K260),"Green","Red")</f>
        <v>Green</v>
      </c>
      <c r="U260" t="str">
        <f>IF($H260&gt;$I260,"Green","Red")</f>
        <v>Green</v>
      </c>
      <c r="V260" t="str">
        <f>IF($H260=$I260,"Green","Red")</f>
        <v>Red</v>
      </c>
      <c r="W260" t="str">
        <f>IF($H260&lt;$I260,"Green","Red")</f>
        <v>Red</v>
      </c>
      <c r="X260" t="str">
        <f>IF($H260+$I260&gt;0,"Green","Red")</f>
        <v>Green</v>
      </c>
      <c r="Y260" t="str">
        <f>IF($J260+$K260&gt;1.5,"Green","Red")</f>
        <v>Green</v>
      </c>
      <c r="Z260" t="str">
        <f>IF($J260+$K260&gt;2.5,"Green","Red")</f>
        <v>Green</v>
      </c>
      <c r="AA260" t="str">
        <f>IF($J260+$K260&lt;2.5,"Green","Red")</f>
        <v>Red</v>
      </c>
      <c r="AB260" t="str">
        <f>IF($J260+$K260&lt;3.5,"Green","Red")</f>
        <v>Red</v>
      </c>
      <c r="AC260" t="str">
        <f>IF(AND($J260&gt;0,$K260&gt;0),"Green","Red")</f>
        <v>Green</v>
      </c>
      <c r="AD260" t="str">
        <f>IF(OR($J260=0,$K260=0),"Green","Red")</f>
        <v>Red</v>
      </c>
    </row>
    <row r="261" spans="1:30" x14ac:dyDescent="0.2">
      <c r="A261" t="str">
        <f>L261&amp;F261&amp;G261</f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>DAY(D261)&amp;"/"&amp;"07"&amp;"/"&amp;YEAR(D261)</f>
        <v>22/07/2026</v>
      </c>
      <c r="M261" s="23">
        <f>E261-TIME(3,0,0)</f>
        <v>0.3125</v>
      </c>
      <c r="N261" t="str">
        <f>J261&amp;" - "&amp;K261</f>
        <v>2 - 3</v>
      </c>
      <c r="O261" t="str">
        <f>IF($J261&gt;$K261,"Green","Red")</f>
        <v>Red</v>
      </c>
      <c r="P261" t="str">
        <f>IF($J261=$K261,"Green","Red")</f>
        <v>Red</v>
      </c>
      <c r="Q261" t="str">
        <f>IF($J261&lt;$K261,"Green","Red")</f>
        <v>Green</v>
      </c>
      <c r="R261" t="str">
        <f>IF($J261&gt;=$K261,"Green","Red")</f>
        <v>Red</v>
      </c>
      <c r="S261" t="str">
        <f>IF($J261&lt;=$K261,"Green","Red")</f>
        <v>Green</v>
      </c>
      <c r="T261" t="str">
        <f>IF(OR($J261&gt;$K261,$J261&lt;$K261),"Green","Red")</f>
        <v>Green</v>
      </c>
      <c r="U261" t="str">
        <f>IF($H261&gt;$I261,"Green","Red")</f>
        <v>Red</v>
      </c>
      <c r="V261" t="str">
        <f>IF($H261=$I261,"Green","Red")</f>
        <v>Green</v>
      </c>
      <c r="W261" t="str">
        <f>IF($H261&lt;$I261,"Green","Red")</f>
        <v>Red</v>
      </c>
      <c r="X261" t="str">
        <f>IF($H261+$I261&gt;0,"Green","Red")</f>
        <v>Green</v>
      </c>
      <c r="Y261" t="str">
        <f>IF($J261+$K261&gt;1.5,"Green","Red")</f>
        <v>Green</v>
      </c>
      <c r="Z261" t="str">
        <f>IF($J261+$K261&gt;2.5,"Green","Red")</f>
        <v>Green</v>
      </c>
      <c r="AA261" t="str">
        <f>IF($J261+$K261&lt;2.5,"Green","Red")</f>
        <v>Red</v>
      </c>
      <c r="AB261" t="str">
        <f>IF($J261+$K261&lt;3.5,"Green","Red")</f>
        <v>Red</v>
      </c>
      <c r="AC261" t="str">
        <f>IF(AND($J261&gt;0,$K261&gt;0),"Green","Red")</f>
        <v>Green</v>
      </c>
      <c r="AD261" t="str">
        <f>IF(OR($J261=0,$K261=0),"Green","Red")</f>
        <v>Red</v>
      </c>
    </row>
    <row r="262" spans="1:30" x14ac:dyDescent="0.2">
      <c r="A262" t="str">
        <f>L262&amp;F262&amp;G262</f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>DAY(D262)&amp;"/"&amp;"07"&amp;"/"&amp;YEAR(D262)</f>
        <v>22/07/2026</v>
      </c>
      <c r="M262" s="23">
        <f>E262-TIME(3,0,0)</f>
        <v>0.3125</v>
      </c>
      <c r="N262" t="str">
        <f>J262&amp;" - "&amp;K262</f>
        <v>3 - 1</v>
      </c>
      <c r="O262" t="str">
        <f>IF($J262&gt;$K262,"Green","Red")</f>
        <v>Green</v>
      </c>
      <c r="P262" t="str">
        <f>IF($J262=$K262,"Green","Red")</f>
        <v>Red</v>
      </c>
      <c r="Q262" t="str">
        <f>IF($J262&lt;$K262,"Green","Red")</f>
        <v>Red</v>
      </c>
      <c r="R262" t="str">
        <f>IF($J262&gt;=$K262,"Green","Red")</f>
        <v>Green</v>
      </c>
      <c r="S262" t="str">
        <f>IF($J262&lt;=$K262,"Green","Red")</f>
        <v>Red</v>
      </c>
      <c r="T262" t="str">
        <f>IF(OR($J262&gt;$K262,$J262&lt;$K262),"Green","Red")</f>
        <v>Green</v>
      </c>
      <c r="U262" t="str">
        <f>IF($H262&gt;$I262,"Green","Red")</f>
        <v>Green</v>
      </c>
      <c r="V262" t="str">
        <f>IF($H262=$I262,"Green","Red")</f>
        <v>Red</v>
      </c>
      <c r="W262" t="str">
        <f>IF($H262&lt;$I262,"Green","Red")</f>
        <v>Red</v>
      </c>
      <c r="X262" t="str">
        <f>IF($H262+$I262&gt;0,"Green","Red")</f>
        <v>Green</v>
      </c>
      <c r="Y262" t="str">
        <f>IF($J262+$K262&gt;1.5,"Green","Red")</f>
        <v>Green</v>
      </c>
      <c r="Z262" t="str">
        <f>IF($J262+$K262&gt;2.5,"Green","Red")</f>
        <v>Green</v>
      </c>
      <c r="AA262" t="str">
        <f>IF($J262+$K262&lt;2.5,"Green","Red")</f>
        <v>Red</v>
      </c>
      <c r="AB262" t="str">
        <f>IF($J262+$K262&lt;3.5,"Green","Red")</f>
        <v>Red</v>
      </c>
      <c r="AC262" t="str">
        <f>IF(AND($J262&gt;0,$K262&gt;0),"Green","Red")</f>
        <v>Green</v>
      </c>
      <c r="AD262" t="str">
        <f>IF(OR($J262=0,$K262=0),"Green","Red")</f>
        <v>Red</v>
      </c>
    </row>
    <row r="263" spans="1:30" x14ac:dyDescent="0.2">
      <c r="A263" t="str">
        <f>L263&amp;F263&amp;G263</f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>DAY(D263)&amp;"/"&amp;"07"&amp;"/"&amp;YEAR(D263)</f>
        <v>22/07/2026</v>
      </c>
      <c r="M263" s="23">
        <f>E263-TIME(3,0,0)</f>
        <v>0.3125</v>
      </c>
      <c r="N263" t="str">
        <f>J263&amp;" - "&amp;K263</f>
        <v>1 - 1</v>
      </c>
      <c r="O263" t="str">
        <f>IF($J263&gt;$K263,"Green","Red")</f>
        <v>Red</v>
      </c>
      <c r="P263" t="str">
        <f>IF($J263=$K263,"Green","Red")</f>
        <v>Green</v>
      </c>
      <c r="Q263" t="str">
        <f>IF($J263&lt;$K263,"Green","Red")</f>
        <v>Red</v>
      </c>
      <c r="R263" t="str">
        <f>IF($J263&gt;=$K263,"Green","Red")</f>
        <v>Green</v>
      </c>
      <c r="S263" t="str">
        <f>IF($J263&lt;=$K263,"Green","Red")</f>
        <v>Green</v>
      </c>
      <c r="T263" t="str">
        <f>IF(OR($J263&gt;$K263,$J263&lt;$K263),"Green","Red")</f>
        <v>Red</v>
      </c>
      <c r="U263" t="str">
        <f>IF($H263&gt;$I263,"Green","Red")</f>
        <v>Red</v>
      </c>
      <c r="V263" t="str">
        <f>IF($H263=$I263,"Green","Red")</f>
        <v>Green</v>
      </c>
      <c r="W263" t="str">
        <f>IF($H263&lt;$I263,"Green","Red")</f>
        <v>Red</v>
      </c>
      <c r="X263" t="str">
        <f>IF($H263+$I263&gt;0,"Green","Red")</f>
        <v>Green</v>
      </c>
      <c r="Y263" t="str">
        <f>IF($J263+$K263&gt;1.5,"Green","Red")</f>
        <v>Green</v>
      </c>
      <c r="Z263" t="str">
        <f>IF($J263+$K263&gt;2.5,"Green","Red")</f>
        <v>Red</v>
      </c>
      <c r="AA263" t="str">
        <f>IF($J263+$K263&lt;2.5,"Green","Red")</f>
        <v>Green</v>
      </c>
      <c r="AB263" t="str">
        <f>IF($J263+$K263&lt;3.5,"Green","Red")</f>
        <v>Green</v>
      </c>
      <c r="AC263" t="str">
        <f>IF(AND($J263&gt;0,$K263&gt;0),"Green","Red")</f>
        <v>Green</v>
      </c>
      <c r="AD263" t="str">
        <f>IF(OR($J263=0,$K263=0),"Green","Red")</f>
        <v>Red</v>
      </c>
    </row>
    <row r="264" spans="1:30" x14ac:dyDescent="0.2">
      <c r="A264" t="str">
        <f>L264&amp;F264&amp;G264</f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>DAY(D264)&amp;"/"&amp;"07"&amp;"/"&amp;YEAR(D264)</f>
        <v>22/07/2026</v>
      </c>
      <c r="M264" s="23">
        <f>E264-TIME(3,0,0)</f>
        <v>0.33333333333333331</v>
      </c>
      <c r="N264" t="str">
        <f>J264&amp;" - "&amp;K264</f>
        <v xml:space="preserve"> - </v>
      </c>
      <c r="O264" t="str">
        <f>IF($J264&gt;$K264,"Green","Red")</f>
        <v>Red</v>
      </c>
      <c r="P264" t="str">
        <f>IF($J264=$K264,"Green","Red")</f>
        <v>Green</v>
      </c>
      <c r="Q264" t="str">
        <f>IF($J264&lt;$K264,"Green","Red")</f>
        <v>Red</v>
      </c>
      <c r="R264" t="str">
        <f>IF($J264&gt;=$K264,"Green","Red")</f>
        <v>Green</v>
      </c>
      <c r="S264" t="str">
        <f>IF($J264&lt;=$K264,"Green","Red")</f>
        <v>Green</v>
      </c>
      <c r="T264" t="str">
        <f>IF(OR($J264&gt;$K264,$J264&lt;$K264),"Green","Red")</f>
        <v>Red</v>
      </c>
      <c r="U264" t="str">
        <f>IF($H264&gt;$I264,"Green","Red")</f>
        <v>Red</v>
      </c>
      <c r="V264" t="str">
        <f>IF($H264=$I264,"Green","Red")</f>
        <v>Green</v>
      </c>
      <c r="W264" t="str">
        <f>IF($H264&lt;$I264,"Green","Red")</f>
        <v>Red</v>
      </c>
      <c r="X264" t="str">
        <f>IF($H264+$I264&gt;0,"Green","Red")</f>
        <v>Red</v>
      </c>
      <c r="Y264" t="str">
        <f>IF($J264+$K264&gt;1.5,"Green","Red")</f>
        <v>Red</v>
      </c>
      <c r="Z264" t="str">
        <f>IF($J264+$K264&gt;2.5,"Green","Red")</f>
        <v>Red</v>
      </c>
      <c r="AA264" t="str">
        <f>IF($J264+$K264&lt;2.5,"Green","Red")</f>
        <v>Green</v>
      </c>
      <c r="AB264" t="str">
        <f>IF($J264+$K264&lt;3.5,"Green","Red")</f>
        <v>Green</v>
      </c>
      <c r="AC264" t="str">
        <f>IF(AND($J264&gt;0,$K264&gt;0),"Green","Red")</f>
        <v>Red</v>
      </c>
      <c r="AD264" t="str">
        <f>IF(OR($J264=0,$K264=0),"Green","Red")</f>
        <v>Green</v>
      </c>
    </row>
    <row r="265" spans="1:30" x14ac:dyDescent="0.2">
      <c r="A265" t="str">
        <f>L265&amp;F265&amp;G265</f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>DAY(D265)&amp;"/"&amp;"07"&amp;"/"&amp;YEAR(D265)</f>
        <v>22/07/2026</v>
      </c>
      <c r="M265" s="23">
        <f>E265-TIME(3,0,0)</f>
        <v>0.375</v>
      </c>
      <c r="N265" t="str">
        <f>J265&amp;" - "&amp;K265</f>
        <v>2 - 0</v>
      </c>
      <c r="O265" t="str">
        <f>IF($J265&gt;$K265,"Green","Red")</f>
        <v>Green</v>
      </c>
      <c r="P265" t="str">
        <f>IF($J265=$K265,"Green","Red")</f>
        <v>Red</v>
      </c>
      <c r="Q265" t="str">
        <f>IF($J265&lt;$K265,"Green","Red")</f>
        <v>Red</v>
      </c>
      <c r="R265" t="str">
        <f>IF($J265&gt;=$K265,"Green","Red")</f>
        <v>Green</v>
      </c>
      <c r="S265" t="str">
        <f>IF($J265&lt;=$K265,"Green","Red")</f>
        <v>Red</v>
      </c>
      <c r="T265" t="str">
        <f>IF(OR($J265&gt;$K265,$J265&lt;$K265),"Green","Red")</f>
        <v>Green</v>
      </c>
      <c r="U265" t="str">
        <f>IF($H265&gt;$I265,"Green","Red")</f>
        <v>Red</v>
      </c>
      <c r="V265" t="str">
        <f>IF($H265=$I265,"Green","Red")</f>
        <v>Green</v>
      </c>
      <c r="W265" t="str">
        <f>IF($H265&lt;$I265,"Green","Red")</f>
        <v>Red</v>
      </c>
      <c r="X265" t="str">
        <f>IF($H265+$I265&gt;0,"Green","Red")</f>
        <v>Red</v>
      </c>
      <c r="Y265" t="str">
        <f>IF($J265+$K265&gt;1.5,"Green","Red")</f>
        <v>Green</v>
      </c>
      <c r="Z265" t="str">
        <f>IF($J265+$K265&gt;2.5,"Green","Red")</f>
        <v>Red</v>
      </c>
      <c r="AA265" t="str">
        <f>IF($J265+$K265&lt;2.5,"Green","Red")</f>
        <v>Green</v>
      </c>
      <c r="AB265" t="str">
        <f>IF($J265+$K265&lt;3.5,"Green","Red")</f>
        <v>Green</v>
      </c>
      <c r="AC265" t="str">
        <f>IF(AND($J265&gt;0,$K265&gt;0),"Green","Red")</f>
        <v>Red</v>
      </c>
      <c r="AD265" t="str">
        <f>IF(OR($J265=0,$K265=0),"Green","Red")</f>
        <v>Green</v>
      </c>
    </row>
    <row r="266" spans="1:30" x14ac:dyDescent="0.2">
      <c r="A266" t="str">
        <f>L266&amp;F266&amp;G266</f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>DAY(D266)&amp;"/"&amp;"07"&amp;"/"&amp;YEAR(D266)</f>
        <v>22/07/2026</v>
      </c>
      <c r="M266" s="23">
        <f>E266-TIME(3,0,0)</f>
        <v>0.375</v>
      </c>
      <c r="N266" t="str">
        <f>J266&amp;" - "&amp;K266</f>
        <v>1 - 4</v>
      </c>
      <c r="O266" t="str">
        <f>IF($J266&gt;$K266,"Green","Red")</f>
        <v>Red</v>
      </c>
      <c r="P266" t="str">
        <f>IF($J266=$K266,"Green","Red")</f>
        <v>Red</v>
      </c>
      <c r="Q266" t="str">
        <f>IF($J266&lt;$K266,"Green","Red")</f>
        <v>Green</v>
      </c>
      <c r="R266" t="str">
        <f>IF($J266&gt;=$K266,"Green","Red")</f>
        <v>Red</v>
      </c>
      <c r="S266" t="str">
        <f>IF($J266&lt;=$K266,"Green","Red")</f>
        <v>Green</v>
      </c>
      <c r="T266" t="str">
        <f>IF(OR($J266&gt;$K266,$J266&lt;$K266),"Green","Red")</f>
        <v>Green</v>
      </c>
      <c r="U266" t="str">
        <f>IF($H266&gt;$I266,"Green","Red")</f>
        <v>Red</v>
      </c>
      <c r="V266" t="str">
        <f>IF($H266=$I266,"Green","Red")</f>
        <v>Red</v>
      </c>
      <c r="W266" t="str">
        <f>IF($H266&lt;$I266,"Green","Red")</f>
        <v>Green</v>
      </c>
      <c r="X266" t="str">
        <f>IF($H266+$I266&gt;0,"Green","Red")</f>
        <v>Green</v>
      </c>
      <c r="Y266" t="str">
        <f>IF($J266+$K266&gt;1.5,"Green","Red")</f>
        <v>Green</v>
      </c>
      <c r="Z266" t="str">
        <f>IF($J266+$K266&gt;2.5,"Green","Red")</f>
        <v>Green</v>
      </c>
      <c r="AA266" t="str">
        <f>IF($J266+$K266&lt;2.5,"Green","Red")</f>
        <v>Red</v>
      </c>
      <c r="AB266" t="str">
        <f>IF($J266+$K266&lt;3.5,"Green","Red")</f>
        <v>Red</v>
      </c>
      <c r="AC266" t="str">
        <f>IF(AND($J266&gt;0,$K266&gt;0),"Green","Red")</f>
        <v>Green</v>
      </c>
      <c r="AD266" t="str">
        <f>IF(OR($J266=0,$K266=0),"Green","Red")</f>
        <v>Red</v>
      </c>
    </row>
    <row r="267" spans="1:30" x14ac:dyDescent="0.2">
      <c r="A267" t="str">
        <f>L267&amp;F267&amp;G267</f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>DAY(D267)&amp;"/"&amp;"07"&amp;"/"&amp;YEAR(D267)</f>
        <v>22/07/2026</v>
      </c>
      <c r="M267" s="23">
        <f>E267-TIME(3,0,0)</f>
        <v>0.375</v>
      </c>
      <c r="N267" t="str">
        <f>J267&amp;" - "&amp;K267</f>
        <v>2 - 1</v>
      </c>
      <c r="O267" t="str">
        <f>IF($J267&gt;$K267,"Green","Red")</f>
        <v>Green</v>
      </c>
      <c r="P267" t="str">
        <f>IF($J267=$K267,"Green","Red")</f>
        <v>Red</v>
      </c>
      <c r="Q267" t="str">
        <f>IF($J267&lt;$K267,"Green","Red")</f>
        <v>Red</v>
      </c>
      <c r="R267" t="str">
        <f>IF($J267&gt;=$K267,"Green","Red")</f>
        <v>Green</v>
      </c>
      <c r="S267" t="str">
        <f>IF($J267&lt;=$K267,"Green","Red")</f>
        <v>Red</v>
      </c>
      <c r="T267" t="str">
        <f>IF(OR($J267&gt;$K267,$J267&lt;$K267),"Green","Red")</f>
        <v>Green</v>
      </c>
      <c r="U267" t="str">
        <f>IF($H267&gt;$I267,"Green","Red")</f>
        <v>Green</v>
      </c>
      <c r="V267" t="str">
        <f>IF($H267=$I267,"Green","Red")</f>
        <v>Red</v>
      </c>
      <c r="W267" t="str">
        <f>IF($H267&lt;$I267,"Green","Red")</f>
        <v>Red</v>
      </c>
      <c r="X267" t="str">
        <f>IF($H267+$I267&gt;0,"Green","Red")</f>
        <v>Green</v>
      </c>
      <c r="Y267" t="str">
        <f>IF($J267+$K267&gt;1.5,"Green","Red")</f>
        <v>Green</v>
      </c>
      <c r="Z267" t="str">
        <f>IF($J267+$K267&gt;2.5,"Green","Red")</f>
        <v>Green</v>
      </c>
      <c r="AA267" t="str">
        <f>IF($J267+$K267&lt;2.5,"Green","Red")</f>
        <v>Red</v>
      </c>
      <c r="AB267" t="str">
        <f>IF($J267+$K267&lt;3.5,"Green","Red")</f>
        <v>Green</v>
      </c>
      <c r="AC267" t="str">
        <f>IF(AND($J267&gt;0,$K267&gt;0),"Green","Red")</f>
        <v>Green</v>
      </c>
      <c r="AD267" t="str">
        <f>IF(OR($J267=0,$K267=0),"Green","Red")</f>
        <v>Red</v>
      </c>
    </row>
    <row r="268" spans="1:30" x14ac:dyDescent="0.2">
      <c r="A268" t="str">
        <f>L268&amp;F268&amp;G268</f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>DAY(D268)&amp;"/"&amp;"07"&amp;"/"&amp;YEAR(D268)</f>
        <v>22/07/2026</v>
      </c>
      <c r="M268" s="23">
        <f>E268-TIME(3,0,0)</f>
        <v>0.375</v>
      </c>
      <c r="N268" t="str">
        <f>J268&amp;" - "&amp;K268</f>
        <v>0 - 0</v>
      </c>
      <c r="O268" t="str">
        <f>IF($J268&gt;$K268,"Green","Red")</f>
        <v>Red</v>
      </c>
      <c r="P268" t="str">
        <f>IF($J268=$K268,"Green","Red")</f>
        <v>Green</v>
      </c>
      <c r="Q268" t="str">
        <f>IF($J268&lt;$K268,"Green","Red")</f>
        <v>Red</v>
      </c>
      <c r="R268" t="str">
        <f>IF($J268&gt;=$K268,"Green","Red")</f>
        <v>Green</v>
      </c>
      <c r="S268" t="str">
        <f>IF($J268&lt;=$K268,"Green","Red")</f>
        <v>Green</v>
      </c>
      <c r="T268" t="str">
        <f>IF(OR($J268&gt;$K268,$J268&lt;$K268),"Green","Red")</f>
        <v>Red</v>
      </c>
      <c r="U268" t="str">
        <f>IF($H268&gt;$I268,"Green","Red")</f>
        <v>Red</v>
      </c>
      <c r="V268" t="str">
        <f>IF($H268=$I268,"Green","Red")</f>
        <v>Green</v>
      </c>
      <c r="W268" t="str">
        <f>IF($H268&lt;$I268,"Green","Red")</f>
        <v>Red</v>
      </c>
      <c r="X268" t="str">
        <f>IF($H268+$I268&gt;0,"Green","Red")</f>
        <v>Red</v>
      </c>
      <c r="Y268" t="str">
        <f>IF($J268+$K268&gt;1.5,"Green","Red")</f>
        <v>Red</v>
      </c>
      <c r="Z268" t="str">
        <f>IF($J268+$K268&gt;2.5,"Green","Red")</f>
        <v>Red</v>
      </c>
      <c r="AA268" t="str">
        <f>IF($J268+$K268&lt;2.5,"Green","Red")</f>
        <v>Green</v>
      </c>
      <c r="AB268" t="str">
        <f>IF($J268+$K268&lt;3.5,"Green","Red")</f>
        <v>Green</v>
      </c>
      <c r="AC268" t="str">
        <f>IF(AND($J268&gt;0,$K268&gt;0),"Green","Red")</f>
        <v>Red</v>
      </c>
      <c r="AD268" t="str">
        <f>IF(OR($J268=0,$K268=0),"Green","Red")</f>
        <v>Green</v>
      </c>
    </row>
    <row r="269" spans="1:30" x14ac:dyDescent="0.2">
      <c r="A269" t="str">
        <f>L269&amp;F269&amp;G269</f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>DAY(D269)&amp;"/"&amp;"07"&amp;"/"&amp;YEAR(D269)</f>
        <v>22/07/2026</v>
      </c>
      <c r="M269" s="23">
        <f>E269-TIME(3,0,0)</f>
        <v>0.41666666666666663</v>
      </c>
      <c r="N269" t="str">
        <f>J269&amp;" - "&amp;K269</f>
        <v>1 - 0</v>
      </c>
      <c r="O269" t="str">
        <f>IF($J269&gt;$K269,"Green","Red")</f>
        <v>Green</v>
      </c>
      <c r="P269" t="str">
        <f>IF($J269=$K269,"Green","Red")</f>
        <v>Red</v>
      </c>
      <c r="Q269" t="str">
        <f>IF($J269&lt;$K269,"Green","Red")</f>
        <v>Red</v>
      </c>
      <c r="R269" t="str">
        <f>IF($J269&gt;=$K269,"Green","Red")</f>
        <v>Green</v>
      </c>
      <c r="S269" t="str">
        <f>IF($J269&lt;=$K269,"Green","Red")</f>
        <v>Red</v>
      </c>
      <c r="T269" t="str">
        <f>IF(OR($J269&gt;$K269,$J269&lt;$K269),"Green","Red")</f>
        <v>Green</v>
      </c>
      <c r="U269" t="str">
        <f>IF($H269&gt;$I269,"Green","Red")</f>
        <v>Red</v>
      </c>
      <c r="V269" t="str">
        <f>IF($H269=$I269,"Green","Red")</f>
        <v>Green</v>
      </c>
      <c r="W269" t="str">
        <f>IF($H269&lt;$I269,"Green","Red")</f>
        <v>Red</v>
      </c>
      <c r="X269" t="str">
        <f>IF($H269+$I269&gt;0,"Green","Red")</f>
        <v>Red</v>
      </c>
      <c r="Y269" t="str">
        <f>IF($J269+$K269&gt;1.5,"Green","Red")</f>
        <v>Red</v>
      </c>
      <c r="Z269" t="str">
        <f>IF($J269+$K269&gt;2.5,"Green","Red")</f>
        <v>Red</v>
      </c>
      <c r="AA269" t="str">
        <f>IF($J269+$K269&lt;2.5,"Green","Red")</f>
        <v>Green</v>
      </c>
      <c r="AB269" t="str">
        <f>IF($J269+$K269&lt;3.5,"Green","Red")</f>
        <v>Green</v>
      </c>
      <c r="AC269" t="str">
        <f>IF(AND($J269&gt;0,$K269&gt;0),"Green","Red")</f>
        <v>Red</v>
      </c>
      <c r="AD269" t="str">
        <f>IF(OR($J269=0,$K269=0),"Green","Red")</f>
        <v>Green</v>
      </c>
    </row>
    <row r="270" spans="1:30" x14ac:dyDescent="0.2">
      <c r="A270" t="str">
        <f>L270&amp;F270&amp;G270</f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>DAY(D270)&amp;"/"&amp;"07"&amp;"/"&amp;YEAR(D270)</f>
        <v>22/07/2026</v>
      </c>
      <c r="M270" s="23">
        <f>E270-TIME(3,0,0)</f>
        <v>0.41666666666666663</v>
      </c>
      <c r="N270" t="str">
        <f>J270&amp;" - "&amp;K270</f>
        <v>0 - 1</v>
      </c>
      <c r="O270" t="str">
        <f>IF($J270&gt;$K270,"Green","Red")</f>
        <v>Red</v>
      </c>
      <c r="P270" t="str">
        <f>IF($J270=$K270,"Green","Red")</f>
        <v>Red</v>
      </c>
      <c r="Q270" t="str">
        <f>IF($J270&lt;$K270,"Green","Red")</f>
        <v>Green</v>
      </c>
      <c r="R270" t="str">
        <f>IF($J270&gt;=$K270,"Green","Red")</f>
        <v>Red</v>
      </c>
      <c r="S270" t="str">
        <f>IF($J270&lt;=$K270,"Green","Red")</f>
        <v>Green</v>
      </c>
      <c r="T270" t="str">
        <f>IF(OR($J270&gt;$K270,$J270&lt;$K270),"Green","Red")</f>
        <v>Green</v>
      </c>
      <c r="U270" t="str">
        <f>IF($H270&gt;$I270,"Green","Red")</f>
        <v>Red</v>
      </c>
      <c r="V270" t="str">
        <f>IF($H270=$I270,"Green","Red")</f>
        <v>Green</v>
      </c>
      <c r="W270" t="str">
        <f>IF($H270&lt;$I270,"Green","Red")</f>
        <v>Red</v>
      </c>
      <c r="X270" t="str">
        <f>IF($H270+$I270&gt;0,"Green","Red")</f>
        <v>Red</v>
      </c>
      <c r="Y270" t="str">
        <f>IF($J270+$K270&gt;1.5,"Green","Red")</f>
        <v>Red</v>
      </c>
      <c r="Z270" t="str">
        <f>IF($J270+$K270&gt;2.5,"Green","Red")</f>
        <v>Red</v>
      </c>
      <c r="AA270" t="str">
        <f>IF($J270+$K270&lt;2.5,"Green","Red")</f>
        <v>Green</v>
      </c>
      <c r="AB270" t="str">
        <f>IF($J270+$K270&lt;3.5,"Green","Red")</f>
        <v>Green</v>
      </c>
      <c r="AC270" t="str">
        <f>IF(AND($J270&gt;0,$K270&gt;0),"Green","Red")</f>
        <v>Red</v>
      </c>
      <c r="AD270" t="str">
        <f>IF(OR($J270=0,$K270=0),"Green","Red")</f>
        <v>Green</v>
      </c>
    </row>
    <row r="271" spans="1:30" x14ac:dyDescent="0.2">
      <c r="A271" t="str">
        <f>L271&amp;F271&amp;G271</f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>DAY(D271)&amp;"/"&amp;"07"&amp;"/"&amp;YEAR(D271)</f>
        <v>22/07/2026</v>
      </c>
      <c r="M271" s="23">
        <f>E271-TIME(3,0,0)</f>
        <v>0.41666666666666663</v>
      </c>
      <c r="N271" t="str">
        <f>J271&amp;" - "&amp;K271</f>
        <v>2 - 1</v>
      </c>
      <c r="O271" t="str">
        <f>IF($J271&gt;$K271,"Green","Red")</f>
        <v>Green</v>
      </c>
      <c r="P271" t="str">
        <f>IF($J271=$K271,"Green","Red")</f>
        <v>Red</v>
      </c>
      <c r="Q271" t="str">
        <f>IF($J271&lt;$K271,"Green","Red")</f>
        <v>Red</v>
      </c>
      <c r="R271" t="str">
        <f>IF($J271&gt;=$K271,"Green","Red")</f>
        <v>Green</v>
      </c>
      <c r="S271" t="str">
        <f>IF($J271&lt;=$K271,"Green","Red")</f>
        <v>Red</v>
      </c>
      <c r="T271" t="str">
        <f>IF(OR($J271&gt;$K271,$J271&lt;$K271),"Green","Red")</f>
        <v>Green</v>
      </c>
      <c r="U271" t="str">
        <f>IF($H271&gt;$I271,"Green","Red")</f>
        <v>Red</v>
      </c>
      <c r="V271" t="str">
        <f>IF($H271=$I271,"Green","Red")</f>
        <v>Green</v>
      </c>
      <c r="W271" t="str">
        <f>IF($H271&lt;$I271,"Green","Red")</f>
        <v>Red</v>
      </c>
      <c r="X271" t="str">
        <f>IF($H271+$I271&gt;0,"Green","Red")</f>
        <v>Red</v>
      </c>
      <c r="Y271" t="str">
        <f>IF($J271+$K271&gt;1.5,"Green","Red")</f>
        <v>Green</v>
      </c>
      <c r="Z271" t="str">
        <f>IF($J271+$K271&gt;2.5,"Green","Red")</f>
        <v>Green</v>
      </c>
      <c r="AA271" t="str">
        <f>IF($J271+$K271&lt;2.5,"Green","Red")</f>
        <v>Red</v>
      </c>
      <c r="AB271" t="str">
        <f>IF($J271+$K271&lt;3.5,"Green","Red")</f>
        <v>Green</v>
      </c>
      <c r="AC271" t="str">
        <f>IF(AND($J271&gt;0,$K271&gt;0),"Green","Red")</f>
        <v>Green</v>
      </c>
      <c r="AD271" t="str">
        <f>IF(OR($J271=0,$K271=0),"Green","Red")</f>
        <v>Red</v>
      </c>
    </row>
    <row r="272" spans="1:30" x14ac:dyDescent="0.2">
      <c r="A272" t="str">
        <f>L272&amp;F272&amp;G272</f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>DAY(D272)&amp;"/"&amp;"07"&amp;"/"&amp;YEAR(D272)</f>
        <v>22/07/2026</v>
      </c>
      <c r="M272" s="23">
        <f>E272-TIME(3,0,0)</f>
        <v>0.41666666666666663</v>
      </c>
      <c r="N272" t="str">
        <f>J272&amp;" - "&amp;K272</f>
        <v>2 - 2</v>
      </c>
      <c r="O272" t="str">
        <f>IF($J272&gt;$K272,"Green","Red")</f>
        <v>Red</v>
      </c>
      <c r="P272" t="str">
        <f>IF($J272=$K272,"Green","Red")</f>
        <v>Green</v>
      </c>
      <c r="Q272" t="str">
        <f>IF($J272&lt;$K272,"Green","Red")</f>
        <v>Red</v>
      </c>
      <c r="R272" t="str">
        <f>IF($J272&gt;=$K272,"Green","Red")</f>
        <v>Green</v>
      </c>
      <c r="S272" t="str">
        <f>IF($J272&lt;=$K272,"Green","Red")</f>
        <v>Green</v>
      </c>
      <c r="T272" t="str">
        <f>IF(OR($J272&gt;$K272,$J272&lt;$K272),"Green","Red")</f>
        <v>Red</v>
      </c>
      <c r="U272" t="str">
        <f>IF($H272&gt;$I272,"Green","Red")</f>
        <v>Red</v>
      </c>
      <c r="V272" t="str">
        <f>IF($H272=$I272,"Green","Red")</f>
        <v>Green</v>
      </c>
      <c r="W272" t="str">
        <f>IF($H272&lt;$I272,"Green","Red")</f>
        <v>Red</v>
      </c>
      <c r="X272" t="str">
        <f>IF($H272+$I272&gt;0,"Green","Red")</f>
        <v>Red</v>
      </c>
      <c r="Y272" t="str">
        <f>IF($J272+$K272&gt;1.5,"Green","Red")</f>
        <v>Green</v>
      </c>
      <c r="Z272" t="str">
        <f>IF($J272+$K272&gt;2.5,"Green","Red")</f>
        <v>Green</v>
      </c>
      <c r="AA272" t="str">
        <f>IF($J272+$K272&lt;2.5,"Green","Red")</f>
        <v>Red</v>
      </c>
      <c r="AB272" t="str">
        <f>IF($J272+$K272&lt;3.5,"Green","Red")</f>
        <v>Red</v>
      </c>
      <c r="AC272" t="str">
        <f>IF(AND($J272&gt;0,$K272&gt;0),"Green","Red")</f>
        <v>Green</v>
      </c>
      <c r="AD272" t="str">
        <f>IF(OR($J272=0,$K272=0),"Green","Red")</f>
        <v>Red</v>
      </c>
    </row>
    <row r="273" spans="1:30" x14ac:dyDescent="0.2">
      <c r="A273" t="str">
        <f>L273&amp;F273&amp;G273</f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>DAY(D273)&amp;"/"&amp;"07"&amp;"/"&amp;YEAR(D273)</f>
        <v>22/07/2026</v>
      </c>
      <c r="M273" s="23">
        <f>E273-TIME(3,0,0)</f>
        <v>0.41666666666666663</v>
      </c>
      <c r="N273" t="str">
        <f>J273&amp;" - "&amp;K273</f>
        <v>1 - 0</v>
      </c>
      <c r="O273" t="str">
        <f>IF($J273&gt;$K273,"Green","Red")</f>
        <v>Green</v>
      </c>
      <c r="P273" t="str">
        <f>IF($J273=$K273,"Green","Red")</f>
        <v>Red</v>
      </c>
      <c r="Q273" t="str">
        <f>IF($J273&lt;$K273,"Green","Red")</f>
        <v>Red</v>
      </c>
      <c r="R273" t="str">
        <f>IF($J273&gt;=$K273,"Green","Red")</f>
        <v>Green</v>
      </c>
      <c r="S273" t="str">
        <f>IF($J273&lt;=$K273,"Green","Red")</f>
        <v>Red</v>
      </c>
      <c r="T273" t="str">
        <f>IF(OR($J273&gt;$K273,$J273&lt;$K273),"Green","Red")</f>
        <v>Green</v>
      </c>
      <c r="U273" t="str">
        <f>IF($H273&gt;$I273,"Green","Red")</f>
        <v>Red</v>
      </c>
      <c r="V273" t="str">
        <f>IF($H273=$I273,"Green","Red")</f>
        <v>Green</v>
      </c>
      <c r="W273" t="str">
        <f>IF($H273&lt;$I273,"Green","Red")</f>
        <v>Red</v>
      </c>
      <c r="X273" t="str">
        <f>IF($H273+$I273&gt;0,"Green","Red")</f>
        <v>Red</v>
      </c>
      <c r="Y273" t="str">
        <f>IF($J273+$K273&gt;1.5,"Green","Red")</f>
        <v>Red</v>
      </c>
      <c r="Z273" t="str">
        <f>IF($J273+$K273&gt;2.5,"Green","Red")</f>
        <v>Red</v>
      </c>
      <c r="AA273" t="str">
        <f>IF($J273+$K273&lt;2.5,"Green","Red")</f>
        <v>Green</v>
      </c>
      <c r="AB273" t="str">
        <f>IF($J273+$K273&lt;3.5,"Green","Red")</f>
        <v>Green</v>
      </c>
      <c r="AC273" t="str">
        <f>IF(AND($J273&gt;0,$K273&gt;0),"Green","Red")</f>
        <v>Red</v>
      </c>
      <c r="AD273" t="str">
        <f>IF(OR($J273=0,$K273=0),"Green","Red")</f>
        <v>Green</v>
      </c>
    </row>
    <row r="274" spans="1:30" x14ac:dyDescent="0.2">
      <c r="A274" t="str">
        <f>L274&amp;F274&amp;G274</f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>DAY(D274)&amp;"/"&amp;"07"&amp;"/"&amp;YEAR(D274)</f>
        <v>22/07/2026</v>
      </c>
      <c r="M274" s="23">
        <f>E274-TIME(3,0,0)</f>
        <v>0.45833333333333337</v>
      </c>
      <c r="N274" t="str">
        <f>J274&amp;" - "&amp;K274</f>
        <v>1 - 1</v>
      </c>
      <c r="O274" t="str">
        <f>IF($J274&gt;$K274,"Green","Red")</f>
        <v>Red</v>
      </c>
      <c r="P274" t="str">
        <f>IF($J274=$K274,"Green","Red")</f>
        <v>Green</v>
      </c>
      <c r="Q274" t="str">
        <f>IF($J274&lt;$K274,"Green","Red")</f>
        <v>Red</v>
      </c>
      <c r="R274" t="str">
        <f>IF($J274&gt;=$K274,"Green","Red")</f>
        <v>Green</v>
      </c>
      <c r="S274" t="str">
        <f>IF($J274&lt;=$K274,"Green","Red")</f>
        <v>Green</v>
      </c>
      <c r="T274" t="str">
        <f>IF(OR($J274&gt;$K274,$J274&lt;$K274),"Green","Red")</f>
        <v>Red</v>
      </c>
      <c r="U274" t="str">
        <f>IF($H274&gt;$I274,"Green","Red")</f>
        <v>Red</v>
      </c>
      <c r="V274" t="str">
        <f>IF($H274=$I274,"Green","Red")</f>
        <v>Green</v>
      </c>
      <c r="W274" t="str">
        <f>IF($H274&lt;$I274,"Green","Red")</f>
        <v>Red</v>
      </c>
      <c r="X274" t="str">
        <f>IF($H274+$I274&gt;0,"Green","Red")</f>
        <v>Red</v>
      </c>
      <c r="Y274" t="str">
        <f>IF($J274+$K274&gt;1.5,"Green","Red")</f>
        <v>Green</v>
      </c>
      <c r="Z274" t="str">
        <f>IF($J274+$K274&gt;2.5,"Green","Red")</f>
        <v>Red</v>
      </c>
      <c r="AA274" t="str">
        <f>IF($J274+$K274&lt;2.5,"Green","Red")</f>
        <v>Green</v>
      </c>
      <c r="AB274" t="str">
        <f>IF($J274+$K274&lt;3.5,"Green","Red")</f>
        <v>Green</v>
      </c>
      <c r="AC274" t="str">
        <f>IF(AND($J274&gt;0,$K274&gt;0),"Green","Red")</f>
        <v>Green</v>
      </c>
      <c r="AD274" t="str">
        <f>IF(OR($J274=0,$K274=0),"Green","Red")</f>
        <v>Red</v>
      </c>
    </row>
    <row r="275" spans="1:30" x14ac:dyDescent="0.2">
      <c r="A275" t="str">
        <f>L275&amp;F275&amp;G275</f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>DAY(D275)&amp;"/"&amp;"07"&amp;"/"&amp;YEAR(D275)</f>
        <v>22/07/2026</v>
      </c>
      <c r="M275" s="23">
        <f>E275-TIME(3,0,0)</f>
        <v>0.45833333333333337</v>
      </c>
      <c r="N275" t="str">
        <f>J275&amp;" - "&amp;K275</f>
        <v>1 - 1</v>
      </c>
      <c r="O275" t="str">
        <f>IF($J275&gt;$K275,"Green","Red")</f>
        <v>Red</v>
      </c>
      <c r="P275" t="str">
        <f>IF($J275=$K275,"Green","Red")</f>
        <v>Green</v>
      </c>
      <c r="Q275" t="str">
        <f>IF($J275&lt;$K275,"Green","Red")</f>
        <v>Red</v>
      </c>
      <c r="R275" t="str">
        <f>IF($J275&gt;=$K275,"Green","Red")</f>
        <v>Green</v>
      </c>
      <c r="S275" t="str">
        <f>IF($J275&lt;=$K275,"Green","Red")</f>
        <v>Green</v>
      </c>
      <c r="T275" t="str">
        <f>IF(OR($J275&gt;$K275,$J275&lt;$K275),"Green","Red")</f>
        <v>Red</v>
      </c>
      <c r="U275" t="str">
        <f>IF($H275&gt;$I275,"Green","Red")</f>
        <v>Red</v>
      </c>
      <c r="V275" t="str">
        <f>IF($H275=$I275,"Green","Red")</f>
        <v>Green</v>
      </c>
      <c r="W275" t="str">
        <f>IF($H275&lt;$I275,"Green","Red")</f>
        <v>Red</v>
      </c>
      <c r="X275" t="str">
        <f>IF($H275+$I275&gt;0,"Green","Red")</f>
        <v>Green</v>
      </c>
      <c r="Y275" t="str">
        <f>IF($J275+$K275&gt;1.5,"Green","Red")</f>
        <v>Green</v>
      </c>
      <c r="Z275" t="str">
        <f>IF($J275+$K275&gt;2.5,"Green","Red")</f>
        <v>Red</v>
      </c>
      <c r="AA275" t="str">
        <f>IF($J275+$K275&lt;2.5,"Green","Red")</f>
        <v>Green</v>
      </c>
      <c r="AB275" t="str">
        <f>IF($J275+$K275&lt;3.5,"Green","Red")</f>
        <v>Green</v>
      </c>
      <c r="AC275" t="str">
        <f>IF(AND($J275&gt;0,$K275&gt;0),"Green","Red")</f>
        <v>Green</v>
      </c>
      <c r="AD275" t="str">
        <f>IF(OR($J275=0,$K275=0),"Green","Red")</f>
        <v>Red</v>
      </c>
    </row>
    <row r="276" spans="1:30" x14ac:dyDescent="0.2">
      <c r="A276" t="str">
        <f>L276&amp;F276&amp;G276</f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>DAY(D276)&amp;"/"&amp;"07"&amp;"/"&amp;YEAR(D276)</f>
        <v>22/07/2026</v>
      </c>
      <c r="M276" s="23">
        <f>E276-TIME(3,0,0)</f>
        <v>0.45833333333333337</v>
      </c>
      <c r="N276" t="str">
        <f>J276&amp;" - "&amp;K276</f>
        <v>0 - 2</v>
      </c>
      <c r="O276" t="str">
        <f>IF($J276&gt;$K276,"Green","Red")</f>
        <v>Red</v>
      </c>
      <c r="P276" t="str">
        <f>IF($J276=$K276,"Green","Red")</f>
        <v>Red</v>
      </c>
      <c r="Q276" t="str">
        <f>IF($J276&lt;$K276,"Green","Red")</f>
        <v>Green</v>
      </c>
      <c r="R276" t="str">
        <f>IF($J276&gt;=$K276,"Green","Red")</f>
        <v>Red</v>
      </c>
      <c r="S276" t="str">
        <f>IF($J276&lt;=$K276,"Green","Red")</f>
        <v>Green</v>
      </c>
      <c r="T276" t="str">
        <f>IF(OR($J276&gt;$K276,$J276&lt;$K276),"Green","Red")</f>
        <v>Green</v>
      </c>
      <c r="U276" t="str">
        <f>IF($H276&gt;$I276,"Green","Red")</f>
        <v>Red</v>
      </c>
      <c r="V276" t="str">
        <f>IF($H276=$I276,"Green","Red")</f>
        <v>Green</v>
      </c>
      <c r="W276" t="str">
        <f>IF($H276&lt;$I276,"Green","Red")</f>
        <v>Red</v>
      </c>
      <c r="X276" t="str">
        <f>IF($H276+$I276&gt;0,"Green","Red")</f>
        <v>Red</v>
      </c>
      <c r="Y276" t="str">
        <f>IF($J276+$K276&gt;1.5,"Green","Red")</f>
        <v>Green</v>
      </c>
      <c r="Z276" t="str">
        <f>IF($J276+$K276&gt;2.5,"Green","Red")</f>
        <v>Red</v>
      </c>
      <c r="AA276" t="str">
        <f>IF($J276+$K276&lt;2.5,"Green","Red")</f>
        <v>Green</v>
      </c>
      <c r="AB276" t="str">
        <f>IF($J276+$K276&lt;3.5,"Green","Red")</f>
        <v>Green</v>
      </c>
      <c r="AC276" t="str">
        <f>IF(AND($J276&gt;0,$K276&gt;0),"Green","Red")</f>
        <v>Red</v>
      </c>
      <c r="AD276" t="str">
        <f>IF(OR($J276=0,$K276=0),"Green","Red")</f>
        <v>Green</v>
      </c>
    </row>
    <row r="277" spans="1:30" x14ac:dyDescent="0.2">
      <c r="A277" t="str">
        <f>L277&amp;F277&amp;G277</f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>DAY(D277)&amp;"/"&amp;"07"&amp;"/"&amp;YEAR(D277)</f>
        <v>22/07/2026</v>
      </c>
      <c r="M277" s="23">
        <f>E277-TIME(3,0,0)</f>
        <v>0.45833333333333337</v>
      </c>
      <c r="N277" t="str">
        <f>J277&amp;" - "&amp;K277</f>
        <v>1 - 1</v>
      </c>
      <c r="O277" t="str">
        <f>IF($J277&gt;$K277,"Green","Red")</f>
        <v>Red</v>
      </c>
      <c r="P277" t="str">
        <f>IF($J277=$K277,"Green","Red")</f>
        <v>Green</v>
      </c>
      <c r="Q277" t="str">
        <f>IF($J277&lt;$K277,"Green","Red")</f>
        <v>Red</v>
      </c>
      <c r="R277" t="str">
        <f>IF($J277&gt;=$K277,"Green","Red")</f>
        <v>Green</v>
      </c>
      <c r="S277" t="str">
        <f>IF($J277&lt;=$K277,"Green","Red")</f>
        <v>Green</v>
      </c>
      <c r="T277" t="str">
        <f>IF(OR($J277&gt;$K277,$J277&lt;$K277),"Green","Red")</f>
        <v>Red</v>
      </c>
      <c r="U277" t="str">
        <f>IF($H277&gt;$I277,"Green","Red")</f>
        <v>Red</v>
      </c>
      <c r="V277" t="str">
        <f>IF($H277=$I277,"Green","Red")</f>
        <v>Red</v>
      </c>
      <c r="W277" t="str">
        <f>IF($H277&lt;$I277,"Green","Red")</f>
        <v>Green</v>
      </c>
      <c r="X277" t="str">
        <f>IF($H277+$I277&gt;0,"Green","Red")</f>
        <v>Green</v>
      </c>
      <c r="Y277" t="str">
        <f>IF($J277+$K277&gt;1.5,"Green","Red")</f>
        <v>Green</v>
      </c>
      <c r="Z277" t="str">
        <f>IF($J277+$K277&gt;2.5,"Green","Red")</f>
        <v>Red</v>
      </c>
      <c r="AA277" t="str">
        <f>IF($J277+$K277&lt;2.5,"Green","Red")</f>
        <v>Green</v>
      </c>
      <c r="AB277" t="str">
        <f>IF($J277+$K277&lt;3.5,"Green","Red")</f>
        <v>Green</v>
      </c>
      <c r="AC277" t="str">
        <f>IF(AND($J277&gt;0,$K277&gt;0),"Green","Red")</f>
        <v>Green</v>
      </c>
      <c r="AD277" t="str">
        <f>IF(OR($J277=0,$K277=0),"Green","Red")</f>
        <v>Red</v>
      </c>
    </row>
    <row r="278" spans="1:30" x14ac:dyDescent="0.2">
      <c r="A278" t="str">
        <f>L278&amp;F278&amp;G278</f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>DAY(D278)&amp;"/"&amp;"07"&amp;"/"&amp;YEAR(D278)</f>
        <v>22/07/2026</v>
      </c>
      <c r="M278" s="23">
        <f>E278-TIME(3,0,0)</f>
        <v>0.47916666666666663</v>
      </c>
      <c r="N278" t="str">
        <f>J278&amp;" - "&amp;K278</f>
        <v>10 - 0</v>
      </c>
      <c r="O278" t="str">
        <f>IF($J278&gt;$K278,"Green","Red")</f>
        <v>Green</v>
      </c>
      <c r="P278" t="str">
        <f>IF($J278=$K278,"Green","Red")</f>
        <v>Red</v>
      </c>
      <c r="Q278" t="str">
        <f>IF($J278&lt;$K278,"Green","Red")</f>
        <v>Red</v>
      </c>
      <c r="R278" t="str">
        <f>IF($J278&gt;=$K278,"Green","Red")</f>
        <v>Green</v>
      </c>
      <c r="S278" t="str">
        <f>IF($J278&lt;=$K278,"Green","Red")</f>
        <v>Red</v>
      </c>
      <c r="T278" t="str">
        <f>IF(OR($J278&gt;$K278,$J278&lt;$K278),"Green","Red")</f>
        <v>Green</v>
      </c>
      <c r="U278" t="str">
        <f>IF($H278&gt;$I278,"Green","Red")</f>
        <v>Green</v>
      </c>
      <c r="V278" t="str">
        <f>IF($H278=$I278,"Green","Red")</f>
        <v>Red</v>
      </c>
      <c r="W278" t="str">
        <f>IF($H278&lt;$I278,"Green","Red")</f>
        <v>Red</v>
      </c>
      <c r="X278" t="str">
        <f>IF($H278+$I278&gt;0,"Green","Red")</f>
        <v>Green</v>
      </c>
      <c r="Y278" t="str">
        <f>IF($J278+$K278&gt;1.5,"Green","Red")</f>
        <v>Green</v>
      </c>
      <c r="Z278" t="str">
        <f>IF($J278+$K278&gt;2.5,"Green","Red")</f>
        <v>Green</v>
      </c>
      <c r="AA278" t="str">
        <f>IF($J278+$K278&lt;2.5,"Green","Red")</f>
        <v>Red</v>
      </c>
      <c r="AB278" t="str">
        <f>IF($J278+$K278&lt;3.5,"Green","Red")</f>
        <v>Red</v>
      </c>
      <c r="AC278" t="str">
        <f>IF(AND($J278&gt;0,$K278&gt;0),"Green","Red")</f>
        <v>Red</v>
      </c>
      <c r="AD278" t="str">
        <f>IF(OR($J278=0,$K278=0),"Green","Red")</f>
        <v>Green</v>
      </c>
    </row>
    <row r="279" spans="1:30" x14ac:dyDescent="0.2">
      <c r="A279" t="str">
        <f>L279&amp;F279&amp;G279</f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>DAY(D279)&amp;"/"&amp;"07"&amp;"/"&amp;YEAR(D279)</f>
        <v>22/07/2026</v>
      </c>
      <c r="M279" s="23">
        <f>E279-TIME(3,0,0)</f>
        <v>0.47916666666666663</v>
      </c>
      <c r="N279" t="str">
        <f>J279&amp;" - "&amp;K279</f>
        <v>0 - 3</v>
      </c>
      <c r="O279" t="str">
        <f>IF($J279&gt;$K279,"Green","Red")</f>
        <v>Red</v>
      </c>
      <c r="P279" t="str">
        <f>IF($J279=$K279,"Green","Red")</f>
        <v>Red</v>
      </c>
      <c r="Q279" t="str">
        <f>IF($J279&lt;$K279,"Green","Red")</f>
        <v>Green</v>
      </c>
      <c r="R279" t="str">
        <f>IF($J279&gt;=$K279,"Green","Red")</f>
        <v>Red</v>
      </c>
      <c r="S279" t="str">
        <f>IF($J279&lt;=$K279,"Green","Red")</f>
        <v>Green</v>
      </c>
      <c r="T279" t="str">
        <f>IF(OR($J279&gt;$K279,$J279&lt;$K279),"Green","Red")</f>
        <v>Green</v>
      </c>
      <c r="U279" t="str">
        <f>IF($H279&gt;$I279,"Green","Red")</f>
        <v>Red</v>
      </c>
      <c r="V279" t="str">
        <f>IF($H279=$I279,"Green","Red")</f>
        <v>Red</v>
      </c>
      <c r="W279" t="str">
        <f>IF($H279&lt;$I279,"Green","Red")</f>
        <v>Green</v>
      </c>
      <c r="X279" t="str">
        <f>IF($H279+$I279&gt;0,"Green","Red")</f>
        <v>Green</v>
      </c>
      <c r="Y279" t="str">
        <f>IF($J279+$K279&gt;1.5,"Green","Red")</f>
        <v>Green</v>
      </c>
      <c r="Z279" t="str">
        <f>IF($J279+$K279&gt;2.5,"Green","Red")</f>
        <v>Green</v>
      </c>
      <c r="AA279" t="str">
        <f>IF($J279+$K279&lt;2.5,"Green","Red")</f>
        <v>Red</v>
      </c>
      <c r="AB279" t="str">
        <f>IF($J279+$K279&lt;3.5,"Green","Red")</f>
        <v>Green</v>
      </c>
      <c r="AC279" t="str">
        <f>IF(AND($J279&gt;0,$K279&gt;0),"Green","Red")</f>
        <v>Red</v>
      </c>
      <c r="AD279" t="str">
        <f>IF(OR($J279=0,$K279=0),"Green","Red")</f>
        <v>Green</v>
      </c>
    </row>
    <row r="280" spans="1:30" x14ac:dyDescent="0.2">
      <c r="A280" t="str">
        <f>L280&amp;F280&amp;G280</f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>DAY(D280)&amp;"/"&amp;"07"&amp;"/"&amp;YEAR(D280)</f>
        <v>22/07/2026</v>
      </c>
      <c r="M280" s="23">
        <f>E280-TIME(3,0,0)</f>
        <v>0.5</v>
      </c>
      <c r="N280" t="str">
        <f>J280&amp;" - "&amp;K280</f>
        <v>2 - 0</v>
      </c>
      <c r="O280" t="str">
        <f>IF($J280&gt;$K280,"Green","Red")</f>
        <v>Green</v>
      </c>
      <c r="P280" t="str">
        <f>IF($J280=$K280,"Green","Red")</f>
        <v>Red</v>
      </c>
      <c r="Q280" t="str">
        <f>IF($J280&lt;$K280,"Green","Red")</f>
        <v>Red</v>
      </c>
      <c r="R280" t="str">
        <f>IF($J280&gt;=$K280,"Green","Red")</f>
        <v>Green</v>
      </c>
      <c r="S280" t="str">
        <f>IF($J280&lt;=$K280,"Green","Red")</f>
        <v>Red</v>
      </c>
      <c r="T280" t="str">
        <f>IF(OR($J280&gt;$K280,$J280&lt;$K280),"Green","Red")</f>
        <v>Green</v>
      </c>
      <c r="U280" t="str">
        <f>IF($H280&gt;$I280,"Green","Red")</f>
        <v>Red</v>
      </c>
      <c r="V280" t="str">
        <f>IF($H280=$I280,"Green","Red")</f>
        <v>Green</v>
      </c>
      <c r="W280" t="str">
        <f>IF($H280&lt;$I280,"Green","Red")</f>
        <v>Red</v>
      </c>
      <c r="X280" t="str">
        <f>IF($H280+$I280&gt;0,"Green","Red")</f>
        <v>Red</v>
      </c>
      <c r="Y280" t="str">
        <f>IF($J280+$K280&gt;1.5,"Green","Red")</f>
        <v>Green</v>
      </c>
      <c r="Z280" t="str">
        <f>IF($J280+$K280&gt;2.5,"Green","Red")</f>
        <v>Red</v>
      </c>
      <c r="AA280" t="str">
        <f>IF($J280+$K280&lt;2.5,"Green","Red")</f>
        <v>Green</v>
      </c>
      <c r="AB280" t="str">
        <f>IF($J280+$K280&lt;3.5,"Green","Red")</f>
        <v>Green</v>
      </c>
      <c r="AC280" t="str">
        <f>IF(AND($J280&gt;0,$K280&gt;0),"Green","Red")</f>
        <v>Red</v>
      </c>
      <c r="AD280" t="str">
        <f>IF(OR($J280=0,$K280=0),"Green","Red")</f>
        <v>Green</v>
      </c>
    </row>
    <row r="281" spans="1:30" x14ac:dyDescent="0.2">
      <c r="A281" t="str">
        <f>L281&amp;F281&amp;G281</f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>DAY(D281)&amp;"/"&amp;"07"&amp;"/"&amp;YEAR(D281)</f>
        <v>22/07/2026</v>
      </c>
      <c r="M281" s="23">
        <f>E281-TIME(3,0,0)</f>
        <v>0.5</v>
      </c>
      <c r="N281" t="str">
        <f>J281&amp;" - "&amp;K281</f>
        <v>4 - 1</v>
      </c>
      <c r="O281" t="str">
        <f>IF($J281&gt;$K281,"Green","Red")</f>
        <v>Green</v>
      </c>
      <c r="P281" t="str">
        <f>IF($J281=$K281,"Green","Red")</f>
        <v>Red</v>
      </c>
      <c r="Q281" t="str">
        <f>IF($J281&lt;$K281,"Green","Red")</f>
        <v>Red</v>
      </c>
      <c r="R281" t="str">
        <f>IF($J281&gt;=$K281,"Green","Red")</f>
        <v>Green</v>
      </c>
      <c r="S281" t="str">
        <f>IF($J281&lt;=$K281,"Green","Red")</f>
        <v>Red</v>
      </c>
      <c r="T281" t="str">
        <f>IF(OR($J281&gt;$K281,$J281&lt;$K281),"Green","Red")</f>
        <v>Green</v>
      </c>
      <c r="U281" t="str">
        <f>IF($H281&gt;$I281,"Green","Red")</f>
        <v>Green</v>
      </c>
      <c r="V281" t="str">
        <f>IF($H281=$I281,"Green","Red")</f>
        <v>Red</v>
      </c>
      <c r="W281" t="str">
        <f>IF($H281&lt;$I281,"Green","Red")</f>
        <v>Red</v>
      </c>
      <c r="X281" t="str">
        <f>IF($H281+$I281&gt;0,"Green","Red")</f>
        <v>Green</v>
      </c>
      <c r="Y281" t="str">
        <f>IF($J281+$K281&gt;1.5,"Green","Red")</f>
        <v>Green</v>
      </c>
      <c r="Z281" t="str">
        <f>IF($J281+$K281&gt;2.5,"Green","Red")</f>
        <v>Green</v>
      </c>
      <c r="AA281" t="str">
        <f>IF($J281+$K281&lt;2.5,"Green","Red")</f>
        <v>Red</v>
      </c>
      <c r="AB281" t="str">
        <f>IF($J281+$K281&lt;3.5,"Green","Red")</f>
        <v>Red</v>
      </c>
      <c r="AC281" t="str">
        <f>IF(AND($J281&gt;0,$K281&gt;0),"Green","Red")</f>
        <v>Green</v>
      </c>
      <c r="AD281" t="str">
        <f>IF(OR($J281=0,$K281=0),"Green","Red")</f>
        <v>Red</v>
      </c>
    </row>
    <row r="282" spans="1:30" x14ac:dyDescent="0.2">
      <c r="A282" t="str">
        <f>L282&amp;F282&amp;G282</f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>DAY(D282)&amp;"/"&amp;"07"&amp;"/"&amp;YEAR(D282)</f>
        <v>22/07/2026</v>
      </c>
      <c r="M282" s="23">
        <f>E282-TIME(3,0,0)</f>
        <v>0.5</v>
      </c>
      <c r="N282" t="str">
        <f>J282&amp;" - "&amp;K282</f>
        <v>0 - 2</v>
      </c>
      <c r="O282" t="str">
        <f>IF($J282&gt;$K282,"Green","Red")</f>
        <v>Red</v>
      </c>
      <c r="P282" t="str">
        <f>IF($J282=$K282,"Green","Red")</f>
        <v>Red</v>
      </c>
      <c r="Q282" t="str">
        <f>IF($J282&lt;$K282,"Green","Red")</f>
        <v>Green</v>
      </c>
      <c r="R282" t="str">
        <f>IF($J282&gt;=$K282,"Green","Red")</f>
        <v>Red</v>
      </c>
      <c r="S282" t="str">
        <f>IF($J282&lt;=$K282,"Green","Red")</f>
        <v>Green</v>
      </c>
      <c r="T282" t="str">
        <f>IF(OR($J282&gt;$K282,$J282&lt;$K282),"Green","Red")</f>
        <v>Green</v>
      </c>
      <c r="U282" t="str">
        <f>IF($H282&gt;$I282,"Green","Red")</f>
        <v>Red</v>
      </c>
      <c r="V282" t="str">
        <f>IF($H282=$I282,"Green","Red")</f>
        <v>Red</v>
      </c>
      <c r="W282" t="str">
        <f>IF($H282&lt;$I282,"Green","Red")</f>
        <v>Green</v>
      </c>
      <c r="X282" t="str">
        <f>IF($H282+$I282&gt;0,"Green","Red")</f>
        <v>Green</v>
      </c>
      <c r="Y282" t="str">
        <f>IF($J282+$K282&gt;1.5,"Green","Red")</f>
        <v>Green</v>
      </c>
      <c r="Z282" t="str">
        <f>IF($J282+$K282&gt;2.5,"Green","Red")</f>
        <v>Red</v>
      </c>
      <c r="AA282" t="str">
        <f>IF($J282+$K282&lt;2.5,"Green","Red")</f>
        <v>Green</v>
      </c>
      <c r="AB282" t="str">
        <f>IF($J282+$K282&lt;3.5,"Green","Red")</f>
        <v>Green</v>
      </c>
      <c r="AC282" t="str">
        <f>IF(AND($J282&gt;0,$K282&gt;0),"Green","Red")</f>
        <v>Red</v>
      </c>
      <c r="AD282" t="str">
        <f>IF(OR($J282=0,$K282=0),"Green","Red")</f>
        <v>Green</v>
      </c>
    </row>
    <row r="283" spans="1:30" x14ac:dyDescent="0.2">
      <c r="A283" t="str">
        <f>L283&amp;F283&amp;G283</f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>DAY(D283)&amp;"/"&amp;"07"&amp;"/"&amp;YEAR(D283)</f>
        <v>22/07/2026</v>
      </c>
      <c r="M283" s="23">
        <f>E283-TIME(3,0,0)</f>
        <v>0.5</v>
      </c>
      <c r="N283" t="str">
        <f>J283&amp;" - "&amp;K283</f>
        <v>1 - 4</v>
      </c>
      <c r="O283" t="str">
        <f>IF($J283&gt;$K283,"Green","Red")</f>
        <v>Red</v>
      </c>
      <c r="P283" t="str">
        <f>IF($J283=$K283,"Green","Red")</f>
        <v>Red</v>
      </c>
      <c r="Q283" t="str">
        <f>IF($J283&lt;$K283,"Green","Red")</f>
        <v>Green</v>
      </c>
      <c r="R283" t="str">
        <f>IF($J283&gt;=$K283,"Green","Red")</f>
        <v>Red</v>
      </c>
      <c r="S283" t="str">
        <f>IF($J283&lt;=$K283,"Green","Red")</f>
        <v>Green</v>
      </c>
      <c r="T283" t="str">
        <f>IF(OR($J283&gt;$K283,$J283&lt;$K283),"Green","Red")</f>
        <v>Green</v>
      </c>
      <c r="U283" t="str">
        <f>IF($H283&gt;$I283,"Green","Red")</f>
        <v>Red</v>
      </c>
      <c r="V283" t="str">
        <f>IF($H283=$I283,"Green","Red")</f>
        <v>Green</v>
      </c>
      <c r="W283" t="str">
        <f>IF($H283&lt;$I283,"Green","Red")</f>
        <v>Red</v>
      </c>
      <c r="X283" t="str">
        <f>IF($H283+$I283&gt;0,"Green","Red")</f>
        <v>Red</v>
      </c>
      <c r="Y283" t="str">
        <f>IF($J283+$K283&gt;1.5,"Green","Red")</f>
        <v>Green</v>
      </c>
      <c r="Z283" t="str">
        <f>IF($J283+$K283&gt;2.5,"Green","Red")</f>
        <v>Green</v>
      </c>
      <c r="AA283" t="str">
        <f>IF($J283+$K283&lt;2.5,"Green","Red")</f>
        <v>Red</v>
      </c>
      <c r="AB283" t="str">
        <f>IF($J283+$K283&lt;3.5,"Green","Red")</f>
        <v>Red</v>
      </c>
      <c r="AC283" t="str">
        <f>IF(AND($J283&gt;0,$K283&gt;0),"Green","Red")</f>
        <v>Green</v>
      </c>
      <c r="AD283" t="str">
        <f>IF(OR($J283=0,$K283=0),"Green","Red")</f>
        <v>Red</v>
      </c>
    </row>
    <row r="284" spans="1:30" x14ac:dyDescent="0.2">
      <c r="A284" t="str">
        <f>L284&amp;F284&amp;G284</f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>DAY(D284)&amp;"/"&amp;"07"&amp;"/"&amp;YEAR(D284)</f>
        <v>22/07/2026</v>
      </c>
      <c r="M284" s="23">
        <f>E284-TIME(3,0,0)</f>
        <v>0.5</v>
      </c>
      <c r="N284" t="str">
        <f>J284&amp;" - "&amp;K284</f>
        <v>3 - 3</v>
      </c>
      <c r="O284" t="str">
        <f>IF($J284&gt;$K284,"Green","Red")</f>
        <v>Red</v>
      </c>
      <c r="P284" t="str">
        <f>IF($J284=$K284,"Green","Red")</f>
        <v>Green</v>
      </c>
      <c r="Q284" t="str">
        <f>IF($J284&lt;$K284,"Green","Red")</f>
        <v>Red</v>
      </c>
      <c r="R284" t="str">
        <f>IF($J284&gt;=$K284,"Green","Red")</f>
        <v>Green</v>
      </c>
      <c r="S284" t="str">
        <f>IF($J284&lt;=$K284,"Green","Red")</f>
        <v>Green</v>
      </c>
      <c r="T284" t="str">
        <f>IF(OR($J284&gt;$K284,$J284&lt;$K284),"Green","Red")</f>
        <v>Red</v>
      </c>
      <c r="U284" t="str">
        <f>IF($H284&gt;$I284,"Green","Red")</f>
        <v>Green</v>
      </c>
      <c r="V284" t="str">
        <f>IF($H284=$I284,"Green","Red")</f>
        <v>Red</v>
      </c>
      <c r="W284" t="str">
        <f>IF($H284&lt;$I284,"Green","Red")</f>
        <v>Red</v>
      </c>
      <c r="X284" t="str">
        <f>IF($H284+$I284&gt;0,"Green","Red")</f>
        <v>Green</v>
      </c>
      <c r="Y284" t="str">
        <f>IF($J284+$K284&gt;1.5,"Green","Red")</f>
        <v>Green</v>
      </c>
      <c r="Z284" t="str">
        <f>IF($J284+$K284&gt;2.5,"Green","Red")</f>
        <v>Green</v>
      </c>
      <c r="AA284" t="str">
        <f>IF($J284+$K284&lt;2.5,"Green","Red")</f>
        <v>Red</v>
      </c>
      <c r="AB284" t="str">
        <f>IF($J284+$K284&lt;3.5,"Green","Red")</f>
        <v>Red</v>
      </c>
      <c r="AC284" t="str">
        <f>IF(AND($J284&gt;0,$K284&gt;0),"Green","Red")</f>
        <v>Green</v>
      </c>
      <c r="AD284" t="str">
        <f>IF(OR($J284=0,$K284=0),"Green","Red")</f>
        <v>Red</v>
      </c>
    </row>
    <row r="285" spans="1:30" x14ac:dyDescent="0.2">
      <c r="A285" t="str">
        <f>L285&amp;F285&amp;G285</f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>DAY(D285)&amp;"/"&amp;"07"&amp;"/"&amp;YEAR(D285)</f>
        <v>22/07/2026</v>
      </c>
      <c r="M285" s="23">
        <f>E285-TIME(3,0,0)</f>
        <v>0.5</v>
      </c>
      <c r="N285" t="str">
        <f>J285&amp;" - "&amp;K285</f>
        <v>1 - 1</v>
      </c>
      <c r="O285" t="str">
        <f>IF($J285&gt;$K285,"Green","Red")</f>
        <v>Red</v>
      </c>
      <c r="P285" t="str">
        <f>IF($J285=$K285,"Green","Red")</f>
        <v>Green</v>
      </c>
      <c r="Q285" t="str">
        <f>IF($J285&lt;$K285,"Green","Red")</f>
        <v>Red</v>
      </c>
      <c r="R285" t="str">
        <f>IF($J285&gt;=$K285,"Green","Red")</f>
        <v>Green</v>
      </c>
      <c r="S285" t="str">
        <f>IF($J285&lt;=$K285,"Green","Red")</f>
        <v>Green</v>
      </c>
      <c r="T285" t="str">
        <f>IF(OR($J285&gt;$K285,$J285&lt;$K285),"Green","Red")</f>
        <v>Red</v>
      </c>
      <c r="U285" t="str">
        <f>IF($H285&gt;$I285,"Green","Red")</f>
        <v>Red</v>
      </c>
      <c r="V285" t="str">
        <f>IF($H285=$I285,"Green","Red")</f>
        <v>Green</v>
      </c>
      <c r="W285" t="str">
        <f>IF($H285&lt;$I285,"Green","Red")</f>
        <v>Red</v>
      </c>
      <c r="X285" t="str">
        <f>IF($H285+$I285&gt;0,"Green","Red")</f>
        <v>Green</v>
      </c>
      <c r="Y285" t="str">
        <f>IF($J285+$K285&gt;1.5,"Green","Red")</f>
        <v>Green</v>
      </c>
      <c r="Z285" t="str">
        <f>IF($J285+$K285&gt;2.5,"Green","Red")</f>
        <v>Red</v>
      </c>
      <c r="AA285" t="str">
        <f>IF($J285+$K285&lt;2.5,"Green","Red")</f>
        <v>Green</v>
      </c>
      <c r="AB285" t="str">
        <f>IF($J285+$K285&lt;3.5,"Green","Red")</f>
        <v>Green</v>
      </c>
      <c r="AC285" t="str">
        <f>IF(AND($J285&gt;0,$K285&gt;0),"Green","Red")</f>
        <v>Green</v>
      </c>
      <c r="AD285" t="str">
        <f>IF(OR($J285=0,$K285=0),"Green","Red")</f>
        <v>Red</v>
      </c>
    </row>
    <row r="286" spans="1:30" x14ac:dyDescent="0.2">
      <c r="A286" t="str">
        <f>L286&amp;F286&amp;G286</f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>DAY(D286)&amp;"/"&amp;"07"&amp;"/"&amp;YEAR(D286)</f>
        <v>22/07/2026</v>
      </c>
      <c r="M286" s="23">
        <f>E286-TIME(3,0,0)</f>
        <v>0.5</v>
      </c>
      <c r="N286" t="str">
        <f>J286&amp;" - "&amp;K286</f>
        <v xml:space="preserve"> - </v>
      </c>
      <c r="O286" t="str">
        <f>IF($J286&gt;$K286,"Green","Red")</f>
        <v>Red</v>
      </c>
      <c r="P286" t="str">
        <f>IF($J286=$K286,"Green","Red")</f>
        <v>Green</v>
      </c>
      <c r="Q286" t="str">
        <f>IF($J286&lt;$K286,"Green","Red")</f>
        <v>Red</v>
      </c>
      <c r="R286" t="str">
        <f>IF($J286&gt;=$K286,"Green","Red")</f>
        <v>Green</v>
      </c>
      <c r="S286" t="str">
        <f>IF($J286&lt;=$K286,"Green","Red")</f>
        <v>Green</v>
      </c>
      <c r="T286" t="str">
        <f>IF(OR($J286&gt;$K286,$J286&lt;$K286),"Green","Red")</f>
        <v>Red</v>
      </c>
      <c r="U286" t="str">
        <f>IF($H286&gt;$I286,"Green","Red")</f>
        <v>Red</v>
      </c>
      <c r="V286" t="str">
        <f>IF($H286=$I286,"Green","Red")</f>
        <v>Green</v>
      </c>
      <c r="W286" t="str">
        <f>IF($H286&lt;$I286,"Green","Red")</f>
        <v>Red</v>
      </c>
      <c r="X286" t="str">
        <f>IF($H286+$I286&gt;0,"Green","Red")</f>
        <v>Red</v>
      </c>
      <c r="Y286" t="str">
        <f>IF($J286+$K286&gt;1.5,"Green","Red")</f>
        <v>Red</v>
      </c>
      <c r="Z286" t="str">
        <f>IF($J286+$K286&gt;2.5,"Green","Red")</f>
        <v>Red</v>
      </c>
      <c r="AA286" t="str">
        <f>IF($J286+$K286&lt;2.5,"Green","Red")</f>
        <v>Green</v>
      </c>
      <c r="AB286" t="str">
        <f>IF($J286+$K286&lt;3.5,"Green","Red")</f>
        <v>Green</v>
      </c>
      <c r="AC286" t="str">
        <f>IF(AND($J286&gt;0,$K286&gt;0),"Green","Red")</f>
        <v>Red</v>
      </c>
      <c r="AD286" t="str">
        <f>IF(OR($J286=0,$K286=0),"Green","Red")</f>
        <v>Green</v>
      </c>
    </row>
    <row r="287" spans="1:30" x14ac:dyDescent="0.2">
      <c r="A287" t="str">
        <f>L287&amp;F287&amp;G287</f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>DAY(D287)&amp;"/"&amp;"07"&amp;"/"&amp;YEAR(D287)</f>
        <v>22/07/2026</v>
      </c>
      <c r="M287" s="23">
        <f>E287-TIME(3,0,0)</f>
        <v>0.5</v>
      </c>
      <c r="N287" t="str">
        <f>J287&amp;" - "&amp;K287</f>
        <v>4 - 0</v>
      </c>
      <c r="O287" t="str">
        <f>IF($J287&gt;$K287,"Green","Red")</f>
        <v>Green</v>
      </c>
      <c r="P287" t="str">
        <f>IF($J287=$K287,"Green","Red")</f>
        <v>Red</v>
      </c>
      <c r="Q287" t="str">
        <f>IF($J287&lt;$K287,"Green","Red")</f>
        <v>Red</v>
      </c>
      <c r="R287" t="str">
        <f>IF($J287&gt;=$K287,"Green","Red")</f>
        <v>Green</v>
      </c>
      <c r="S287" t="str">
        <f>IF($J287&lt;=$K287,"Green","Red")</f>
        <v>Red</v>
      </c>
      <c r="T287" t="str">
        <f>IF(OR($J287&gt;$K287,$J287&lt;$K287),"Green","Red")</f>
        <v>Green</v>
      </c>
      <c r="U287" t="str">
        <f>IF($H287&gt;$I287,"Green","Red")</f>
        <v>Green</v>
      </c>
      <c r="V287" t="str">
        <f>IF($H287=$I287,"Green","Red")</f>
        <v>Red</v>
      </c>
      <c r="W287" t="str">
        <f>IF($H287&lt;$I287,"Green","Red")</f>
        <v>Red</v>
      </c>
      <c r="X287" t="str">
        <f>IF($H287+$I287&gt;0,"Green","Red")</f>
        <v>Green</v>
      </c>
      <c r="Y287" t="str">
        <f>IF($J287+$K287&gt;1.5,"Green","Red")</f>
        <v>Green</v>
      </c>
      <c r="Z287" t="str">
        <f>IF($J287+$K287&gt;2.5,"Green","Red")</f>
        <v>Green</v>
      </c>
      <c r="AA287" t="str">
        <f>IF($J287+$K287&lt;2.5,"Green","Red")</f>
        <v>Red</v>
      </c>
      <c r="AB287" t="str">
        <f>IF($J287+$K287&lt;3.5,"Green","Red")</f>
        <v>Red</v>
      </c>
      <c r="AC287" t="str">
        <f>IF(AND($J287&gt;0,$K287&gt;0),"Green","Red")</f>
        <v>Red</v>
      </c>
      <c r="AD287" t="str">
        <f>IF(OR($J287=0,$K287=0),"Green","Red")</f>
        <v>Green</v>
      </c>
    </row>
    <row r="288" spans="1:30" x14ac:dyDescent="0.2">
      <c r="A288" t="str">
        <f>L288&amp;F288&amp;G288</f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>DAY(D288)&amp;"/"&amp;"07"&amp;"/"&amp;YEAR(D288)</f>
        <v>22/07/2026</v>
      </c>
      <c r="M288" s="23">
        <f>E288-TIME(3,0,0)</f>
        <v>0.5</v>
      </c>
      <c r="N288" t="str">
        <f>J288&amp;" - "&amp;K288</f>
        <v>7 - 0</v>
      </c>
      <c r="O288" t="str">
        <f>IF($J288&gt;$K288,"Green","Red")</f>
        <v>Green</v>
      </c>
      <c r="P288" t="str">
        <f>IF($J288=$K288,"Green","Red")</f>
        <v>Red</v>
      </c>
      <c r="Q288" t="str">
        <f>IF($J288&lt;$K288,"Green","Red")</f>
        <v>Red</v>
      </c>
      <c r="R288" t="str">
        <f>IF($J288&gt;=$K288,"Green","Red")</f>
        <v>Green</v>
      </c>
      <c r="S288" t="str">
        <f>IF($J288&lt;=$K288,"Green","Red")</f>
        <v>Red</v>
      </c>
      <c r="T288" t="str">
        <f>IF(OR($J288&gt;$K288,$J288&lt;$K288),"Green","Red")</f>
        <v>Green</v>
      </c>
      <c r="U288" t="str">
        <f>IF($H288&gt;$I288,"Green","Red")</f>
        <v>Green</v>
      </c>
      <c r="V288" t="str">
        <f>IF($H288=$I288,"Green","Red")</f>
        <v>Red</v>
      </c>
      <c r="W288" t="str">
        <f>IF($H288&lt;$I288,"Green","Red")</f>
        <v>Red</v>
      </c>
      <c r="X288" t="str">
        <f>IF($H288+$I288&gt;0,"Green","Red")</f>
        <v>Green</v>
      </c>
      <c r="Y288" t="str">
        <f>IF($J288+$K288&gt;1.5,"Green","Red")</f>
        <v>Green</v>
      </c>
      <c r="Z288" t="str">
        <f>IF($J288+$K288&gt;2.5,"Green","Red")</f>
        <v>Green</v>
      </c>
      <c r="AA288" t="str">
        <f>IF($J288+$K288&lt;2.5,"Green","Red")</f>
        <v>Red</v>
      </c>
      <c r="AB288" t="str">
        <f>IF($J288+$K288&lt;3.5,"Green","Red")</f>
        <v>Red</v>
      </c>
      <c r="AC288" t="str">
        <f>IF(AND($J288&gt;0,$K288&gt;0),"Green","Red")</f>
        <v>Red</v>
      </c>
      <c r="AD288" t="str">
        <f>IF(OR($J288=0,$K288=0),"Green","Red")</f>
        <v>Green</v>
      </c>
    </row>
    <row r="289" spans="1:30" x14ac:dyDescent="0.2">
      <c r="A289" t="str">
        <f>L289&amp;F289&amp;G289</f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>DAY(D289)&amp;"/"&amp;"07"&amp;"/"&amp;YEAR(D289)</f>
        <v>22/07/2026</v>
      </c>
      <c r="M289" s="23">
        <f>E289-TIME(3,0,0)</f>
        <v>0.5</v>
      </c>
      <c r="N289" t="str">
        <f>J289&amp;" - "&amp;K289</f>
        <v>4 - 1</v>
      </c>
      <c r="O289" t="str">
        <f>IF($J289&gt;$K289,"Green","Red")</f>
        <v>Green</v>
      </c>
      <c r="P289" t="str">
        <f>IF($J289=$K289,"Green","Red")</f>
        <v>Red</v>
      </c>
      <c r="Q289" t="str">
        <f>IF($J289&lt;$K289,"Green","Red")</f>
        <v>Red</v>
      </c>
      <c r="R289" t="str">
        <f>IF($J289&gt;=$K289,"Green","Red")</f>
        <v>Green</v>
      </c>
      <c r="S289" t="str">
        <f>IF($J289&lt;=$K289,"Green","Red")</f>
        <v>Red</v>
      </c>
      <c r="T289" t="str">
        <f>IF(OR($J289&gt;$K289,$J289&lt;$K289),"Green","Red")</f>
        <v>Green</v>
      </c>
      <c r="U289" t="str">
        <f>IF($H289&gt;$I289,"Green","Red")</f>
        <v>Green</v>
      </c>
      <c r="V289" t="str">
        <f>IF($H289=$I289,"Green","Red")</f>
        <v>Red</v>
      </c>
      <c r="W289" t="str">
        <f>IF($H289&lt;$I289,"Green","Red")</f>
        <v>Red</v>
      </c>
      <c r="X289" t="str">
        <f>IF($H289+$I289&gt;0,"Green","Red")</f>
        <v>Green</v>
      </c>
      <c r="Y289" t="str">
        <f>IF($J289+$K289&gt;1.5,"Green","Red")</f>
        <v>Green</v>
      </c>
      <c r="Z289" t="str">
        <f>IF($J289+$K289&gt;2.5,"Green","Red")</f>
        <v>Green</v>
      </c>
      <c r="AA289" t="str">
        <f>IF($J289+$K289&lt;2.5,"Green","Red")</f>
        <v>Red</v>
      </c>
      <c r="AB289" t="str">
        <f>IF($J289+$K289&lt;3.5,"Green","Red")</f>
        <v>Red</v>
      </c>
      <c r="AC289" t="str">
        <f>IF(AND($J289&gt;0,$K289&gt;0),"Green","Red")</f>
        <v>Green</v>
      </c>
      <c r="AD289" t="str">
        <f>IF(OR($J289=0,$K289=0),"Green","Red")</f>
        <v>Red</v>
      </c>
    </row>
    <row r="290" spans="1:30" x14ac:dyDescent="0.2">
      <c r="A290" t="str">
        <f>L290&amp;F290&amp;G290</f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>DAY(D290)&amp;"/"&amp;"07"&amp;"/"&amp;YEAR(D290)</f>
        <v>22/07/2026</v>
      </c>
      <c r="M290" s="23">
        <f>E290-TIME(3,0,0)</f>
        <v>0.52083333333333337</v>
      </c>
      <c r="N290" t="str">
        <f>J290&amp;" - "&amp;K290</f>
        <v>3 - 1</v>
      </c>
      <c r="O290" t="str">
        <f>IF($J290&gt;$K290,"Green","Red")</f>
        <v>Green</v>
      </c>
      <c r="P290" t="str">
        <f>IF($J290=$K290,"Green","Red")</f>
        <v>Red</v>
      </c>
      <c r="Q290" t="str">
        <f>IF($J290&lt;$K290,"Green","Red")</f>
        <v>Red</v>
      </c>
      <c r="R290" t="str">
        <f>IF($J290&gt;=$K290,"Green","Red")</f>
        <v>Green</v>
      </c>
      <c r="S290" t="str">
        <f>IF($J290&lt;=$K290,"Green","Red")</f>
        <v>Red</v>
      </c>
      <c r="T290" t="str">
        <f>IF(OR($J290&gt;$K290,$J290&lt;$K290),"Green","Red")</f>
        <v>Green</v>
      </c>
      <c r="U290" t="str">
        <f>IF($H290&gt;$I290,"Green","Red")</f>
        <v>Green</v>
      </c>
      <c r="V290" t="str">
        <f>IF($H290=$I290,"Green","Red")</f>
        <v>Red</v>
      </c>
      <c r="W290" t="str">
        <f>IF($H290&lt;$I290,"Green","Red")</f>
        <v>Red</v>
      </c>
      <c r="X290" t="str">
        <f>IF($H290+$I290&gt;0,"Green","Red")</f>
        <v>Green</v>
      </c>
      <c r="Y290" t="str">
        <f>IF($J290+$K290&gt;1.5,"Green","Red")</f>
        <v>Green</v>
      </c>
      <c r="Z290" t="str">
        <f>IF($J290+$K290&gt;2.5,"Green","Red")</f>
        <v>Green</v>
      </c>
      <c r="AA290" t="str">
        <f>IF($J290+$K290&lt;2.5,"Green","Red")</f>
        <v>Red</v>
      </c>
      <c r="AB290" t="str">
        <f>IF($J290+$K290&lt;3.5,"Green","Red")</f>
        <v>Red</v>
      </c>
      <c r="AC290" t="str">
        <f>IF(AND($J290&gt;0,$K290&gt;0),"Green","Red")</f>
        <v>Green</v>
      </c>
      <c r="AD290" t="str">
        <f>IF(OR($J290=0,$K290=0),"Green","Red")</f>
        <v>Red</v>
      </c>
    </row>
    <row r="291" spans="1:30" x14ac:dyDescent="0.2">
      <c r="A291" t="str">
        <f>L291&amp;F291&amp;G291</f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>DAY(D291)&amp;"/"&amp;"07"&amp;"/"&amp;YEAR(D291)</f>
        <v>22/07/2026</v>
      </c>
      <c r="M291" s="23">
        <f>E291-TIME(3,0,0)</f>
        <v>0.52083333333333337</v>
      </c>
      <c r="N291" t="str">
        <f>J291&amp;" - "&amp;K291</f>
        <v>1 - 1</v>
      </c>
      <c r="O291" t="str">
        <f>IF($J291&gt;$K291,"Green","Red")</f>
        <v>Red</v>
      </c>
      <c r="P291" t="str">
        <f>IF($J291=$K291,"Green","Red")</f>
        <v>Green</v>
      </c>
      <c r="Q291" t="str">
        <f>IF($J291&lt;$K291,"Green","Red")</f>
        <v>Red</v>
      </c>
      <c r="R291" t="str">
        <f>IF($J291&gt;=$K291,"Green","Red")</f>
        <v>Green</v>
      </c>
      <c r="S291" t="str">
        <f>IF($J291&lt;=$K291,"Green","Red")</f>
        <v>Green</v>
      </c>
      <c r="T291" t="str">
        <f>IF(OR($J291&gt;$K291,$J291&lt;$K291),"Green","Red")</f>
        <v>Red</v>
      </c>
      <c r="U291" t="str">
        <f>IF($H291&gt;$I291,"Green","Red")</f>
        <v>Green</v>
      </c>
      <c r="V291" t="str">
        <f>IF($H291=$I291,"Green","Red")</f>
        <v>Red</v>
      </c>
      <c r="W291" t="str">
        <f>IF($H291&lt;$I291,"Green","Red")</f>
        <v>Red</v>
      </c>
      <c r="X291" t="str">
        <f>IF($H291+$I291&gt;0,"Green","Red")</f>
        <v>Green</v>
      </c>
      <c r="Y291" t="str">
        <f>IF($J291+$K291&gt;1.5,"Green","Red")</f>
        <v>Green</v>
      </c>
      <c r="Z291" t="str">
        <f>IF($J291+$K291&gt;2.5,"Green","Red")</f>
        <v>Red</v>
      </c>
      <c r="AA291" t="str">
        <f>IF($J291+$K291&lt;2.5,"Green","Red")</f>
        <v>Green</v>
      </c>
      <c r="AB291" t="str">
        <f>IF($J291+$K291&lt;3.5,"Green","Red")</f>
        <v>Green</v>
      </c>
      <c r="AC291" t="str">
        <f>IF(AND($J291&gt;0,$K291&gt;0),"Green","Red")</f>
        <v>Green</v>
      </c>
      <c r="AD291" t="str">
        <f>IF(OR($J291=0,$K291=0),"Green","Red")</f>
        <v>Red</v>
      </c>
    </row>
    <row r="292" spans="1:30" x14ac:dyDescent="0.2">
      <c r="A292" t="str">
        <f>L292&amp;F292&amp;G292</f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>DAY(D292)&amp;"/"&amp;"07"&amp;"/"&amp;YEAR(D292)</f>
        <v>22/07/2026</v>
      </c>
      <c r="M292" s="23">
        <f>E292-TIME(3,0,0)</f>
        <v>0.52083333333333337</v>
      </c>
      <c r="N292" t="str">
        <f>J292&amp;" - "&amp;K292</f>
        <v>2 - 4</v>
      </c>
      <c r="O292" t="str">
        <f>IF($J292&gt;$K292,"Green","Red")</f>
        <v>Red</v>
      </c>
      <c r="P292" t="str">
        <f>IF($J292=$K292,"Green","Red")</f>
        <v>Red</v>
      </c>
      <c r="Q292" t="str">
        <f>IF($J292&lt;$K292,"Green","Red")</f>
        <v>Green</v>
      </c>
      <c r="R292" t="str">
        <f>IF($J292&gt;=$K292,"Green","Red")</f>
        <v>Red</v>
      </c>
      <c r="S292" t="str">
        <f>IF($J292&lt;=$K292,"Green","Red")</f>
        <v>Green</v>
      </c>
      <c r="T292" t="str">
        <f>IF(OR($J292&gt;$K292,$J292&lt;$K292),"Green","Red")</f>
        <v>Green</v>
      </c>
      <c r="U292" t="str">
        <f>IF($H292&gt;$I292,"Green","Red")</f>
        <v>Red</v>
      </c>
      <c r="V292" t="str">
        <f>IF($H292=$I292,"Green","Red")</f>
        <v>Green</v>
      </c>
      <c r="W292" t="str">
        <f>IF($H292&lt;$I292,"Green","Red")</f>
        <v>Red</v>
      </c>
      <c r="X292" t="str">
        <f>IF($H292+$I292&gt;0,"Green","Red")</f>
        <v>Red</v>
      </c>
      <c r="Y292" t="str">
        <f>IF($J292+$K292&gt;1.5,"Green","Red")</f>
        <v>Green</v>
      </c>
      <c r="Z292" t="str">
        <f>IF($J292+$K292&gt;2.5,"Green","Red")</f>
        <v>Green</v>
      </c>
      <c r="AA292" t="str">
        <f>IF($J292+$K292&lt;2.5,"Green","Red")</f>
        <v>Red</v>
      </c>
      <c r="AB292" t="str">
        <f>IF($J292+$K292&lt;3.5,"Green","Red")</f>
        <v>Red</v>
      </c>
      <c r="AC292" t="str">
        <f>IF(AND($J292&gt;0,$K292&gt;0),"Green","Red")</f>
        <v>Green</v>
      </c>
      <c r="AD292" t="str">
        <f>IF(OR($J292=0,$K292=0),"Green","Red")</f>
        <v>Red</v>
      </c>
    </row>
    <row r="293" spans="1:30" x14ac:dyDescent="0.2">
      <c r="A293" t="str">
        <f>L293&amp;F293&amp;G293</f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>DAY(D293)&amp;"/"&amp;"07"&amp;"/"&amp;YEAR(D293)</f>
        <v>22/07/2026</v>
      </c>
      <c r="M293" s="23">
        <f>E293-TIME(3,0,0)</f>
        <v>0.52083333333333337</v>
      </c>
      <c r="N293" t="str">
        <f>J293&amp;" - "&amp;K293</f>
        <v>0 - 1</v>
      </c>
      <c r="O293" t="str">
        <f>IF($J293&gt;$K293,"Green","Red")</f>
        <v>Red</v>
      </c>
      <c r="P293" t="str">
        <f>IF($J293=$K293,"Green","Red")</f>
        <v>Red</v>
      </c>
      <c r="Q293" t="str">
        <f>IF($J293&lt;$K293,"Green","Red")</f>
        <v>Green</v>
      </c>
      <c r="R293" t="str">
        <f>IF($J293&gt;=$K293,"Green","Red")</f>
        <v>Red</v>
      </c>
      <c r="S293" t="str">
        <f>IF($J293&lt;=$K293,"Green","Red")</f>
        <v>Green</v>
      </c>
      <c r="T293" t="str">
        <f>IF(OR($J293&gt;$K293,$J293&lt;$K293),"Green","Red")</f>
        <v>Green</v>
      </c>
      <c r="U293" t="str">
        <f>IF($H293&gt;$I293,"Green","Red")</f>
        <v>Red</v>
      </c>
      <c r="V293" t="str">
        <f>IF($H293=$I293,"Green","Red")</f>
        <v>Green</v>
      </c>
      <c r="W293" t="str">
        <f>IF($H293&lt;$I293,"Green","Red")</f>
        <v>Red</v>
      </c>
      <c r="X293" t="str">
        <f>IF($H293+$I293&gt;0,"Green","Red")</f>
        <v>Red</v>
      </c>
      <c r="Y293" t="str">
        <f>IF($J293+$K293&gt;1.5,"Green","Red")</f>
        <v>Red</v>
      </c>
      <c r="Z293" t="str">
        <f>IF($J293+$K293&gt;2.5,"Green","Red")</f>
        <v>Red</v>
      </c>
      <c r="AA293" t="str">
        <f>IF($J293+$K293&lt;2.5,"Green","Red")</f>
        <v>Green</v>
      </c>
      <c r="AB293" t="str">
        <f>IF($J293+$K293&lt;3.5,"Green","Red")</f>
        <v>Green</v>
      </c>
      <c r="AC293" t="str">
        <f>IF(AND($J293&gt;0,$K293&gt;0),"Green","Red")</f>
        <v>Red</v>
      </c>
      <c r="AD293" t="str">
        <f>IF(OR($J293=0,$K293=0),"Green","Red")</f>
        <v>Green</v>
      </c>
    </row>
    <row r="294" spans="1:30" x14ac:dyDescent="0.2">
      <c r="A294" t="str">
        <f>L294&amp;F294&amp;G294</f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>DAY(D294)&amp;"/"&amp;"07"&amp;"/"&amp;YEAR(D294)</f>
        <v>22/07/2026</v>
      </c>
      <c r="M294" s="23">
        <f>E294-TIME(3,0,0)</f>
        <v>0.52083333333333337</v>
      </c>
      <c r="N294" t="str">
        <f>J294&amp;" - "&amp;K294</f>
        <v>0 - 1</v>
      </c>
      <c r="O294" t="str">
        <f>IF($J294&gt;$K294,"Green","Red")</f>
        <v>Red</v>
      </c>
      <c r="P294" t="str">
        <f>IF($J294=$K294,"Green","Red")</f>
        <v>Red</v>
      </c>
      <c r="Q294" t="str">
        <f>IF($J294&lt;$K294,"Green","Red")</f>
        <v>Green</v>
      </c>
      <c r="R294" t="str">
        <f>IF($J294&gt;=$K294,"Green","Red")</f>
        <v>Red</v>
      </c>
      <c r="S294" t="str">
        <f>IF($J294&lt;=$K294,"Green","Red")</f>
        <v>Green</v>
      </c>
      <c r="T294" t="str">
        <f>IF(OR($J294&gt;$K294,$J294&lt;$K294),"Green","Red")</f>
        <v>Green</v>
      </c>
      <c r="U294" t="str">
        <f>IF($H294&gt;$I294,"Green","Red")</f>
        <v>Red</v>
      </c>
      <c r="V294" t="str">
        <f>IF($H294=$I294,"Green","Red")</f>
        <v>Green</v>
      </c>
      <c r="W294" t="str">
        <f>IF($H294&lt;$I294,"Green","Red")</f>
        <v>Red</v>
      </c>
      <c r="X294" t="str">
        <f>IF($H294+$I294&gt;0,"Green","Red")</f>
        <v>Red</v>
      </c>
      <c r="Y294" t="str">
        <f>IF($J294+$K294&gt;1.5,"Green","Red")</f>
        <v>Red</v>
      </c>
      <c r="Z294" t="str">
        <f>IF($J294+$K294&gt;2.5,"Green","Red")</f>
        <v>Red</v>
      </c>
      <c r="AA294" t="str">
        <f>IF($J294+$K294&lt;2.5,"Green","Red")</f>
        <v>Green</v>
      </c>
      <c r="AB294" t="str">
        <f>IF($J294+$K294&lt;3.5,"Green","Red")</f>
        <v>Green</v>
      </c>
      <c r="AC294" t="str">
        <f>IF(AND($J294&gt;0,$K294&gt;0),"Green","Red")</f>
        <v>Red</v>
      </c>
      <c r="AD294" t="str">
        <f>IF(OR($J294=0,$K294=0),"Green","Red")</f>
        <v>Green</v>
      </c>
    </row>
    <row r="295" spans="1:30" x14ac:dyDescent="0.2">
      <c r="A295" t="str">
        <f>L295&amp;F295&amp;G295</f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>DAY(D295)&amp;"/"&amp;"07"&amp;"/"&amp;YEAR(D295)</f>
        <v>22/07/2026</v>
      </c>
      <c r="M295" s="23">
        <f>E295-TIME(3,0,0)</f>
        <v>0.52083333333333337</v>
      </c>
      <c r="N295" t="str">
        <f>J295&amp;" - "&amp;K295</f>
        <v>4 - 1</v>
      </c>
      <c r="O295" t="str">
        <f>IF($J295&gt;$K295,"Green","Red")</f>
        <v>Green</v>
      </c>
      <c r="P295" t="str">
        <f>IF($J295=$K295,"Green","Red")</f>
        <v>Red</v>
      </c>
      <c r="Q295" t="str">
        <f>IF($J295&lt;$K295,"Green","Red")</f>
        <v>Red</v>
      </c>
      <c r="R295" t="str">
        <f>IF($J295&gt;=$K295,"Green","Red")</f>
        <v>Green</v>
      </c>
      <c r="S295" t="str">
        <f>IF($J295&lt;=$K295,"Green","Red")</f>
        <v>Red</v>
      </c>
      <c r="T295" t="str">
        <f>IF(OR($J295&gt;$K295,$J295&lt;$K295),"Green","Red")</f>
        <v>Green</v>
      </c>
      <c r="U295" t="str">
        <f>IF($H295&gt;$I295,"Green","Red")</f>
        <v>Green</v>
      </c>
      <c r="V295" t="str">
        <f>IF($H295=$I295,"Green","Red")</f>
        <v>Red</v>
      </c>
      <c r="W295" t="str">
        <f>IF($H295&lt;$I295,"Green","Red")</f>
        <v>Red</v>
      </c>
      <c r="X295" t="str">
        <f>IF($H295+$I295&gt;0,"Green","Red")</f>
        <v>Green</v>
      </c>
      <c r="Y295" t="str">
        <f>IF($J295+$K295&gt;1.5,"Green","Red")</f>
        <v>Green</v>
      </c>
      <c r="Z295" t="str">
        <f>IF($J295+$K295&gt;2.5,"Green","Red")</f>
        <v>Green</v>
      </c>
      <c r="AA295" t="str">
        <f>IF($J295+$K295&lt;2.5,"Green","Red")</f>
        <v>Red</v>
      </c>
      <c r="AB295" t="str">
        <f>IF($J295+$K295&lt;3.5,"Green","Red")</f>
        <v>Red</v>
      </c>
      <c r="AC295" t="str">
        <f>IF(AND($J295&gt;0,$K295&gt;0),"Green","Red")</f>
        <v>Green</v>
      </c>
      <c r="AD295" t="str">
        <f>IF(OR($J295=0,$K295=0),"Green","Red")</f>
        <v>Red</v>
      </c>
    </row>
    <row r="296" spans="1:30" x14ac:dyDescent="0.2">
      <c r="A296" t="str">
        <f>L296&amp;F296&amp;G296</f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>DAY(D296)&amp;"/"&amp;"07"&amp;"/"&amp;YEAR(D296)</f>
        <v>22/07/2026</v>
      </c>
      <c r="M296" s="23">
        <f>E296-TIME(3,0,0)</f>
        <v>0.52083333333333337</v>
      </c>
      <c r="N296" t="str">
        <f>J296&amp;" - "&amp;K296</f>
        <v>1 - 1</v>
      </c>
      <c r="O296" t="str">
        <f>IF($J296&gt;$K296,"Green","Red")</f>
        <v>Red</v>
      </c>
      <c r="P296" t="str">
        <f>IF($J296=$K296,"Green","Red")</f>
        <v>Green</v>
      </c>
      <c r="Q296" t="str">
        <f>IF($J296&lt;$K296,"Green","Red")</f>
        <v>Red</v>
      </c>
      <c r="R296" t="str">
        <f>IF($J296&gt;=$K296,"Green","Red")</f>
        <v>Green</v>
      </c>
      <c r="S296" t="str">
        <f>IF($J296&lt;=$K296,"Green","Red")</f>
        <v>Green</v>
      </c>
      <c r="T296" t="str">
        <f>IF(OR($J296&gt;$K296,$J296&lt;$K296),"Green","Red")</f>
        <v>Red</v>
      </c>
      <c r="U296" t="str">
        <f>IF($H296&gt;$I296,"Green","Red")</f>
        <v>Red</v>
      </c>
      <c r="V296" t="str">
        <f>IF($H296=$I296,"Green","Red")</f>
        <v>Green</v>
      </c>
      <c r="W296" t="str">
        <f>IF($H296&lt;$I296,"Green","Red")</f>
        <v>Red</v>
      </c>
      <c r="X296" t="str">
        <f>IF($H296+$I296&gt;0,"Green","Red")</f>
        <v>Red</v>
      </c>
      <c r="Y296" t="str">
        <f>IF($J296+$K296&gt;1.5,"Green","Red")</f>
        <v>Green</v>
      </c>
      <c r="Z296" t="str">
        <f>IF($J296+$K296&gt;2.5,"Green","Red")</f>
        <v>Red</v>
      </c>
      <c r="AA296" t="str">
        <f>IF($J296+$K296&lt;2.5,"Green","Red")</f>
        <v>Green</v>
      </c>
      <c r="AB296" t="str">
        <f>IF($J296+$K296&lt;3.5,"Green","Red")</f>
        <v>Green</v>
      </c>
      <c r="AC296" t="str">
        <f>IF(AND($J296&gt;0,$K296&gt;0),"Green","Red")</f>
        <v>Green</v>
      </c>
      <c r="AD296" t="str">
        <f>IF(OR($J296=0,$K296=0),"Green","Red")</f>
        <v>Red</v>
      </c>
    </row>
    <row r="297" spans="1:30" x14ac:dyDescent="0.2">
      <c r="A297" t="str">
        <f>L297&amp;F297&amp;G297</f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>DAY(D297)&amp;"/"&amp;"07"&amp;"/"&amp;YEAR(D297)</f>
        <v>22/07/2026</v>
      </c>
      <c r="M297" s="23">
        <f>E297-TIME(3,0,0)</f>
        <v>0.52083333333333337</v>
      </c>
      <c r="N297" t="str">
        <f>J297&amp;" - "&amp;K297</f>
        <v>0 - 4</v>
      </c>
      <c r="O297" t="str">
        <f>IF($J297&gt;$K297,"Green","Red")</f>
        <v>Red</v>
      </c>
      <c r="P297" t="str">
        <f>IF($J297=$K297,"Green","Red")</f>
        <v>Red</v>
      </c>
      <c r="Q297" t="str">
        <f>IF($J297&lt;$K297,"Green","Red")</f>
        <v>Green</v>
      </c>
      <c r="R297" t="str">
        <f>IF($J297&gt;=$K297,"Green","Red")</f>
        <v>Red</v>
      </c>
      <c r="S297" t="str">
        <f>IF($J297&lt;=$K297,"Green","Red")</f>
        <v>Green</v>
      </c>
      <c r="T297" t="str">
        <f>IF(OR($J297&gt;$K297,$J297&lt;$K297),"Green","Red")</f>
        <v>Green</v>
      </c>
      <c r="U297" t="str">
        <f>IF($H297&gt;$I297,"Green","Red")</f>
        <v>Red</v>
      </c>
      <c r="V297" t="str">
        <f>IF($H297=$I297,"Green","Red")</f>
        <v>Red</v>
      </c>
      <c r="W297" t="str">
        <f>IF($H297&lt;$I297,"Green","Red")</f>
        <v>Green</v>
      </c>
      <c r="X297" t="str">
        <f>IF($H297+$I297&gt;0,"Green","Red")</f>
        <v>Green</v>
      </c>
      <c r="Y297" t="str">
        <f>IF($J297+$K297&gt;1.5,"Green","Red")</f>
        <v>Green</v>
      </c>
      <c r="Z297" t="str">
        <f>IF($J297+$K297&gt;2.5,"Green","Red")</f>
        <v>Green</v>
      </c>
      <c r="AA297" t="str">
        <f>IF($J297+$K297&lt;2.5,"Green","Red")</f>
        <v>Red</v>
      </c>
      <c r="AB297" t="str">
        <f>IF($J297+$K297&lt;3.5,"Green","Red")</f>
        <v>Red</v>
      </c>
      <c r="AC297" t="str">
        <f>IF(AND($J297&gt;0,$K297&gt;0),"Green","Red")</f>
        <v>Red</v>
      </c>
      <c r="AD297" t="str">
        <f>IF(OR($J297=0,$K297=0),"Green","Red")</f>
        <v>Green</v>
      </c>
    </row>
    <row r="298" spans="1:30" x14ac:dyDescent="0.2">
      <c r="A298" t="str">
        <f>L298&amp;F298&amp;G298</f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>DAY(D298)&amp;"/"&amp;"07"&amp;"/"&amp;YEAR(D298)</f>
        <v>22/07/2026</v>
      </c>
      <c r="M298" s="23">
        <f>E298-TIME(3,0,0)</f>
        <v>0.52083333333333337</v>
      </c>
      <c r="N298" t="str">
        <f>J298&amp;" - "&amp;K298</f>
        <v>2 - 3</v>
      </c>
      <c r="O298" t="str">
        <f>IF($J298&gt;$K298,"Green","Red")</f>
        <v>Red</v>
      </c>
      <c r="P298" t="str">
        <f>IF($J298=$K298,"Green","Red")</f>
        <v>Red</v>
      </c>
      <c r="Q298" t="str">
        <f>IF($J298&lt;$K298,"Green","Red")</f>
        <v>Green</v>
      </c>
      <c r="R298" t="str">
        <f>IF($J298&gt;=$K298,"Green","Red")</f>
        <v>Red</v>
      </c>
      <c r="S298" t="str">
        <f>IF($J298&lt;=$K298,"Green","Red")</f>
        <v>Green</v>
      </c>
      <c r="T298" t="str">
        <f>IF(OR($J298&gt;$K298,$J298&lt;$K298),"Green","Red")</f>
        <v>Green</v>
      </c>
      <c r="U298" t="str">
        <f>IF($H298&gt;$I298,"Green","Red")</f>
        <v>Green</v>
      </c>
      <c r="V298" t="str">
        <f>IF($H298=$I298,"Green","Red")</f>
        <v>Red</v>
      </c>
      <c r="W298" t="str">
        <f>IF($H298&lt;$I298,"Green","Red")</f>
        <v>Red</v>
      </c>
      <c r="X298" t="str">
        <f>IF($H298+$I298&gt;0,"Green","Red")</f>
        <v>Green</v>
      </c>
      <c r="Y298" t="str">
        <f>IF($J298+$K298&gt;1.5,"Green","Red")</f>
        <v>Green</v>
      </c>
      <c r="Z298" t="str">
        <f>IF($J298+$K298&gt;2.5,"Green","Red")</f>
        <v>Green</v>
      </c>
      <c r="AA298" t="str">
        <f>IF($J298+$K298&lt;2.5,"Green","Red")</f>
        <v>Red</v>
      </c>
      <c r="AB298" t="str">
        <f>IF($J298+$K298&lt;3.5,"Green","Red")</f>
        <v>Red</v>
      </c>
      <c r="AC298" t="str">
        <f>IF(AND($J298&gt;0,$K298&gt;0),"Green","Red")</f>
        <v>Green</v>
      </c>
      <c r="AD298" t="str">
        <f>IF(OR($J298=0,$K298=0),"Green","Red")</f>
        <v>Red</v>
      </c>
    </row>
    <row r="299" spans="1:30" x14ac:dyDescent="0.2">
      <c r="A299" t="str">
        <f>L299&amp;F299&amp;G299</f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>DAY(D299)&amp;"/"&amp;"07"&amp;"/"&amp;YEAR(D299)</f>
        <v>22/07/2026</v>
      </c>
      <c r="M299" s="23">
        <f>E299-TIME(3,0,0)</f>
        <v>0.52083333333333337</v>
      </c>
      <c r="N299" t="str">
        <f>J299&amp;" - "&amp;K299</f>
        <v>1 - 0</v>
      </c>
      <c r="O299" t="str">
        <f>IF($J299&gt;$K299,"Green","Red")</f>
        <v>Green</v>
      </c>
      <c r="P299" t="str">
        <f>IF($J299=$K299,"Green","Red")</f>
        <v>Red</v>
      </c>
      <c r="Q299" t="str">
        <f>IF($J299&lt;$K299,"Green","Red")</f>
        <v>Red</v>
      </c>
      <c r="R299" t="str">
        <f>IF($J299&gt;=$K299,"Green","Red")</f>
        <v>Green</v>
      </c>
      <c r="S299" t="str">
        <f>IF($J299&lt;=$K299,"Green","Red")</f>
        <v>Red</v>
      </c>
      <c r="T299" t="str">
        <f>IF(OR($J299&gt;$K299,$J299&lt;$K299),"Green","Red")</f>
        <v>Green</v>
      </c>
      <c r="U299" t="str">
        <f>IF($H299&gt;$I299,"Green","Red")</f>
        <v>Red</v>
      </c>
      <c r="V299" t="str">
        <f>IF($H299=$I299,"Green","Red")</f>
        <v>Green</v>
      </c>
      <c r="W299" t="str">
        <f>IF($H299&lt;$I299,"Green","Red")</f>
        <v>Red</v>
      </c>
      <c r="X299" t="str">
        <f>IF($H299+$I299&gt;0,"Green","Red")</f>
        <v>Red</v>
      </c>
      <c r="Y299" t="str">
        <f>IF($J299+$K299&gt;1.5,"Green","Red")</f>
        <v>Red</v>
      </c>
      <c r="Z299" t="str">
        <f>IF($J299+$K299&gt;2.5,"Green","Red")</f>
        <v>Red</v>
      </c>
      <c r="AA299" t="str">
        <f>IF($J299+$K299&lt;2.5,"Green","Red")</f>
        <v>Green</v>
      </c>
      <c r="AB299" t="str">
        <f>IF($J299+$K299&lt;3.5,"Green","Red")</f>
        <v>Green</v>
      </c>
      <c r="AC299" t="str">
        <f>IF(AND($J299&gt;0,$K299&gt;0),"Green","Red")</f>
        <v>Red</v>
      </c>
      <c r="AD299" t="str">
        <f>IF(OR($J299=0,$K299=0),"Green","Red")</f>
        <v>Green</v>
      </c>
    </row>
    <row r="300" spans="1:30" x14ac:dyDescent="0.2">
      <c r="A300" t="str">
        <f>L300&amp;F300&amp;G300</f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>DAY(D300)&amp;"/"&amp;"07"&amp;"/"&amp;YEAR(D300)</f>
        <v>22/07/2026</v>
      </c>
      <c r="M300" s="23">
        <f>E300-TIME(3,0,0)</f>
        <v>0.52083333333333337</v>
      </c>
      <c r="N300" t="str">
        <f>J300&amp;" - "&amp;K300</f>
        <v>2 - 1</v>
      </c>
      <c r="O300" t="str">
        <f>IF($J300&gt;$K300,"Green","Red")</f>
        <v>Green</v>
      </c>
      <c r="P300" t="str">
        <f>IF($J300=$K300,"Green","Red")</f>
        <v>Red</v>
      </c>
      <c r="Q300" t="str">
        <f>IF($J300&lt;$K300,"Green","Red")</f>
        <v>Red</v>
      </c>
      <c r="R300" t="str">
        <f>IF($J300&gt;=$K300,"Green","Red")</f>
        <v>Green</v>
      </c>
      <c r="S300" t="str">
        <f>IF($J300&lt;=$K300,"Green","Red")</f>
        <v>Red</v>
      </c>
      <c r="T300" t="str">
        <f>IF(OR($J300&gt;$K300,$J300&lt;$K300),"Green","Red")</f>
        <v>Green</v>
      </c>
      <c r="U300" t="str">
        <f>IF($H300&gt;$I300,"Green","Red")</f>
        <v>Green</v>
      </c>
      <c r="V300" t="str">
        <f>IF($H300=$I300,"Green","Red")</f>
        <v>Red</v>
      </c>
      <c r="W300" t="str">
        <f>IF($H300&lt;$I300,"Green","Red")</f>
        <v>Red</v>
      </c>
      <c r="X300" t="str">
        <f>IF($H300+$I300&gt;0,"Green","Red")</f>
        <v>Green</v>
      </c>
      <c r="Y300" t="str">
        <f>IF($J300+$K300&gt;1.5,"Green","Red")</f>
        <v>Green</v>
      </c>
      <c r="Z300" t="str">
        <f>IF($J300+$K300&gt;2.5,"Green","Red")</f>
        <v>Green</v>
      </c>
      <c r="AA300" t="str">
        <f>IF($J300+$K300&lt;2.5,"Green","Red")</f>
        <v>Red</v>
      </c>
      <c r="AB300" t="str">
        <f>IF($J300+$K300&lt;3.5,"Green","Red")</f>
        <v>Green</v>
      </c>
      <c r="AC300" t="str">
        <f>IF(AND($J300&gt;0,$K300&gt;0),"Green","Red")</f>
        <v>Green</v>
      </c>
      <c r="AD300" t="str">
        <f>IF(OR($J300=0,$K300=0),"Green","Red")</f>
        <v>Red</v>
      </c>
    </row>
    <row r="301" spans="1:30" x14ac:dyDescent="0.2">
      <c r="A301" t="str">
        <f>L301&amp;F301&amp;G301</f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>DAY(D301)&amp;"/"&amp;"07"&amp;"/"&amp;YEAR(D301)</f>
        <v>22/07/2026</v>
      </c>
      <c r="M301" s="23">
        <f>E301-TIME(3,0,0)</f>
        <v>0.52083333333333337</v>
      </c>
      <c r="N301" t="str">
        <f>J301&amp;" - "&amp;K301</f>
        <v>2 - 0</v>
      </c>
      <c r="O301" t="str">
        <f>IF($J301&gt;$K301,"Green","Red")</f>
        <v>Green</v>
      </c>
      <c r="P301" t="str">
        <f>IF($J301=$K301,"Green","Red")</f>
        <v>Red</v>
      </c>
      <c r="Q301" t="str">
        <f>IF($J301&lt;$K301,"Green","Red")</f>
        <v>Red</v>
      </c>
      <c r="R301" t="str">
        <f>IF($J301&gt;=$K301,"Green","Red")</f>
        <v>Green</v>
      </c>
      <c r="S301" t="str">
        <f>IF($J301&lt;=$K301,"Green","Red")</f>
        <v>Red</v>
      </c>
      <c r="T301" t="str">
        <f>IF(OR($J301&gt;$K301,$J301&lt;$K301),"Green","Red")</f>
        <v>Green</v>
      </c>
      <c r="U301" t="str">
        <f>IF($H301&gt;$I301,"Green","Red")</f>
        <v>Green</v>
      </c>
      <c r="V301" t="str">
        <f>IF($H301=$I301,"Green","Red")</f>
        <v>Red</v>
      </c>
      <c r="W301" t="str">
        <f>IF($H301&lt;$I301,"Green","Red")</f>
        <v>Red</v>
      </c>
      <c r="X301" t="str">
        <f>IF($H301+$I301&gt;0,"Green","Red")</f>
        <v>Green</v>
      </c>
      <c r="Y301" t="str">
        <f>IF($J301+$K301&gt;1.5,"Green","Red")</f>
        <v>Green</v>
      </c>
      <c r="Z301" t="str">
        <f>IF($J301+$K301&gt;2.5,"Green","Red")</f>
        <v>Red</v>
      </c>
      <c r="AA301" t="str">
        <f>IF($J301+$K301&lt;2.5,"Green","Red")</f>
        <v>Green</v>
      </c>
      <c r="AB301" t="str">
        <f>IF($J301+$K301&lt;3.5,"Green","Red")</f>
        <v>Green</v>
      </c>
      <c r="AC301" t="str">
        <f>IF(AND($J301&gt;0,$K301&gt;0),"Green","Red")</f>
        <v>Red</v>
      </c>
      <c r="AD301" t="str">
        <f>IF(OR($J301=0,$K301=0),"Green","Red")</f>
        <v>Green</v>
      </c>
    </row>
    <row r="302" spans="1:30" x14ac:dyDescent="0.2">
      <c r="A302" t="str">
        <f>L302&amp;F302&amp;G302</f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>DAY(D302)&amp;"/"&amp;"07"&amp;"/"&amp;YEAR(D302)</f>
        <v>22/07/2026</v>
      </c>
      <c r="M302" s="23">
        <f>E302-TIME(3,0,0)</f>
        <v>0.53125</v>
      </c>
      <c r="N302" t="str">
        <f>J302&amp;" - "&amp;K302</f>
        <v>2 - 2</v>
      </c>
      <c r="O302" t="str">
        <f>IF($J302&gt;$K302,"Green","Red")</f>
        <v>Red</v>
      </c>
      <c r="P302" t="str">
        <f>IF($J302=$K302,"Green","Red")</f>
        <v>Green</v>
      </c>
      <c r="Q302" t="str">
        <f>IF($J302&lt;$K302,"Green","Red")</f>
        <v>Red</v>
      </c>
      <c r="R302" t="str">
        <f>IF($J302&gt;=$K302,"Green","Red")</f>
        <v>Green</v>
      </c>
      <c r="S302" t="str">
        <f>IF($J302&lt;=$K302,"Green","Red")</f>
        <v>Green</v>
      </c>
      <c r="T302" t="str">
        <f>IF(OR($J302&gt;$K302,$J302&lt;$K302),"Green","Red")</f>
        <v>Red</v>
      </c>
      <c r="U302" t="str">
        <f>IF($H302&gt;$I302,"Green","Red")</f>
        <v>Red</v>
      </c>
      <c r="V302" t="str">
        <f>IF($H302=$I302,"Green","Red")</f>
        <v>Green</v>
      </c>
      <c r="W302" t="str">
        <f>IF($H302&lt;$I302,"Green","Red")</f>
        <v>Red</v>
      </c>
      <c r="X302" t="str">
        <f>IF($H302+$I302&gt;0,"Green","Red")</f>
        <v>Red</v>
      </c>
      <c r="Y302" t="str">
        <f>IF($J302+$K302&gt;1.5,"Green","Red")</f>
        <v>Green</v>
      </c>
      <c r="Z302" t="str">
        <f>IF($J302+$K302&gt;2.5,"Green","Red")</f>
        <v>Green</v>
      </c>
      <c r="AA302" t="str">
        <f>IF($J302+$K302&lt;2.5,"Green","Red")</f>
        <v>Red</v>
      </c>
      <c r="AB302" t="str">
        <f>IF($J302+$K302&lt;3.5,"Green","Red")</f>
        <v>Red</v>
      </c>
      <c r="AC302" t="str">
        <f>IF(AND($J302&gt;0,$K302&gt;0),"Green","Red")</f>
        <v>Green</v>
      </c>
      <c r="AD302" t="str">
        <f>IF(OR($J302=0,$K302=0),"Green","Red")</f>
        <v>Red</v>
      </c>
    </row>
    <row r="303" spans="1:30" x14ac:dyDescent="0.2">
      <c r="A303" t="str">
        <f>L303&amp;F303&amp;G303</f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>DAY(D303)&amp;"/"&amp;"07"&amp;"/"&amp;YEAR(D303)</f>
        <v>22/07/2026</v>
      </c>
      <c r="M303" s="23">
        <f>E303-TIME(3,0,0)</f>
        <v>0.54166666666666663</v>
      </c>
      <c r="N303" t="str">
        <f>J303&amp;" - "&amp;K303</f>
        <v>2 - 4</v>
      </c>
      <c r="O303" t="str">
        <f>IF($J303&gt;$K303,"Green","Red")</f>
        <v>Red</v>
      </c>
      <c r="P303" t="str">
        <f>IF($J303=$K303,"Green","Red")</f>
        <v>Red</v>
      </c>
      <c r="Q303" t="str">
        <f>IF($J303&lt;$K303,"Green","Red")</f>
        <v>Green</v>
      </c>
      <c r="R303" t="str">
        <f>IF($J303&gt;=$K303,"Green","Red")</f>
        <v>Red</v>
      </c>
      <c r="S303" t="str">
        <f>IF($J303&lt;=$K303,"Green","Red")</f>
        <v>Green</v>
      </c>
      <c r="T303" t="str">
        <f>IF(OR($J303&gt;$K303,$J303&lt;$K303),"Green","Red")</f>
        <v>Green</v>
      </c>
      <c r="U303" t="str">
        <f>IF($H303&gt;$I303,"Green","Red")</f>
        <v>Green</v>
      </c>
      <c r="V303" t="str">
        <f>IF($H303=$I303,"Green","Red")</f>
        <v>Red</v>
      </c>
      <c r="W303" t="str">
        <f>IF($H303&lt;$I303,"Green","Red")</f>
        <v>Red</v>
      </c>
      <c r="X303" t="str">
        <f>IF($H303+$I303&gt;0,"Green","Red")</f>
        <v>Green</v>
      </c>
      <c r="Y303" t="str">
        <f>IF($J303+$K303&gt;1.5,"Green","Red")</f>
        <v>Green</v>
      </c>
      <c r="Z303" t="str">
        <f>IF($J303+$K303&gt;2.5,"Green","Red")</f>
        <v>Green</v>
      </c>
      <c r="AA303" t="str">
        <f>IF($J303+$K303&lt;2.5,"Green","Red")</f>
        <v>Red</v>
      </c>
      <c r="AB303" t="str">
        <f>IF($J303+$K303&lt;3.5,"Green","Red")</f>
        <v>Red</v>
      </c>
      <c r="AC303" t="str">
        <f>IF(AND($J303&gt;0,$K303&gt;0),"Green","Red")</f>
        <v>Green</v>
      </c>
      <c r="AD303" t="str">
        <f>IF(OR($J303=0,$K303=0),"Green","Red")</f>
        <v>Red</v>
      </c>
    </row>
    <row r="304" spans="1:30" x14ac:dyDescent="0.2">
      <c r="A304" t="str">
        <f>L304&amp;F304&amp;G304</f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>DAY(D304)&amp;"/"&amp;"07"&amp;"/"&amp;YEAR(D304)</f>
        <v>22/07/2026</v>
      </c>
      <c r="M304" s="23">
        <f>E304-TIME(3,0,0)</f>
        <v>0.54166666666666663</v>
      </c>
      <c r="N304" t="str">
        <f>J304&amp;" - "&amp;K304</f>
        <v>0 - 0</v>
      </c>
      <c r="O304" t="str">
        <f>IF($J304&gt;$K304,"Green","Red")</f>
        <v>Red</v>
      </c>
      <c r="P304" t="str">
        <f>IF($J304=$K304,"Green","Red")</f>
        <v>Green</v>
      </c>
      <c r="Q304" t="str">
        <f>IF($J304&lt;$K304,"Green","Red")</f>
        <v>Red</v>
      </c>
      <c r="R304" t="str">
        <f>IF($J304&gt;=$K304,"Green","Red")</f>
        <v>Green</v>
      </c>
      <c r="S304" t="str">
        <f>IF($J304&lt;=$K304,"Green","Red")</f>
        <v>Green</v>
      </c>
      <c r="T304" t="str">
        <f>IF(OR($J304&gt;$K304,$J304&lt;$K304),"Green","Red")</f>
        <v>Red</v>
      </c>
      <c r="U304" t="str">
        <f>IF($H304&gt;$I304,"Green","Red")</f>
        <v>Red</v>
      </c>
      <c r="V304" t="str">
        <f>IF($H304=$I304,"Green","Red")</f>
        <v>Green</v>
      </c>
      <c r="W304" t="str">
        <f>IF($H304&lt;$I304,"Green","Red")</f>
        <v>Red</v>
      </c>
      <c r="X304" t="str">
        <f>IF($H304+$I304&gt;0,"Green","Red")</f>
        <v>Red</v>
      </c>
      <c r="Y304" t="str">
        <f>IF($J304+$K304&gt;1.5,"Green","Red")</f>
        <v>Red</v>
      </c>
      <c r="Z304" t="str">
        <f>IF($J304+$K304&gt;2.5,"Green","Red")</f>
        <v>Red</v>
      </c>
      <c r="AA304" t="str">
        <f>IF($J304+$K304&lt;2.5,"Green","Red")</f>
        <v>Green</v>
      </c>
      <c r="AB304" t="str">
        <f>IF($J304+$K304&lt;3.5,"Green","Red")</f>
        <v>Green</v>
      </c>
      <c r="AC304" t="str">
        <f>IF(AND($J304&gt;0,$K304&gt;0),"Green","Red")</f>
        <v>Red</v>
      </c>
      <c r="AD304" t="str">
        <f>IF(OR($J304=0,$K304=0),"Green","Red")</f>
        <v>Green</v>
      </c>
    </row>
    <row r="305" spans="1:30" x14ac:dyDescent="0.2">
      <c r="A305" t="str">
        <f>L305&amp;F305&amp;G305</f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>DAY(D305)&amp;"/"&amp;"07"&amp;"/"&amp;YEAR(D305)</f>
        <v>22/07/2026</v>
      </c>
      <c r="M305" s="23">
        <f>E305-TIME(3,0,0)</f>
        <v>0.54166666666666663</v>
      </c>
      <c r="N305" t="str">
        <f>J305&amp;" - "&amp;K305</f>
        <v>8 - 1</v>
      </c>
      <c r="O305" t="str">
        <f>IF($J305&gt;$K305,"Green","Red")</f>
        <v>Green</v>
      </c>
      <c r="P305" t="str">
        <f>IF($J305=$K305,"Green","Red")</f>
        <v>Red</v>
      </c>
      <c r="Q305" t="str">
        <f>IF($J305&lt;$K305,"Green","Red")</f>
        <v>Red</v>
      </c>
      <c r="R305" t="str">
        <f>IF($J305&gt;=$K305,"Green","Red")</f>
        <v>Green</v>
      </c>
      <c r="S305" t="str">
        <f>IF($J305&lt;=$K305,"Green","Red")</f>
        <v>Red</v>
      </c>
      <c r="T305" t="str">
        <f>IF(OR($J305&gt;$K305,$J305&lt;$K305),"Green","Red")</f>
        <v>Green</v>
      </c>
      <c r="U305" t="str">
        <f>IF($H305&gt;$I305,"Green","Red")</f>
        <v>Green</v>
      </c>
      <c r="V305" t="str">
        <f>IF($H305=$I305,"Green","Red")</f>
        <v>Red</v>
      </c>
      <c r="W305" t="str">
        <f>IF($H305&lt;$I305,"Green","Red")</f>
        <v>Red</v>
      </c>
      <c r="X305" t="str">
        <f>IF($H305+$I305&gt;0,"Green","Red")</f>
        <v>Green</v>
      </c>
      <c r="Y305" t="str">
        <f>IF($J305+$K305&gt;1.5,"Green","Red")</f>
        <v>Green</v>
      </c>
      <c r="Z305" t="str">
        <f>IF($J305+$K305&gt;2.5,"Green","Red")</f>
        <v>Green</v>
      </c>
      <c r="AA305" t="str">
        <f>IF($J305+$K305&lt;2.5,"Green","Red")</f>
        <v>Red</v>
      </c>
      <c r="AB305" t="str">
        <f>IF($J305+$K305&lt;3.5,"Green","Red")</f>
        <v>Red</v>
      </c>
      <c r="AC305" t="str">
        <f>IF(AND($J305&gt;0,$K305&gt;0),"Green","Red")</f>
        <v>Green</v>
      </c>
      <c r="AD305" t="str">
        <f>IF(OR($J305=0,$K305=0),"Green","Red")</f>
        <v>Red</v>
      </c>
    </row>
    <row r="306" spans="1:30" x14ac:dyDescent="0.2">
      <c r="A306" t="str">
        <f>L306&amp;F306&amp;G306</f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>DAY(D306)&amp;"/"&amp;"07"&amp;"/"&amp;YEAR(D306)</f>
        <v>22/07/2026</v>
      </c>
      <c r="M306" s="23">
        <f>E306-TIME(3,0,0)</f>
        <v>0.54166666666666663</v>
      </c>
      <c r="N306" t="str">
        <f>J306&amp;" - "&amp;K306</f>
        <v>0 - 6</v>
      </c>
      <c r="O306" t="str">
        <f>IF($J306&gt;$K306,"Green","Red")</f>
        <v>Red</v>
      </c>
      <c r="P306" t="str">
        <f>IF($J306=$K306,"Green","Red")</f>
        <v>Red</v>
      </c>
      <c r="Q306" t="str">
        <f>IF($J306&lt;$K306,"Green","Red")</f>
        <v>Green</v>
      </c>
      <c r="R306" t="str">
        <f>IF($J306&gt;=$K306,"Green","Red")</f>
        <v>Red</v>
      </c>
      <c r="S306" t="str">
        <f>IF($J306&lt;=$K306,"Green","Red")</f>
        <v>Green</v>
      </c>
      <c r="T306" t="str">
        <f>IF(OR($J306&gt;$K306,$J306&lt;$K306),"Green","Red")</f>
        <v>Green</v>
      </c>
      <c r="U306" t="str">
        <f>IF($H306&gt;$I306,"Green","Red")</f>
        <v>Red</v>
      </c>
      <c r="V306" t="str">
        <f>IF($H306=$I306,"Green","Red")</f>
        <v>Red</v>
      </c>
      <c r="W306" t="str">
        <f>IF($H306&lt;$I306,"Green","Red")</f>
        <v>Green</v>
      </c>
      <c r="X306" t="str">
        <f>IF($H306+$I306&gt;0,"Green","Red")</f>
        <v>Green</v>
      </c>
      <c r="Y306" t="str">
        <f>IF($J306+$K306&gt;1.5,"Green","Red")</f>
        <v>Green</v>
      </c>
      <c r="Z306" t="str">
        <f>IF($J306+$K306&gt;2.5,"Green","Red")</f>
        <v>Green</v>
      </c>
      <c r="AA306" t="str">
        <f>IF($J306+$K306&lt;2.5,"Green","Red")</f>
        <v>Red</v>
      </c>
      <c r="AB306" t="str">
        <f>IF($J306+$K306&lt;3.5,"Green","Red")</f>
        <v>Red</v>
      </c>
      <c r="AC306" t="str">
        <f>IF(AND($J306&gt;0,$K306&gt;0),"Green","Red")</f>
        <v>Red</v>
      </c>
      <c r="AD306" t="str">
        <f>IF(OR($J306=0,$K306=0),"Green","Red")</f>
        <v>Green</v>
      </c>
    </row>
    <row r="307" spans="1:30" x14ac:dyDescent="0.2">
      <c r="A307" t="str">
        <f>L307&amp;F307&amp;G307</f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>DAY(D307)&amp;"/"&amp;"07"&amp;"/"&amp;YEAR(D307)</f>
        <v>22/07/2026</v>
      </c>
      <c r="M307" s="23">
        <f>E307-TIME(3,0,0)</f>
        <v>0.54166666666666663</v>
      </c>
      <c r="N307" t="str">
        <f>J307&amp;" - "&amp;K307</f>
        <v>7 - 1</v>
      </c>
      <c r="O307" t="str">
        <f>IF($J307&gt;$K307,"Green","Red")</f>
        <v>Green</v>
      </c>
      <c r="P307" t="str">
        <f>IF($J307=$K307,"Green","Red")</f>
        <v>Red</v>
      </c>
      <c r="Q307" t="str">
        <f>IF($J307&lt;$K307,"Green","Red")</f>
        <v>Red</v>
      </c>
      <c r="R307" t="str">
        <f>IF($J307&gt;=$K307,"Green","Red")</f>
        <v>Green</v>
      </c>
      <c r="S307" t="str">
        <f>IF($J307&lt;=$K307,"Green","Red")</f>
        <v>Red</v>
      </c>
      <c r="T307" t="str">
        <f>IF(OR($J307&gt;$K307,$J307&lt;$K307),"Green","Red")</f>
        <v>Green</v>
      </c>
      <c r="U307" t="str">
        <f>IF($H307&gt;$I307,"Green","Red")</f>
        <v>Green</v>
      </c>
      <c r="V307" t="str">
        <f>IF($H307=$I307,"Green","Red")</f>
        <v>Red</v>
      </c>
      <c r="W307" t="str">
        <f>IF($H307&lt;$I307,"Green","Red")</f>
        <v>Red</v>
      </c>
      <c r="X307" t="str">
        <f>IF($H307+$I307&gt;0,"Green","Red")</f>
        <v>Green</v>
      </c>
      <c r="Y307" t="str">
        <f>IF($J307+$K307&gt;1.5,"Green","Red")</f>
        <v>Green</v>
      </c>
      <c r="Z307" t="str">
        <f>IF($J307+$K307&gt;2.5,"Green","Red")</f>
        <v>Green</v>
      </c>
      <c r="AA307" t="str">
        <f>IF($J307+$K307&lt;2.5,"Green","Red")</f>
        <v>Red</v>
      </c>
      <c r="AB307" t="str">
        <f>IF($J307+$K307&lt;3.5,"Green","Red")</f>
        <v>Red</v>
      </c>
      <c r="AC307" t="str">
        <f>IF(AND($J307&gt;0,$K307&gt;0),"Green","Red")</f>
        <v>Green</v>
      </c>
      <c r="AD307" t="str">
        <f>IF(OR($J307=0,$K307=0),"Green","Red")</f>
        <v>Red</v>
      </c>
    </row>
    <row r="308" spans="1:30" x14ac:dyDescent="0.2">
      <c r="A308" t="str">
        <f>L308&amp;F308&amp;G308</f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>DAY(D308)&amp;"/"&amp;"07"&amp;"/"&amp;YEAR(D308)</f>
        <v>22/07/2026</v>
      </c>
      <c r="M308" s="23">
        <f>E308-TIME(3,0,0)</f>
        <v>0.54166666666666663</v>
      </c>
      <c r="N308" t="str">
        <f>J308&amp;" - "&amp;K308</f>
        <v>0 - 4</v>
      </c>
      <c r="O308" t="str">
        <f>IF($J308&gt;$K308,"Green","Red")</f>
        <v>Red</v>
      </c>
      <c r="P308" t="str">
        <f>IF($J308=$K308,"Green","Red")</f>
        <v>Red</v>
      </c>
      <c r="Q308" t="str">
        <f>IF($J308&lt;$K308,"Green","Red")</f>
        <v>Green</v>
      </c>
      <c r="R308" t="str">
        <f>IF($J308&gt;=$K308,"Green","Red")</f>
        <v>Red</v>
      </c>
      <c r="S308" t="str">
        <f>IF($J308&lt;=$K308,"Green","Red")</f>
        <v>Green</v>
      </c>
      <c r="T308" t="str">
        <f>IF(OR($J308&gt;$K308,$J308&lt;$K308),"Green","Red")</f>
        <v>Green</v>
      </c>
      <c r="U308" t="str">
        <f>IF($H308&gt;$I308,"Green","Red")</f>
        <v>Red</v>
      </c>
      <c r="V308" t="str">
        <f>IF($H308=$I308,"Green","Red")</f>
        <v>Green</v>
      </c>
      <c r="W308" t="str">
        <f>IF($H308&lt;$I308,"Green","Red")</f>
        <v>Red</v>
      </c>
      <c r="X308" t="str">
        <f>IF($H308+$I308&gt;0,"Green","Red")</f>
        <v>Red</v>
      </c>
      <c r="Y308" t="str">
        <f>IF($J308+$K308&gt;1.5,"Green","Red")</f>
        <v>Green</v>
      </c>
      <c r="Z308" t="str">
        <f>IF($J308+$K308&gt;2.5,"Green","Red")</f>
        <v>Green</v>
      </c>
      <c r="AA308" t="str">
        <f>IF($J308+$K308&lt;2.5,"Green","Red")</f>
        <v>Red</v>
      </c>
      <c r="AB308" t="str">
        <f>IF($J308+$K308&lt;3.5,"Green","Red")</f>
        <v>Red</v>
      </c>
      <c r="AC308" t="str">
        <f>IF(AND($J308&gt;0,$K308&gt;0),"Green","Red")</f>
        <v>Red</v>
      </c>
      <c r="AD308" t="str">
        <f>IF(OR($J308=0,$K308=0),"Green","Red")</f>
        <v>Green</v>
      </c>
    </row>
    <row r="309" spans="1:30" x14ac:dyDescent="0.2">
      <c r="A309" t="str">
        <f>L309&amp;F309&amp;G309</f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>DAY(D309)&amp;"/"&amp;"07"&amp;"/"&amp;YEAR(D309)</f>
        <v>22/07/2026</v>
      </c>
      <c r="M309" s="23">
        <f>E309-TIME(3,0,0)</f>
        <v>0.54166666666666663</v>
      </c>
      <c r="N309" t="str">
        <f>J309&amp;" - "&amp;K309</f>
        <v>1 - 3</v>
      </c>
      <c r="O309" t="str">
        <f>IF($J309&gt;$K309,"Green","Red")</f>
        <v>Red</v>
      </c>
      <c r="P309" t="str">
        <f>IF($J309=$K309,"Green","Red")</f>
        <v>Red</v>
      </c>
      <c r="Q309" t="str">
        <f>IF($J309&lt;$K309,"Green","Red")</f>
        <v>Green</v>
      </c>
      <c r="R309" t="str">
        <f>IF($J309&gt;=$K309,"Green","Red")</f>
        <v>Red</v>
      </c>
      <c r="S309" t="str">
        <f>IF($J309&lt;=$K309,"Green","Red")</f>
        <v>Green</v>
      </c>
      <c r="T309" t="str">
        <f>IF(OR($J309&gt;$K309,$J309&lt;$K309),"Green","Red")</f>
        <v>Green</v>
      </c>
      <c r="U309" t="str">
        <f>IF($H309&gt;$I309,"Green","Red")</f>
        <v>Green</v>
      </c>
      <c r="V309" t="str">
        <f>IF($H309=$I309,"Green","Red")</f>
        <v>Red</v>
      </c>
      <c r="W309" t="str">
        <f>IF($H309&lt;$I309,"Green","Red")</f>
        <v>Red</v>
      </c>
      <c r="X309" t="str">
        <f>IF($H309+$I309&gt;0,"Green","Red")</f>
        <v>Green</v>
      </c>
      <c r="Y309" t="str">
        <f>IF($J309+$K309&gt;1.5,"Green","Red")</f>
        <v>Green</v>
      </c>
      <c r="Z309" t="str">
        <f>IF($J309+$K309&gt;2.5,"Green","Red")</f>
        <v>Green</v>
      </c>
      <c r="AA309" t="str">
        <f>IF($J309+$K309&lt;2.5,"Green","Red")</f>
        <v>Red</v>
      </c>
      <c r="AB309" t="str">
        <f>IF($J309+$K309&lt;3.5,"Green","Red")</f>
        <v>Red</v>
      </c>
      <c r="AC309" t="str">
        <f>IF(AND($J309&gt;0,$K309&gt;0),"Green","Red")</f>
        <v>Green</v>
      </c>
      <c r="AD309" t="str">
        <f>IF(OR($J309=0,$K309=0),"Green","Red")</f>
        <v>Red</v>
      </c>
    </row>
    <row r="310" spans="1:30" x14ac:dyDescent="0.2">
      <c r="A310" t="str">
        <f>L310&amp;F310&amp;G310</f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>DAY(D310)&amp;"/"&amp;"07"&amp;"/"&amp;YEAR(D310)</f>
        <v>22/07/2026</v>
      </c>
      <c r="M310" s="23">
        <f>E310-TIME(3,0,0)</f>
        <v>0.54166666666666663</v>
      </c>
      <c r="N310" t="str">
        <f>J310&amp;" - "&amp;K310</f>
        <v>2 - 0</v>
      </c>
      <c r="O310" t="str">
        <f>IF($J310&gt;$K310,"Green","Red")</f>
        <v>Green</v>
      </c>
      <c r="P310" t="str">
        <f>IF($J310=$K310,"Green","Red")</f>
        <v>Red</v>
      </c>
      <c r="Q310" t="str">
        <f>IF($J310&lt;$K310,"Green","Red")</f>
        <v>Red</v>
      </c>
      <c r="R310" t="str">
        <f>IF($J310&gt;=$K310,"Green","Red")</f>
        <v>Green</v>
      </c>
      <c r="S310" t="str">
        <f>IF($J310&lt;=$K310,"Green","Red")</f>
        <v>Red</v>
      </c>
      <c r="T310" t="str">
        <f>IF(OR($J310&gt;$K310,$J310&lt;$K310),"Green","Red")</f>
        <v>Green</v>
      </c>
      <c r="U310" t="str">
        <f>IF($H310&gt;$I310,"Green","Red")</f>
        <v>Red</v>
      </c>
      <c r="V310" t="str">
        <f>IF($H310=$I310,"Green","Red")</f>
        <v>Green</v>
      </c>
      <c r="W310" t="str">
        <f>IF($H310&lt;$I310,"Green","Red")</f>
        <v>Red</v>
      </c>
      <c r="X310" t="str">
        <f>IF($H310+$I310&gt;0,"Green","Red")</f>
        <v>Red</v>
      </c>
      <c r="Y310" t="str">
        <f>IF($J310+$K310&gt;1.5,"Green","Red")</f>
        <v>Green</v>
      </c>
      <c r="Z310" t="str">
        <f>IF($J310+$K310&gt;2.5,"Green","Red")</f>
        <v>Red</v>
      </c>
      <c r="AA310" t="str">
        <f>IF($J310+$K310&lt;2.5,"Green","Red")</f>
        <v>Green</v>
      </c>
      <c r="AB310" t="str">
        <f>IF($J310+$K310&lt;3.5,"Green","Red")</f>
        <v>Green</v>
      </c>
      <c r="AC310" t="str">
        <f>IF(AND($J310&gt;0,$K310&gt;0),"Green","Red")</f>
        <v>Red</v>
      </c>
      <c r="AD310" t="str">
        <f>IF(OR($J310=0,$K310=0),"Green","Red")</f>
        <v>Green</v>
      </c>
    </row>
    <row r="311" spans="1:30" x14ac:dyDescent="0.2">
      <c r="A311" t="str">
        <f>L311&amp;F311&amp;G311</f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>DAY(D311)&amp;"/"&amp;"07"&amp;"/"&amp;YEAR(D311)</f>
        <v>22/07/2026</v>
      </c>
      <c r="M311" s="23">
        <f>E311-TIME(3,0,0)</f>
        <v>0.54166666666666663</v>
      </c>
      <c r="N311" t="str">
        <f>J311&amp;" - "&amp;K311</f>
        <v>2 - 0</v>
      </c>
      <c r="O311" t="str">
        <f>IF($J311&gt;$K311,"Green","Red")</f>
        <v>Green</v>
      </c>
      <c r="P311" t="str">
        <f>IF($J311=$K311,"Green","Red")</f>
        <v>Red</v>
      </c>
      <c r="Q311" t="str">
        <f>IF($J311&lt;$K311,"Green","Red")</f>
        <v>Red</v>
      </c>
      <c r="R311" t="str">
        <f>IF($J311&gt;=$K311,"Green","Red")</f>
        <v>Green</v>
      </c>
      <c r="S311" t="str">
        <f>IF($J311&lt;=$K311,"Green","Red")</f>
        <v>Red</v>
      </c>
      <c r="T311" t="str">
        <f>IF(OR($J311&gt;$K311,$J311&lt;$K311),"Green","Red")</f>
        <v>Green</v>
      </c>
      <c r="U311" t="str">
        <f>IF($H311&gt;$I311,"Green","Red")</f>
        <v>Red</v>
      </c>
      <c r="V311" t="str">
        <f>IF($H311=$I311,"Green","Red")</f>
        <v>Green</v>
      </c>
      <c r="W311" t="str">
        <f>IF($H311&lt;$I311,"Green","Red")</f>
        <v>Red</v>
      </c>
      <c r="X311" t="str">
        <f>IF($H311+$I311&gt;0,"Green","Red")</f>
        <v>Red</v>
      </c>
      <c r="Y311" t="str">
        <f>IF($J311+$K311&gt;1.5,"Green","Red")</f>
        <v>Green</v>
      </c>
      <c r="Z311" t="str">
        <f>IF($J311+$K311&gt;2.5,"Green","Red")</f>
        <v>Red</v>
      </c>
      <c r="AA311" t="str">
        <f>IF($J311+$K311&lt;2.5,"Green","Red")</f>
        <v>Green</v>
      </c>
      <c r="AB311" t="str">
        <f>IF($J311+$K311&lt;3.5,"Green","Red")</f>
        <v>Green</v>
      </c>
      <c r="AC311" t="str">
        <f>IF(AND($J311&gt;0,$K311&gt;0),"Green","Red")</f>
        <v>Red</v>
      </c>
      <c r="AD311" t="str">
        <f>IF(OR($J311=0,$K311=0),"Green","Red")</f>
        <v>Green</v>
      </c>
    </row>
    <row r="312" spans="1:30" x14ac:dyDescent="0.2">
      <c r="A312" t="str">
        <f>L312&amp;F312&amp;G312</f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>DAY(D312)&amp;"/"&amp;"07"&amp;"/"&amp;YEAR(D312)</f>
        <v>22/07/2026</v>
      </c>
      <c r="M312" s="23">
        <f>E312-TIME(3,0,0)</f>
        <v>0.54166666666666663</v>
      </c>
      <c r="N312" t="str">
        <f>J312&amp;" - "&amp;K312</f>
        <v>4 - 2</v>
      </c>
      <c r="O312" t="str">
        <f>IF($J312&gt;$K312,"Green","Red")</f>
        <v>Green</v>
      </c>
      <c r="P312" t="str">
        <f>IF($J312=$K312,"Green","Red")</f>
        <v>Red</v>
      </c>
      <c r="Q312" t="str">
        <f>IF($J312&lt;$K312,"Green","Red")</f>
        <v>Red</v>
      </c>
      <c r="R312" t="str">
        <f>IF($J312&gt;=$K312,"Green","Red")</f>
        <v>Green</v>
      </c>
      <c r="S312" t="str">
        <f>IF($J312&lt;=$K312,"Green","Red")</f>
        <v>Red</v>
      </c>
      <c r="T312" t="str">
        <f>IF(OR($J312&gt;$K312,$J312&lt;$K312),"Green","Red")</f>
        <v>Green</v>
      </c>
      <c r="U312" t="str">
        <f>IF($H312&gt;$I312,"Green","Red")</f>
        <v>Red</v>
      </c>
      <c r="V312" t="str">
        <f>IF($H312=$I312,"Green","Red")</f>
        <v>Green</v>
      </c>
      <c r="W312" t="str">
        <f>IF($H312&lt;$I312,"Green","Red")</f>
        <v>Red</v>
      </c>
      <c r="X312" t="str">
        <f>IF($H312+$I312&gt;0,"Green","Red")</f>
        <v>Red</v>
      </c>
      <c r="Y312" t="str">
        <f>IF($J312+$K312&gt;1.5,"Green","Red")</f>
        <v>Green</v>
      </c>
      <c r="Z312" t="str">
        <f>IF($J312+$K312&gt;2.5,"Green","Red")</f>
        <v>Green</v>
      </c>
      <c r="AA312" t="str">
        <f>IF($J312+$K312&lt;2.5,"Green","Red")</f>
        <v>Red</v>
      </c>
      <c r="AB312" t="str">
        <f>IF($J312+$K312&lt;3.5,"Green","Red")</f>
        <v>Red</v>
      </c>
      <c r="AC312" t="str">
        <f>IF(AND($J312&gt;0,$K312&gt;0),"Green","Red")</f>
        <v>Green</v>
      </c>
      <c r="AD312" t="str">
        <f>IF(OR($J312=0,$K312=0),"Green","Red")</f>
        <v>Red</v>
      </c>
    </row>
    <row r="313" spans="1:30" x14ac:dyDescent="0.2">
      <c r="A313" t="str">
        <f>L313&amp;F313&amp;G313</f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>DAY(D313)&amp;"/"&amp;"07"&amp;"/"&amp;YEAR(D313)</f>
        <v>22/07/2026</v>
      </c>
      <c r="M313" s="23">
        <f>E313-TIME(3,0,0)</f>
        <v>0.54166666666666663</v>
      </c>
      <c r="N313" t="str">
        <f>J313&amp;" - "&amp;K313</f>
        <v>0 - 3</v>
      </c>
      <c r="O313" t="str">
        <f>IF($J313&gt;$K313,"Green","Red")</f>
        <v>Red</v>
      </c>
      <c r="P313" t="str">
        <f>IF($J313=$K313,"Green","Red")</f>
        <v>Red</v>
      </c>
      <c r="Q313" t="str">
        <f>IF($J313&lt;$K313,"Green","Red")</f>
        <v>Green</v>
      </c>
      <c r="R313" t="str">
        <f>IF($J313&gt;=$K313,"Green","Red")</f>
        <v>Red</v>
      </c>
      <c r="S313" t="str">
        <f>IF($J313&lt;=$K313,"Green","Red")</f>
        <v>Green</v>
      </c>
      <c r="T313" t="str">
        <f>IF(OR($J313&gt;$K313,$J313&lt;$K313),"Green","Red")</f>
        <v>Green</v>
      </c>
      <c r="U313" t="str">
        <f>IF($H313&gt;$I313,"Green","Red")</f>
        <v>Red</v>
      </c>
      <c r="V313" t="str">
        <f>IF($H313=$I313,"Green","Red")</f>
        <v>Red</v>
      </c>
      <c r="W313" t="str">
        <f>IF($H313&lt;$I313,"Green","Red")</f>
        <v>Green</v>
      </c>
      <c r="X313" t="str">
        <f>IF($H313+$I313&gt;0,"Green","Red")</f>
        <v>Green</v>
      </c>
      <c r="Y313" t="str">
        <f>IF($J313+$K313&gt;1.5,"Green","Red")</f>
        <v>Green</v>
      </c>
      <c r="Z313" t="str">
        <f>IF($J313+$K313&gt;2.5,"Green","Red")</f>
        <v>Green</v>
      </c>
      <c r="AA313" t="str">
        <f>IF($J313+$K313&lt;2.5,"Green","Red")</f>
        <v>Red</v>
      </c>
      <c r="AB313" t="str">
        <f>IF($J313+$K313&lt;3.5,"Green","Red")</f>
        <v>Green</v>
      </c>
      <c r="AC313" t="str">
        <f>IF(AND($J313&gt;0,$K313&gt;0),"Green","Red")</f>
        <v>Red</v>
      </c>
      <c r="AD313" t="str">
        <f>IF(OR($J313=0,$K313=0),"Green","Red")</f>
        <v>Green</v>
      </c>
    </row>
    <row r="314" spans="1:30" x14ac:dyDescent="0.2">
      <c r="A314" t="str">
        <f>L314&amp;F314&amp;G314</f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>DAY(D314)&amp;"/"&amp;"07"&amp;"/"&amp;YEAR(D314)</f>
        <v>22/07/2026</v>
      </c>
      <c r="M314" s="23">
        <f>E314-TIME(3,0,0)</f>
        <v>0.54166666666666663</v>
      </c>
      <c r="N314" t="str">
        <f>J314&amp;" - "&amp;K314</f>
        <v>0 - 2</v>
      </c>
      <c r="O314" t="str">
        <f>IF($J314&gt;$K314,"Green","Red")</f>
        <v>Red</v>
      </c>
      <c r="P314" t="str">
        <f>IF($J314=$K314,"Green","Red")</f>
        <v>Red</v>
      </c>
      <c r="Q314" t="str">
        <f>IF($J314&lt;$K314,"Green","Red")</f>
        <v>Green</v>
      </c>
      <c r="R314" t="str">
        <f>IF($J314&gt;=$K314,"Green","Red")</f>
        <v>Red</v>
      </c>
      <c r="S314" t="str">
        <f>IF($J314&lt;=$K314,"Green","Red")</f>
        <v>Green</v>
      </c>
      <c r="T314" t="str">
        <f>IF(OR($J314&gt;$K314,$J314&lt;$K314),"Green","Red")</f>
        <v>Green</v>
      </c>
      <c r="U314" t="str">
        <f>IF($H314&gt;$I314,"Green","Red")</f>
        <v>Red</v>
      </c>
      <c r="V314" t="str">
        <f>IF($H314=$I314,"Green","Red")</f>
        <v>Red</v>
      </c>
      <c r="W314" t="str">
        <f>IF($H314&lt;$I314,"Green","Red")</f>
        <v>Green</v>
      </c>
      <c r="X314" t="str">
        <f>IF($H314+$I314&gt;0,"Green","Red")</f>
        <v>Green</v>
      </c>
      <c r="Y314" t="str">
        <f>IF($J314+$K314&gt;1.5,"Green","Red")</f>
        <v>Green</v>
      </c>
      <c r="Z314" t="str">
        <f>IF($J314+$K314&gt;2.5,"Green","Red")</f>
        <v>Red</v>
      </c>
      <c r="AA314" t="str">
        <f>IF($J314+$K314&lt;2.5,"Green","Red")</f>
        <v>Green</v>
      </c>
      <c r="AB314" t="str">
        <f>IF($J314+$K314&lt;3.5,"Green","Red")</f>
        <v>Green</v>
      </c>
      <c r="AC314" t="str">
        <f>IF(AND($J314&gt;0,$K314&gt;0),"Green","Red")</f>
        <v>Red</v>
      </c>
      <c r="AD314" t="str">
        <f>IF(OR($J314=0,$K314=0),"Green","Red")</f>
        <v>Green</v>
      </c>
    </row>
    <row r="315" spans="1:30" x14ac:dyDescent="0.2">
      <c r="A315" t="str">
        <f>L315&amp;F315&amp;G315</f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>DAY(D315)&amp;"/"&amp;"07"&amp;"/"&amp;YEAR(D315)</f>
        <v>22/07/2026</v>
      </c>
      <c r="M315" s="23">
        <f>E315-TIME(3,0,0)</f>
        <v>0.54166666666666663</v>
      </c>
      <c r="N315" t="str">
        <f>J315&amp;" - "&amp;K315</f>
        <v>1 - 1</v>
      </c>
      <c r="O315" t="str">
        <f>IF($J315&gt;$K315,"Green","Red")</f>
        <v>Red</v>
      </c>
      <c r="P315" t="str">
        <f>IF($J315=$K315,"Green","Red")</f>
        <v>Green</v>
      </c>
      <c r="Q315" t="str">
        <f>IF($J315&lt;$K315,"Green","Red")</f>
        <v>Red</v>
      </c>
      <c r="R315" t="str">
        <f>IF($J315&gt;=$K315,"Green","Red")</f>
        <v>Green</v>
      </c>
      <c r="S315" t="str">
        <f>IF($J315&lt;=$K315,"Green","Red")</f>
        <v>Green</v>
      </c>
      <c r="T315" t="str">
        <f>IF(OR($J315&gt;$K315,$J315&lt;$K315),"Green","Red")</f>
        <v>Red</v>
      </c>
      <c r="U315" t="str">
        <f>IF($H315&gt;$I315,"Green","Red")</f>
        <v>Red</v>
      </c>
      <c r="V315" t="str">
        <f>IF($H315=$I315,"Green","Red")</f>
        <v>Green</v>
      </c>
      <c r="W315" t="str">
        <f>IF($H315&lt;$I315,"Green","Red")</f>
        <v>Red</v>
      </c>
      <c r="X315" t="str">
        <f>IF($H315+$I315&gt;0,"Green","Red")</f>
        <v>Red</v>
      </c>
      <c r="Y315" t="str">
        <f>IF($J315+$K315&gt;1.5,"Green","Red")</f>
        <v>Green</v>
      </c>
      <c r="Z315" t="str">
        <f>IF($J315+$K315&gt;2.5,"Green","Red")</f>
        <v>Red</v>
      </c>
      <c r="AA315" t="str">
        <f>IF($J315+$K315&lt;2.5,"Green","Red")</f>
        <v>Green</v>
      </c>
      <c r="AB315" t="str">
        <f>IF($J315+$K315&lt;3.5,"Green","Red")</f>
        <v>Green</v>
      </c>
      <c r="AC315" t="str">
        <f>IF(AND($J315&gt;0,$K315&gt;0),"Green","Red")</f>
        <v>Green</v>
      </c>
      <c r="AD315" t="str">
        <f>IF(OR($J315=0,$K315=0),"Green","Red")</f>
        <v>Red</v>
      </c>
    </row>
    <row r="316" spans="1:30" x14ac:dyDescent="0.2">
      <c r="A316" t="str">
        <f>L316&amp;F316&amp;G316</f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>DAY(D316)&amp;"/"&amp;"07"&amp;"/"&amp;YEAR(D316)</f>
        <v>22/07/2026</v>
      </c>
      <c r="M316" s="23">
        <f>E316-TIME(3,0,0)</f>
        <v>0.54166666666666663</v>
      </c>
      <c r="N316" t="str">
        <f>J316&amp;" - "&amp;K316</f>
        <v>2 - 1</v>
      </c>
      <c r="O316" t="str">
        <f>IF($J316&gt;$K316,"Green","Red")</f>
        <v>Green</v>
      </c>
      <c r="P316" t="str">
        <f>IF($J316=$K316,"Green","Red")</f>
        <v>Red</v>
      </c>
      <c r="Q316" t="str">
        <f>IF($J316&lt;$K316,"Green","Red")</f>
        <v>Red</v>
      </c>
      <c r="R316" t="str">
        <f>IF($J316&gt;=$K316,"Green","Red")</f>
        <v>Green</v>
      </c>
      <c r="S316" t="str">
        <f>IF($J316&lt;=$K316,"Green","Red")</f>
        <v>Red</v>
      </c>
      <c r="T316" t="str">
        <f>IF(OR($J316&gt;$K316,$J316&lt;$K316),"Green","Red")</f>
        <v>Green</v>
      </c>
      <c r="U316" t="str">
        <f>IF($H316&gt;$I316,"Green","Red")</f>
        <v>Red</v>
      </c>
      <c r="V316" t="str">
        <f>IF($H316=$I316,"Green","Red")</f>
        <v>Green</v>
      </c>
      <c r="W316" t="str">
        <f>IF($H316&lt;$I316,"Green","Red")</f>
        <v>Red</v>
      </c>
      <c r="X316" t="str">
        <f>IF($H316+$I316&gt;0,"Green","Red")</f>
        <v>Green</v>
      </c>
      <c r="Y316" t="str">
        <f>IF($J316+$K316&gt;1.5,"Green","Red")</f>
        <v>Green</v>
      </c>
      <c r="Z316" t="str">
        <f>IF($J316+$K316&gt;2.5,"Green","Red")</f>
        <v>Green</v>
      </c>
      <c r="AA316" t="str">
        <f>IF($J316+$K316&lt;2.5,"Green","Red")</f>
        <v>Red</v>
      </c>
      <c r="AB316" t="str">
        <f>IF($J316+$K316&lt;3.5,"Green","Red")</f>
        <v>Green</v>
      </c>
      <c r="AC316" t="str">
        <f>IF(AND($J316&gt;0,$K316&gt;0),"Green","Red")</f>
        <v>Green</v>
      </c>
      <c r="AD316" t="str">
        <f>IF(OR($J316=0,$K316=0),"Green","Red")</f>
        <v>Red</v>
      </c>
    </row>
    <row r="317" spans="1:30" x14ac:dyDescent="0.2">
      <c r="A317" t="str">
        <f>L317&amp;F317&amp;G317</f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>DAY(D317)&amp;"/"&amp;"07"&amp;"/"&amp;YEAR(D317)</f>
        <v>22/07/2026</v>
      </c>
      <c r="M317" s="23">
        <f>E317-TIME(3,0,0)</f>
        <v>0.54166666666666663</v>
      </c>
      <c r="N317" t="str">
        <f>J317&amp;" - "&amp;K317</f>
        <v>1 - 1</v>
      </c>
      <c r="O317" t="str">
        <f>IF($J317&gt;$K317,"Green","Red")</f>
        <v>Red</v>
      </c>
      <c r="P317" t="str">
        <f>IF($J317=$K317,"Green","Red")</f>
        <v>Green</v>
      </c>
      <c r="Q317" t="str">
        <f>IF($J317&lt;$K317,"Green","Red")</f>
        <v>Red</v>
      </c>
      <c r="R317" t="str">
        <f>IF($J317&gt;=$K317,"Green","Red")</f>
        <v>Green</v>
      </c>
      <c r="S317" t="str">
        <f>IF($J317&lt;=$K317,"Green","Red")</f>
        <v>Green</v>
      </c>
      <c r="T317" t="str">
        <f>IF(OR($J317&gt;$K317,$J317&lt;$K317),"Green","Red")</f>
        <v>Red</v>
      </c>
      <c r="U317" t="str">
        <f>IF($H317&gt;$I317,"Green","Red")</f>
        <v>Red</v>
      </c>
      <c r="V317" t="str">
        <f>IF($H317=$I317,"Green","Red")</f>
        <v>Green</v>
      </c>
      <c r="W317" t="str">
        <f>IF($H317&lt;$I317,"Green","Red")</f>
        <v>Red</v>
      </c>
      <c r="X317" t="str">
        <f>IF($H317+$I317&gt;0,"Green","Red")</f>
        <v>Red</v>
      </c>
      <c r="Y317" t="str">
        <f>IF($J317+$K317&gt;1.5,"Green","Red")</f>
        <v>Green</v>
      </c>
      <c r="Z317" t="str">
        <f>IF($J317+$K317&gt;2.5,"Green","Red")</f>
        <v>Red</v>
      </c>
      <c r="AA317" t="str">
        <f>IF($J317+$K317&lt;2.5,"Green","Red")</f>
        <v>Green</v>
      </c>
      <c r="AB317" t="str">
        <f>IF($J317+$K317&lt;3.5,"Green","Red")</f>
        <v>Green</v>
      </c>
      <c r="AC317" t="str">
        <f>IF(AND($J317&gt;0,$K317&gt;0),"Green","Red")</f>
        <v>Green</v>
      </c>
      <c r="AD317" t="str">
        <f>IF(OR($J317=0,$K317=0),"Green","Red")</f>
        <v>Red</v>
      </c>
    </row>
    <row r="318" spans="1:30" x14ac:dyDescent="0.2">
      <c r="A318" t="str">
        <f>L318&amp;F318&amp;G318</f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>DAY(D318)&amp;"/"&amp;"07"&amp;"/"&amp;YEAR(D318)</f>
        <v>22/07/2026</v>
      </c>
      <c r="M318" s="23">
        <f>E318-TIME(3,0,0)</f>
        <v>0.54166666666666663</v>
      </c>
      <c r="N318" t="str">
        <f>J318&amp;" - "&amp;K318</f>
        <v>1 - 1</v>
      </c>
      <c r="O318" t="str">
        <f>IF($J318&gt;$K318,"Green","Red")</f>
        <v>Red</v>
      </c>
      <c r="P318" t="str">
        <f>IF($J318=$K318,"Green","Red")</f>
        <v>Green</v>
      </c>
      <c r="Q318" t="str">
        <f>IF($J318&lt;$K318,"Green","Red")</f>
        <v>Red</v>
      </c>
      <c r="R318" t="str">
        <f>IF($J318&gt;=$K318,"Green","Red")</f>
        <v>Green</v>
      </c>
      <c r="S318" t="str">
        <f>IF($J318&lt;=$K318,"Green","Red")</f>
        <v>Green</v>
      </c>
      <c r="T318" t="str">
        <f>IF(OR($J318&gt;$K318,$J318&lt;$K318),"Green","Red")</f>
        <v>Red</v>
      </c>
      <c r="U318" t="str">
        <f>IF($H318&gt;$I318,"Green","Red")</f>
        <v>Green</v>
      </c>
      <c r="V318" t="str">
        <f>IF($H318=$I318,"Green","Red")</f>
        <v>Red</v>
      </c>
      <c r="W318" t="str">
        <f>IF($H318&lt;$I318,"Green","Red")</f>
        <v>Red</v>
      </c>
      <c r="X318" t="str">
        <f>IF($H318+$I318&gt;0,"Green","Red")</f>
        <v>Green</v>
      </c>
      <c r="Y318" t="str">
        <f>IF($J318+$K318&gt;1.5,"Green","Red")</f>
        <v>Green</v>
      </c>
      <c r="Z318" t="str">
        <f>IF($J318+$K318&gt;2.5,"Green","Red")</f>
        <v>Red</v>
      </c>
      <c r="AA318" t="str">
        <f>IF($J318+$K318&lt;2.5,"Green","Red")</f>
        <v>Green</v>
      </c>
      <c r="AB318" t="str">
        <f>IF($J318+$K318&lt;3.5,"Green","Red")</f>
        <v>Green</v>
      </c>
      <c r="AC318" t="str">
        <f>IF(AND($J318&gt;0,$K318&gt;0),"Green","Red")</f>
        <v>Green</v>
      </c>
      <c r="AD318" t="str">
        <f>IF(OR($J318=0,$K318=0),"Green","Red")</f>
        <v>Red</v>
      </c>
    </row>
    <row r="319" spans="1:30" x14ac:dyDescent="0.2">
      <c r="A319" t="str">
        <f>L319&amp;F319&amp;G319</f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>DAY(D319)&amp;"/"&amp;"07"&amp;"/"&amp;YEAR(D319)</f>
        <v>22/07/2026</v>
      </c>
      <c r="M319" s="23">
        <f>E319-TIME(3,0,0)</f>
        <v>0.54166666666666663</v>
      </c>
      <c r="N319" t="str">
        <f>J319&amp;" - "&amp;K319</f>
        <v>8 - 0</v>
      </c>
      <c r="O319" t="str">
        <f>IF($J319&gt;$K319,"Green","Red")</f>
        <v>Green</v>
      </c>
      <c r="P319" t="str">
        <f>IF($J319=$K319,"Green","Red")</f>
        <v>Red</v>
      </c>
      <c r="Q319" t="str">
        <f>IF($J319&lt;$K319,"Green","Red")</f>
        <v>Red</v>
      </c>
      <c r="R319" t="str">
        <f>IF($J319&gt;=$K319,"Green","Red")</f>
        <v>Green</v>
      </c>
      <c r="S319" t="str">
        <f>IF($J319&lt;=$K319,"Green","Red")</f>
        <v>Red</v>
      </c>
      <c r="T319" t="str">
        <f>IF(OR($J319&gt;$K319,$J319&lt;$K319),"Green","Red")</f>
        <v>Green</v>
      </c>
      <c r="U319" t="str">
        <f>IF($H319&gt;$I319,"Green","Red")</f>
        <v>Green</v>
      </c>
      <c r="V319" t="str">
        <f>IF($H319=$I319,"Green","Red")</f>
        <v>Red</v>
      </c>
      <c r="W319" t="str">
        <f>IF($H319&lt;$I319,"Green","Red")</f>
        <v>Red</v>
      </c>
      <c r="X319" t="str">
        <f>IF($H319+$I319&gt;0,"Green","Red")</f>
        <v>Green</v>
      </c>
      <c r="Y319" t="str">
        <f>IF($J319+$K319&gt;1.5,"Green","Red")</f>
        <v>Green</v>
      </c>
      <c r="Z319" t="str">
        <f>IF($J319+$K319&gt;2.5,"Green","Red")</f>
        <v>Green</v>
      </c>
      <c r="AA319" t="str">
        <f>IF($J319+$K319&lt;2.5,"Green","Red")</f>
        <v>Red</v>
      </c>
      <c r="AB319" t="str">
        <f>IF($J319+$K319&lt;3.5,"Green","Red")</f>
        <v>Red</v>
      </c>
      <c r="AC319" t="str">
        <f>IF(AND($J319&gt;0,$K319&gt;0),"Green","Red")</f>
        <v>Red</v>
      </c>
      <c r="AD319" t="str">
        <f>IF(OR($J319=0,$K319=0),"Green","Red")</f>
        <v>Green</v>
      </c>
    </row>
    <row r="320" spans="1:30" x14ac:dyDescent="0.2">
      <c r="A320" t="str">
        <f>L320&amp;F320&amp;G320</f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>DAY(D320)&amp;"/"&amp;"07"&amp;"/"&amp;YEAR(D320)</f>
        <v>22/07/2026</v>
      </c>
      <c r="M320" s="23">
        <f>E320-TIME(3,0,0)</f>
        <v>0.54166666666666663</v>
      </c>
      <c r="N320" t="str">
        <f>J320&amp;" - "&amp;K320</f>
        <v>2 - 1</v>
      </c>
      <c r="O320" t="str">
        <f>IF($J320&gt;$K320,"Green","Red")</f>
        <v>Green</v>
      </c>
      <c r="P320" t="str">
        <f>IF($J320=$K320,"Green","Red")</f>
        <v>Red</v>
      </c>
      <c r="Q320" t="str">
        <f>IF($J320&lt;$K320,"Green","Red")</f>
        <v>Red</v>
      </c>
      <c r="R320" t="str">
        <f>IF($J320&gt;=$K320,"Green","Red")</f>
        <v>Green</v>
      </c>
      <c r="S320" t="str">
        <f>IF($J320&lt;=$K320,"Green","Red")</f>
        <v>Red</v>
      </c>
      <c r="T320" t="str">
        <f>IF(OR($J320&gt;$K320,$J320&lt;$K320),"Green","Red")</f>
        <v>Green</v>
      </c>
      <c r="U320" t="str">
        <f>IF($H320&gt;$I320,"Green","Red")</f>
        <v>Green</v>
      </c>
      <c r="V320" t="str">
        <f>IF($H320=$I320,"Green","Red")</f>
        <v>Red</v>
      </c>
      <c r="W320" t="str">
        <f>IF($H320&lt;$I320,"Green","Red")</f>
        <v>Red</v>
      </c>
      <c r="X320" t="str">
        <f>IF($H320+$I320&gt;0,"Green","Red")</f>
        <v>Green</v>
      </c>
      <c r="Y320" t="str">
        <f>IF($J320+$K320&gt;1.5,"Green","Red")</f>
        <v>Green</v>
      </c>
      <c r="Z320" t="str">
        <f>IF($J320+$K320&gt;2.5,"Green","Red")</f>
        <v>Green</v>
      </c>
      <c r="AA320" t="str">
        <f>IF($J320+$K320&lt;2.5,"Green","Red")</f>
        <v>Red</v>
      </c>
      <c r="AB320" t="str">
        <f>IF($J320+$K320&lt;3.5,"Green","Red")</f>
        <v>Green</v>
      </c>
      <c r="AC320" t="str">
        <f>IF(AND($J320&gt;0,$K320&gt;0),"Green","Red")</f>
        <v>Green</v>
      </c>
      <c r="AD320" t="str">
        <f>IF(OR($J320=0,$K320=0),"Green","Red")</f>
        <v>Red</v>
      </c>
    </row>
    <row r="321" spans="1:30" x14ac:dyDescent="0.2">
      <c r="A321" t="str">
        <f>L321&amp;F321&amp;G321</f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>DAY(D321)&amp;"/"&amp;"07"&amp;"/"&amp;YEAR(D321)</f>
        <v>22/07/2026</v>
      </c>
      <c r="M321" s="23">
        <f>E321-TIME(3,0,0)</f>
        <v>0.54166666666666663</v>
      </c>
      <c r="N321" t="str">
        <f>J321&amp;" - "&amp;K321</f>
        <v>3 - 1</v>
      </c>
      <c r="O321" t="str">
        <f>IF($J321&gt;$K321,"Green","Red")</f>
        <v>Green</v>
      </c>
      <c r="P321" t="str">
        <f>IF($J321=$K321,"Green","Red")</f>
        <v>Red</v>
      </c>
      <c r="Q321" t="str">
        <f>IF($J321&lt;$K321,"Green","Red")</f>
        <v>Red</v>
      </c>
      <c r="R321" t="str">
        <f>IF($J321&gt;=$K321,"Green","Red")</f>
        <v>Green</v>
      </c>
      <c r="S321" t="str">
        <f>IF($J321&lt;=$K321,"Green","Red")</f>
        <v>Red</v>
      </c>
      <c r="T321" t="str">
        <f>IF(OR($J321&gt;$K321,$J321&lt;$K321),"Green","Red")</f>
        <v>Green</v>
      </c>
      <c r="U321" t="str">
        <f>IF($H321&gt;$I321,"Green","Red")</f>
        <v>Green</v>
      </c>
      <c r="V321" t="str">
        <f>IF($H321=$I321,"Green","Red")</f>
        <v>Red</v>
      </c>
      <c r="W321" t="str">
        <f>IF($H321&lt;$I321,"Green","Red")</f>
        <v>Red</v>
      </c>
      <c r="X321" t="str">
        <f>IF($H321+$I321&gt;0,"Green","Red")</f>
        <v>Green</v>
      </c>
      <c r="Y321" t="str">
        <f>IF($J321+$K321&gt;1.5,"Green","Red")</f>
        <v>Green</v>
      </c>
      <c r="Z321" t="str">
        <f>IF($J321+$K321&gt;2.5,"Green","Red")</f>
        <v>Green</v>
      </c>
      <c r="AA321" t="str">
        <f>IF($J321+$K321&lt;2.5,"Green","Red")</f>
        <v>Red</v>
      </c>
      <c r="AB321" t="str">
        <f>IF($J321+$K321&lt;3.5,"Green","Red")</f>
        <v>Red</v>
      </c>
      <c r="AC321" t="str">
        <f>IF(AND($J321&gt;0,$K321&gt;0),"Green","Red")</f>
        <v>Green</v>
      </c>
      <c r="AD321" t="str">
        <f>IF(OR($J321=0,$K321=0),"Green","Red")</f>
        <v>Red</v>
      </c>
    </row>
    <row r="322" spans="1:30" x14ac:dyDescent="0.2">
      <c r="A322" t="str">
        <f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>DAY(D322)&amp;"/"&amp;"07"&amp;"/"&amp;YEAR(D322)</f>
        <v>22/07/2026</v>
      </c>
      <c r="M322" s="23">
        <f>E322-TIME(3,0,0)</f>
        <v>0.54166666666666663</v>
      </c>
      <c r="N322" t="str">
        <f>J322&amp;" - "&amp;K322</f>
        <v>3 - 4</v>
      </c>
      <c r="O322" t="str">
        <f>IF($J322&gt;$K322,"Green","Red")</f>
        <v>Red</v>
      </c>
      <c r="P322" t="str">
        <f>IF($J322=$K322,"Green","Red")</f>
        <v>Red</v>
      </c>
      <c r="Q322" t="str">
        <f>IF($J322&lt;$K322,"Green","Red")</f>
        <v>Green</v>
      </c>
      <c r="R322" t="str">
        <f>IF($J322&gt;=$K322,"Green","Red")</f>
        <v>Red</v>
      </c>
      <c r="S322" t="str">
        <f>IF($J322&lt;=$K322,"Green","Red")</f>
        <v>Green</v>
      </c>
      <c r="T322" t="str">
        <f>IF(OR($J322&gt;$K322,$J322&lt;$K322),"Green","Red")</f>
        <v>Green</v>
      </c>
      <c r="U322" t="str">
        <f>IF($H322&gt;$I322,"Green","Red")</f>
        <v>Red</v>
      </c>
      <c r="V322" t="str">
        <f>IF($H322=$I322,"Green","Red")</f>
        <v>Green</v>
      </c>
      <c r="W322" t="str">
        <f>IF($H322&lt;$I322,"Green","Red")</f>
        <v>Red</v>
      </c>
      <c r="X322" t="str">
        <f>IF($H322+$I322&gt;0,"Green","Red")</f>
        <v>Green</v>
      </c>
      <c r="Y322" t="str">
        <f>IF($J322+$K322&gt;1.5,"Green","Red")</f>
        <v>Green</v>
      </c>
      <c r="Z322" t="str">
        <f>IF($J322+$K322&gt;2.5,"Green","Red")</f>
        <v>Green</v>
      </c>
      <c r="AA322" t="str">
        <f>IF($J322+$K322&lt;2.5,"Green","Red")</f>
        <v>Red</v>
      </c>
      <c r="AB322" t="str">
        <f>IF($J322+$K322&lt;3.5,"Green","Red")</f>
        <v>Red</v>
      </c>
      <c r="AC322" t="str">
        <f>IF(AND($J322&gt;0,$K322&gt;0),"Green","Red")</f>
        <v>Green</v>
      </c>
      <c r="AD322" t="str">
        <f>IF(OR($J322=0,$K322=0),"Green","Red")</f>
        <v>Red</v>
      </c>
    </row>
    <row r="323" spans="1:30" x14ac:dyDescent="0.2">
      <c r="A323" t="str">
        <f>L323&amp;F323&amp;G323</f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>DAY(D323)&amp;"/"&amp;"07"&amp;"/"&amp;YEAR(D323)</f>
        <v>22/07/2026</v>
      </c>
      <c r="M323" s="23">
        <f>E323-TIME(3,0,0)</f>
        <v>0.54166666666666663</v>
      </c>
      <c r="N323" t="str">
        <f>J323&amp;" - "&amp;K323</f>
        <v>2 - 4</v>
      </c>
      <c r="O323" t="str">
        <f>IF($J323&gt;$K323,"Green","Red")</f>
        <v>Red</v>
      </c>
      <c r="P323" t="str">
        <f>IF($J323=$K323,"Green","Red")</f>
        <v>Red</v>
      </c>
      <c r="Q323" t="str">
        <f>IF($J323&lt;$K323,"Green","Red")</f>
        <v>Green</v>
      </c>
      <c r="R323" t="str">
        <f>IF($J323&gt;=$K323,"Green","Red")</f>
        <v>Red</v>
      </c>
      <c r="S323" t="str">
        <f>IF($J323&lt;=$K323,"Green","Red")</f>
        <v>Green</v>
      </c>
      <c r="T323" t="str">
        <f>IF(OR($J323&gt;$K323,$J323&lt;$K323),"Green","Red")</f>
        <v>Green</v>
      </c>
      <c r="U323" t="str">
        <f>IF($H323&gt;$I323,"Green","Red")</f>
        <v>Red</v>
      </c>
      <c r="V323" t="str">
        <f>IF($H323=$I323,"Green","Red")</f>
        <v>Red</v>
      </c>
      <c r="W323" t="str">
        <f>IF($H323&lt;$I323,"Green","Red")</f>
        <v>Green</v>
      </c>
      <c r="X323" t="str">
        <f>IF($H323+$I323&gt;0,"Green","Red")</f>
        <v>Green</v>
      </c>
      <c r="Y323" t="str">
        <f>IF($J323+$K323&gt;1.5,"Green","Red")</f>
        <v>Green</v>
      </c>
      <c r="Z323" t="str">
        <f>IF($J323+$K323&gt;2.5,"Green","Red")</f>
        <v>Green</v>
      </c>
      <c r="AA323" t="str">
        <f>IF($J323+$K323&lt;2.5,"Green","Red")</f>
        <v>Red</v>
      </c>
      <c r="AB323" t="str">
        <f>IF($J323+$K323&lt;3.5,"Green","Red")</f>
        <v>Red</v>
      </c>
      <c r="AC323" t="str">
        <f>IF(AND($J323&gt;0,$K323&gt;0),"Green","Red")</f>
        <v>Green</v>
      </c>
      <c r="AD323" t="str">
        <f>IF(OR($J323=0,$K323=0),"Green","Red")</f>
        <v>Red</v>
      </c>
    </row>
    <row r="324" spans="1:30" x14ac:dyDescent="0.2">
      <c r="A324" t="str">
        <f>L324&amp;F324&amp;G324</f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>DAY(D324)&amp;"/"&amp;"07"&amp;"/"&amp;YEAR(D324)</f>
        <v>22/07/2026</v>
      </c>
      <c r="M324" s="23">
        <f>E324-TIME(3,0,0)</f>
        <v>0.54166666666666663</v>
      </c>
      <c r="N324" t="str">
        <f>J324&amp;" - "&amp;K324</f>
        <v>1 - 3</v>
      </c>
      <c r="O324" t="str">
        <f>IF($J324&gt;$K324,"Green","Red")</f>
        <v>Red</v>
      </c>
      <c r="P324" t="str">
        <f>IF($J324=$K324,"Green","Red")</f>
        <v>Red</v>
      </c>
      <c r="Q324" t="str">
        <f>IF($J324&lt;$K324,"Green","Red")</f>
        <v>Green</v>
      </c>
      <c r="R324" t="str">
        <f>IF($J324&gt;=$K324,"Green","Red")</f>
        <v>Red</v>
      </c>
      <c r="S324" t="str">
        <f>IF($J324&lt;=$K324,"Green","Red")</f>
        <v>Green</v>
      </c>
      <c r="T324" t="str">
        <f>IF(OR($J324&gt;$K324,$J324&lt;$K324),"Green","Red")</f>
        <v>Green</v>
      </c>
      <c r="U324" t="str">
        <f>IF($H324&gt;$I324,"Green","Red")</f>
        <v>Red</v>
      </c>
      <c r="V324" t="str">
        <f>IF($H324=$I324,"Green","Red")</f>
        <v>Red</v>
      </c>
      <c r="W324" t="str">
        <f>IF($H324&lt;$I324,"Green","Red")</f>
        <v>Green</v>
      </c>
      <c r="X324" t="str">
        <f>IF($H324+$I324&gt;0,"Green","Red")</f>
        <v>Green</v>
      </c>
      <c r="Y324" t="str">
        <f>IF($J324+$K324&gt;1.5,"Green","Red")</f>
        <v>Green</v>
      </c>
      <c r="Z324" t="str">
        <f>IF($J324+$K324&gt;2.5,"Green","Red")</f>
        <v>Green</v>
      </c>
      <c r="AA324" t="str">
        <f>IF($J324+$K324&lt;2.5,"Green","Red")</f>
        <v>Red</v>
      </c>
      <c r="AB324" t="str">
        <f>IF($J324+$K324&lt;3.5,"Green","Red")</f>
        <v>Red</v>
      </c>
      <c r="AC324" t="str">
        <f>IF(AND($J324&gt;0,$K324&gt;0),"Green","Red")</f>
        <v>Green</v>
      </c>
      <c r="AD324" t="str">
        <f>IF(OR($J324=0,$K324=0),"Green","Red")</f>
        <v>Red</v>
      </c>
    </row>
    <row r="325" spans="1:30" x14ac:dyDescent="0.2">
      <c r="A325" t="str">
        <f>L325&amp;F325&amp;G325</f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>DAY(D325)&amp;"/"&amp;"07"&amp;"/"&amp;YEAR(D325)</f>
        <v>22/07/2026</v>
      </c>
      <c r="M325" s="23">
        <f>E325-TIME(3,0,0)</f>
        <v>0.54166666666666663</v>
      </c>
      <c r="N325" t="str">
        <f>J325&amp;" - "&amp;K325</f>
        <v>0 - 0</v>
      </c>
      <c r="O325" t="str">
        <f>IF($J325&gt;$K325,"Green","Red")</f>
        <v>Red</v>
      </c>
      <c r="P325" t="str">
        <f>IF($J325=$K325,"Green","Red")</f>
        <v>Green</v>
      </c>
      <c r="Q325" t="str">
        <f>IF($J325&lt;$K325,"Green","Red")</f>
        <v>Red</v>
      </c>
      <c r="R325" t="str">
        <f>IF($J325&gt;=$K325,"Green","Red")</f>
        <v>Green</v>
      </c>
      <c r="S325" t="str">
        <f>IF($J325&lt;=$K325,"Green","Red")</f>
        <v>Green</v>
      </c>
      <c r="T325" t="str">
        <f>IF(OR($J325&gt;$K325,$J325&lt;$K325),"Green","Red")</f>
        <v>Red</v>
      </c>
      <c r="U325" t="str">
        <f>IF($H325&gt;$I325,"Green","Red")</f>
        <v>Red</v>
      </c>
      <c r="V325" t="str">
        <f>IF($H325=$I325,"Green","Red")</f>
        <v>Green</v>
      </c>
      <c r="W325" t="str">
        <f>IF($H325&lt;$I325,"Green","Red")</f>
        <v>Red</v>
      </c>
      <c r="X325" t="str">
        <f>IF($H325+$I325&gt;0,"Green","Red")</f>
        <v>Red</v>
      </c>
      <c r="Y325" t="str">
        <f>IF($J325+$K325&gt;1.5,"Green","Red")</f>
        <v>Red</v>
      </c>
      <c r="Z325" t="str">
        <f>IF($J325+$K325&gt;2.5,"Green","Red")</f>
        <v>Red</v>
      </c>
      <c r="AA325" t="str">
        <f>IF($J325+$K325&lt;2.5,"Green","Red")</f>
        <v>Green</v>
      </c>
      <c r="AB325" t="str">
        <f>IF($J325+$K325&lt;3.5,"Green","Red")</f>
        <v>Green</v>
      </c>
      <c r="AC325" t="str">
        <f>IF(AND($J325&gt;0,$K325&gt;0),"Green","Red")</f>
        <v>Red</v>
      </c>
      <c r="AD325" t="str">
        <f>IF(OR($J325=0,$K325=0),"Green","Red")</f>
        <v>Green</v>
      </c>
    </row>
    <row r="326" spans="1:30" x14ac:dyDescent="0.2">
      <c r="A326" t="str">
        <f>L326&amp;F326&amp;G326</f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>DAY(D326)&amp;"/"&amp;"07"&amp;"/"&amp;YEAR(D326)</f>
        <v>22/07/2026</v>
      </c>
      <c r="M326" s="23">
        <f>E326-TIME(3,0,0)</f>
        <v>0.54166666666666663</v>
      </c>
      <c r="N326" t="str">
        <f>J326&amp;" - "&amp;K326</f>
        <v>1 - 2</v>
      </c>
      <c r="O326" t="str">
        <f>IF($J326&gt;$K326,"Green","Red")</f>
        <v>Red</v>
      </c>
      <c r="P326" t="str">
        <f>IF($J326=$K326,"Green","Red")</f>
        <v>Red</v>
      </c>
      <c r="Q326" t="str">
        <f>IF($J326&lt;$K326,"Green","Red")</f>
        <v>Green</v>
      </c>
      <c r="R326" t="str">
        <f>IF($J326&gt;=$K326,"Green","Red")</f>
        <v>Red</v>
      </c>
      <c r="S326" t="str">
        <f>IF($J326&lt;=$K326,"Green","Red")</f>
        <v>Green</v>
      </c>
      <c r="T326" t="str">
        <f>IF(OR($J326&gt;$K326,$J326&lt;$K326),"Green","Red")</f>
        <v>Green</v>
      </c>
      <c r="U326" t="str">
        <f>IF($H326&gt;$I326,"Green","Red")</f>
        <v>Red</v>
      </c>
      <c r="V326" t="str">
        <f>IF($H326=$I326,"Green","Red")</f>
        <v>Red</v>
      </c>
      <c r="W326" t="str">
        <f>IF($H326&lt;$I326,"Green","Red")</f>
        <v>Green</v>
      </c>
      <c r="X326" t="str">
        <f>IF($H326+$I326&gt;0,"Green","Red")</f>
        <v>Green</v>
      </c>
      <c r="Y326" t="str">
        <f>IF($J326+$K326&gt;1.5,"Green","Red")</f>
        <v>Green</v>
      </c>
      <c r="Z326" t="str">
        <f>IF($J326+$K326&gt;2.5,"Green","Red")</f>
        <v>Green</v>
      </c>
      <c r="AA326" t="str">
        <f>IF($J326+$K326&lt;2.5,"Green","Red")</f>
        <v>Red</v>
      </c>
      <c r="AB326" t="str">
        <f>IF($J326+$K326&lt;3.5,"Green","Red")</f>
        <v>Green</v>
      </c>
      <c r="AC326" t="str">
        <f>IF(AND($J326&gt;0,$K326&gt;0),"Green","Red")</f>
        <v>Green</v>
      </c>
      <c r="AD326" t="str">
        <f>IF(OR($J326=0,$K326=0),"Green","Red")</f>
        <v>Red</v>
      </c>
    </row>
    <row r="327" spans="1:30" x14ac:dyDescent="0.2">
      <c r="A327" t="str">
        <f>L327&amp;F327&amp;G327</f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>DAY(D327)&amp;"/"&amp;"07"&amp;"/"&amp;YEAR(D327)</f>
        <v>22/07/2026</v>
      </c>
      <c r="M327" s="23">
        <f>E327-TIME(3,0,0)</f>
        <v>0.54166666666666663</v>
      </c>
      <c r="N327" t="str">
        <f>J327&amp;" - "&amp;K327</f>
        <v>1 - 1</v>
      </c>
      <c r="O327" t="str">
        <f>IF($J327&gt;$K327,"Green","Red")</f>
        <v>Red</v>
      </c>
      <c r="P327" t="str">
        <f>IF($J327=$K327,"Green","Red")</f>
        <v>Green</v>
      </c>
      <c r="Q327" t="str">
        <f>IF($J327&lt;$K327,"Green","Red")</f>
        <v>Red</v>
      </c>
      <c r="R327" t="str">
        <f>IF($J327&gt;=$K327,"Green","Red")</f>
        <v>Green</v>
      </c>
      <c r="S327" t="str">
        <f>IF($J327&lt;=$K327,"Green","Red")</f>
        <v>Green</v>
      </c>
      <c r="T327" t="str">
        <f>IF(OR($J327&gt;$K327,$J327&lt;$K327),"Green","Red")</f>
        <v>Red</v>
      </c>
      <c r="U327" t="str">
        <f>IF($H327&gt;$I327,"Green","Red")</f>
        <v>Red</v>
      </c>
      <c r="V327" t="str">
        <f>IF($H327=$I327,"Green","Red")</f>
        <v>Red</v>
      </c>
      <c r="W327" t="str">
        <f>IF($H327&lt;$I327,"Green","Red")</f>
        <v>Green</v>
      </c>
      <c r="X327" t="str">
        <f>IF($H327+$I327&gt;0,"Green","Red")</f>
        <v>Green</v>
      </c>
      <c r="Y327" t="str">
        <f>IF($J327+$K327&gt;1.5,"Green","Red")</f>
        <v>Green</v>
      </c>
      <c r="Z327" t="str">
        <f>IF($J327+$K327&gt;2.5,"Green","Red")</f>
        <v>Red</v>
      </c>
      <c r="AA327" t="str">
        <f>IF($J327+$K327&lt;2.5,"Green","Red")</f>
        <v>Green</v>
      </c>
      <c r="AB327" t="str">
        <f>IF($J327+$K327&lt;3.5,"Green","Red")</f>
        <v>Green</v>
      </c>
      <c r="AC327" t="str">
        <f>IF(AND($J327&gt;0,$K327&gt;0),"Green","Red")</f>
        <v>Green</v>
      </c>
      <c r="AD327" t="str">
        <f>IF(OR($J327=0,$K327=0),"Green","Red")</f>
        <v>Red</v>
      </c>
    </row>
    <row r="328" spans="1:30" x14ac:dyDescent="0.2">
      <c r="A328" t="str">
        <f>L328&amp;F328&amp;G328</f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>DAY(D328)&amp;"/"&amp;"07"&amp;"/"&amp;YEAR(D328)</f>
        <v>22/07/2026</v>
      </c>
      <c r="M328" s="23">
        <f>E328-TIME(3,0,0)</f>
        <v>0.54166666666666663</v>
      </c>
      <c r="N328" t="str">
        <f>J328&amp;" - "&amp;K328</f>
        <v>0 - 1</v>
      </c>
      <c r="O328" t="str">
        <f>IF($J328&gt;$K328,"Green","Red")</f>
        <v>Red</v>
      </c>
      <c r="P328" t="str">
        <f>IF($J328=$K328,"Green","Red")</f>
        <v>Red</v>
      </c>
      <c r="Q328" t="str">
        <f>IF($J328&lt;$K328,"Green","Red")</f>
        <v>Green</v>
      </c>
      <c r="R328" t="str">
        <f>IF($J328&gt;=$K328,"Green","Red")</f>
        <v>Red</v>
      </c>
      <c r="S328" t="str">
        <f>IF($J328&lt;=$K328,"Green","Red")</f>
        <v>Green</v>
      </c>
      <c r="T328" t="str">
        <f>IF(OR($J328&gt;$K328,$J328&lt;$K328),"Green","Red")</f>
        <v>Green</v>
      </c>
      <c r="U328" t="str">
        <f>IF($H328&gt;$I328,"Green","Red")</f>
        <v>Red</v>
      </c>
      <c r="V328" t="str">
        <f>IF($H328=$I328,"Green","Red")</f>
        <v>Green</v>
      </c>
      <c r="W328" t="str">
        <f>IF($H328&lt;$I328,"Green","Red")</f>
        <v>Red</v>
      </c>
      <c r="X328" t="str">
        <f>IF($H328+$I328&gt;0,"Green","Red")</f>
        <v>Red</v>
      </c>
      <c r="Y328" t="str">
        <f>IF($J328+$K328&gt;1.5,"Green","Red")</f>
        <v>Red</v>
      </c>
      <c r="Z328" t="str">
        <f>IF($J328+$K328&gt;2.5,"Green","Red")</f>
        <v>Red</v>
      </c>
      <c r="AA328" t="str">
        <f>IF($J328+$K328&lt;2.5,"Green","Red")</f>
        <v>Green</v>
      </c>
      <c r="AB328" t="str">
        <f>IF($J328+$K328&lt;3.5,"Green","Red")</f>
        <v>Green</v>
      </c>
      <c r="AC328" t="str">
        <f>IF(AND($J328&gt;0,$K328&gt;0),"Green","Red")</f>
        <v>Red</v>
      </c>
      <c r="AD328" t="str">
        <f>IF(OR($J328=0,$K328=0),"Green","Red")</f>
        <v>Green</v>
      </c>
    </row>
    <row r="329" spans="1:30" x14ac:dyDescent="0.2">
      <c r="A329" t="str">
        <f>L329&amp;F329&amp;G329</f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>DAY(D329)&amp;"/"&amp;"07"&amp;"/"&amp;YEAR(D329)</f>
        <v>22/07/2026</v>
      </c>
      <c r="M329" s="23">
        <f>E329-TIME(3,0,0)</f>
        <v>0.54166666666666663</v>
      </c>
      <c r="N329" t="str">
        <f>J329&amp;" - "&amp;K329</f>
        <v>2 - 1</v>
      </c>
      <c r="O329" t="str">
        <f>IF($J329&gt;$K329,"Green","Red")</f>
        <v>Green</v>
      </c>
      <c r="P329" t="str">
        <f>IF($J329=$K329,"Green","Red")</f>
        <v>Red</v>
      </c>
      <c r="Q329" t="str">
        <f>IF($J329&lt;$K329,"Green","Red")</f>
        <v>Red</v>
      </c>
      <c r="R329" t="str">
        <f>IF($J329&gt;=$K329,"Green","Red")</f>
        <v>Green</v>
      </c>
      <c r="S329" t="str">
        <f>IF($J329&lt;=$K329,"Green","Red")</f>
        <v>Red</v>
      </c>
      <c r="T329" t="str">
        <f>IF(OR($J329&gt;$K329,$J329&lt;$K329),"Green","Red")</f>
        <v>Green</v>
      </c>
      <c r="U329" t="str">
        <f>IF($H329&gt;$I329,"Green","Red")</f>
        <v>Green</v>
      </c>
      <c r="V329" t="str">
        <f>IF($H329=$I329,"Green","Red")</f>
        <v>Red</v>
      </c>
      <c r="W329" t="str">
        <f>IF($H329&lt;$I329,"Green","Red")</f>
        <v>Red</v>
      </c>
      <c r="X329" t="str">
        <f>IF($H329+$I329&gt;0,"Green","Red")</f>
        <v>Green</v>
      </c>
      <c r="Y329" t="str">
        <f>IF($J329+$K329&gt;1.5,"Green","Red")</f>
        <v>Green</v>
      </c>
      <c r="Z329" t="str">
        <f>IF($J329+$K329&gt;2.5,"Green","Red")</f>
        <v>Green</v>
      </c>
      <c r="AA329" t="str">
        <f>IF($J329+$K329&lt;2.5,"Green","Red")</f>
        <v>Red</v>
      </c>
      <c r="AB329" t="str">
        <f>IF($J329+$K329&lt;3.5,"Green","Red")</f>
        <v>Green</v>
      </c>
      <c r="AC329" t="str">
        <f>IF(AND($J329&gt;0,$K329&gt;0),"Green","Red")</f>
        <v>Green</v>
      </c>
      <c r="AD329" t="str">
        <f>IF(OR($J329=0,$K329=0),"Green","Red")</f>
        <v>Red</v>
      </c>
    </row>
    <row r="330" spans="1:30" x14ac:dyDescent="0.2">
      <c r="A330" t="str">
        <f>L330&amp;F330&amp;G330</f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>DAY(D330)&amp;"/"&amp;"07"&amp;"/"&amp;YEAR(D330)</f>
        <v>22/07/2026</v>
      </c>
      <c r="M330" s="23">
        <f>E330-TIME(3,0,0)</f>
        <v>0.54166666666666663</v>
      </c>
      <c r="N330" t="str">
        <f>J330&amp;" - "&amp;K330</f>
        <v>0 - 9</v>
      </c>
      <c r="O330" t="str">
        <f>IF($J330&gt;$K330,"Green","Red")</f>
        <v>Red</v>
      </c>
      <c r="P330" t="str">
        <f>IF($J330=$K330,"Green","Red")</f>
        <v>Red</v>
      </c>
      <c r="Q330" t="str">
        <f>IF($J330&lt;$K330,"Green","Red")</f>
        <v>Green</v>
      </c>
      <c r="R330" t="str">
        <f>IF($J330&gt;=$K330,"Green","Red")</f>
        <v>Red</v>
      </c>
      <c r="S330" t="str">
        <f>IF($J330&lt;=$K330,"Green","Red")</f>
        <v>Green</v>
      </c>
      <c r="T330" t="str">
        <f>IF(OR($J330&gt;$K330,$J330&lt;$K330),"Green","Red")</f>
        <v>Green</v>
      </c>
      <c r="U330" t="str">
        <f>IF($H330&gt;$I330,"Green","Red")</f>
        <v>Red</v>
      </c>
      <c r="V330" t="str">
        <f>IF($H330=$I330,"Green","Red")</f>
        <v>Red</v>
      </c>
      <c r="W330" t="str">
        <f>IF($H330&lt;$I330,"Green","Red")</f>
        <v>Green</v>
      </c>
      <c r="X330" t="str">
        <f>IF($H330+$I330&gt;0,"Green","Red")</f>
        <v>Green</v>
      </c>
      <c r="Y330" t="str">
        <f>IF($J330+$K330&gt;1.5,"Green","Red")</f>
        <v>Green</v>
      </c>
      <c r="Z330" t="str">
        <f>IF($J330+$K330&gt;2.5,"Green","Red")</f>
        <v>Green</v>
      </c>
      <c r="AA330" t="str">
        <f>IF($J330+$K330&lt;2.5,"Green","Red")</f>
        <v>Red</v>
      </c>
      <c r="AB330" t="str">
        <f>IF($J330+$K330&lt;3.5,"Green","Red")</f>
        <v>Red</v>
      </c>
      <c r="AC330" t="str">
        <f>IF(AND($J330&gt;0,$K330&gt;0),"Green","Red")</f>
        <v>Red</v>
      </c>
      <c r="AD330" t="str">
        <f>IF(OR($J330=0,$K330=0),"Green","Red")</f>
        <v>Green</v>
      </c>
    </row>
    <row r="331" spans="1:30" x14ac:dyDescent="0.2">
      <c r="A331" t="str">
        <f>L331&amp;F331&amp;G331</f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>DAY(D331)&amp;"/"&amp;"07"&amp;"/"&amp;YEAR(D331)</f>
        <v>22/07/2026</v>
      </c>
      <c r="M331" s="23">
        <f>E331-TIME(3,0,0)</f>
        <v>0.54166666666666663</v>
      </c>
      <c r="N331" t="str">
        <f>J331&amp;" - "&amp;K331</f>
        <v>1 - 0</v>
      </c>
      <c r="O331" t="str">
        <f>IF($J331&gt;$K331,"Green","Red")</f>
        <v>Green</v>
      </c>
      <c r="P331" t="str">
        <f>IF($J331=$K331,"Green","Red")</f>
        <v>Red</v>
      </c>
      <c r="Q331" t="str">
        <f>IF($J331&lt;$K331,"Green","Red")</f>
        <v>Red</v>
      </c>
      <c r="R331" t="str">
        <f>IF($J331&gt;=$K331,"Green","Red")</f>
        <v>Green</v>
      </c>
      <c r="S331" t="str">
        <f>IF($J331&lt;=$K331,"Green","Red")</f>
        <v>Red</v>
      </c>
      <c r="T331" t="str">
        <f>IF(OR($J331&gt;$K331,$J331&lt;$K331),"Green","Red")</f>
        <v>Green</v>
      </c>
      <c r="U331" t="str">
        <f>IF($H331&gt;$I331,"Green","Red")</f>
        <v>Green</v>
      </c>
      <c r="V331" t="str">
        <f>IF($H331=$I331,"Green","Red")</f>
        <v>Red</v>
      </c>
      <c r="W331" t="str">
        <f>IF($H331&lt;$I331,"Green","Red")</f>
        <v>Red</v>
      </c>
      <c r="X331" t="str">
        <f>IF($H331+$I331&gt;0,"Green","Red")</f>
        <v>Green</v>
      </c>
      <c r="Y331" t="str">
        <f>IF($J331+$K331&gt;1.5,"Green","Red")</f>
        <v>Red</v>
      </c>
      <c r="Z331" t="str">
        <f>IF($J331+$K331&gt;2.5,"Green","Red")</f>
        <v>Red</v>
      </c>
      <c r="AA331" t="str">
        <f>IF($J331+$K331&lt;2.5,"Green","Red")</f>
        <v>Green</v>
      </c>
      <c r="AB331" t="str">
        <f>IF($J331+$K331&lt;3.5,"Green","Red")</f>
        <v>Green</v>
      </c>
      <c r="AC331" t="str">
        <f>IF(AND($J331&gt;0,$K331&gt;0),"Green","Red")</f>
        <v>Red</v>
      </c>
      <c r="AD331" t="str">
        <f>IF(OR($J331=0,$K331=0),"Green","Red")</f>
        <v>Green</v>
      </c>
    </row>
    <row r="332" spans="1:30" x14ac:dyDescent="0.2">
      <c r="A332" t="str">
        <f>L332&amp;F332&amp;G332</f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>DAY(D332)&amp;"/"&amp;"07"&amp;"/"&amp;YEAR(D332)</f>
        <v>22/07/2026</v>
      </c>
      <c r="M332" s="23">
        <f>E332-TIME(3,0,0)</f>
        <v>0.54166666666666663</v>
      </c>
      <c r="N332" t="str">
        <f>J332&amp;" - "&amp;K332</f>
        <v>2 - 1</v>
      </c>
      <c r="O332" t="str">
        <f>IF($J332&gt;$K332,"Green","Red")</f>
        <v>Green</v>
      </c>
      <c r="P332" t="str">
        <f>IF($J332=$K332,"Green","Red")</f>
        <v>Red</v>
      </c>
      <c r="Q332" t="str">
        <f>IF($J332&lt;$K332,"Green","Red")</f>
        <v>Red</v>
      </c>
      <c r="R332" t="str">
        <f>IF($J332&gt;=$K332,"Green","Red")</f>
        <v>Green</v>
      </c>
      <c r="S332" t="str">
        <f>IF($J332&lt;=$K332,"Green","Red")</f>
        <v>Red</v>
      </c>
      <c r="T332" t="str">
        <f>IF(OR($J332&gt;$K332,$J332&lt;$K332),"Green","Red")</f>
        <v>Green</v>
      </c>
      <c r="U332" t="str">
        <f>IF($H332&gt;$I332,"Green","Red")</f>
        <v>Green</v>
      </c>
      <c r="V332" t="str">
        <f>IF($H332=$I332,"Green","Red")</f>
        <v>Red</v>
      </c>
      <c r="W332" t="str">
        <f>IF($H332&lt;$I332,"Green","Red")</f>
        <v>Red</v>
      </c>
      <c r="X332" t="str">
        <f>IF($H332+$I332&gt;0,"Green","Red")</f>
        <v>Green</v>
      </c>
      <c r="Y332" t="str">
        <f>IF($J332+$K332&gt;1.5,"Green","Red")</f>
        <v>Green</v>
      </c>
      <c r="Z332" t="str">
        <f>IF($J332+$K332&gt;2.5,"Green","Red")</f>
        <v>Green</v>
      </c>
      <c r="AA332" t="str">
        <f>IF($J332+$K332&lt;2.5,"Green","Red")</f>
        <v>Red</v>
      </c>
      <c r="AB332" t="str">
        <f>IF($J332+$K332&lt;3.5,"Green","Red")</f>
        <v>Green</v>
      </c>
      <c r="AC332" t="str">
        <f>IF(AND($J332&gt;0,$K332&gt;0),"Green","Red")</f>
        <v>Green</v>
      </c>
      <c r="AD332" t="str">
        <f>IF(OR($J332=0,$K332=0),"Green","Red")</f>
        <v>Red</v>
      </c>
    </row>
    <row r="333" spans="1:30" x14ac:dyDescent="0.2">
      <c r="A333" t="str">
        <f>L333&amp;F333&amp;G333</f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>DAY(D333)&amp;"/"&amp;"07"&amp;"/"&amp;YEAR(D333)</f>
        <v>22/07/2026</v>
      </c>
      <c r="M333" s="23">
        <f>E333-TIME(3,0,0)</f>
        <v>0.5625</v>
      </c>
      <c r="N333" t="str">
        <f>J333&amp;" - "&amp;K333</f>
        <v>0 - 1</v>
      </c>
      <c r="O333" t="str">
        <f>IF($J333&gt;$K333,"Green","Red")</f>
        <v>Red</v>
      </c>
      <c r="P333" t="str">
        <f>IF($J333=$K333,"Green","Red")</f>
        <v>Red</v>
      </c>
      <c r="Q333" t="str">
        <f>IF($J333&lt;$K333,"Green","Red")</f>
        <v>Green</v>
      </c>
      <c r="R333" t="str">
        <f>IF($J333&gt;=$K333,"Green","Red")</f>
        <v>Red</v>
      </c>
      <c r="S333" t="str">
        <f>IF($J333&lt;=$K333,"Green","Red")</f>
        <v>Green</v>
      </c>
      <c r="T333" t="str">
        <f>IF(OR($J333&gt;$K333,$J333&lt;$K333),"Green","Red")</f>
        <v>Green</v>
      </c>
      <c r="U333" t="str">
        <f>IF($H333&gt;$I333,"Green","Red")</f>
        <v>Red</v>
      </c>
      <c r="V333" t="str">
        <f>IF($H333=$I333,"Green","Red")</f>
        <v>Green</v>
      </c>
      <c r="W333" t="str">
        <f>IF($H333&lt;$I333,"Green","Red")</f>
        <v>Red</v>
      </c>
      <c r="X333" t="str">
        <f>IF($H333+$I333&gt;0,"Green","Red")</f>
        <v>Red</v>
      </c>
      <c r="Y333" t="str">
        <f>IF($J333+$K333&gt;1.5,"Green","Red")</f>
        <v>Red</v>
      </c>
      <c r="Z333" t="str">
        <f>IF($J333+$K333&gt;2.5,"Green","Red")</f>
        <v>Red</v>
      </c>
      <c r="AA333" t="str">
        <f>IF($J333+$K333&lt;2.5,"Green","Red")</f>
        <v>Green</v>
      </c>
      <c r="AB333" t="str">
        <f>IF($J333+$K333&lt;3.5,"Green","Red")</f>
        <v>Green</v>
      </c>
      <c r="AC333" t="str">
        <f>IF(AND($J333&gt;0,$K333&gt;0),"Green","Red")</f>
        <v>Red</v>
      </c>
      <c r="AD333" t="str">
        <f>IF(OR($J333=0,$K333=0),"Green","Red")</f>
        <v>Green</v>
      </c>
    </row>
    <row r="334" spans="1:30" x14ac:dyDescent="0.2">
      <c r="A334" t="str">
        <f>L334&amp;F334&amp;G334</f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>DAY(D334)&amp;"/"&amp;"07"&amp;"/"&amp;YEAR(D334)</f>
        <v>22/07/2026</v>
      </c>
      <c r="M334" s="23">
        <f>E334-TIME(3,0,0)</f>
        <v>0.5625</v>
      </c>
      <c r="N334" t="str">
        <f>J334&amp;" - "&amp;K334</f>
        <v>3 - 1</v>
      </c>
      <c r="O334" t="str">
        <f>IF($J334&gt;$K334,"Green","Red")</f>
        <v>Green</v>
      </c>
      <c r="P334" t="str">
        <f>IF($J334=$K334,"Green","Red")</f>
        <v>Red</v>
      </c>
      <c r="Q334" t="str">
        <f>IF($J334&lt;$K334,"Green","Red")</f>
        <v>Red</v>
      </c>
      <c r="R334" t="str">
        <f>IF($J334&gt;=$K334,"Green","Red")</f>
        <v>Green</v>
      </c>
      <c r="S334" t="str">
        <f>IF($J334&lt;=$K334,"Green","Red")</f>
        <v>Red</v>
      </c>
      <c r="T334" t="str">
        <f>IF(OR($J334&gt;$K334,$J334&lt;$K334),"Green","Red")</f>
        <v>Green</v>
      </c>
      <c r="U334" t="str">
        <f>IF($H334&gt;$I334,"Green","Red")</f>
        <v>Red</v>
      </c>
      <c r="V334" t="str">
        <f>IF($H334=$I334,"Green","Red")</f>
        <v>Green</v>
      </c>
      <c r="W334" t="str">
        <f>IF($H334&lt;$I334,"Green","Red")</f>
        <v>Red</v>
      </c>
      <c r="X334" t="str">
        <f>IF($H334+$I334&gt;0,"Green","Red")</f>
        <v>Red</v>
      </c>
      <c r="Y334" t="str">
        <f>IF($J334+$K334&gt;1.5,"Green","Red")</f>
        <v>Green</v>
      </c>
      <c r="Z334" t="str">
        <f>IF($J334+$K334&gt;2.5,"Green","Red")</f>
        <v>Green</v>
      </c>
      <c r="AA334" t="str">
        <f>IF($J334+$K334&lt;2.5,"Green","Red")</f>
        <v>Red</v>
      </c>
      <c r="AB334" t="str">
        <f>IF($J334+$K334&lt;3.5,"Green","Red")</f>
        <v>Red</v>
      </c>
      <c r="AC334" t="str">
        <f>IF(AND($J334&gt;0,$K334&gt;0),"Green","Red")</f>
        <v>Green</v>
      </c>
      <c r="AD334" t="str">
        <f>IF(OR($J334=0,$K334=0),"Green","Red")</f>
        <v>Red</v>
      </c>
    </row>
    <row r="335" spans="1:30" x14ac:dyDescent="0.2">
      <c r="A335" t="str">
        <f>L335&amp;F335&amp;G335</f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>DAY(D335)&amp;"/"&amp;"07"&amp;"/"&amp;YEAR(D335)</f>
        <v>22/07/2026</v>
      </c>
      <c r="M335" s="23">
        <f>E335-TIME(3,0,0)</f>
        <v>0.5625</v>
      </c>
      <c r="N335" t="str">
        <f>J335&amp;" - "&amp;K335</f>
        <v>4 - 0</v>
      </c>
      <c r="O335" t="str">
        <f>IF($J335&gt;$K335,"Green","Red")</f>
        <v>Green</v>
      </c>
      <c r="P335" t="str">
        <f>IF($J335=$K335,"Green","Red")</f>
        <v>Red</v>
      </c>
      <c r="Q335" t="str">
        <f>IF($J335&lt;$K335,"Green","Red")</f>
        <v>Red</v>
      </c>
      <c r="R335" t="str">
        <f>IF($J335&gt;=$K335,"Green","Red")</f>
        <v>Green</v>
      </c>
      <c r="S335" t="str">
        <f>IF($J335&lt;=$K335,"Green","Red")</f>
        <v>Red</v>
      </c>
      <c r="T335" t="str">
        <f>IF(OR($J335&gt;$K335,$J335&lt;$K335),"Green","Red")</f>
        <v>Green</v>
      </c>
      <c r="U335" t="str">
        <f>IF($H335&gt;$I335,"Green","Red")</f>
        <v>Green</v>
      </c>
      <c r="V335" t="str">
        <f>IF($H335=$I335,"Green","Red")</f>
        <v>Red</v>
      </c>
      <c r="W335" t="str">
        <f>IF($H335&lt;$I335,"Green","Red")</f>
        <v>Red</v>
      </c>
      <c r="X335" t="str">
        <f>IF($H335+$I335&gt;0,"Green","Red")</f>
        <v>Green</v>
      </c>
      <c r="Y335" t="str">
        <f>IF($J335+$K335&gt;1.5,"Green","Red")</f>
        <v>Green</v>
      </c>
      <c r="Z335" t="str">
        <f>IF($J335+$K335&gt;2.5,"Green","Red")</f>
        <v>Green</v>
      </c>
      <c r="AA335" t="str">
        <f>IF($J335+$K335&lt;2.5,"Green","Red")</f>
        <v>Red</v>
      </c>
      <c r="AB335" t="str">
        <f>IF($J335+$K335&lt;3.5,"Green","Red")</f>
        <v>Red</v>
      </c>
      <c r="AC335" t="str">
        <f>IF(AND($J335&gt;0,$K335&gt;0),"Green","Red")</f>
        <v>Red</v>
      </c>
      <c r="AD335" t="str">
        <f>IF(OR($J335=0,$K335=0),"Green","Red")</f>
        <v>Green</v>
      </c>
    </row>
    <row r="336" spans="1:30" x14ac:dyDescent="0.2">
      <c r="A336" t="str">
        <f>L336&amp;F336&amp;G336</f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>DAY(D336)&amp;"/"&amp;"07"&amp;"/"&amp;YEAR(D336)</f>
        <v>22/07/2026</v>
      </c>
      <c r="M336" s="23">
        <f>E336-TIME(3,0,0)</f>
        <v>0.5625</v>
      </c>
      <c r="N336" t="str">
        <f>J336&amp;" - "&amp;K336</f>
        <v>1 - 0</v>
      </c>
      <c r="O336" t="str">
        <f>IF($J336&gt;$K336,"Green","Red")</f>
        <v>Green</v>
      </c>
      <c r="P336" t="str">
        <f>IF($J336=$K336,"Green","Red")</f>
        <v>Red</v>
      </c>
      <c r="Q336" t="str">
        <f>IF($J336&lt;$K336,"Green","Red")</f>
        <v>Red</v>
      </c>
      <c r="R336" t="str">
        <f>IF($J336&gt;=$K336,"Green","Red")</f>
        <v>Green</v>
      </c>
      <c r="S336" t="str">
        <f>IF($J336&lt;=$K336,"Green","Red")</f>
        <v>Red</v>
      </c>
      <c r="T336" t="str">
        <f>IF(OR($J336&gt;$K336,$J336&lt;$K336),"Green","Red")</f>
        <v>Green</v>
      </c>
      <c r="U336" t="str">
        <f>IF($H336&gt;$I336,"Green","Red")</f>
        <v>Red</v>
      </c>
      <c r="V336" t="str">
        <f>IF($H336=$I336,"Green","Red")</f>
        <v>Green</v>
      </c>
      <c r="W336" t="str">
        <f>IF($H336&lt;$I336,"Green","Red")</f>
        <v>Red</v>
      </c>
      <c r="X336" t="str">
        <f>IF($H336+$I336&gt;0,"Green","Red")</f>
        <v>Red</v>
      </c>
      <c r="Y336" t="str">
        <f>IF($J336+$K336&gt;1.5,"Green","Red")</f>
        <v>Red</v>
      </c>
      <c r="Z336" t="str">
        <f>IF($J336+$K336&gt;2.5,"Green","Red")</f>
        <v>Red</v>
      </c>
      <c r="AA336" t="str">
        <f>IF($J336+$K336&lt;2.5,"Green","Red")</f>
        <v>Green</v>
      </c>
      <c r="AB336" t="str">
        <f>IF($J336+$K336&lt;3.5,"Green","Red")</f>
        <v>Green</v>
      </c>
      <c r="AC336" t="str">
        <f>IF(AND($J336&gt;0,$K336&gt;0),"Green","Red")</f>
        <v>Red</v>
      </c>
      <c r="AD336" t="str">
        <f>IF(OR($J336=0,$K336=0),"Green","Red")</f>
        <v>Green</v>
      </c>
    </row>
    <row r="337" spans="1:30" x14ac:dyDescent="0.2">
      <c r="A337" t="str">
        <f>L337&amp;F337&amp;G337</f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>DAY(D337)&amp;"/"&amp;"07"&amp;"/"&amp;YEAR(D337)</f>
        <v>22/07/2026</v>
      </c>
      <c r="M337" s="23">
        <f>E337-TIME(3,0,0)</f>
        <v>0.5625</v>
      </c>
      <c r="N337" t="str">
        <f>J337&amp;" - "&amp;K337</f>
        <v>0 - 1</v>
      </c>
      <c r="O337" t="str">
        <f>IF($J337&gt;$K337,"Green","Red")</f>
        <v>Red</v>
      </c>
      <c r="P337" t="str">
        <f>IF($J337=$K337,"Green","Red")</f>
        <v>Red</v>
      </c>
      <c r="Q337" t="str">
        <f>IF($J337&lt;$K337,"Green","Red")</f>
        <v>Green</v>
      </c>
      <c r="R337" t="str">
        <f>IF($J337&gt;=$K337,"Green","Red")</f>
        <v>Red</v>
      </c>
      <c r="S337" t="str">
        <f>IF($J337&lt;=$K337,"Green","Red")</f>
        <v>Green</v>
      </c>
      <c r="T337" t="str">
        <f>IF(OR($J337&gt;$K337,$J337&lt;$K337),"Green","Red")</f>
        <v>Green</v>
      </c>
      <c r="U337" t="str">
        <f>IF($H337&gt;$I337,"Green","Red")</f>
        <v>Red</v>
      </c>
      <c r="V337" t="str">
        <f>IF($H337=$I337,"Green","Red")</f>
        <v>Red</v>
      </c>
      <c r="W337" t="str">
        <f>IF($H337&lt;$I337,"Green","Red")</f>
        <v>Green</v>
      </c>
      <c r="X337" t="str">
        <f>IF($H337+$I337&gt;0,"Green","Red")</f>
        <v>Green</v>
      </c>
      <c r="Y337" t="str">
        <f>IF($J337+$K337&gt;1.5,"Green","Red")</f>
        <v>Red</v>
      </c>
      <c r="Z337" t="str">
        <f>IF($J337+$K337&gt;2.5,"Green","Red")</f>
        <v>Red</v>
      </c>
      <c r="AA337" t="str">
        <f>IF($J337+$K337&lt;2.5,"Green","Red")</f>
        <v>Green</v>
      </c>
      <c r="AB337" t="str">
        <f>IF($J337+$K337&lt;3.5,"Green","Red")</f>
        <v>Green</v>
      </c>
      <c r="AC337" t="str">
        <f>IF(AND($J337&gt;0,$K337&gt;0),"Green","Red")</f>
        <v>Red</v>
      </c>
      <c r="AD337" t="str">
        <f>IF(OR($J337=0,$K337=0),"Green","Red")</f>
        <v>Green</v>
      </c>
    </row>
    <row r="338" spans="1:30" x14ac:dyDescent="0.2">
      <c r="A338" t="str">
        <f>L338&amp;F338&amp;G338</f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>DAY(D338)&amp;"/"&amp;"07"&amp;"/"&amp;YEAR(D338)</f>
        <v>22/07/2026</v>
      </c>
      <c r="M338" s="23">
        <f>E338-TIME(3,0,0)</f>
        <v>0.5625</v>
      </c>
      <c r="N338" t="str">
        <f>J338&amp;" - "&amp;K338</f>
        <v>0 - 0</v>
      </c>
      <c r="O338" t="str">
        <f>IF($J338&gt;$K338,"Green","Red")</f>
        <v>Red</v>
      </c>
      <c r="P338" t="str">
        <f>IF($J338=$K338,"Green","Red")</f>
        <v>Green</v>
      </c>
      <c r="Q338" t="str">
        <f>IF($J338&lt;$K338,"Green","Red")</f>
        <v>Red</v>
      </c>
      <c r="R338" t="str">
        <f>IF($J338&gt;=$K338,"Green","Red")</f>
        <v>Green</v>
      </c>
      <c r="S338" t="str">
        <f>IF($J338&lt;=$K338,"Green","Red")</f>
        <v>Green</v>
      </c>
      <c r="T338" t="str">
        <f>IF(OR($J338&gt;$K338,$J338&lt;$K338),"Green","Red")</f>
        <v>Red</v>
      </c>
      <c r="U338" t="str">
        <f>IF($H338&gt;$I338,"Green","Red")</f>
        <v>Red</v>
      </c>
      <c r="V338" t="str">
        <f>IF($H338=$I338,"Green","Red")</f>
        <v>Green</v>
      </c>
      <c r="W338" t="str">
        <f>IF($H338&lt;$I338,"Green","Red")</f>
        <v>Red</v>
      </c>
      <c r="X338" t="str">
        <f>IF($H338+$I338&gt;0,"Green","Red")</f>
        <v>Red</v>
      </c>
      <c r="Y338" t="str">
        <f>IF($J338+$K338&gt;1.5,"Green","Red")</f>
        <v>Red</v>
      </c>
      <c r="Z338" t="str">
        <f>IF($J338+$K338&gt;2.5,"Green","Red")</f>
        <v>Red</v>
      </c>
      <c r="AA338" t="str">
        <f>IF($J338+$K338&lt;2.5,"Green","Red")</f>
        <v>Green</v>
      </c>
      <c r="AB338" t="str">
        <f>IF($J338+$K338&lt;3.5,"Green","Red")</f>
        <v>Green</v>
      </c>
      <c r="AC338" t="str">
        <f>IF(AND($J338&gt;0,$K338&gt;0),"Green","Red")</f>
        <v>Red</v>
      </c>
      <c r="AD338" t="str">
        <f>IF(OR($J338=0,$K338=0),"Green","Red")</f>
        <v>Green</v>
      </c>
    </row>
    <row r="339" spans="1:30" x14ac:dyDescent="0.2">
      <c r="A339" t="str">
        <f>L339&amp;F339&amp;G339</f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>DAY(D339)&amp;"/"&amp;"07"&amp;"/"&amp;YEAR(D339)</f>
        <v>22/07/2026</v>
      </c>
      <c r="M339" s="23">
        <f>E339-TIME(3,0,0)</f>
        <v>0.5625</v>
      </c>
      <c r="N339" t="str">
        <f>J339&amp;" - "&amp;K339</f>
        <v>1 - 1</v>
      </c>
      <c r="O339" t="str">
        <f>IF($J339&gt;$K339,"Green","Red")</f>
        <v>Red</v>
      </c>
      <c r="P339" t="str">
        <f>IF($J339=$K339,"Green","Red")</f>
        <v>Green</v>
      </c>
      <c r="Q339" t="str">
        <f>IF($J339&lt;$K339,"Green","Red")</f>
        <v>Red</v>
      </c>
      <c r="R339" t="str">
        <f>IF($J339&gt;=$K339,"Green","Red")</f>
        <v>Green</v>
      </c>
      <c r="S339" t="str">
        <f>IF($J339&lt;=$K339,"Green","Red")</f>
        <v>Green</v>
      </c>
      <c r="T339" t="str">
        <f>IF(OR($J339&gt;$K339,$J339&lt;$K339),"Green","Red")</f>
        <v>Red</v>
      </c>
      <c r="U339" t="str">
        <f>IF($H339&gt;$I339,"Green","Red")</f>
        <v>Red</v>
      </c>
      <c r="V339" t="str">
        <f>IF($H339=$I339,"Green","Red")</f>
        <v>Red</v>
      </c>
      <c r="W339" t="str">
        <f>IF($H339&lt;$I339,"Green","Red")</f>
        <v>Green</v>
      </c>
      <c r="X339" t="str">
        <f>IF($H339+$I339&gt;0,"Green","Red")</f>
        <v>Green</v>
      </c>
      <c r="Y339" t="str">
        <f>IF($J339+$K339&gt;1.5,"Green","Red")</f>
        <v>Green</v>
      </c>
      <c r="Z339" t="str">
        <f>IF($J339+$K339&gt;2.5,"Green","Red")</f>
        <v>Red</v>
      </c>
      <c r="AA339" t="str">
        <f>IF($J339+$K339&lt;2.5,"Green","Red")</f>
        <v>Green</v>
      </c>
      <c r="AB339" t="str">
        <f>IF($J339+$K339&lt;3.5,"Green","Red")</f>
        <v>Green</v>
      </c>
      <c r="AC339" t="str">
        <f>IF(AND($J339&gt;0,$K339&gt;0),"Green","Red")</f>
        <v>Green</v>
      </c>
      <c r="AD339" t="str">
        <f>IF(OR($J339=0,$K339=0),"Green","Red")</f>
        <v>Red</v>
      </c>
    </row>
    <row r="340" spans="1:30" x14ac:dyDescent="0.2">
      <c r="A340" t="str">
        <f>L340&amp;F340&amp;G340</f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>DAY(D340)&amp;"/"&amp;"07"&amp;"/"&amp;YEAR(D340)</f>
        <v>22/07/2026</v>
      </c>
      <c r="M340" s="23">
        <f>E340-TIME(3,0,0)</f>
        <v>0.5625</v>
      </c>
      <c r="N340" t="str">
        <f>J340&amp;" - "&amp;K340</f>
        <v xml:space="preserve"> - </v>
      </c>
      <c r="O340" t="str">
        <f>IF($J340&gt;$K340,"Green","Red")</f>
        <v>Red</v>
      </c>
      <c r="P340" t="str">
        <f>IF($J340=$K340,"Green","Red")</f>
        <v>Green</v>
      </c>
      <c r="Q340" t="str">
        <f>IF($J340&lt;$K340,"Green","Red")</f>
        <v>Red</v>
      </c>
      <c r="R340" t="str">
        <f>IF($J340&gt;=$K340,"Green","Red")</f>
        <v>Green</v>
      </c>
      <c r="S340" t="str">
        <f>IF($J340&lt;=$K340,"Green","Red")</f>
        <v>Green</v>
      </c>
      <c r="T340" t="str">
        <f>IF(OR($J340&gt;$K340,$J340&lt;$K340),"Green","Red")</f>
        <v>Red</v>
      </c>
      <c r="U340" t="str">
        <f>IF($H340&gt;$I340,"Green","Red")</f>
        <v>Red</v>
      </c>
      <c r="V340" t="str">
        <f>IF($H340=$I340,"Green","Red")</f>
        <v>Green</v>
      </c>
      <c r="W340" t="str">
        <f>IF($H340&lt;$I340,"Green","Red")</f>
        <v>Red</v>
      </c>
      <c r="X340" t="str">
        <f>IF($H340+$I340&gt;0,"Green","Red")</f>
        <v>Red</v>
      </c>
      <c r="Y340" t="str">
        <f>IF($J340+$K340&gt;1.5,"Green","Red")</f>
        <v>Red</v>
      </c>
      <c r="Z340" t="str">
        <f>IF($J340+$K340&gt;2.5,"Green","Red")</f>
        <v>Red</v>
      </c>
      <c r="AA340" t="str">
        <f>IF($J340+$K340&lt;2.5,"Green","Red")</f>
        <v>Green</v>
      </c>
      <c r="AB340" t="str">
        <f>IF($J340+$K340&lt;3.5,"Green","Red")</f>
        <v>Green</v>
      </c>
      <c r="AC340" t="str">
        <f>IF(AND($J340&gt;0,$K340&gt;0),"Green","Red")</f>
        <v>Red</v>
      </c>
      <c r="AD340" t="str">
        <f>IF(OR($J340=0,$K340=0),"Green","Red")</f>
        <v>Green</v>
      </c>
    </row>
    <row r="341" spans="1:30" x14ac:dyDescent="0.2">
      <c r="A341" t="str">
        <f>L341&amp;F341&amp;G341</f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>DAY(D341)&amp;"/"&amp;"07"&amp;"/"&amp;YEAR(D341)</f>
        <v>22/07/2026</v>
      </c>
      <c r="M341" s="23">
        <f>E341-TIME(3,0,0)</f>
        <v>0.57291666666666663</v>
      </c>
      <c r="N341" t="str">
        <f>J341&amp;" - "&amp;K341</f>
        <v>2 - 1</v>
      </c>
      <c r="O341" t="str">
        <f>IF($J341&gt;$K341,"Green","Red")</f>
        <v>Green</v>
      </c>
      <c r="P341" t="str">
        <f>IF($J341=$K341,"Green","Red")</f>
        <v>Red</v>
      </c>
      <c r="Q341" t="str">
        <f>IF($J341&lt;$K341,"Green","Red")</f>
        <v>Red</v>
      </c>
      <c r="R341" t="str">
        <f>IF($J341&gt;=$K341,"Green","Red")</f>
        <v>Green</v>
      </c>
      <c r="S341" t="str">
        <f>IF($J341&lt;=$K341,"Green","Red")</f>
        <v>Red</v>
      </c>
      <c r="T341" t="str">
        <f>IF(OR($J341&gt;$K341,$J341&lt;$K341),"Green","Red")</f>
        <v>Green</v>
      </c>
      <c r="U341" t="str">
        <f>IF($H341&gt;$I341,"Green","Red")</f>
        <v>Red</v>
      </c>
      <c r="V341" t="str">
        <f>IF($H341=$I341,"Green","Red")</f>
        <v>Green</v>
      </c>
      <c r="W341" t="str">
        <f>IF($H341&lt;$I341,"Green","Red")</f>
        <v>Red</v>
      </c>
      <c r="X341" t="str">
        <f>IF($H341+$I341&gt;0,"Green","Red")</f>
        <v>Red</v>
      </c>
      <c r="Y341" t="str">
        <f>IF($J341+$K341&gt;1.5,"Green","Red")</f>
        <v>Green</v>
      </c>
      <c r="Z341" t="str">
        <f>IF($J341+$K341&gt;2.5,"Green","Red")</f>
        <v>Green</v>
      </c>
      <c r="AA341" t="str">
        <f>IF($J341+$K341&lt;2.5,"Green","Red")</f>
        <v>Red</v>
      </c>
      <c r="AB341" t="str">
        <f>IF($J341+$K341&lt;3.5,"Green","Red")</f>
        <v>Green</v>
      </c>
      <c r="AC341" t="str">
        <f>IF(AND($J341&gt;0,$K341&gt;0),"Green","Red")</f>
        <v>Green</v>
      </c>
      <c r="AD341" t="str">
        <f>IF(OR($J341=0,$K341=0),"Green","Red")</f>
        <v>Red</v>
      </c>
    </row>
    <row r="342" spans="1:30" x14ac:dyDescent="0.2">
      <c r="A342" t="str">
        <f>L342&amp;F342&amp;G342</f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>DAY(D342)&amp;"/"&amp;"07"&amp;"/"&amp;YEAR(D342)</f>
        <v>22/07/2026</v>
      </c>
      <c r="M342" s="23">
        <f>E342-TIME(3,0,0)</f>
        <v>0.58333333333333337</v>
      </c>
      <c r="N342" t="str">
        <f>J342&amp;" - "&amp;K342</f>
        <v>1 - 0</v>
      </c>
      <c r="O342" t="str">
        <f>IF($J342&gt;$K342,"Green","Red")</f>
        <v>Green</v>
      </c>
      <c r="P342" t="str">
        <f>IF($J342=$K342,"Green","Red")</f>
        <v>Red</v>
      </c>
      <c r="Q342" t="str">
        <f>IF($J342&lt;$K342,"Green","Red")</f>
        <v>Red</v>
      </c>
      <c r="R342" t="str">
        <f>IF($J342&gt;=$K342,"Green","Red")</f>
        <v>Green</v>
      </c>
      <c r="S342" t="str">
        <f>IF($J342&lt;=$K342,"Green","Red")</f>
        <v>Red</v>
      </c>
      <c r="T342" t="str">
        <f>IF(OR($J342&gt;$K342,$J342&lt;$K342),"Green","Red")</f>
        <v>Green</v>
      </c>
      <c r="U342" t="str">
        <f>IF($H342&gt;$I342,"Green","Red")</f>
        <v>Green</v>
      </c>
      <c r="V342" t="str">
        <f>IF($H342=$I342,"Green","Red")</f>
        <v>Red</v>
      </c>
      <c r="W342" t="str">
        <f>IF($H342&lt;$I342,"Green","Red")</f>
        <v>Red</v>
      </c>
      <c r="X342" t="str">
        <f>IF($H342+$I342&gt;0,"Green","Red")</f>
        <v>Green</v>
      </c>
      <c r="Y342" t="str">
        <f>IF($J342+$K342&gt;1.5,"Green","Red")</f>
        <v>Red</v>
      </c>
      <c r="Z342" t="str">
        <f>IF($J342+$K342&gt;2.5,"Green","Red")</f>
        <v>Red</v>
      </c>
      <c r="AA342" t="str">
        <f>IF($J342+$K342&lt;2.5,"Green","Red")</f>
        <v>Green</v>
      </c>
      <c r="AB342" t="str">
        <f>IF($J342+$K342&lt;3.5,"Green","Red")</f>
        <v>Green</v>
      </c>
      <c r="AC342" t="str">
        <f>IF(AND($J342&gt;0,$K342&gt;0),"Green","Red")</f>
        <v>Red</v>
      </c>
      <c r="AD342" t="str">
        <f>IF(OR($J342=0,$K342=0),"Green","Red")</f>
        <v>Green</v>
      </c>
    </row>
    <row r="343" spans="1:30" x14ac:dyDescent="0.2">
      <c r="A343" t="str">
        <f>L343&amp;F343&amp;G343</f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>DAY(D343)&amp;"/"&amp;"07"&amp;"/"&amp;YEAR(D343)</f>
        <v>22/07/2026</v>
      </c>
      <c r="M343" s="23">
        <f>E343-TIME(3,0,0)</f>
        <v>0.58333333333333337</v>
      </c>
      <c r="N343" t="str">
        <f>J343&amp;" - "&amp;K343</f>
        <v>2 - 1</v>
      </c>
      <c r="O343" t="str">
        <f>IF($J343&gt;$K343,"Green","Red")</f>
        <v>Green</v>
      </c>
      <c r="P343" t="str">
        <f>IF($J343=$K343,"Green","Red")</f>
        <v>Red</v>
      </c>
      <c r="Q343" t="str">
        <f>IF($J343&lt;$K343,"Green","Red")</f>
        <v>Red</v>
      </c>
      <c r="R343" t="str">
        <f>IF($J343&gt;=$K343,"Green","Red")</f>
        <v>Green</v>
      </c>
      <c r="S343" t="str">
        <f>IF($J343&lt;=$K343,"Green","Red")</f>
        <v>Red</v>
      </c>
      <c r="T343" t="str">
        <f>IF(OR($J343&gt;$K343,$J343&lt;$K343),"Green","Red")</f>
        <v>Green</v>
      </c>
      <c r="U343" t="str">
        <f>IF($H343&gt;$I343,"Green","Red")</f>
        <v>Red</v>
      </c>
      <c r="V343" t="str">
        <f>IF($H343=$I343,"Green","Red")</f>
        <v>Red</v>
      </c>
      <c r="W343" t="str">
        <f>IF($H343&lt;$I343,"Green","Red")</f>
        <v>Green</v>
      </c>
      <c r="X343" t="str">
        <f>IF($H343+$I343&gt;0,"Green","Red")</f>
        <v>Green</v>
      </c>
      <c r="Y343" t="str">
        <f>IF($J343+$K343&gt;1.5,"Green","Red")</f>
        <v>Green</v>
      </c>
      <c r="Z343" t="str">
        <f>IF($J343+$K343&gt;2.5,"Green","Red")</f>
        <v>Green</v>
      </c>
      <c r="AA343" t="str">
        <f>IF($J343+$K343&lt;2.5,"Green","Red")</f>
        <v>Red</v>
      </c>
      <c r="AB343" t="str">
        <f>IF($J343+$K343&lt;3.5,"Green","Red")</f>
        <v>Green</v>
      </c>
      <c r="AC343" t="str">
        <f>IF(AND($J343&gt;0,$K343&gt;0),"Green","Red")</f>
        <v>Green</v>
      </c>
      <c r="AD343" t="str">
        <f>IF(OR($J343=0,$K343=0),"Green","Red")</f>
        <v>Red</v>
      </c>
    </row>
    <row r="344" spans="1:30" x14ac:dyDescent="0.2">
      <c r="A344" t="str">
        <f>L344&amp;F344&amp;G344</f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>DAY(D344)&amp;"/"&amp;"07"&amp;"/"&amp;YEAR(D344)</f>
        <v>22/07/2026</v>
      </c>
      <c r="M344" s="23">
        <f>E344-TIME(3,0,0)</f>
        <v>0.58333333333333337</v>
      </c>
      <c r="N344" t="str">
        <f>J344&amp;" - "&amp;K344</f>
        <v>3 - 1</v>
      </c>
      <c r="O344" t="str">
        <f>IF($J344&gt;$K344,"Green","Red")</f>
        <v>Green</v>
      </c>
      <c r="P344" t="str">
        <f>IF($J344=$K344,"Green","Red")</f>
        <v>Red</v>
      </c>
      <c r="Q344" t="str">
        <f>IF($J344&lt;$K344,"Green","Red")</f>
        <v>Red</v>
      </c>
      <c r="R344" t="str">
        <f>IF($J344&gt;=$K344,"Green","Red")</f>
        <v>Green</v>
      </c>
      <c r="S344" t="str">
        <f>IF($J344&lt;=$K344,"Green","Red")</f>
        <v>Red</v>
      </c>
      <c r="T344" t="str">
        <f>IF(OR($J344&gt;$K344,$J344&lt;$K344),"Green","Red")</f>
        <v>Green</v>
      </c>
      <c r="U344" t="str">
        <f>IF($H344&gt;$I344,"Green","Red")</f>
        <v>Red</v>
      </c>
      <c r="V344" t="str">
        <f>IF($H344=$I344,"Green","Red")</f>
        <v>Green</v>
      </c>
      <c r="W344" t="str">
        <f>IF($H344&lt;$I344,"Green","Red")</f>
        <v>Red</v>
      </c>
      <c r="X344" t="str">
        <f>IF($H344+$I344&gt;0,"Green","Red")</f>
        <v>Red</v>
      </c>
      <c r="Y344" t="str">
        <f>IF($J344+$K344&gt;1.5,"Green","Red")</f>
        <v>Green</v>
      </c>
      <c r="Z344" t="str">
        <f>IF($J344+$K344&gt;2.5,"Green","Red")</f>
        <v>Green</v>
      </c>
      <c r="AA344" t="str">
        <f>IF($J344+$K344&lt;2.5,"Green","Red")</f>
        <v>Red</v>
      </c>
      <c r="AB344" t="str">
        <f>IF($J344+$K344&lt;3.5,"Green","Red")</f>
        <v>Red</v>
      </c>
      <c r="AC344" t="str">
        <f>IF(AND($J344&gt;0,$K344&gt;0),"Green","Red")</f>
        <v>Green</v>
      </c>
      <c r="AD344" t="str">
        <f>IF(OR($J344=0,$K344=0),"Green","Red")</f>
        <v>Red</v>
      </c>
    </row>
    <row r="345" spans="1:30" x14ac:dyDescent="0.2">
      <c r="A345" t="str">
        <f>L345&amp;F345&amp;G345</f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>DAY(D345)&amp;"/"&amp;"07"&amp;"/"&amp;YEAR(D345)</f>
        <v>22/07/2026</v>
      </c>
      <c r="M345" s="23">
        <f>E345-TIME(3,0,0)</f>
        <v>0.58333333333333337</v>
      </c>
      <c r="N345" t="str">
        <f>J345&amp;" - "&amp;K345</f>
        <v>3 - 0</v>
      </c>
      <c r="O345" t="str">
        <f>IF($J345&gt;$K345,"Green","Red")</f>
        <v>Green</v>
      </c>
      <c r="P345" t="str">
        <f>IF($J345=$K345,"Green","Red")</f>
        <v>Red</v>
      </c>
      <c r="Q345" t="str">
        <f>IF($J345&lt;$K345,"Green","Red")</f>
        <v>Red</v>
      </c>
      <c r="R345" t="str">
        <f>IF($J345&gt;=$K345,"Green","Red")</f>
        <v>Green</v>
      </c>
      <c r="S345" t="str">
        <f>IF($J345&lt;=$K345,"Green","Red")</f>
        <v>Red</v>
      </c>
      <c r="T345" t="str">
        <f>IF(OR($J345&gt;$K345,$J345&lt;$K345),"Green","Red")</f>
        <v>Green</v>
      </c>
      <c r="U345" t="str">
        <f>IF($H345&gt;$I345,"Green","Red")</f>
        <v>Red</v>
      </c>
      <c r="V345" t="str">
        <f>IF($H345=$I345,"Green","Red")</f>
        <v>Green</v>
      </c>
      <c r="W345" t="str">
        <f>IF($H345&lt;$I345,"Green","Red")</f>
        <v>Red</v>
      </c>
      <c r="X345" t="str">
        <f>IF($H345+$I345&gt;0,"Green","Red")</f>
        <v>Red</v>
      </c>
      <c r="Y345" t="str">
        <f>IF($J345+$K345&gt;1.5,"Green","Red")</f>
        <v>Green</v>
      </c>
      <c r="Z345" t="str">
        <f>IF($J345+$K345&gt;2.5,"Green","Red")</f>
        <v>Green</v>
      </c>
      <c r="AA345" t="str">
        <f>IF($J345+$K345&lt;2.5,"Green","Red")</f>
        <v>Red</v>
      </c>
      <c r="AB345" t="str">
        <f>IF($J345+$K345&lt;3.5,"Green","Red")</f>
        <v>Green</v>
      </c>
      <c r="AC345" t="str">
        <f>IF(AND($J345&gt;0,$K345&gt;0),"Green","Red")</f>
        <v>Red</v>
      </c>
      <c r="AD345" t="str">
        <f>IF(OR($J345=0,$K345=0),"Green","Red")</f>
        <v>Green</v>
      </c>
    </row>
    <row r="346" spans="1:30" x14ac:dyDescent="0.2">
      <c r="A346" t="str">
        <f>L346&amp;F346&amp;G346</f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>DAY(D346)&amp;"/"&amp;"07"&amp;"/"&amp;YEAR(D346)</f>
        <v>22/07/2026</v>
      </c>
      <c r="M346" s="23">
        <f>E346-TIME(3,0,0)</f>
        <v>0.58333333333333337</v>
      </c>
      <c r="N346" t="str">
        <f>J346&amp;" - "&amp;K346</f>
        <v>1 - 2</v>
      </c>
      <c r="O346" t="str">
        <f>IF($J346&gt;$K346,"Green","Red")</f>
        <v>Red</v>
      </c>
      <c r="P346" t="str">
        <f>IF($J346=$K346,"Green","Red")</f>
        <v>Red</v>
      </c>
      <c r="Q346" t="str">
        <f>IF($J346&lt;$K346,"Green","Red")</f>
        <v>Green</v>
      </c>
      <c r="R346" t="str">
        <f>IF($J346&gt;=$K346,"Green","Red")</f>
        <v>Red</v>
      </c>
      <c r="S346" t="str">
        <f>IF($J346&lt;=$K346,"Green","Red")</f>
        <v>Green</v>
      </c>
      <c r="T346" t="str">
        <f>IF(OR($J346&gt;$K346,$J346&lt;$K346),"Green","Red")</f>
        <v>Green</v>
      </c>
      <c r="U346" t="str">
        <f>IF($H346&gt;$I346,"Green","Red")</f>
        <v>Red</v>
      </c>
      <c r="V346" t="str">
        <f>IF($H346=$I346,"Green","Red")</f>
        <v>Red</v>
      </c>
      <c r="W346" t="str">
        <f>IF($H346&lt;$I346,"Green","Red")</f>
        <v>Green</v>
      </c>
      <c r="X346" t="str">
        <f>IF($H346+$I346&gt;0,"Green","Red")</f>
        <v>Green</v>
      </c>
      <c r="Y346" t="str">
        <f>IF($J346+$K346&gt;1.5,"Green","Red")</f>
        <v>Green</v>
      </c>
      <c r="Z346" t="str">
        <f>IF($J346+$K346&gt;2.5,"Green","Red")</f>
        <v>Green</v>
      </c>
      <c r="AA346" t="str">
        <f>IF($J346+$K346&lt;2.5,"Green","Red")</f>
        <v>Red</v>
      </c>
      <c r="AB346" t="str">
        <f>IF($J346+$K346&lt;3.5,"Green","Red")</f>
        <v>Green</v>
      </c>
      <c r="AC346" t="str">
        <f>IF(AND($J346&gt;0,$K346&gt;0),"Green","Red")</f>
        <v>Green</v>
      </c>
      <c r="AD346" t="str">
        <f>IF(OR($J346=0,$K346=0),"Green","Red")</f>
        <v>Red</v>
      </c>
    </row>
    <row r="347" spans="1:30" x14ac:dyDescent="0.2">
      <c r="A347" t="str">
        <f>L347&amp;F347&amp;G347</f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>DAY(D347)&amp;"/"&amp;"07"&amp;"/"&amp;YEAR(D347)</f>
        <v>22/07/2026</v>
      </c>
      <c r="M347" s="23">
        <f>E347-TIME(3,0,0)</f>
        <v>0.58333333333333337</v>
      </c>
      <c r="N347" t="str">
        <f>J347&amp;" - "&amp;K347</f>
        <v>3 - 0</v>
      </c>
      <c r="O347" t="str">
        <f>IF($J347&gt;$K347,"Green","Red")</f>
        <v>Green</v>
      </c>
      <c r="P347" t="str">
        <f>IF($J347=$K347,"Green","Red")</f>
        <v>Red</v>
      </c>
      <c r="Q347" t="str">
        <f>IF($J347&lt;$K347,"Green","Red")</f>
        <v>Red</v>
      </c>
      <c r="R347" t="str">
        <f>IF($J347&gt;=$K347,"Green","Red")</f>
        <v>Green</v>
      </c>
      <c r="S347" t="str">
        <f>IF($J347&lt;=$K347,"Green","Red")</f>
        <v>Red</v>
      </c>
      <c r="T347" t="str">
        <f>IF(OR($J347&gt;$K347,$J347&lt;$K347),"Green","Red")</f>
        <v>Green</v>
      </c>
      <c r="U347" t="str">
        <f>IF($H347&gt;$I347,"Green","Red")</f>
        <v>Green</v>
      </c>
      <c r="V347" t="str">
        <f>IF($H347=$I347,"Green","Red")</f>
        <v>Red</v>
      </c>
      <c r="W347" t="str">
        <f>IF($H347&lt;$I347,"Green","Red")</f>
        <v>Red</v>
      </c>
      <c r="X347" t="str">
        <f>IF($H347+$I347&gt;0,"Green","Red")</f>
        <v>Green</v>
      </c>
      <c r="Y347" t="str">
        <f>IF($J347+$K347&gt;1.5,"Green","Red")</f>
        <v>Green</v>
      </c>
      <c r="Z347" t="str">
        <f>IF($J347+$K347&gt;2.5,"Green","Red")</f>
        <v>Green</v>
      </c>
      <c r="AA347" t="str">
        <f>IF($J347+$K347&lt;2.5,"Green","Red")</f>
        <v>Red</v>
      </c>
      <c r="AB347" t="str">
        <f>IF($J347+$K347&lt;3.5,"Green","Red")</f>
        <v>Green</v>
      </c>
      <c r="AC347" t="str">
        <f>IF(AND($J347&gt;0,$K347&gt;0),"Green","Red")</f>
        <v>Red</v>
      </c>
      <c r="AD347" t="str">
        <f>IF(OR($J347=0,$K347=0),"Green","Red")</f>
        <v>Green</v>
      </c>
    </row>
    <row r="348" spans="1:30" x14ac:dyDescent="0.2">
      <c r="A348" t="str">
        <f>L348&amp;F348&amp;G348</f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>DAY(D348)&amp;"/"&amp;"07"&amp;"/"&amp;YEAR(D348)</f>
        <v>22/07/2026</v>
      </c>
      <c r="M348" s="23">
        <f>E348-TIME(3,0,0)</f>
        <v>0.58333333333333337</v>
      </c>
      <c r="N348" t="str">
        <f>J348&amp;" - "&amp;K348</f>
        <v>3 - 1</v>
      </c>
      <c r="O348" t="str">
        <f>IF($J348&gt;$K348,"Green","Red")</f>
        <v>Green</v>
      </c>
      <c r="P348" t="str">
        <f>IF($J348=$K348,"Green","Red")</f>
        <v>Red</v>
      </c>
      <c r="Q348" t="str">
        <f>IF($J348&lt;$K348,"Green","Red")</f>
        <v>Red</v>
      </c>
      <c r="R348" t="str">
        <f>IF($J348&gt;=$K348,"Green","Red")</f>
        <v>Green</v>
      </c>
      <c r="S348" t="str">
        <f>IF($J348&lt;=$K348,"Green","Red")</f>
        <v>Red</v>
      </c>
      <c r="T348" t="str">
        <f>IF(OR($J348&gt;$K348,$J348&lt;$K348),"Green","Red")</f>
        <v>Green</v>
      </c>
      <c r="U348" t="str">
        <f>IF($H348&gt;$I348,"Green","Red")</f>
        <v>Red</v>
      </c>
      <c r="V348" t="str">
        <f>IF($H348=$I348,"Green","Red")</f>
        <v>Green</v>
      </c>
      <c r="W348" t="str">
        <f>IF($H348&lt;$I348,"Green","Red")</f>
        <v>Red</v>
      </c>
      <c r="X348" t="str">
        <f>IF($H348+$I348&gt;0,"Green","Red")</f>
        <v>Green</v>
      </c>
      <c r="Y348" t="str">
        <f>IF($J348+$K348&gt;1.5,"Green","Red")</f>
        <v>Green</v>
      </c>
      <c r="Z348" t="str">
        <f>IF($J348+$K348&gt;2.5,"Green","Red")</f>
        <v>Green</v>
      </c>
      <c r="AA348" t="str">
        <f>IF($J348+$K348&lt;2.5,"Green","Red")</f>
        <v>Red</v>
      </c>
      <c r="AB348" t="str">
        <f>IF($J348+$K348&lt;3.5,"Green","Red")</f>
        <v>Red</v>
      </c>
      <c r="AC348" t="str">
        <f>IF(AND($J348&gt;0,$K348&gt;0),"Green","Red")</f>
        <v>Green</v>
      </c>
      <c r="AD348" t="str">
        <f>IF(OR($J348=0,$K348=0),"Green","Red")</f>
        <v>Red</v>
      </c>
    </row>
    <row r="349" spans="1:30" x14ac:dyDescent="0.2">
      <c r="A349" t="str">
        <f>L349&amp;F349&amp;G349</f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>DAY(D349)&amp;"/"&amp;"07"&amp;"/"&amp;YEAR(D349)</f>
        <v>22/07/2026</v>
      </c>
      <c r="M349" s="23">
        <f>E349-TIME(3,0,0)</f>
        <v>0.58333333333333337</v>
      </c>
      <c r="N349" t="str">
        <f>J349&amp;" - "&amp;K349</f>
        <v>0 - 1</v>
      </c>
      <c r="O349" t="str">
        <f>IF($J349&gt;$K349,"Green","Red")</f>
        <v>Red</v>
      </c>
      <c r="P349" t="str">
        <f>IF($J349=$K349,"Green","Red")</f>
        <v>Red</v>
      </c>
      <c r="Q349" t="str">
        <f>IF($J349&lt;$K349,"Green","Red")</f>
        <v>Green</v>
      </c>
      <c r="R349" t="str">
        <f>IF($J349&gt;=$K349,"Green","Red")</f>
        <v>Red</v>
      </c>
      <c r="S349" t="str">
        <f>IF($J349&lt;=$K349,"Green","Red")</f>
        <v>Green</v>
      </c>
      <c r="T349" t="str">
        <f>IF(OR($J349&gt;$K349,$J349&lt;$K349),"Green","Red")</f>
        <v>Green</v>
      </c>
      <c r="U349" t="str">
        <f>IF($H349&gt;$I349,"Green","Red")</f>
        <v>Red</v>
      </c>
      <c r="V349" t="str">
        <f>IF($H349=$I349,"Green","Red")</f>
        <v>Green</v>
      </c>
      <c r="W349" t="str">
        <f>IF($H349&lt;$I349,"Green","Red")</f>
        <v>Red</v>
      </c>
      <c r="X349" t="str">
        <f>IF($H349+$I349&gt;0,"Green","Red")</f>
        <v>Red</v>
      </c>
      <c r="Y349" t="str">
        <f>IF($J349+$K349&gt;1.5,"Green","Red")</f>
        <v>Red</v>
      </c>
      <c r="Z349" t="str">
        <f>IF($J349+$K349&gt;2.5,"Green","Red")</f>
        <v>Red</v>
      </c>
      <c r="AA349" t="str">
        <f>IF($J349+$K349&lt;2.5,"Green","Red")</f>
        <v>Green</v>
      </c>
      <c r="AB349" t="str">
        <f>IF($J349+$K349&lt;3.5,"Green","Red")</f>
        <v>Green</v>
      </c>
      <c r="AC349" t="str">
        <f>IF(AND($J349&gt;0,$K349&gt;0),"Green","Red")</f>
        <v>Red</v>
      </c>
      <c r="AD349" t="str">
        <f>IF(OR($J349=0,$K349=0),"Green","Red")</f>
        <v>Green</v>
      </c>
    </row>
    <row r="350" spans="1:30" x14ac:dyDescent="0.2">
      <c r="A350" t="str">
        <f>L350&amp;F350&amp;G350</f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>DAY(D350)&amp;"/"&amp;"07"&amp;"/"&amp;YEAR(D350)</f>
        <v>22/07/2026</v>
      </c>
      <c r="M350" s="23">
        <f>E350-TIME(3,0,0)</f>
        <v>0.58333333333333337</v>
      </c>
      <c r="N350" t="str">
        <f>J350&amp;" - "&amp;K350</f>
        <v>2 - 1</v>
      </c>
      <c r="O350" t="str">
        <f>IF($J350&gt;$K350,"Green","Red")</f>
        <v>Green</v>
      </c>
      <c r="P350" t="str">
        <f>IF($J350=$K350,"Green","Red")</f>
        <v>Red</v>
      </c>
      <c r="Q350" t="str">
        <f>IF($J350&lt;$K350,"Green","Red")</f>
        <v>Red</v>
      </c>
      <c r="R350" t="str">
        <f>IF($J350&gt;=$K350,"Green","Red")</f>
        <v>Green</v>
      </c>
      <c r="S350" t="str">
        <f>IF($J350&lt;=$K350,"Green","Red")</f>
        <v>Red</v>
      </c>
      <c r="T350" t="str">
        <f>IF(OR($J350&gt;$K350,$J350&lt;$K350),"Green","Red")</f>
        <v>Green</v>
      </c>
      <c r="U350" t="str">
        <f>IF($H350&gt;$I350,"Green","Red")</f>
        <v>Green</v>
      </c>
      <c r="V350" t="str">
        <f>IF($H350=$I350,"Green","Red")</f>
        <v>Red</v>
      </c>
      <c r="W350" t="str">
        <f>IF($H350&lt;$I350,"Green","Red")</f>
        <v>Red</v>
      </c>
      <c r="X350" t="str">
        <f>IF($H350+$I350&gt;0,"Green","Red")</f>
        <v>Green</v>
      </c>
      <c r="Y350" t="str">
        <f>IF($J350+$K350&gt;1.5,"Green","Red")</f>
        <v>Green</v>
      </c>
      <c r="Z350" t="str">
        <f>IF($J350+$K350&gt;2.5,"Green","Red")</f>
        <v>Green</v>
      </c>
      <c r="AA350" t="str">
        <f>IF($J350+$K350&lt;2.5,"Green","Red")</f>
        <v>Red</v>
      </c>
      <c r="AB350" t="str">
        <f>IF($J350+$K350&lt;3.5,"Green","Red")</f>
        <v>Green</v>
      </c>
      <c r="AC350" t="str">
        <f>IF(AND($J350&gt;0,$K350&gt;0),"Green","Red")</f>
        <v>Green</v>
      </c>
      <c r="AD350" t="str">
        <f>IF(OR($J350=0,$K350=0),"Green","Red")</f>
        <v>Red</v>
      </c>
    </row>
    <row r="351" spans="1:30" x14ac:dyDescent="0.2">
      <c r="A351" t="str">
        <f>L351&amp;F351&amp;G351</f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>DAY(D351)&amp;"/"&amp;"07"&amp;"/"&amp;YEAR(D351)</f>
        <v>22/07/2026</v>
      </c>
      <c r="M351" s="23">
        <f>E351-TIME(3,0,0)</f>
        <v>0.58333333333333337</v>
      </c>
      <c r="N351" t="str">
        <f>J351&amp;" - "&amp;K351</f>
        <v>1 - 0</v>
      </c>
      <c r="O351" t="str">
        <f>IF($J351&gt;$K351,"Green","Red")</f>
        <v>Green</v>
      </c>
      <c r="P351" t="str">
        <f>IF($J351=$K351,"Green","Red")</f>
        <v>Red</v>
      </c>
      <c r="Q351" t="str">
        <f>IF($J351&lt;$K351,"Green","Red")</f>
        <v>Red</v>
      </c>
      <c r="R351" t="str">
        <f>IF($J351&gt;=$K351,"Green","Red")</f>
        <v>Green</v>
      </c>
      <c r="S351" t="str">
        <f>IF($J351&lt;=$K351,"Green","Red")</f>
        <v>Red</v>
      </c>
      <c r="T351" t="str">
        <f>IF(OR($J351&gt;$K351,$J351&lt;$K351),"Green","Red")</f>
        <v>Green</v>
      </c>
      <c r="U351" t="str">
        <f>IF($H351&gt;$I351,"Green","Red")</f>
        <v>Green</v>
      </c>
      <c r="V351" t="str">
        <f>IF($H351=$I351,"Green","Red")</f>
        <v>Red</v>
      </c>
      <c r="W351" t="str">
        <f>IF($H351&lt;$I351,"Green","Red")</f>
        <v>Red</v>
      </c>
      <c r="X351" t="str">
        <f>IF($H351+$I351&gt;0,"Green","Red")</f>
        <v>Green</v>
      </c>
      <c r="Y351" t="str">
        <f>IF($J351+$K351&gt;1.5,"Green","Red")</f>
        <v>Red</v>
      </c>
      <c r="Z351" t="str">
        <f>IF($J351+$K351&gt;2.5,"Green","Red")</f>
        <v>Red</v>
      </c>
      <c r="AA351" t="str">
        <f>IF($J351+$K351&lt;2.5,"Green","Red")</f>
        <v>Green</v>
      </c>
      <c r="AB351" t="str">
        <f>IF($J351+$K351&lt;3.5,"Green","Red")</f>
        <v>Green</v>
      </c>
      <c r="AC351" t="str">
        <f>IF(AND($J351&gt;0,$K351&gt;0),"Green","Red")</f>
        <v>Red</v>
      </c>
      <c r="AD351" t="str">
        <f>IF(OR($J351=0,$K351=0),"Green","Red")</f>
        <v>Green</v>
      </c>
    </row>
    <row r="352" spans="1:30" x14ac:dyDescent="0.2">
      <c r="A352" t="str">
        <f>L352&amp;F352&amp;G352</f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>DAY(D352)&amp;"/"&amp;"07"&amp;"/"&amp;YEAR(D352)</f>
        <v>22/07/2026</v>
      </c>
      <c r="M352" s="23">
        <f>E352-TIME(3,0,0)</f>
        <v>0.58333333333333337</v>
      </c>
      <c r="N352" t="str">
        <f>J352&amp;" - "&amp;K352</f>
        <v>1 - 0</v>
      </c>
      <c r="O352" t="str">
        <f>IF($J352&gt;$K352,"Green","Red")</f>
        <v>Green</v>
      </c>
      <c r="P352" t="str">
        <f>IF($J352=$K352,"Green","Red")</f>
        <v>Red</v>
      </c>
      <c r="Q352" t="str">
        <f>IF($J352&lt;$K352,"Green","Red")</f>
        <v>Red</v>
      </c>
      <c r="R352" t="str">
        <f>IF($J352&gt;=$K352,"Green","Red")</f>
        <v>Green</v>
      </c>
      <c r="S352" t="str">
        <f>IF($J352&lt;=$K352,"Green","Red")</f>
        <v>Red</v>
      </c>
      <c r="T352" t="str">
        <f>IF(OR($J352&gt;$K352,$J352&lt;$K352),"Green","Red")</f>
        <v>Green</v>
      </c>
      <c r="U352" t="str">
        <f>IF($H352&gt;$I352,"Green","Red")</f>
        <v>Red</v>
      </c>
      <c r="V352" t="str">
        <f>IF($H352=$I352,"Green","Red")</f>
        <v>Green</v>
      </c>
      <c r="W352" t="str">
        <f>IF($H352&lt;$I352,"Green","Red")</f>
        <v>Red</v>
      </c>
      <c r="X352" t="str">
        <f>IF($H352+$I352&gt;0,"Green","Red")</f>
        <v>Red</v>
      </c>
      <c r="Y352" t="str">
        <f>IF($J352+$K352&gt;1.5,"Green","Red")</f>
        <v>Red</v>
      </c>
      <c r="Z352" t="str">
        <f>IF($J352+$K352&gt;2.5,"Green","Red")</f>
        <v>Red</v>
      </c>
      <c r="AA352" t="str">
        <f>IF($J352+$K352&lt;2.5,"Green","Red")</f>
        <v>Green</v>
      </c>
      <c r="AB352" t="str">
        <f>IF($J352+$K352&lt;3.5,"Green","Red")</f>
        <v>Green</v>
      </c>
      <c r="AC352" t="str">
        <f>IF(AND($J352&gt;0,$K352&gt;0),"Green","Red")</f>
        <v>Red</v>
      </c>
      <c r="AD352" t="str">
        <f>IF(OR($J352=0,$K352=0),"Green","Red")</f>
        <v>Green</v>
      </c>
    </row>
    <row r="353" spans="1:30" x14ac:dyDescent="0.2">
      <c r="A353" t="str">
        <f>L353&amp;F353&amp;G353</f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>DAY(D353)&amp;"/"&amp;"07"&amp;"/"&amp;YEAR(D353)</f>
        <v>22/07/2026</v>
      </c>
      <c r="M353" s="23">
        <f>E353-TIME(3,0,0)</f>
        <v>0.58333333333333337</v>
      </c>
      <c r="N353" t="str">
        <f>J353&amp;" - "&amp;K353</f>
        <v>3 - 0</v>
      </c>
      <c r="O353" t="str">
        <f>IF($J353&gt;$K353,"Green","Red")</f>
        <v>Green</v>
      </c>
      <c r="P353" t="str">
        <f>IF($J353=$K353,"Green","Red")</f>
        <v>Red</v>
      </c>
      <c r="Q353" t="str">
        <f>IF($J353&lt;$K353,"Green","Red")</f>
        <v>Red</v>
      </c>
      <c r="R353" t="str">
        <f>IF($J353&gt;=$K353,"Green","Red")</f>
        <v>Green</v>
      </c>
      <c r="S353" t="str">
        <f>IF($J353&lt;=$K353,"Green","Red")</f>
        <v>Red</v>
      </c>
      <c r="T353" t="str">
        <f>IF(OR($J353&gt;$K353,$J353&lt;$K353),"Green","Red")</f>
        <v>Green</v>
      </c>
      <c r="U353" t="str">
        <f>IF($H353&gt;$I353,"Green","Red")</f>
        <v>Green</v>
      </c>
      <c r="V353" t="str">
        <f>IF($H353=$I353,"Green","Red")</f>
        <v>Red</v>
      </c>
      <c r="W353" t="str">
        <f>IF($H353&lt;$I353,"Green","Red")</f>
        <v>Red</v>
      </c>
      <c r="X353" t="str">
        <f>IF($H353+$I353&gt;0,"Green","Red")</f>
        <v>Green</v>
      </c>
      <c r="Y353" t="str">
        <f>IF($J353+$K353&gt;1.5,"Green","Red")</f>
        <v>Green</v>
      </c>
      <c r="Z353" t="str">
        <f>IF($J353+$K353&gt;2.5,"Green","Red")</f>
        <v>Green</v>
      </c>
      <c r="AA353" t="str">
        <f>IF($J353+$K353&lt;2.5,"Green","Red")</f>
        <v>Red</v>
      </c>
      <c r="AB353" t="str">
        <f>IF($J353+$K353&lt;3.5,"Green","Red")</f>
        <v>Green</v>
      </c>
      <c r="AC353" t="str">
        <f>IF(AND($J353&gt;0,$K353&gt;0),"Green","Red")</f>
        <v>Red</v>
      </c>
      <c r="AD353" t="str">
        <f>IF(OR($J353=0,$K353=0),"Green","Red")</f>
        <v>Green</v>
      </c>
    </row>
    <row r="354" spans="1:30" x14ac:dyDescent="0.2">
      <c r="A354" t="str">
        <f>L354&amp;F354&amp;G354</f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>DAY(D354)&amp;"/"&amp;"07"&amp;"/"&amp;YEAR(D354)</f>
        <v>22/07/2026</v>
      </c>
      <c r="M354" s="23">
        <f>E354-TIME(3,0,0)</f>
        <v>0.58333333333333337</v>
      </c>
      <c r="N354" t="str">
        <f>J354&amp;" - "&amp;K354</f>
        <v>0 - 1</v>
      </c>
      <c r="O354" t="str">
        <f>IF($J354&gt;$K354,"Green","Red")</f>
        <v>Red</v>
      </c>
      <c r="P354" t="str">
        <f>IF($J354=$K354,"Green","Red")</f>
        <v>Red</v>
      </c>
      <c r="Q354" t="str">
        <f>IF($J354&lt;$K354,"Green","Red")</f>
        <v>Green</v>
      </c>
      <c r="R354" t="str">
        <f>IF($J354&gt;=$K354,"Green","Red")</f>
        <v>Red</v>
      </c>
      <c r="S354" t="str">
        <f>IF($J354&lt;=$K354,"Green","Red")</f>
        <v>Green</v>
      </c>
      <c r="T354" t="str">
        <f>IF(OR($J354&gt;$K354,$J354&lt;$K354),"Green","Red")</f>
        <v>Green</v>
      </c>
      <c r="U354" t="str">
        <f>IF($H354&gt;$I354,"Green","Red")</f>
        <v>Red</v>
      </c>
      <c r="V354" t="str">
        <f>IF($H354=$I354,"Green","Red")</f>
        <v>Green</v>
      </c>
      <c r="W354" t="str">
        <f>IF($H354&lt;$I354,"Green","Red")</f>
        <v>Red</v>
      </c>
      <c r="X354" t="str">
        <f>IF($H354+$I354&gt;0,"Green","Red")</f>
        <v>Red</v>
      </c>
      <c r="Y354" t="str">
        <f>IF($J354+$K354&gt;1.5,"Green","Red")</f>
        <v>Red</v>
      </c>
      <c r="Z354" t="str">
        <f>IF($J354+$K354&gt;2.5,"Green","Red")</f>
        <v>Red</v>
      </c>
      <c r="AA354" t="str">
        <f>IF($J354+$K354&lt;2.5,"Green","Red")</f>
        <v>Green</v>
      </c>
      <c r="AB354" t="str">
        <f>IF($J354+$K354&lt;3.5,"Green","Red")</f>
        <v>Green</v>
      </c>
      <c r="AC354" t="str">
        <f>IF(AND($J354&gt;0,$K354&gt;0),"Green","Red")</f>
        <v>Red</v>
      </c>
      <c r="AD354" t="str">
        <f>IF(OR($J354=0,$K354=0),"Green","Red")</f>
        <v>Green</v>
      </c>
    </row>
    <row r="355" spans="1:30" x14ac:dyDescent="0.2">
      <c r="A355" t="str">
        <f>L355&amp;F355&amp;G355</f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>DAY(D355)&amp;"/"&amp;"07"&amp;"/"&amp;YEAR(D355)</f>
        <v>22/07/2026</v>
      </c>
      <c r="M355" s="23">
        <f>E355-TIME(3,0,0)</f>
        <v>0.58333333333333337</v>
      </c>
      <c r="N355" t="str">
        <f>J355&amp;" - "&amp;K355</f>
        <v>1 - 0</v>
      </c>
      <c r="O355" t="str">
        <f>IF($J355&gt;$K355,"Green","Red")</f>
        <v>Green</v>
      </c>
      <c r="P355" t="str">
        <f>IF($J355=$K355,"Green","Red")</f>
        <v>Red</v>
      </c>
      <c r="Q355" t="str">
        <f>IF($J355&lt;$K355,"Green","Red")</f>
        <v>Red</v>
      </c>
      <c r="R355" t="str">
        <f>IF($J355&gt;=$K355,"Green","Red")</f>
        <v>Green</v>
      </c>
      <c r="S355" t="str">
        <f>IF($J355&lt;=$K355,"Green","Red")</f>
        <v>Red</v>
      </c>
      <c r="T355" t="str">
        <f>IF(OR($J355&gt;$K355,$J355&lt;$K355),"Green","Red")</f>
        <v>Green</v>
      </c>
      <c r="U355" t="str">
        <f>IF($H355&gt;$I355,"Green","Red")</f>
        <v>Red</v>
      </c>
      <c r="V355" t="str">
        <f>IF($H355=$I355,"Green","Red")</f>
        <v>Green</v>
      </c>
      <c r="W355" t="str">
        <f>IF($H355&lt;$I355,"Green","Red")</f>
        <v>Red</v>
      </c>
      <c r="X355" t="str">
        <f>IF($H355+$I355&gt;0,"Green","Red")</f>
        <v>Red</v>
      </c>
      <c r="Y355" t="str">
        <f>IF($J355+$K355&gt;1.5,"Green","Red")</f>
        <v>Red</v>
      </c>
      <c r="Z355" t="str">
        <f>IF($J355+$K355&gt;2.5,"Green","Red")</f>
        <v>Red</v>
      </c>
      <c r="AA355" t="str">
        <f>IF($J355+$K355&lt;2.5,"Green","Red")</f>
        <v>Green</v>
      </c>
      <c r="AB355" t="str">
        <f>IF($J355+$K355&lt;3.5,"Green","Red")</f>
        <v>Green</v>
      </c>
      <c r="AC355" t="str">
        <f>IF(AND($J355&gt;0,$K355&gt;0),"Green","Red")</f>
        <v>Red</v>
      </c>
      <c r="AD355" t="str">
        <f>IF(OR($J355=0,$K355=0),"Green","Red")</f>
        <v>Green</v>
      </c>
    </row>
    <row r="356" spans="1:30" x14ac:dyDescent="0.2">
      <c r="A356" t="str">
        <f>L356&amp;F356&amp;G356</f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>DAY(D356)&amp;"/"&amp;"07"&amp;"/"&amp;YEAR(D356)</f>
        <v>22/07/2026</v>
      </c>
      <c r="M356" s="23">
        <f>E356-TIME(3,0,0)</f>
        <v>0.60416666666666663</v>
      </c>
      <c r="N356" t="str">
        <f>J356&amp;" - "&amp;K356</f>
        <v>1 - 0</v>
      </c>
      <c r="O356" t="str">
        <f>IF($J356&gt;$K356,"Green","Red")</f>
        <v>Green</v>
      </c>
      <c r="P356" t="str">
        <f>IF($J356=$K356,"Green","Red")</f>
        <v>Red</v>
      </c>
      <c r="Q356" t="str">
        <f>IF($J356&lt;$K356,"Green","Red")</f>
        <v>Red</v>
      </c>
      <c r="R356" t="str">
        <f>IF($J356&gt;=$K356,"Green","Red")</f>
        <v>Green</v>
      </c>
      <c r="S356" t="str">
        <f>IF($J356&lt;=$K356,"Green","Red")</f>
        <v>Red</v>
      </c>
      <c r="T356" t="str">
        <f>IF(OR($J356&gt;$K356,$J356&lt;$K356),"Green","Red")</f>
        <v>Green</v>
      </c>
      <c r="U356" t="str">
        <f>IF($H356&gt;$I356,"Green","Red")</f>
        <v>Green</v>
      </c>
      <c r="V356" t="str">
        <f>IF($H356=$I356,"Green","Red")</f>
        <v>Red</v>
      </c>
      <c r="W356" t="str">
        <f>IF($H356&lt;$I356,"Green","Red")</f>
        <v>Red</v>
      </c>
      <c r="X356" t="str">
        <f>IF($H356+$I356&gt;0,"Green","Red")</f>
        <v>Green</v>
      </c>
      <c r="Y356" t="str">
        <f>IF($J356+$K356&gt;1.5,"Green","Red")</f>
        <v>Red</v>
      </c>
      <c r="Z356" t="str">
        <f>IF($J356+$K356&gt;2.5,"Green","Red")</f>
        <v>Red</v>
      </c>
      <c r="AA356" t="str">
        <f>IF($J356+$K356&lt;2.5,"Green","Red")</f>
        <v>Green</v>
      </c>
      <c r="AB356" t="str">
        <f>IF($J356+$K356&lt;3.5,"Green","Red")</f>
        <v>Green</v>
      </c>
      <c r="AC356" t="str">
        <f>IF(AND($J356&gt;0,$K356&gt;0),"Green","Red")</f>
        <v>Red</v>
      </c>
      <c r="AD356" t="str">
        <f>IF(OR($J356=0,$K356=0),"Green","Red")</f>
        <v>Green</v>
      </c>
    </row>
    <row r="357" spans="1:30" x14ac:dyDescent="0.2">
      <c r="A357" t="str">
        <f>L357&amp;F357&amp;G357</f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>DAY(D357)&amp;"/"&amp;"07"&amp;"/"&amp;YEAR(D357)</f>
        <v>22/07/2026</v>
      </c>
      <c r="M357" s="23">
        <f>E357-TIME(3,0,0)</f>
        <v>0.60416666666666663</v>
      </c>
      <c r="N357" t="str">
        <f>J357&amp;" - "&amp;K357</f>
        <v>0 - 0</v>
      </c>
      <c r="O357" t="str">
        <f>IF($J357&gt;$K357,"Green","Red")</f>
        <v>Red</v>
      </c>
      <c r="P357" t="str">
        <f>IF($J357=$K357,"Green","Red")</f>
        <v>Green</v>
      </c>
      <c r="Q357" t="str">
        <f>IF($J357&lt;$K357,"Green","Red")</f>
        <v>Red</v>
      </c>
      <c r="R357" t="str">
        <f>IF($J357&gt;=$K357,"Green","Red")</f>
        <v>Green</v>
      </c>
      <c r="S357" t="str">
        <f>IF($J357&lt;=$K357,"Green","Red")</f>
        <v>Green</v>
      </c>
      <c r="T357" t="str">
        <f>IF(OR($J357&gt;$K357,$J357&lt;$K357),"Green","Red")</f>
        <v>Red</v>
      </c>
      <c r="U357" t="str">
        <f>IF($H357&gt;$I357,"Green","Red")</f>
        <v>Red</v>
      </c>
      <c r="V357" t="str">
        <f>IF($H357=$I357,"Green","Red")</f>
        <v>Green</v>
      </c>
      <c r="W357" t="str">
        <f>IF($H357&lt;$I357,"Green","Red")</f>
        <v>Red</v>
      </c>
      <c r="X357" t="str">
        <f>IF($H357+$I357&gt;0,"Green","Red")</f>
        <v>Red</v>
      </c>
      <c r="Y357" t="str">
        <f>IF($J357+$K357&gt;1.5,"Green","Red")</f>
        <v>Red</v>
      </c>
      <c r="Z357" t="str">
        <f>IF($J357+$K357&gt;2.5,"Green","Red")</f>
        <v>Red</v>
      </c>
      <c r="AA357" t="str">
        <f>IF($J357+$K357&lt;2.5,"Green","Red")</f>
        <v>Green</v>
      </c>
      <c r="AB357" t="str">
        <f>IF($J357+$K357&lt;3.5,"Green","Red")</f>
        <v>Green</v>
      </c>
      <c r="AC357" t="str">
        <f>IF(AND($J357&gt;0,$K357&gt;0),"Green","Red")</f>
        <v>Red</v>
      </c>
      <c r="AD357" t="str">
        <f>IF(OR($J357=0,$K357=0),"Green","Red")</f>
        <v>Green</v>
      </c>
    </row>
    <row r="358" spans="1:30" x14ac:dyDescent="0.2">
      <c r="A358" t="str">
        <f>L358&amp;F358&amp;G358</f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>DAY(D358)&amp;"/"&amp;"07"&amp;"/"&amp;YEAR(D358)</f>
        <v>22/07/2026</v>
      </c>
      <c r="M358" s="23">
        <f>E358-TIME(3,0,0)</f>
        <v>0.60416666666666663</v>
      </c>
      <c r="N358" t="str">
        <f>J358&amp;" - "&amp;K358</f>
        <v>0 - 2</v>
      </c>
      <c r="O358" t="str">
        <f>IF($J358&gt;$K358,"Green","Red")</f>
        <v>Red</v>
      </c>
      <c r="P358" t="str">
        <f>IF($J358=$K358,"Green","Red")</f>
        <v>Red</v>
      </c>
      <c r="Q358" t="str">
        <f>IF($J358&lt;$K358,"Green","Red")</f>
        <v>Green</v>
      </c>
      <c r="R358" t="str">
        <f>IF($J358&gt;=$K358,"Green","Red")</f>
        <v>Red</v>
      </c>
      <c r="S358" t="str">
        <f>IF($J358&lt;=$K358,"Green","Red")</f>
        <v>Green</v>
      </c>
      <c r="T358" t="str">
        <f>IF(OR($J358&gt;$K358,$J358&lt;$K358),"Green","Red")</f>
        <v>Green</v>
      </c>
      <c r="U358" t="str">
        <f>IF($H358&gt;$I358,"Green","Red")</f>
        <v>Red</v>
      </c>
      <c r="V358" t="str">
        <f>IF($H358=$I358,"Green","Red")</f>
        <v>Red</v>
      </c>
      <c r="W358" t="str">
        <f>IF($H358&lt;$I358,"Green","Red")</f>
        <v>Green</v>
      </c>
      <c r="X358" t="str">
        <f>IF($H358+$I358&gt;0,"Green","Red")</f>
        <v>Green</v>
      </c>
      <c r="Y358" t="str">
        <f>IF($J358+$K358&gt;1.5,"Green","Red")</f>
        <v>Green</v>
      </c>
      <c r="Z358" t="str">
        <f>IF($J358+$K358&gt;2.5,"Green","Red")</f>
        <v>Red</v>
      </c>
      <c r="AA358" t="str">
        <f>IF($J358+$K358&lt;2.5,"Green","Red")</f>
        <v>Green</v>
      </c>
      <c r="AB358" t="str">
        <f>IF($J358+$K358&lt;3.5,"Green","Red")</f>
        <v>Green</v>
      </c>
      <c r="AC358" t="str">
        <f>IF(AND($J358&gt;0,$K358&gt;0),"Green","Red")</f>
        <v>Red</v>
      </c>
      <c r="AD358" t="str">
        <f>IF(OR($J358=0,$K358=0),"Green","Red")</f>
        <v>Green</v>
      </c>
    </row>
    <row r="359" spans="1:30" x14ac:dyDescent="0.2">
      <c r="A359" t="str">
        <f>L359&amp;F359&amp;G359</f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>DAY(D359)&amp;"/"&amp;"07"&amp;"/"&amp;YEAR(D359)</f>
        <v>22/07/2026</v>
      </c>
      <c r="M359" s="23">
        <f>E359-TIME(3,0,0)</f>
        <v>0.60416666666666663</v>
      </c>
      <c r="N359" t="str">
        <f>J359&amp;" - "&amp;K359</f>
        <v>5 - 0</v>
      </c>
      <c r="O359" t="str">
        <f>IF($J359&gt;$K359,"Green","Red")</f>
        <v>Green</v>
      </c>
      <c r="P359" t="str">
        <f>IF($J359=$K359,"Green","Red")</f>
        <v>Red</v>
      </c>
      <c r="Q359" t="str">
        <f>IF($J359&lt;$K359,"Green","Red")</f>
        <v>Red</v>
      </c>
      <c r="R359" t="str">
        <f>IF($J359&gt;=$K359,"Green","Red")</f>
        <v>Green</v>
      </c>
      <c r="S359" t="str">
        <f>IF($J359&lt;=$K359,"Green","Red")</f>
        <v>Red</v>
      </c>
      <c r="T359" t="str">
        <f>IF(OR($J359&gt;$K359,$J359&lt;$K359),"Green","Red")</f>
        <v>Green</v>
      </c>
      <c r="U359" t="str">
        <f>IF($H359&gt;$I359,"Green","Red")</f>
        <v>Green</v>
      </c>
      <c r="V359" t="str">
        <f>IF($H359=$I359,"Green","Red")</f>
        <v>Red</v>
      </c>
      <c r="W359" t="str">
        <f>IF($H359&lt;$I359,"Green","Red")</f>
        <v>Red</v>
      </c>
      <c r="X359" t="str">
        <f>IF($H359+$I359&gt;0,"Green","Red")</f>
        <v>Green</v>
      </c>
      <c r="Y359" t="str">
        <f>IF($J359+$K359&gt;1.5,"Green","Red")</f>
        <v>Green</v>
      </c>
      <c r="Z359" t="str">
        <f>IF($J359+$K359&gt;2.5,"Green","Red")</f>
        <v>Green</v>
      </c>
      <c r="AA359" t="str">
        <f>IF($J359+$K359&lt;2.5,"Green","Red")</f>
        <v>Red</v>
      </c>
      <c r="AB359" t="str">
        <f>IF($J359+$K359&lt;3.5,"Green","Red")</f>
        <v>Red</v>
      </c>
      <c r="AC359" t="str">
        <f>IF(AND($J359&gt;0,$K359&gt;0),"Green","Red")</f>
        <v>Red</v>
      </c>
      <c r="AD359" t="str">
        <f>IF(OR($J359=0,$K359=0),"Green","Red")</f>
        <v>Green</v>
      </c>
    </row>
    <row r="360" spans="1:30" x14ac:dyDescent="0.2">
      <c r="A360" t="str">
        <f>L360&amp;F360&amp;G360</f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>DAY(D360)&amp;"/"&amp;"07"&amp;"/"&amp;YEAR(D360)</f>
        <v>22/07/2026</v>
      </c>
      <c r="M360" s="23">
        <f>E360-TIME(3,0,0)</f>
        <v>0.61458333333333337</v>
      </c>
      <c r="N360" t="str">
        <f>J360&amp;" - "&amp;K360</f>
        <v>1 - 1</v>
      </c>
      <c r="O360" t="str">
        <f>IF($J360&gt;$K360,"Green","Red")</f>
        <v>Red</v>
      </c>
      <c r="P360" t="str">
        <f>IF($J360=$K360,"Green","Red")</f>
        <v>Green</v>
      </c>
      <c r="Q360" t="str">
        <f>IF($J360&lt;$K360,"Green","Red")</f>
        <v>Red</v>
      </c>
      <c r="R360" t="str">
        <f>IF($J360&gt;=$K360,"Green","Red")</f>
        <v>Green</v>
      </c>
      <c r="S360" t="str">
        <f>IF($J360&lt;=$K360,"Green","Red")</f>
        <v>Green</v>
      </c>
      <c r="T360" t="str">
        <f>IF(OR($J360&gt;$K360,$J360&lt;$K360),"Green","Red")</f>
        <v>Red</v>
      </c>
      <c r="U360" t="str">
        <f>IF($H360&gt;$I360,"Green","Red")</f>
        <v>Red</v>
      </c>
      <c r="V360" t="str">
        <f>IF($H360=$I360,"Green","Red")</f>
        <v>Red</v>
      </c>
      <c r="W360" t="str">
        <f>IF($H360&lt;$I360,"Green","Red")</f>
        <v>Green</v>
      </c>
      <c r="X360" t="str">
        <f>IF($H360+$I360&gt;0,"Green","Red")</f>
        <v>Green</v>
      </c>
      <c r="Y360" t="str">
        <f>IF($J360+$K360&gt;1.5,"Green","Red")</f>
        <v>Green</v>
      </c>
      <c r="Z360" t="str">
        <f>IF($J360+$K360&gt;2.5,"Green","Red")</f>
        <v>Red</v>
      </c>
      <c r="AA360" t="str">
        <f>IF($J360+$K360&lt;2.5,"Green","Red")</f>
        <v>Green</v>
      </c>
      <c r="AB360" t="str">
        <f>IF($J360+$K360&lt;3.5,"Green","Red")</f>
        <v>Green</v>
      </c>
      <c r="AC360" t="str">
        <f>IF(AND($J360&gt;0,$K360&gt;0),"Green","Red")</f>
        <v>Green</v>
      </c>
      <c r="AD360" t="str">
        <f>IF(OR($J360=0,$K360=0),"Green","Red")</f>
        <v>Red</v>
      </c>
    </row>
    <row r="361" spans="1:30" x14ac:dyDescent="0.2">
      <c r="A361" t="str">
        <f>L361&amp;F361&amp;G361</f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>DAY(D361)&amp;"/"&amp;"07"&amp;"/"&amp;YEAR(D361)</f>
        <v>22/07/2026</v>
      </c>
      <c r="M361" s="23">
        <f>E361-TIME(3,0,0)</f>
        <v>0.61458333333333337</v>
      </c>
      <c r="N361" t="str">
        <f>J361&amp;" - "&amp;K361</f>
        <v>1 - 1</v>
      </c>
      <c r="O361" t="str">
        <f>IF($J361&gt;$K361,"Green","Red")</f>
        <v>Red</v>
      </c>
      <c r="P361" t="str">
        <f>IF($J361=$K361,"Green","Red")</f>
        <v>Green</v>
      </c>
      <c r="Q361" t="str">
        <f>IF($J361&lt;$K361,"Green","Red")</f>
        <v>Red</v>
      </c>
      <c r="R361" t="str">
        <f>IF($J361&gt;=$K361,"Green","Red")</f>
        <v>Green</v>
      </c>
      <c r="S361" t="str">
        <f>IF($J361&lt;=$K361,"Green","Red")</f>
        <v>Green</v>
      </c>
      <c r="T361" t="str">
        <f>IF(OR($J361&gt;$K361,$J361&lt;$K361),"Green","Red")</f>
        <v>Red</v>
      </c>
      <c r="U361" t="str">
        <f>IF($H361&gt;$I361,"Green","Red")</f>
        <v>Green</v>
      </c>
      <c r="V361" t="str">
        <f>IF($H361=$I361,"Green","Red")</f>
        <v>Red</v>
      </c>
      <c r="W361" t="str">
        <f>IF($H361&lt;$I361,"Green","Red")</f>
        <v>Red</v>
      </c>
      <c r="X361" t="str">
        <f>IF($H361+$I361&gt;0,"Green","Red")</f>
        <v>Green</v>
      </c>
      <c r="Y361" t="str">
        <f>IF($J361+$K361&gt;1.5,"Green","Red")</f>
        <v>Green</v>
      </c>
      <c r="Z361" t="str">
        <f>IF($J361+$K361&gt;2.5,"Green","Red")</f>
        <v>Red</v>
      </c>
      <c r="AA361" t="str">
        <f>IF($J361+$K361&lt;2.5,"Green","Red")</f>
        <v>Green</v>
      </c>
      <c r="AB361" t="str">
        <f>IF($J361+$K361&lt;3.5,"Green","Red")</f>
        <v>Green</v>
      </c>
      <c r="AC361" t="str">
        <f>IF(AND($J361&gt;0,$K361&gt;0),"Green","Red")</f>
        <v>Green</v>
      </c>
      <c r="AD361" t="str">
        <f>IF(OR($J361=0,$K361=0),"Green","Red")</f>
        <v>Red</v>
      </c>
    </row>
    <row r="362" spans="1:30" x14ac:dyDescent="0.2">
      <c r="A362" t="str">
        <f>L362&amp;F362&amp;G362</f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>DAY(D362)&amp;"/"&amp;"07"&amp;"/"&amp;YEAR(D362)</f>
        <v>22/07/2026</v>
      </c>
      <c r="M362" s="23">
        <f>E362-TIME(3,0,0)</f>
        <v>0.61458333333333337</v>
      </c>
      <c r="N362" t="str">
        <f>J362&amp;" - "&amp;K362</f>
        <v>3 - 0</v>
      </c>
      <c r="O362" t="str">
        <f>IF($J362&gt;$K362,"Green","Red")</f>
        <v>Green</v>
      </c>
      <c r="P362" t="str">
        <f>IF($J362=$K362,"Green","Red")</f>
        <v>Red</v>
      </c>
      <c r="Q362" t="str">
        <f>IF($J362&lt;$K362,"Green","Red")</f>
        <v>Red</v>
      </c>
      <c r="R362" t="str">
        <f>IF($J362&gt;=$K362,"Green","Red")</f>
        <v>Green</v>
      </c>
      <c r="S362" t="str">
        <f>IF($J362&lt;=$K362,"Green","Red")</f>
        <v>Red</v>
      </c>
      <c r="T362" t="str">
        <f>IF(OR($J362&gt;$K362,$J362&lt;$K362),"Green","Red")</f>
        <v>Green</v>
      </c>
      <c r="U362" t="str">
        <f>IF($H362&gt;$I362,"Green","Red")</f>
        <v>Green</v>
      </c>
      <c r="V362" t="str">
        <f>IF($H362=$I362,"Green","Red")</f>
        <v>Red</v>
      </c>
      <c r="W362" t="str">
        <f>IF($H362&lt;$I362,"Green","Red")</f>
        <v>Red</v>
      </c>
      <c r="X362" t="str">
        <f>IF($H362+$I362&gt;0,"Green","Red")</f>
        <v>Green</v>
      </c>
      <c r="Y362" t="str">
        <f>IF($J362+$K362&gt;1.5,"Green","Red")</f>
        <v>Green</v>
      </c>
      <c r="Z362" t="str">
        <f>IF($J362+$K362&gt;2.5,"Green","Red")</f>
        <v>Green</v>
      </c>
      <c r="AA362" t="str">
        <f>IF($J362+$K362&lt;2.5,"Green","Red")</f>
        <v>Red</v>
      </c>
      <c r="AB362" t="str">
        <f>IF($J362+$K362&lt;3.5,"Green","Red")</f>
        <v>Green</v>
      </c>
      <c r="AC362" t="str">
        <f>IF(AND($J362&gt;0,$K362&gt;0),"Green","Red")</f>
        <v>Red</v>
      </c>
      <c r="AD362" t="str">
        <f>IF(OR($J362=0,$K362=0),"Green","Red")</f>
        <v>Green</v>
      </c>
    </row>
    <row r="363" spans="1:30" x14ac:dyDescent="0.2">
      <c r="A363" t="str">
        <f>L363&amp;F363&amp;G363</f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>DAY(D363)&amp;"/"&amp;"07"&amp;"/"&amp;YEAR(D363)</f>
        <v>22/07/2026</v>
      </c>
      <c r="M363" s="23">
        <f>E363-TIME(3,0,0)</f>
        <v>0.61458333333333337</v>
      </c>
      <c r="N363" t="str">
        <f>J363&amp;" - "&amp;K363</f>
        <v>1 - 1</v>
      </c>
      <c r="O363" t="str">
        <f>IF($J363&gt;$K363,"Green","Red")</f>
        <v>Red</v>
      </c>
      <c r="P363" t="str">
        <f>IF($J363=$K363,"Green","Red")</f>
        <v>Green</v>
      </c>
      <c r="Q363" t="str">
        <f>IF($J363&lt;$K363,"Green","Red")</f>
        <v>Red</v>
      </c>
      <c r="R363" t="str">
        <f>IF($J363&gt;=$K363,"Green","Red")</f>
        <v>Green</v>
      </c>
      <c r="S363" t="str">
        <f>IF($J363&lt;=$K363,"Green","Red")</f>
        <v>Green</v>
      </c>
      <c r="T363" t="str">
        <f>IF(OR($J363&gt;$K363,$J363&lt;$K363),"Green","Red")</f>
        <v>Red</v>
      </c>
      <c r="U363" t="str">
        <f>IF($H363&gt;$I363,"Green","Red")</f>
        <v>Red</v>
      </c>
      <c r="V363" t="str">
        <f>IF($H363=$I363,"Green","Red")</f>
        <v>Green</v>
      </c>
      <c r="W363" t="str">
        <f>IF($H363&lt;$I363,"Green","Red")</f>
        <v>Red</v>
      </c>
      <c r="X363" t="str">
        <f>IF($H363+$I363&gt;0,"Green","Red")</f>
        <v>Green</v>
      </c>
      <c r="Y363" t="str">
        <f>IF($J363+$K363&gt;1.5,"Green","Red")</f>
        <v>Green</v>
      </c>
      <c r="Z363" t="str">
        <f>IF($J363+$K363&gt;2.5,"Green","Red")</f>
        <v>Red</v>
      </c>
      <c r="AA363" t="str">
        <f>IF($J363+$K363&lt;2.5,"Green","Red")</f>
        <v>Green</v>
      </c>
      <c r="AB363" t="str">
        <f>IF($J363+$K363&lt;3.5,"Green","Red")</f>
        <v>Green</v>
      </c>
      <c r="AC363" t="str">
        <f>IF(AND($J363&gt;0,$K363&gt;0),"Green","Red")</f>
        <v>Green</v>
      </c>
      <c r="AD363" t="str">
        <f>IF(OR($J363=0,$K363=0),"Green","Red")</f>
        <v>Red</v>
      </c>
    </row>
    <row r="364" spans="1:30" x14ac:dyDescent="0.2">
      <c r="A364" t="str">
        <f>L364&amp;F364&amp;G364</f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>DAY(D364)&amp;"/"&amp;"07"&amp;"/"&amp;YEAR(D364)</f>
        <v>22/07/2026</v>
      </c>
      <c r="M364" s="23">
        <f>E364-TIME(3,0,0)</f>
        <v>0.61458333333333337</v>
      </c>
      <c r="N364" t="str">
        <f>J364&amp;" - "&amp;K364</f>
        <v>1 - 1</v>
      </c>
      <c r="O364" t="str">
        <f>IF($J364&gt;$K364,"Green","Red")</f>
        <v>Red</v>
      </c>
      <c r="P364" t="str">
        <f>IF($J364=$K364,"Green","Red")</f>
        <v>Green</v>
      </c>
      <c r="Q364" t="str">
        <f>IF($J364&lt;$K364,"Green","Red")</f>
        <v>Red</v>
      </c>
      <c r="R364" t="str">
        <f>IF($J364&gt;=$K364,"Green","Red")</f>
        <v>Green</v>
      </c>
      <c r="S364" t="str">
        <f>IF($J364&lt;=$K364,"Green","Red")</f>
        <v>Green</v>
      </c>
      <c r="T364" t="str">
        <f>IF(OR($J364&gt;$K364,$J364&lt;$K364),"Green","Red")</f>
        <v>Red</v>
      </c>
      <c r="U364" t="str">
        <f>IF($H364&gt;$I364,"Green","Red")</f>
        <v>Red</v>
      </c>
      <c r="V364" t="str">
        <f>IF($H364=$I364,"Green","Red")</f>
        <v>Green</v>
      </c>
      <c r="W364" t="str">
        <f>IF($H364&lt;$I364,"Green","Red")</f>
        <v>Red</v>
      </c>
      <c r="X364" t="str">
        <f>IF($H364+$I364&gt;0,"Green","Red")</f>
        <v>Red</v>
      </c>
      <c r="Y364" t="str">
        <f>IF($J364+$K364&gt;1.5,"Green","Red")</f>
        <v>Green</v>
      </c>
      <c r="Z364" t="str">
        <f>IF($J364+$K364&gt;2.5,"Green","Red")</f>
        <v>Red</v>
      </c>
      <c r="AA364" t="str">
        <f>IF($J364+$K364&lt;2.5,"Green","Red")</f>
        <v>Green</v>
      </c>
      <c r="AB364" t="str">
        <f>IF($J364+$K364&lt;3.5,"Green","Red")</f>
        <v>Green</v>
      </c>
      <c r="AC364" t="str">
        <f>IF(AND($J364&gt;0,$K364&gt;0),"Green","Red")</f>
        <v>Green</v>
      </c>
      <c r="AD364" t="str">
        <f>IF(OR($J364=0,$K364=0),"Green","Red")</f>
        <v>Red</v>
      </c>
    </row>
    <row r="365" spans="1:30" x14ac:dyDescent="0.2">
      <c r="A365" t="str">
        <f>L365&amp;F365&amp;G365</f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>DAY(D365)&amp;"/"&amp;"07"&amp;"/"&amp;YEAR(D365)</f>
        <v>22/07/2026</v>
      </c>
      <c r="M365" s="23">
        <f>E365-TIME(3,0,0)</f>
        <v>0.61458333333333337</v>
      </c>
      <c r="N365" t="str">
        <f>J365&amp;" - "&amp;K365</f>
        <v>4 - 1</v>
      </c>
      <c r="O365" t="str">
        <f>IF($J365&gt;$K365,"Green","Red")</f>
        <v>Green</v>
      </c>
      <c r="P365" t="str">
        <f>IF($J365=$K365,"Green","Red")</f>
        <v>Red</v>
      </c>
      <c r="Q365" t="str">
        <f>IF($J365&lt;$K365,"Green","Red")</f>
        <v>Red</v>
      </c>
      <c r="R365" t="str">
        <f>IF($J365&gt;=$K365,"Green","Red")</f>
        <v>Green</v>
      </c>
      <c r="S365" t="str">
        <f>IF($J365&lt;=$K365,"Green","Red")</f>
        <v>Red</v>
      </c>
      <c r="T365" t="str">
        <f>IF(OR($J365&gt;$K365,$J365&lt;$K365),"Green","Red")</f>
        <v>Green</v>
      </c>
      <c r="U365" t="str">
        <f>IF($H365&gt;$I365,"Green","Red")</f>
        <v>Red</v>
      </c>
      <c r="V365" t="str">
        <f>IF($H365=$I365,"Green","Red")</f>
        <v>Green</v>
      </c>
      <c r="W365" t="str">
        <f>IF($H365&lt;$I365,"Green","Red")</f>
        <v>Red</v>
      </c>
      <c r="X365" t="str">
        <f>IF($H365+$I365&gt;0,"Green","Red")</f>
        <v>Red</v>
      </c>
      <c r="Y365" t="str">
        <f>IF($J365+$K365&gt;1.5,"Green","Red")</f>
        <v>Green</v>
      </c>
      <c r="Z365" t="str">
        <f>IF($J365+$K365&gt;2.5,"Green","Red")</f>
        <v>Green</v>
      </c>
      <c r="AA365" t="str">
        <f>IF($J365+$K365&lt;2.5,"Green","Red")</f>
        <v>Red</v>
      </c>
      <c r="AB365" t="str">
        <f>IF($J365+$K365&lt;3.5,"Green","Red")</f>
        <v>Red</v>
      </c>
      <c r="AC365" t="str">
        <f>IF(AND($J365&gt;0,$K365&gt;0),"Green","Red")</f>
        <v>Green</v>
      </c>
      <c r="AD365" t="str">
        <f>IF(OR($J365=0,$K365=0),"Green","Red")</f>
        <v>Red</v>
      </c>
    </row>
    <row r="366" spans="1:30" x14ac:dyDescent="0.2">
      <c r="A366" t="str">
        <f>L366&amp;F366&amp;G366</f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>DAY(D366)&amp;"/"&amp;"07"&amp;"/"&amp;YEAR(D366)</f>
        <v>22/07/2026</v>
      </c>
      <c r="M366" s="23">
        <f>E366-TIME(3,0,0)</f>
        <v>0.625</v>
      </c>
      <c r="N366" t="str">
        <f>J366&amp;" - "&amp;K366</f>
        <v>2 - 3</v>
      </c>
      <c r="O366" t="str">
        <f>IF($J366&gt;$K366,"Green","Red")</f>
        <v>Red</v>
      </c>
      <c r="P366" t="str">
        <f>IF($J366=$K366,"Green","Red")</f>
        <v>Red</v>
      </c>
      <c r="Q366" t="str">
        <f>IF($J366&lt;$K366,"Green","Red")</f>
        <v>Green</v>
      </c>
      <c r="R366" t="str">
        <f>IF($J366&gt;=$K366,"Green","Red")</f>
        <v>Red</v>
      </c>
      <c r="S366" t="str">
        <f>IF($J366&lt;=$K366,"Green","Red")</f>
        <v>Green</v>
      </c>
      <c r="T366" t="str">
        <f>IF(OR($J366&gt;$K366,$J366&lt;$K366),"Green","Red")</f>
        <v>Green</v>
      </c>
      <c r="U366" t="str">
        <f>IF($H366&gt;$I366,"Green","Red")</f>
        <v>Red</v>
      </c>
      <c r="V366" t="str">
        <f>IF($H366=$I366,"Green","Red")</f>
        <v>Red</v>
      </c>
      <c r="W366" t="str">
        <f>IF($H366&lt;$I366,"Green","Red")</f>
        <v>Green</v>
      </c>
      <c r="X366" t="str">
        <f>IF($H366+$I366&gt;0,"Green","Red")</f>
        <v>Green</v>
      </c>
      <c r="Y366" t="str">
        <f>IF($J366+$K366&gt;1.5,"Green","Red")</f>
        <v>Green</v>
      </c>
      <c r="Z366" t="str">
        <f>IF($J366+$K366&gt;2.5,"Green","Red")</f>
        <v>Green</v>
      </c>
      <c r="AA366" t="str">
        <f>IF($J366+$K366&lt;2.5,"Green","Red")</f>
        <v>Red</v>
      </c>
      <c r="AB366" t="str">
        <f>IF($J366+$K366&lt;3.5,"Green","Red")</f>
        <v>Red</v>
      </c>
      <c r="AC366" t="str">
        <f>IF(AND($J366&gt;0,$K366&gt;0),"Green","Red")</f>
        <v>Green</v>
      </c>
      <c r="AD366" t="str">
        <f>IF(OR($J366=0,$K366=0),"Green","Red")</f>
        <v>Red</v>
      </c>
    </row>
    <row r="367" spans="1:30" x14ac:dyDescent="0.2">
      <c r="A367" t="str">
        <f>L367&amp;F367&amp;G367</f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>DAY(D367)&amp;"/"&amp;"07"&amp;"/"&amp;YEAR(D367)</f>
        <v>22/07/2026</v>
      </c>
      <c r="M367" s="23">
        <f>E367-TIME(3,0,0)</f>
        <v>0.625</v>
      </c>
      <c r="N367" t="str">
        <f>J367&amp;" - "&amp;K367</f>
        <v>1 - 2</v>
      </c>
      <c r="O367" t="str">
        <f>IF($J367&gt;$K367,"Green","Red")</f>
        <v>Red</v>
      </c>
      <c r="P367" t="str">
        <f>IF($J367=$K367,"Green","Red")</f>
        <v>Red</v>
      </c>
      <c r="Q367" t="str">
        <f>IF($J367&lt;$K367,"Green","Red")</f>
        <v>Green</v>
      </c>
      <c r="R367" t="str">
        <f>IF($J367&gt;=$K367,"Green","Red")</f>
        <v>Red</v>
      </c>
      <c r="S367" t="str">
        <f>IF($J367&lt;=$K367,"Green","Red")</f>
        <v>Green</v>
      </c>
      <c r="T367" t="str">
        <f>IF(OR($J367&gt;$K367,$J367&lt;$K367),"Green","Red")</f>
        <v>Green</v>
      </c>
      <c r="U367" t="str">
        <f>IF($H367&gt;$I367,"Green","Red")</f>
        <v>Red</v>
      </c>
      <c r="V367" t="str">
        <f>IF($H367=$I367,"Green","Red")</f>
        <v>Green</v>
      </c>
      <c r="W367" t="str">
        <f>IF($H367&lt;$I367,"Green","Red")</f>
        <v>Red</v>
      </c>
      <c r="X367" t="str">
        <f>IF($H367+$I367&gt;0,"Green","Red")</f>
        <v>Red</v>
      </c>
      <c r="Y367" t="str">
        <f>IF($J367+$K367&gt;1.5,"Green","Red")</f>
        <v>Green</v>
      </c>
      <c r="Z367" t="str">
        <f>IF($J367+$K367&gt;2.5,"Green","Red")</f>
        <v>Green</v>
      </c>
      <c r="AA367" t="str">
        <f>IF($J367+$K367&lt;2.5,"Green","Red")</f>
        <v>Red</v>
      </c>
      <c r="AB367" t="str">
        <f>IF($J367+$K367&lt;3.5,"Green","Red")</f>
        <v>Green</v>
      </c>
      <c r="AC367" t="str">
        <f>IF(AND($J367&gt;0,$K367&gt;0),"Green","Red")</f>
        <v>Green</v>
      </c>
      <c r="AD367" t="str">
        <f>IF(OR($J367=0,$K367=0),"Green","Red")</f>
        <v>Red</v>
      </c>
    </row>
    <row r="368" spans="1:30" x14ac:dyDescent="0.2">
      <c r="A368" t="str">
        <f>L368&amp;F368&amp;G368</f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>DAY(D368)&amp;"/"&amp;"07"&amp;"/"&amp;YEAR(D368)</f>
        <v>22/07/2026</v>
      </c>
      <c r="M368" s="23">
        <f>E368-TIME(3,0,0)</f>
        <v>0.625</v>
      </c>
      <c r="N368" t="str">
        <f>J368&amp;" - "&amp;K368</f>
        <v>1 - 0</v>
      </c>
      <c r="O368" t="str">
        <f>IF($J368&gt;$K368,"Green","Red")</f>
        <v>Green</v>
      </c>
      <c r="P368" t="str">
        <f>IF($J368=$K368,"Green","Red")</f>
        <v>Red</v>
      </c>
      <c r="Q368" t="str">
        <f>IF($J368&lt;$K368,"Green","Red")</f>
        <v>Red</v>
      </c>
      <c r="R368" t="str">
        <f>IF($J368&gt;=$K368,"Green","Red")</f>
        <v>Green</v>
      </c>
      <c r="S368" t="str">
        <f>IF($J368&lt;=$K368,"Green","Red")</f>
        <v>Red</v>
      </c>
      <c r="T368" t="str">
        <f>IF(OR($J368&gt;$K368,$J368&lt;$K368),"Green","Red")</f>
        <v>Green</v>
      </c>
      <c r="U368" t="str">
        <f>IF($H368&gt;$I368,"Green","Red")</f>
        <v>Red</v>
      </c>
      <c r="V368" t="str">
        <f>IF($H368=$I368,"Green","Red")</f>
        <v>Green</v>
      </c>
      <c r="W368" t="str">
        <f>IF($H368&lt;$I368,"Green","Red")</f>
        <v>Red</v>
      </c>
      <c r="X368" t="str">
        <f>IF($H368+$I368&gt;0,"Green","Red")</f>
        <v>Red</v>
      </c>
      <c r="Y368" t="str">
        <f>IF($J368+$K368&gt;1.5,"Green","Red")</f>
        <v>Red</v>
      </c>
      <c r="Z368" t="str">
        <f>IF($J368+$K368&gt;2.5,"Green","Red")</f>
        <v>Red</v>
      </c>
      <c r="AA368" t="str">
        <f>IF($J368+$K368&lt;2.5,"Green","Red")</f>
        <v>Green</v>
      </c>
      <c r="AB368" t="str">
        <f>IF($J368+$K368&lt;3.5,"Green","Red")</f>
        <v>Green</v>
      </c>
      <c r="AC368" t="str">
        <f>IF(AND($J368&gt;0,$K368&gt;0),"Green","Red")</f>
        <v>Red</v>
      </c>
      <c r="AD368" t="str">
        <f>IF(OR($J368=0,$K368=0),"Green","Red")</f>
        <v>Green</v>
      </c>
    </row>
    <row r="369" spans="1:30" x14ac:dyDescent="0.2">
      <c r="A369" t="str">
        <f>L369&amp;F369&amp;G369</f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>DAY(D369)&amp;"/"&amp;"07"&amp;"/"&amp;YEAR(D369)</f>
        <v>22/07/2026</v>
      </c>
      <c r="M369" s="23">
        <f>E369-TIME(3,0,0)</f>
        <v>0.625</v>
      </c>
      <c r="N369" t="str">
        <f>J369&amp;" - "&amp;K369</f>
        <v>0 - 2</v>
      </c>
      <c r="O369" t="str">
        <f>IF($J369&gt;$K369,"Green","Red")</f>
        <v>Red</v>
      </c>
      <c r="P369" t="str">
        <f>IF($J369=$K369,"Green","Red")</f>
        <v>Red</v>
      </c>
      <c r="Q369" t="str">
        <f>IF($J369&lt;$K369,"Green","Red")</f>
        <v>Green</v>
      </c>
      <c r="R369" t="str">
        <f>IF($J369&gt;=$K369,"Green","Red")</f>
        <v>Red</v>
      </c>
      <c r="S369" t="str">
        <f>IF($J369&lt;=$K369,"Green","Red")</f>
        <v>Green</v>
      </c>
      <c r="T369" t="str">
        <f>IF(OR($J369&gt;$K369,$J369&lt;$K369),"Green","Red")</f>
        <v>Green</v>
      </c>
      <c r="U369" t="str">
        <f>IF($H369&gt;$I369,"Green","Red")</f>
        <v>Red</v>
      </c>
      <c r="V369" t="str">
        <f>IF($H369=$I369,"Green","Red")</f>
        <v>Green</v>
      </c>
      <c r="W369" t="str">
        <f>IF($H369&lt;$I369,"Green","Red")</f>
        <v>Red</v>
      </c>
      <c r="X369" t="str">
        <f>IF($H369+$I369&gt;0,"Green","Red")</f>
        <v>Red</v>
      </c>
      <c r="Y369" t="str">
        <f>IF($J369+$K369&gt;1.5,"Green","Red")</f>
        <v>Green</v>
      </c>
      <c r="Z369" t="str">
        <f>IF($J369+$K369&gt;2.5,"Green","Red")</f>
        <v>Red</v>
      </c>
      <c r="AA369" t="str">
        <f>IF($J369+$K369&lt;2.5,"Green","Red")</f>
        <v>Green</v>
      </c>
      <c r="AB369" t="str">
        <f>IF($J369+$K369&lt;3.5,"Green","Red")</f>
        <v>Green</v>
      </c>
      <c r="AC369" t="str">
        <f>IF(AND($J369&gt;0,$K369&gt;0),"Green","Red")</f>
        <v>Red</v>
      </c>
      <c r="AD369" t="str">
        <f>IF(OR($J369=0,$K369=0),"Green","Red")</f>
        <v>Green</v>
      </c>
    </row>
    <row r="370" spans="1:30" x14ac:dyDescent="0.2">
      <c r="A370" t="str">
        <f>L370&amp;F370&amp;G370</f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>DAY(D370)&amp;"/"&amp;"07"&amp;"/"&amp;YEAR(D370)</f>
        <v>22/07/2026</v>
      </c>
      <c r="M370" s="23">
        <f>E370-TIME(3,0,0)</f>
        <v>0.625</v>
      </c>
      <c r="N370" t="str">
        <f>J370&amp;" - "&amp;K370</f>
        <v>0 - 2</v>
      </c>
      <c r="O370" t="str">
        <f>IF($J370&gt;$K370,"Green","Red")</f>
        <v>Red</v>
      </c>
      <c r="P370" t="str">
        <f>IF($J370=$K370,"Green","Red")</f>
        <v>Red</v>
      </c>
      <c r="Q370" t="str">
        <f>IF($J370&lt;$K370,"Green","Red")</f>
        <v>Green</v>
      </c>
      <c r="R370" t="str">
        <f>IF($J370&gt;=$K370,"Green","Red")</f>
        <v>Red</v>
      </c>
      <c r="S370" t="str">
        <f>IF($J370&lt;=$K370,"Green","Red")</f>
        <v>Green</v>
      </c>
      <c r="T370" t="str">
        <f>IF(OR($J370&gt;$K370,$J370&lt;$K370),"Green","Red")</f>
        <v>Green</v>
      </c>
      <c r="U370" t="str">
        <f>IF($H370&gt;$I370,"Green","Red")</f>
        <v>Red</v>
      </c>
      <c r="V370" t="str">
        <f>IF($H370=$I370,"Green","Red")</f>
        <v>Green</v>
      </c>
      <c r="W370" t="str">
        <f>IF($H370&lt;$I370,"Green","Red")</f>
        <v>Red</v>
      </c>
      <c r="X370" t="str">
        <f>IF($H370+$I370&gt;0,"Green","Red")</f>
        <v>Red</v>
      </c>
      <c r="Y370" t="str">
        <f>IF($J370+$K370&gt;1.5,"Green","Red")</f>
        <v>Green</v>
      </c>
      <c r="Z370" t="str">
        <f>IF($J370+$K370&gt;2.5,"Green","Red")</f>
        <v>Red</v>
      </c>
      <c r="AA370" t="str">
        <f>IF($J370+$K370&lt;2.5,"Green","Red")</f>
        <v>Green</v>
      </c>
      <c r="AB370" t="str">
        <f>IF($J370+$K370&lt;3.5,"Green","Red")</f>
        <v>Green</v>
      </c>
      <c r="AC370" t="str">
        <f>IF(AND($J370&gt;0,$K370&gt;0),"Green","Red")</f>
        <v>Red</v>
      </c>
      <c r="AD370" t="str">
        <f>IF(OR($J370=0,$K370=0),"Green","Red")</f>
        <v>Green</v>
      </c>
    </row>
    <row r="371" spans="1:30" x14ac:dyDescent="0.2">
      <c r="A371" t="str">
        <f>L371&amp;F371&amp;G371</f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>DAY(D371)&amp;"/"&amp;"07"&amp;"/"&amp;YEAR(D371)</f>
        <v>22/07/2026</v>
      </c>
      <c r="M371" s="23">
        <f>E371-TIME(3,0,0)</f>
        <v>0.625</v>
      </c>
      <c r="N371" t="str">
        <f>J371&amp;" - "&amp;K371</f>
        <v>0 - 2</v>
      </c>
      <c r="O371" t="str">
        <f>IF($J371&gt;$K371,"Green","Red")</f>
        <v>Red</v>
      </c>
      <c r="P371" t="str">
        <f>IF($J371=$K371,"Green","Red")</f>
        <v>Red</v>
      </c>
      <c r="Q371" t="str">
        <f>IF($J371&lt;$K371,"Green","Red")</f>
        <v>Green</v>
      </c>
      <c r="R371" t="str">
        <f>IF($J371&gt;=$K371,"Green","Red")</f>
        <v>Red</v>
      </c>
      <c r="S371" t="str">
        <f>IF($J371&lt;=$K371,"Green","Red")</f>
        <v>Green</v>
      </c>
      <c r="T371" t="str">
        <f>IF(OR($J371&gt;$K371,$J371&lt;$K371),"Green","Red")</f>
        <v>Green</v>
      </c>
      <c r="U371" t="str">
        <f>IF($H371&gt;$I371,"Green","Red")</f>
        <v>Red</v>
      </c>
      <c r="V371" t="str">
        <f>IF($H371=$I371,"Green","Red")</f>
        <v>Green</v>
      </c>
      <c r="W371" t="str">
        <f>IF($H371&lt;$I371,"Green","Red")</f>
        <v>Red</v>
      </c>
      <c r="X371" t="str">
        <f>IF($H371+$I371&gt;0,"Green","Red")</f>
        <v>Red</v>
      </c>
      <c r="Y371" t="str">
        <f>IF($J371+$K371&gt;1.5,"Green","Red")</f>
        <v>Green</v>
      </c>
      <c r="Z371" t="str">
        <f>IF($J371+$K371&gt;2.5,"Green","Red")</f>
        <v>Red</v>
      </c>
      <c r="AA371" t="str">
        <f>IF($J371+$K371&lt;2.5,"Green","Red")</f>
        <v>Green</v>
      </c>
      <c r="AB371" t="str">
        <f>IF($J371+$K371&lt;3.5,"Green","Red")</f>
        <v>Green</v>
      </c>
      <c r="AC371" t="str">
        <f>IF(AND($J371&gt;0,$K371&gt;0),"Green","Red")</f>
        <v>Red</v>
      </c>
      <c r="AD371" t="str">
        <f>IF(OR($J371=0,$K371=0),"Green","Red")</f>
        <v>Green</v>
      </c>
    </row>
    <row r="372" spans="1:30" x14ac:dyDescent="0.2">
      <c r="A372" t="str">
        <f>L372&amp;F372&amp;G372</f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>DAY(D372)&amp;"/"&amp;"07"&amp;"/"&amp;YEAR(D372)</f>
        <v>22/07/2026</v>
      </c>
      <c r="M372" s="23">
        <f>E372-TIME(3,0,0)</f>
        <v>0.625</v>
      </c>
      <c r="N372" t="str">
        <f>J372&amp;" - "&amp;K372</f>
        <v>2 - 1</v>
      </c>
      <c r="O372" t="str">
        <f>IF($J372&gt;$K372,"Green","Red")</f>
        <v>Green</v>
      </c>
      <c r="P372" t="str">
        <f>IF($J372=$K372,"Green","Red")</f>
        <v>Red</v>
      </c>
      <c r="Q372" t="str">
        <f>IF($J372&lt;$K372,"Green","Red")</f>
        <v>Red</v>
      </c>
      <c r="R372" t="str">
        <f>IF($J372&gt;=$K372,"Green","Red")</f>
        <v>Green</v>
      </c>
      <c r="S372" t="str">
        <f>IF($J372&lt;=$K372,"Green","Red")</f>
        <v>Red</v>
      </c>
      <c r="T372" t="str">
        <f>IF(OR($J372&gt;$K372,$J372&lt;$K372),"Green","Red")</f>
        <v>Green</v>
      </c>
      <c r="U372" t="str">
        <f>IF($H372&gt;$I372,"Green","Red")</f>
        <v>Red</v>
      </c>
      <c r="V372" t="str">
        <f>IF($H372=$I372,"Green","Red")</f>
        <v>Green</v>
      </c>
      <c r="W372" t="str">
        <f>IF($H372&lt;$I372,"Green","Red")</f>
        <v>Red</v>
      </c>
      <c r="X372" t="str">
        <f>IF($H372+$I372&gt;0,"Green","Red")</f>
        <v>Red</v>
      </c>
      <c r="Y372" t="str">
        <f>IF($J372+$K372&gt;1.5,"Green","Red")</f>
        <v>Green</v>
      </c>
      <c r="Z372" t="str">
        <f>IF($J372+$K372&gt;2.5,"Green","Red")</f>
        <v>Green</v>
      </c>
      <c r="AA372" t="str">
        <f>IF($J372+$K372&lt;2.5,"Green","Red")</f>
        <v>Red</v>
      </c>
      <c r="AB372" t="str">
        <f>IF($J372+$K372&lt;3.5,"Green","Red")</f>
        <v>Green</v>
      </c>
      <c r="AC372" t="str">
        <f>IF(AND($J372&gt;0,$K372&gt;0),"Green","Red")</f>
        <v>Green</v>
      </c>
      <c r="AD372" t="str">
        <f>IF(OR($J372=0,$K372=0),"Green","Red")</f>
        <v>Red</v>
      </c>
    </row>
    <row r="373" spans="1:30" x14ac:dyDescent="0.2">
      <c r="A373" t="str">
        <f>L373&amp;F373&amp;G373</f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>DAY(D373)&amp;"/"&amp;"07"&amp;"/"&amp;YEAR(D373)</f>
        <v>22/07/2026</v>
      </c>
      <c r="M373" s="23">
        <f>E373-TIME(3,0,0)</f>
        <v>0.625</v>
      </c>
      <c r="N373" t="str">
        <f>J373&amp;" - "&amp;K373</f>
        <v>0 - 2</v>
      </c>
      <c r="O373" t="str">
        <f>IF($J373&gt;$K373,"Green","Red")</f>
        <v>Red</v>
      </c>
      <c r="P373" t="str">
        <f>IF($J373=$K373,"Green","Red")</f>
        <v>Red</v>
      </c>
      <c r="Q373" t="str">
        <f>IF($J373&lt;$K373,"Green","Red")</f>
        <v>Green</v>
      </c>
      <c r="R373" t="str">
        <f>IF($J373&gt;=$K373,"Green","Red")</f>
        <v>Red</v>
      </c>
      <c r="S373" t="str">
        <f>IF($J373&lt;=$K373,"Green","Red")</f>
        <v>Green</v>
      </c>
      <c r="T373" t="str">
        <f>IF(OR($J373&gt;$K373,$J373&lt;$K373),"Green","Red")</f>
        <v>Green</v>
      </c>
      <c r="U373" t="str">
        <f>IF($H373&gt;$I373,"Green","Red")</f>
        <v>Red</v>
      </c>
      <c r="V373" t="str">
        <f>IF($H373=$I373,"Green","Red")</f>
        <v>Green</v>
      </c>
      <c r="W373" t="str">
        <f>IF($H373&lt;$I373,"Green","Red")</f>
        <v>Red</v>
      </c>
      <c r="X373" t="str">
        <f>IF($H373+$I373&gt;0,"Green","Red")</f>
        <v>Red</v>
      </c>
      <c r="Y373" t="str">
        <f>IF($J373+$K373&gt;1.5,"Green","Red")</f>
        <v>Green</v>
      </c>
      <c r="Z373" t="str">
        <f>IF($J373+$K373&gt;2.5,"Green","Red")</f>
        <v>Red</v>
      </c>
      <c r="AA373" t="str">
        <f>IF($J373+$K373&lt;2.5,"Green","Red")</f>
        <v>Green</v>
      </c>
      <c r="AB373" t="str">
        <f>IF($J373+$K373&lt;3.5,"Green","Red")</f>
        <v>Green</v>
      </c>
      <c r="AC373" t="str">
        <f>IF(AND($J373&gt;0,$K373&gt;0),"Green","Red")</f>
        <v>Red</v>
      </c>
      <c r="AD373" t="str">
        <f>IF(OR($J373=0,$K373=0),"Green","Red")</f>
        <v>Green</v>
      </c>
    </row>
    <row r="374" spans="1:30" x14ac:dyDescent="0.2">
      <c r="A374" t="str">
        <f>L374&amp;F374&amp;G374</f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>DAY(D374)&amp;"/"&amp;"07"&amp;"/"&amp;YEAR(D374)</f>
        <v>22/07/2026</v>
      </c>
      <c r="M374" s="23">
        <f>E374-TIME(3,0,0)</f>
        <v>0.625</v>
      </c>
      <c r="N374" t="str">
        <f>J374&amp;" - "&amp;K374</f>
        <v>7 - 0</v>
      </c>
      <c r="O374" t="str">
        <f>IF($J374&gt;$K374,"Green","Red")</f>
        <v>Green</v>
      </c>
      <c r="P374" t="str">
        <f>IF($J374=$K374,"Green","Red")</f>
        <v>Red</v>
      </c>
      <c r="Q374" t="str">
        <f>IF($J374&lt;$K374,"Green","Red")</f>
        <v>Red</v>
      </c>
      <c r="R374" t="str">
        <f>IF($J374&gt;=$K374,"Green","Red")</f>
        <v>Green</v>
      </c>
      <c r="S374" t="str">
        <f>IF($J374&lt;=$K374,"Green","Red")</f>
        <v>Red</v>
      </c>
      <c r="T374" t="str">
        <f>IF(OR($J374&gt;$K374,$J374&lt;$K374),"Green","Red")</f>
        <v>Green</v>
      </c>
      <c r="U374" t="str">
        <f>IF($H374&gt;$I374,"Green","Red")</f>
        <v>Red</v>
      </c>
      <c r="V374" t="str">
        <f>IF($H374=$I374,"Green","Red")</f>
        <v>Green</v>
      </c>
      <c r="W374" t="str">
        <f>IF($H374&lt;$I374,"Green","Red")</f>
        <v>Red</v>
      </c>
      <c r="X374" t="str">
        <f>IF($H374+$I374&gt;0,"Green","Red")</f>
        <v>Red</v>
      </c>
      <c r="Y374" t="str">
        <f>IF($J374+$K374&gt;1.5,"Green","Red")</f>
        <v>Green</v>
      </c>
      <c r="Z374" t="str">
        <f>IF($J374+$K374&gt;2.5,"Green","Red")</f>
        <v>Green</v>
      </c>
      <c r="AA374" t="str">
        <f>IF($J374+$K374&lt;2.5,"Green","Red")</f>
        <v>Red</v>
      </c>
      <c r="AB374" t="str">
        <f>IF($J374+$K374&lt;3.5,"Green","Red")</f>
        <v>Red</v>
      </c>
      <c r="AC374" t="str">
        <f>IF(AND($J374&gt;0,$K374&gt;0),"Green","Red")</f>
        <v>Red</v>
      </c>
      <c r="AD374" t="str">
        <f>IF(OR($J374=0,$K374=0),"Green","Red")</f>
        <v>Green</v>
      </c>
    </row>
    <row r="375" spans="1:30" x14ac:dyDescent="0.2">
      <c r="A375" t="str">
        <f>L375&amp;F375&amp;G375</f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>DAY(D375)&amp;"/"&amp;"07"&amp;"/"&amp;YEAR(D375)</f>
        <v>22/07/2026</v>
      </c>
      <c r="M375" s="23">
        <f>E375-TIME(3,0,0)</f>
        <v>0.625</v>
      </c>
      <c r="N375" t="str">
        <f>J375&amp;" - "&amp;K375</f>
        <v>2 - 0</v>
      </c>
      <c r="O375" t="str">
        <f>IF($J375&gt;$K375,"Green","Red")</f>
        <v>Green</v>
      </c>
      <c r="P375" t="str">
        <f>IF($J375=$K375,"Green","Red")</f>
        <v>Red</v>
      </c>
      <c r="Q375" t="str">
        <f>IF($J375&lt;$K375,"Green","Red")</f>
        <v>Red</v>
      </c>
      <c r="R375" t="str">
        <f>IF($J375&gt;=$K375,"Green","Red")</f>
        <v>Green</v>
      </c>
      <c r="S375" t="str">
        <f>IF($J375&lt;=$K375,"Green","Red")</f>
        <v>Red</v>
      </c>
      <c r="T375" t="str">
        <f>IF(OR($J375&gt;$K375,$J375&lt;$K375),"Green","Red")</f>
        <v>Green</v>
      </c>
      <c r="U375" t="str">
        <f>IF($H375&gt;$I375,"Green","Red")</f>
        <v>Red</v>
      </c>
      <c r="V375" t="str">
        <f>IF($H375=$I375,"Green","Red")</f>
        <v>Green</v>
      </c>
      <c r="W375" t="str">
        <f>IF($H375&lt;$I375,"Green","Red")</f>
        <v>Red</v>
      </c>
      <c r="X375" t="str">
        <f>IF($H375+$I375&gt;0,"Green","Red")</f>
        <v>Red</v>
      </c>
      <c r="Y375" t="str">
        <f>IF($J375+$K375&gt;1.5,"Green","Red")</f>
        <v>Green</v>
      </c>
      <c r="Z375" t="str">
        <f>IF($J375+$K375&gt;2.5,"Green","Red")</f>
        <v>Red</v>
      </c>
      <c r="AA375" t="str">
        <f>IF($J375+$K375&lt;2.5,"Green","Red")</f>
        <v>Green</v>
      </c>
      <c r="AB375" t="str">
        <f>IF($J375+$K375&lt;3.5,"Green","Red")</f>
        <v>Green</v>
      </c>
      <c r="AC375" t="str">
        <f>IF(AND($J375&gt;0,$K375&gt;0),"Green","Red")</f>
        <v>Red</v>
      </c>
      <c r="AD375" t="str">
        <f>IF(OR($J375=0,$K375=0),"Green","Red")</f>
        <v>Green</v>
      </c>
    </row>
    <row r="376" spans="1:30" x14ac:dyDescent="0.2">
      <c r="A376" t="str">
        <f>L376&amp;F376&amp;G376</f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>DAY(D376)&amp;"/"&amp;"07"&amp;"/"&amp;YEAR(D376)</f>
        <v>22/07/2026</v>
      </c>
      <c r="M376" s="23">
        <f>E376-TIME(3,0,0)</f>
        <v>0.625</v>
      </c>
      <c r="N376" t="str">
        <f>J376&amp;" - "&amp;K376</f>
        <v>5 - 0</v>
      </c>
      <c r="O376" t="str">
        <f>IF($J376&gt;$K376,"Green","Red")</f>
        <v>Green</v>
      </c>
      <c r="P376" t="str">
        <f>IF($J376=$K376,"Green","Red")</f>
        <v>Red</v>
      </c>
      <c r="Q376" t="str">
        <f>IF($J376&lt;$K376,"Green","Red")</f>
        <v>Red</v>
      </c>
      <c r="R376" t="str">
        <f>IF($J376&gt;=$K376,"Green","Red")</f>
        <v>Green</v>
      </c>
      <c r="S376" t="str">
        <f>IF($J376&lt;=$K376,"Green","Red")</f>
        <v>Red</v>
      </c>
      <c r="T376" t="str">
        <f>IF(OR($J376&gt;$K376,$J376&lt;$K376),"Green","Red")</f>
        <v>Green</v>
      </c>
      <c r="U376" t="str">
        <f>IF($H376&gt;$I376,"Green","Red")</f>
        <v>Red</v>
      </c>
      <c r="V376" t="str">
        <f>IF($H376=$I376,"Green","Red")</f>
        <v>Green</v>
      </c>
      <c r="W376" t="str">
        <f>IF($H376&lt;$I376,"Green","Red")</f>
        <v>Red</v>
      </c>
      <c r="X376" t="str">
        <f>IF($H376+$I376&gt;0,"Green","Red")</f>
        <v>Red</v>
      </c>
      <c r="Y376" t="str">
        <f>IF($J376+$K376&gt;1.5,"Green","Red")</f>
        <v>Green</v>
      </c>
      <c r="Z376" t="str">
        <f>IF($J376+$K376&gt;2.5,"Green","Red")</f>
        <v>Green</v>
      </c>
      <c r="AA376" t="str">
        <f>IF($J376+$K376&lt;2.5,"Green","Red")</f>
        <v>Red</v>
      </c>
      <c r="AB376" t="str">
        <f>IF($J376+$K376&lt;3.5,"Green","Red")</f>
        <v>Red</v>
      </c>
      <c r="AC376" t="str">
        <f>IF(AND($J376&gt;0,$K376&gt;0),"Green","Red")</f>
        <v>Red</v>
      </c>
      <c r="AD376" t="str">
        <f>IF(OR($J376=0,$K376=0),"Green","Red")</f>
        <v>Green</v>
      </c>
    </row>
    <row r="377" spans="1:30" x14ac:dyDescent="0.2">
      <c r="A377" t="str">
        <f>L377&amp;F377&amp;G377</f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>DAY(D377)&amp;"/"&amp;"07"&amp;"/"&amp;YEAR(D377)</f>
        <v>22/07/2026</v>
      </c>
      <c r="M377" s="23">
        <f>E377-TIME(3,0,0)</f>
        <v>0.625</v>
      </c>
      <c r="N377" t="str">
        <f>J377&amp;" - "&amp;K377</f>
        <v>0 - 0</v>
      </c>
      <c r="O377" t="str">
        <f>IF($J377&gt;$K377,"Green","Red")</f>
        <v>Red</v>
      </c>
      <c r="P377" t="str">
        <f>IF($J377=$K377,"Green","Red")</f>
        <v>Green</v>
      </c>
      <c r="Q377" t="str">
        <f>IF($J377&lt;$K377,"Green","Red")</f>
        <v>Red</v>
      </c>
      <c r="R377" t="str">
        <f>IF($J377&gt;=$K377,"Green","Red")</f>
        <v>Green</v>
      </c>
      <c r="S377" t="str">
        <f>IF($J377&lt;=$K377,"Green","Red")</f>
        <v>Green</v>
      </c>
      <c r="T377" t="str">
        <f>IF(OR($J377&gt;$K377,$J377&lt;$K377),"Green","Red")</f>
        <v>Red</v>
      </c>
      <c r="U377" t="str">
        <f>IF($H377&gt;$I377,"Green","Red")</f>
        <v>Red</v>
      </c>
      <c r="V377" t="str">
        <f>IF($H377=$I377,"Green","Red")</f>
        <v>Green</v>
      </c>
      <c r="W377" t="str">
        <f>IF($H377&lt;$I377,"Green","Red")</f>
        <v>Red</v>
      </c>
      <c r="X377" t="str">
        <f>IF($H377+$I377&gt;0,"Green","Red")</f>
        <v>Red</v>
      </c>
      <c r="Y377" t="str">
        <f>IF($J377+$K377&gt;1.5,"Green","Red")</f>
        <v>Red</v>
      </c>
      <c r="Z377" t="str">
        <f>IF($J377+$K377&gt;2.5,"Green","Red")</f>
        <v>Red</v>
      </c>
      <c r="AA377" t="str">
        <f>IF($J377+$K377&lt;2.5,"Green","Red")</f>
        <v>Green</v>
      </c>
      <c r="AB377" t="str">
        <f>IF($J377+$K377&lt;3.5,"Green","Red")</f>
        <v>Green</v>
      </c>
      <c r="AC377" t="str">
        <f>IF(AND($J377&gt;0,$K377&gt;0),"Green","Red")</f>
        <v>Red</v>
      </c>
      <c r="AD377" t="str">
        <f>IF(OR($J377=0,$K377=0),"Green","Red")</f>
        <v>Green</v>
      </c>
    </row>
    <row r="378" spans="1:30" x14ac:dyDescent="0.2">
      <c r="A378" t="str">
        <f>L378&amp;F378&amp;G378</f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>DAY(D378)&amp;"/"&amp;"07"&amp;"/"&amp;YEAR(D378)</f>
        <v>22/07/2026</v>
      </c>
      <c r="M378" s="23">
        <f>E378-TIME(3,0,0)</f>
        <v>0.625</v>
      </c>
      <c r="N378" t="str">
        <f>J378&amp;" - "&amp;K378</f>
        <v>1 - 2</v>
      </c>
      <c r="O378" t="str">
        <f>IF($J378&gt;$K378,"Green","Red")</f>
        <v>Red</v>
      </c>
      <c r="P378" t="str">
        <f>IF($J378=$K378,"Green","Red")</f>
        <v>Red</v>
      </c>
      <c r="Q378" t="str">
        <f>IF($J378&lt;$K378,"Green","Red")</f>
        <v>Green</v>
      </c>
      <c r="R378" t="str">
        <f>IF($J378&gt;=$K378,"Green","Red")</f>
        <v>Red</v>
      </c>
      <c r="S378" t="str">
        <f>IF($J378&lt;=$K378,"Green","Red")</f>
        <v>Green</v>
      </c>
      <c r="T378" t="str">
        <f>IF(OR($J378&gt;$K378,$J378&lt;$K378),"Green","Red")</f>
        <v>Green</v>
      </c>
      <c r="U378" t="str">
        <f>IF($H378&gt;$I378,"Green","Red")</f>
        <v>Red</v>
      </c>
      <c r="V378" t="str">
        <f>IF($H378=$I378,"Green","Red")</f>
        <v>Green</v>
      </c>
      <c r="W378" t="str">
        <f>IF($H378&lt;$I378,"Green","Red")</f>
        <v>Red</v>
      </c>
      <c r="X378" t="str">
        <f>IF($H378+$I378&gt;0,"Green","Red")</f>
        <v>Red</v>
      </c>
      <c r="Y378" t="str">
        <f>IF($J378+$K378&gt;1.5,"Green","Red")</f>
        <v>Green</v>
      </c>
      <c r="Z378" t="str">
        <f>IF($J378+$K378&gt;2.5,"Green","Red")</f>
        <v>Green</v>
      </c>
      <c r="AA378" t="str">
        <f>IF($J378+$K378&lt;2.5,"Green","Red")</f>
        <v>Red</v>
      </c>
      <c r="AB378" t="str">
        <f>IF($J378+$K378&lt;3.5,"Green","Red")</f>
        <v>Green</v>
      </c>
      <c r="AC378" t="str">
        <f>IF(AND($J378&gt;0,$K378&gt;0),"Green","Red")</f>
        <v>Green</v>
      </c>
      <c r="AD378" t="str">
        <f>IF(OR($J378=0,$K378=0),"Green","Red")</f>
        <v>Red</v>
      </c>
    </row>
    <row r="379" spans="1:30" x14ac:dyDescent="0.2">
      <c r="A379" t="str">
        <f>L379&amp;F379&amp;G379</f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>DAY(D379)&amp;"/"&amp;"07"&amp;"/"&amp;YEAR(D379)</f>
        <v>22/07/2026</v>
      </c>
      <c r="M379" s="23">
        <f>E379-TIME(3,0,0)</f>
        <v>0.625</v>
      </c>
      <c r="N379" t="str">
        <f>J379&amp;" - "&amp;K379</f>
        <v>1 - 3</v>
      </c>
      <c r="O379" t="str">
        <f>IF($J379&gt;$K379,"Green","Red")</f>
        <v>Red</v>
      </c>
      <c r="P379" t="str">
        <f>IF($J379=$K379,"Green","Red")</f>
        <v>Red</v>
      </c>
      <c r="Q379" t="str">
        <f>IF($J379&lt;$K379,"Green","Red")</f>
        <v>Green</v>
      </c>
      <c r="R379" t="str">
        <f>IF($J379&gt;=$K379,"Green","Red")</f>
        <v>Red</v>
      </c>
      <c r="S379" t="str">
        <f>IF($J379&lt;=$K379,"Green","Red")</f>
        <v>Green</v>
      </c>
      <c r="T379" t="str">
        <f>IF(OR($J379&gt;$K379,$J379&lt;$K379),"Green","Red")</f>
        <v>Green</v>
      </c>
      <c r="U379" t="str">
        <f>IF($H379&gt;$I379,"Green","Red")</f>
        <v>Red</v>
      </c>
      <c r="V379" t="str">
        <f>IF($H379=$I379,"Green","Red")</f>
        <v>Green</v>
      </c>
      <c r="W379" t="str">
        <f>IF($H379&lt;$I379,"Green","Red")</f>
        <v>Red</v>
      </c>
      <c r="X379" t="str">
        <f>IF($H379+$I379&gt;0,"Green","Red")</f>
        <v>Red</v>
      </c>
      <c r="Y379" t="str">
        <f>IF($J379+$K379&gt;1.5,"Green","Red")</f>
        <v>Green</v>
      </c>
      <c r="Z379" t="str">
        <f>IF($J379+$K379&gt;2.5,"Green","Red")</f>
        <v>Green</v>
      </c>
      <c r="AA379" t="str">
        <f>IF($J379+$K379&lt;2.5,"Green","Red")</f>
        <v>Red</v>
      </c>
      <c r="AB379" t="str">
        <f>IF($J379+$K379&lt;3.5,"Green","Red")</f>
        <v>Red</v>
      </c>
      <c r="AC379" t="str">
        <f>IF(AND($J379&gt;0,$K379&gt;0),"Green","Red")</f>
        <v>Green</v>
      </c>
      <c r="AD379" t="str">
        <f>IF(OR($J379=0,$K379=0),"Green","Red")</f>
        <v>Red</v>
      </c>
    </row>
    <row r="380" spans="1:30" x14ac:dyDescent="0.2">
      <c r="A380" t="str">
        <f>L380&amp;F380&amp;G380</f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>DAY(D380)&amp;"/"&amp;"07"&amp;"/"&amp;YEAR(D380)</f>
        <v>22/07/2026</v>
      </c>
      <c r="M380" s="23">
        <f>E380-TIME(3,0,0)</f>
        <v>0.625</v>
      </c>
      <c r="N380" t="str">
        <f>J380&amp;" - "&amp;K380</f>
        <v>1 - 2</v>
      </c>
      <c r="O380" t="str">
        <f>IF($J380&gt;$K380,"Green","Red")</f>
        <v>Red</v>
      </c>
      <c r="P380" t="str">
        <f>IF($J380=$K380,"Green","Red")</f>
        <v>Red</v>
      </c>
      <c r="Q380" t="str">
        <f>IF($J380&lt;$K380,"Green","Red")</f>
        <v>Green</v>
      </c>
      <c r="R380" t="str">
        <f>IF($J380&gt;=$K380,"Green","Red")</f>
        <v>Red</v>
      </c>
      <c r="S380" t="str">
        <f>IF($J380&lt;=$K380,"Green","Red")</f>
        <v>Green</v>
      </c>
      <c r="T380" t="str">
        <f>IF(OR($J380&gt;$K380,$J380&lt;$K380),"Green","Red")</f>
        <v>Green</v>
      </c>
      <c r="U380" t="str">
        <f>IF($H380&gt;$I380,"Green","Red")</f>
        <v>Red</v>
      </c>
      <c r="V380" t="str">
        <f>IF($H380=$I380,"Green","Red")</f>
        <v>Green</v>
      </c>
      <c r="W380" t="str">
        <f>IF($H380&lt;$I380,"Green","Red")</f>
        <v>Red</v>
      </c>
      <c r="X380" t="str">
        <f>IF($H380+$I380&gt;0,"Green","Red")</f>
        <v>Red</v>
      </c>
      <c r="Y380" t="str">
        <f>IF($J380+$K380&gt;1.5,"Green","Red")</f>
        <v>Green</v>
      </c>
      <c r="Z380" t="str">
        <f>IF($J380+$K380&gt;2.5,"Green","Red")</f>
        <v>Green</v>
      </c>
      <c r="AA380" t="str">
        <f>IF($J380+$K380&lt;2.5,"Green","Red")</f>
        <v>Red</v>
      </c>
      <c r="AB380" t="str">
        <f>IF($J380+$K380&lt;3.5,"Green","Red")</f>
        <v>Green</v>
      </c>
      <c r="AC380" t="str">
        <f>IF(AND($J380&gt;0,$K380&gt;0),"Green","Red")</f>
        <v>Green</v>
      </c>
      <c r="AD380" t="str">
        <f>IF(OR($J380=0,$K380=0),"Green","Red")</f>
        <v>Red</v>
      </c>
    </row>
    <row r="381" spans="1:30" x14ac:dyDescent="0.2">
      <c r="A381" t="str">
        <f>L381&amp;F381&amp;G381</f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>DAY(D381)&amp;"/"&amp;"07"&amp;"/"&amp;YEAR(D381)</f>
        <v>22/07/2026</v>
      </c>
      <c r="M381" s="23">
        <f>E381-TIME(3,0,0)</f>
        <v>0.625</v>
      </c>
      <c r="N381" t="str">
        <f>J381&amp;" - "&amp;K381</f>
        <v>2 - 4</v>
      </c>
      <c r="O381" t="str">
        <f>IF($J381&gt;$K381,"Green","Red")</f>
        <v>Red</v>
      </c>
      <c r="P381" t="str">
        <f>IF($J381=$K381,"Green","Red")</f>
        <v>Red</v>
      </c>
      <c r="Q381" t="str">
        <f>IF($J381&lt;$K381,"Green","Red")</f>
        <v>Green</v>
      </c>
      <c r="R381" t="str">
        <f>IF($J381&gt;=$K381,"Green","Red")</f>
        <v>Red</v>
      </c>
      <c r="S381" t="str">
        <f>IF($J381&lt;=$K381,"Green","Red")</f>
        <v>Green</v>
      </c>
      <c r="T381" t="str">
        <f>IF(OR($J381&gt;$K381,$J381&lt;$K381),"Green","Red")</f>
        <v>Green</v>
      </c>
      <c r="U381" t="str">
        <f>IF($H381&gt;$I381,"Green","Red")</f>
        <v>Red</v>
      </c>
      <c r="V381" t="str">
        <f>IF($H381=$I381,"Green","Red")</f>
        <v>Green</v>
      </c>
      <c r="W381" t="str">
        <f>IF($H381&lt;$I381,"Green","Red")</f>
        <v>Red</v>
      </c>
      <c r="X381" t="str">
        <f>IF($H381+$I381&gt;0,"Green","Red")</f>
        <v>Green</v>
      </c>
      <c r="Y381" t="str">
        <f>IF($J381+$K381&gt;1.5,"Green","Red")</f>
        <v>Green</v>
      </c>
      <c r="Z381" t="str">
        <f>IF($J381+$K381&gt;2.5,"Green","Red")</f>
        <v>Green</v>
      </c>
      <c r="AA381" t="str">
        <f>IF($J381+$K381&lt;2.5,"Green","Red")</f>
        <v>Red</v>
      </c>
      <c r="AB381" t="str">
        <f>IF($J381+$K381&lt;3.5,"Green","Red")</f>
        <v>Red</v>
      </c>
      <c r="AC381" t="str">
        <f>IF(AND($J381&gt;0,$K381&gt;0),"Green","Red")</f>
        <v>Green</v>
      </c>
      <c r="AD381" t="str">
        <f>IF(OR($J381=0,$K381=0),"Green","Red")</f>
        <v>Red</v>
      </c>
    </row>
    <row r="382" spans="1:30" x14ac:dyDescent="0.2">
      <c r="A382" t="str">
        <f>L382&amp;F382&amp;G382</f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>DAY(D382)&amp;"/"&amp;"07"&amp;"/"&amp;YEAR(D382)</f>
        <v>22/07/2026</v>
      </c>
      <c r="M382" s="23">
        <f>E382-TIME(3,0,0)</f>
        <v>0.625</v>
      </c>
      <c r="N382" t="str">
        <f>J382&amp;" - "&amp;K382</f>
        <v>2 - 0</v>
      </c>
      <c r="O382" t="str">
        <f>IF($J382&gt;$K382,"Green","Red")</f>
        <v>Green</v>
      </c>
      <c r="P382" t="str">
        <f>IF($J382=$K382,"Green","Red")</f>
        <v>Red</v>
      </c>
      <c r="Q382" t="str">
        <f>IF($J382&lt;$K382,"Green","Red")</f>
        <v>Red</v>
      </c>
      <c r="R382" t="str">
        <f>IF($J382&gt;=$K382,"Green","Red")</f>
        <v>Green</v>
      </c>
      <c r="S382" t="str">
        <f>IF($J382&lt;=$K382,"Green","Red")</f>
        <v>Red</v>
      </c>
      <c r="T382" t="str">
        <f>IF(OR($J382&gt;$K382,$J382&lt;$K382),"Green","Red")</f>
        <v>Green</v>
      </c>
      <c r="U382" t="str">
        <f>IF($H382&gt;$I382,"Green","Red")</f>
        <v>Red</v>
      </c>
      <c r="V382" t="str">
        <f>IF($H382=$I382,"Green","Red")</f>
        <v>Green</v>
      </c>
      <c r="W382" t="str">
        <f>IF($H382&lt;$I382,"Green","Red")</f>
        <v>Red</v>
      </c>
      <c r="X382" t="str">
        <f>IF($H382+$I382&gt;0,"Green","Red")</f>
        <v>Red</v>
      </c>
      <c r="Y382" t="str">
        <f>IF($J382+$K382&gt;1.5,"Green","Red")</f>
        <v>Green</v>
      </c>
      <c r="Z382" t="str">
        <f>IF($J382+$K382&gt;2.5,"Green","Red")</f>
        <v>Red</v>
      </c>
      <c r="AA382" t="str">
        <f>IF($J382+$K382&lt;2.5,"Green","Red")</f>
        <v>Green</v>
      </c>
      <c r="AB382" t="str">
        <f>IF($J382+$K382&lt;3.5,"Green","Red")</f>
        <v>Green</v>
      </c>
      <c r="AC382" t="str">
        <f>IF(AND($J382&gt;0,$K382&gt;0),"Green","Red")</f>
        <v>Red</v>
      </c>
      <c r="AD382" t="str">
        <f>IF(OR($J382=0,$K382=0),"Green","Red")</f>
        <v>Green</v>
      </c>
    </row>
    <row r="383" spans="1:30" x14ac:dyDescent="0.2">
      <c r="A383" t="str">
        <f>L383&amp;F383&amp;G383</f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>DAY(D383)&amp;"/"&amp;"07"&amp;"/"&amp;YEAR(D383)</f>
        <v>22/07/2026</v>
      </c>
      <c r="M383" s="23">
        <f>E383-TIME(3,0,0)</f>
        <v>0.625</v>
      </c>
      <c r="N383" t="str">
        <f>J383&amp;" - "&amp;K383</f>
        <v>4 - 1</v>
      </c>
      <c r="O383" t="str">
        <f>IF($J383&gt;$K383,"Green","Red")</f>
        <v>Green</v>
      </c>
      <c r="P383" t="str">
        <f>IF($J383=$K383,"Green","Red")</f>
        <v>Red</v>
      </c>
      <c r="Q383" t="str">
        <f>IF($J383&lt;$K383,"Green","Red")</f>
        <v>Red</v>
      </c>
      <c r="R383" t="str">
        <f>IF($J383&gt;=$K383,"Green","Red")</f>
        <v>Green</v>
      </c>
      <c r="S383" t="str">
        <f>IF($J383&lt;=$K383,"Green","Red")</f>
        <v>Red</v>
      </c>
      <c r="T383" t="str">
        <f>IF(OR($J383&gt;$K383,$J383&lt;$K383),"Green","Red")</f>
        <v>Green</v>
      </c>
      <c r="U383" t="str">
        <f>IF($H383&gt;$I383,"Green","Red")</f>
        <v>Red</v>
      </c>
      <c r="V383" t="str">
        <f>IF($H383=$I383,"Green","Red")</f>
        <v>Green</v>
      </c>
      <c r="W383" t="str">
        <f>IF($H383&lt;$I383,"Green","Red")</f>
        <v>Red</v>
      </c>
      <c r="X383" t="str">
        <f>IF($H383+$I383&gt;0,"Green","Red")</f>
        <v>Red</v>
      </c>
      <c r="Y383" t="str">
        <f>IF($J383+$K383&gt;1.5,"Green","Red")</f>
        <v>Green</v>
      </c>
      <c r="Z383" t="str">
        <f>IF($J383+$K383&gt;2.5,"Green","Red")</f>
        <v>Green</v>
      </c>
      <c r="AA383" t="str">
        <f>IF($J383+$K383&lt;2.5,"Green","Red")</f>
        <v>Red</v>
      </c>
      <c r="AB383" t="str">
        <f>IF($J383+$K383&lt;3.5,"Green","Red")</f>
        <v>Red</v>
      </c>
      <c r="AC383" t="str">
        <f>IF(AND($J383&gt;0,$K383&gt;0),"Green","Red")</f>
        <v>Green</v>
      </c>
      <c r="AD383" t="str">
        <f>IF(OR($J383=0,$K383=0),"Green","Red")</f>
        <v>Red</v>
      </c>
    </row>
    <row r="384" spans="1:30" x14ac:dyDescent="0.2">
      <c r="A384" t="str">
        <f>L384&amp;F384&amp;G384</f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>DAY(D384)&amp;"/"&amp;"07"&amp;"/"&amp;YEAR(D384)</f>
        <v>22/07/2026</v>
      </c>
      <c r="M384" s="23">
        <f>E384-TIME(3,0,0)</f>
        <v>0.625</v>
      </c>
      <c r="N384" t="str">
        <f>J384&amp;" - "&amp;K384</f>
        <v>0 - 0</v>
      </c>
      <c r="O384" t="str">
        <f>IF($J384&gt;$K384,"Green","Red")</f>
        <v>Red</v>
      </c>
      <c r="P384" t="str">
        <f>IF($J384=$K384,"Green","Red")</f>
        <v>Green</v>
      </c>
      <c r="Q384" t="str">
        <f>IF($J384&lt;$K384,"Green","Red")</f>
        <v>Red</v>
      </c>
      <c r="R384" t="str">
        <f>IF($J384&gt;=$K384,"Green","Red")</f>
        <v>Green</v>
      </c>
      <c r="S384" t="str">
        <f>IF($J384&lt;=$K384,"Green","Red")</f>
        <v>Green</v>
      </c>
      <c r="T384" t="str">
        <f>IF(OR($J384&gt;$K384,$J384&lt;$K384),"Green","Red")</f>
        <v>Red</v>
      </c>
      <c r="U384" t="str">
        <f>IF($H384&gt;$I384,"Green","Red")</f>
        <v>Red</v>
      </c>
      <c r="V384" t="str">
        <f>IF($H384=$I384,"Green","Red")</f>
        <v>Green</v>
      </c>
      <c r="W384" t="str">
        <f>IF($H384&lt;$I384,"Green","Red")</f>
        <v>Red</v>
      </c>
      <c r="X384" t="str">
        <f>IF($H384+$I384&gt;0,"Green","Red")</f>
        <v>Red</v>
      </c>
      <c r="Y384" t="str">
        <f>IF($J384+$K384&gt;1.5,"Green","Red")</f>
        <v>Red</v>
      </c>
      <c r="Z384" t="str">
        <f>IF($J384+$K384&gt;2.5,"Green","Red")</f>
        <v>Red</v>
      </c>
      <c r="AA384" t="str">
        <f>IF($J384+$K384&lt;2.5,"Green","Red")</f>
        <v>Green</v>
      </c>
      <c r="AB384" t="str">
        <f>IF($J384+$K384&lt;3.5,"Green","Red")</f>
        <v>Green</v>
      </c>
      <c r="AC384" t="str">
        <f>IF(AND($J384&gt;0,$K384&gt;0),"Green","Red")</f>
        <v>Red</v>
      </c>
      <c r="AD384" t="str">
        <f>IF(OR($J384=0,$K384=0),"Green","Red")</f>
        <v>Green</v>
      </c>
    </row>
    <row r="385" spans="1:30" x14ac:dyDescent="0.2">
      <c r="A385" t="str">
        <f>L385&amp;F385&amp;G385</f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>DAY(D385)&amp;"/"&amp;"07"&amp;"/"&amp;YEAR(D385)</f>
        <v>22/07/2026</v>
      </c>
      <c r="M385" s="23">
        <f>E385-TIME(3,0,0)</f>
        <v>0.625</v>
      </c>
      <c r="N385" t="str">
        <f>J385&amp;" - "&amp;K385</f>
        <v>1 - 3</v>
      </c>
      <c r="O385" t="str">
        <f>IF($J385&gt;$K385,"Green","Red")</f>
        <v>Red</v>
      </c>
      <c r="P385" t="str">
        <f>IF($J385=$K385,"Green","Red")</f>
        <v>Red</v>
      </c>
      <c r="Q385" t="str">
        <f>IF($J385&lt;$K385,"Green","Red")</f>
        <v>Green</v>
      </c>
      <c r="R385" t="str">
        <f>IF($J385&gt;=$K385,"Green","Red")</f>
        <v>Red</v>
      </c>
      <c r="S385" t="str">
        <f>IF($J385&lt;=$K385,"Green","Red")</f>
        <v>Green</v>
      </c>
      <c r="T385" t="str">
        <f>IF(OR($J385&gt;$K385,$J385&lt;$K385),"Green","Red")</f>
        <v>Green</v>
      </c>
      <c r="U385" t="str">
        <f>IF($H385&gt;$I385,"Green","Red")</f>
        <v>Red</v>
      </c>
      <c r="V385" t="str">
        <f>IF($H385=$I385,"Green","Red")</f>
        <v>Red</v>
      </c>
      <c r="W385" t="str">
        <f>IF($H385&lt;$I385,"Green","Red")</f>
        <v>Green</v>
      </c>
      <c r="X385" t="str">
        <f>IF($H385+$I385&gt;0,"Green","Red")</f>
        <v>Green</v>
      </c>
      <c r="Y385" t="str">
        <f>IF($J385+$K385&gt;1.5,"Green","Red")</f>
        <v>Green</v>
      </c>
      <c r="Z385" t="str">
        <f>IF($J385+$K385&gt;2.5,"Green","Red")</f>
        <v>Green</v>
      </c>
      <c r="AA385" t="str">
        <f>IF($J385+$K385&lt;2.5,"Green","Red")</f>
        <v>Red</v>
      </c>
      <c r="AB385" t="str">
        <f>IF($J385+$K385&lt;3.5,"Green","Red")</f>
        <v>Red</v>
      </c>
      <c r="AC385" t="str">
        <f>IF(AND($J385&gt;0,$K385&gt;0),"Green","Red")</f>
        <v>Green</v>
      </c>
      <c r="AD385" t="str">
        <f>IF(OR($J385=0,$K385=0),"Green","Red")</f>
        <v>Red</v>
      </c>
    </row>
    <row r="386" spans="1:30" x14ac:dyDescent="0.2">
      <c r="A386" t="str">
        <f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>DAY(D386)&amp;"/"&amp;"07"&amp;"/"&amp;YEAR(D386)</f>
        <v>22/07/2026</v>
      </c>
      <c r="M386" s="23">
        <f>E386-TIME(3,0,0)</f>
        <v>0.625</v>
      </c>
      <c r="N386" t="str">
        <f>J386&amp;" - "&amp;K386</f>
        <v>3 - 0</v>
      </c>
      <c r="O386" t="str">
        <f>IF($J386&gt;$K386,"Green","Red")</f>
        <v>Green</v>
      </c>
      <c r="P386" t="str">
        <f>IF($J386=$K386,"Green","Red")</f>
        <v>Red</v>
      </c>
      <c r="Q386" t="str">
        <f>IF($J386&lt;$K386,"Green","Red")</f>
        <v>Red</v>
      </c>
      <c r="R386" t="str">
        <f>IF($J386&gt;=$K386,"Green","Red")</f>
        <v>Green</v>
      </c>
      <c r="S386" t="str">
        <f>IF($J386&lt;=$K386,"Green","Red")</f>
        <v>Red</v>
      </c>
      <c r="T386" t="str">
        <f>IF(OR($J386&gt;$K386,$J386&lt;$K386),"Green","Red")</f>
        <v>Green</v>
      </c>
      <c r="U386" t="str">
        <f>IF($H386&gt;$I386,"Green","Red")</f>
        <v>Green</v>
      </c>
      <c r="V386" t="str">
        <f>IF($H386=$I386,"Green","Red")</f>
        <v>Red</v>
      </c>
      <c r="W386" t="str">
        <f>IF($H386&lt;$I386,"Green","Red")</f>
        <v>Red</v>
      </c>
      <c r="X386" t="str">
        <f>IF($H386+$I386&gt;0,"Green","Red")</f>
        <v>Green</v>
      </c>
      <c r="Y386" t="str">
        <f>IF($J386+$K386&gt;1.5,"Green","Red")</f>
        <v>Green</v>
      </c>
      <c r="Z386" t="str">
        <f>IF($J386+$K386&gt;2.5,"Green","Red")</f>
        <v>Green</v>
      </c>
      <c r="AA386" t="str">
        <f>IF($J386+$K386&lt;2.5,"Green","Red")</f>
        <v>Red</v>
      </c>
      <c r="AB386" t="str">
        <f>IF($J386+$K386&lt;3.5,"Green","Red")</f>
        <v>Green</v>
      </c>
      <c r="AC386" t="str">
        <f>IF(AND($J386&gt;0,$K386&gt;0),"Green","Red")</f>
        <v>Red</v>
      </c>
      <c r="AD386" t="str">
        <f>IF(OR($J386=0,$K386=0),"Green","Red")</f>
        <v>Green</v>
      </c>
    </row>
    <row r="387" spans="1:30" x14ac:dyDescent="0.2">
      <c r="A387" t="str">
        <f>L387&amp;F387&amp;G387</f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>DAY(D387)&amp;"/"&amp;"07"&amp;"/"&amp;YEAR(D387)</f>
        <v>22/07/2026</v>
      </c>
      <c r="M387" s="23">
        <f>E387-TIME(3,0,0)</f>
        <v>0.62502314814814819</v>
      </c>
      <c r="N387" t="str">
        <f>J387&amp;" - "&amp;K387</f>
        <v>1 - 2</v>
      </c>
      <c r="O387" t="str">
        <f>IF($J387&gt;$K387,"Green","Red")</f>
        <v>Red</v>
      </c>
      <c r="P387" t="str">
        <f>IF($J387=$K387,"Green","Red")</f>
        <v>Red</v>
      </c>
      <c r="Q387" t="str">
        <f>IF($J387&lt;$K387,"Green","Red")</f>
        <v>Green</v>
      </c>
      <c r="R387" t="str">
        <f>IF($J387&gt;=$K387,"Green","Red")</f>
        <v>Red</v>
      </c>
      <c r="S387" t="str">
        <f>IF($J387&lt;=$K387,"Green","Red")</f>
        <v>Green</v>
      </c>
      <c r="T387" t="str">
        <f>IF(OR($J387&gt;$K387,$J387&lt;$K387),"Green","Red")</f>
        <v>Green</v>
      </c>
      <c r="U387" t="str">
        <f>IF($H387&gt;$I387,"Green","Red")</f>
        <v>Red</v>
      </c>
      <c r="V387" t="str">
        <f>IF($H387=$I387,"Green","Red")</f>
        <v>Green</v>
      </c>
      <c r="W387" t="str">
        <f>IF($H387&lt;$I387,"Green","Red")</f>
        <v>Red</v>
      </c>
      <c r="X387" t="str">
        <f>IF($H387+$I387&gt;0,"Green","Red")</f>
        <v>Green</v>
      </c>
      <c r="Y387" t="str">
        <f>IF($J387+$K387&gt;1.5,"Green","Red")</f>
        <v>Green</v>
      </c>
      <c r="Z387" t="str">
        <f>IF($J387+$K387&gt;2.5,"Green","Red")</f>
        <v>Green</v>
      </c>
      <c r="AA387" t="str">
        <f>IF($J387+$K387&lt;2.5,"Green","Red")</f>
        <v>Red</v>
      </c>
      <c r="AB387" t="str">
        <f>IF($J387+$K387&lt;3.5,"Green","Red")</f>
        <v>Green</v>
      </c>
      <c r="AC387" t="str">
        <f>IF(AND($J387&gt;0,$K387&gt;0),"Green","Red")</f>
        <v>Green</v>
      </c>
      <c r="AD387" t="str">
        <f>IF(OR($J387=0,$K387=0),"Green","Red")</f>
        <v>Red</v>
      </c>
    </row>
    <row r="388" spans="1:30" x14ac:dyDescent="0.2">
      <c r="A388" t="str">
        <f>L388&amp;F388&amp;G388</f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>DAY(D388)&amp;"/"&amp;"07"&amp;"/"&amp;YEAR(D388)</f>
        <v>22/07/2026</v>
      </c>
      <c r="M388" s="23">
        <f>E388-TIME(3,0,0)</f>
        <v>0.64583333333333337</v>
      </c>
      <c r="N388" t="str">
        <f>J388&amp;" - "&amp;K388</f>
        <v>0 - 0</v>
      </c>
      <c r="O388" t="str">
        <f>IF($J388&gt;$K388,"Green","Red")</f>
        <v>Red</v>
      </c>
      <c r="P388" t="str">
        <f>IF($J388=$K388,"Green","Red")</f>
        <v>Green</v>
      </c>
      <c r="Q388" t="str">
        <f>IF($J388&lt;$K388,"Green","Red")</f>
        <v>Red</v>
      </c>
      <c r="R388" t="str">
        <f>IF($J388&gt;=$K388,"Green","Red")</f>
        <v>Green</v>
      </c>
      <c r="S388" t="str">
        <f>IF($J388&lt;=$K388,"Green","Red")</f>
        <v>Green</v>
      </c>
      <c r="T388" t="str">
        <f>IF(OR($J388&gt;$K388,$J388&lt;$K388),"Green","Red")</f>
        <v>Red</v>
      </c>
      <c r="U388" t="str">
        <f>IF($H388&gt;$I388,"Green","Red")</f>
        <v>Red</v>
      </c>
      <c r="V388" t="str">
        <f>IF($H388=$I388,"Green","Red")</f>
        <v>Green</v>
      </c>
      <c r="W388" t="str">
        <f>IF($H388&lt;$I388,"Green","Red")</f>
        <v>Red</v>
      </c>
      <c r="X388" t="str">
        <f>IF($H388+$I388&gt;0,"Green","Red")</f>
        <v>Red</v>
      </c>
      <c r="Y388" t="str">
        <f>IF($J388+$K388&gt;1.5,"Green","Red")</f>
        <v>Red</v>
      </c>
      <c r="Z388" t="str">
        <f>IF($J388+$K388&gt;2.5,"Green","Red")</f>
        <v>Red</v>
      </c>
      <c r="AA388" t="str">
        <f>IF($J388+$K388&lt;2.5,"Green","Red")</f>
        <v>Green</v>
      </c>
      <c r="AB388" t="str">
        <f>IF($J388+$K388&lt;3.5,"Green","Red")</f>
        <v>Green</v>
      </c>
      <c r="AC388" t="str">
        <f>IF(AND($J388&gt;0,$K388&gt;0),"Green","Red")</f>
        <v>Red</v>
      </c>
      <c r="AD388" t="str">
        <f>IF(OR($J388=0,$K388=0),"Green","Red")</f>
        <v>Green</v>
      </c>
    </row>
    <row r="389" spans="1:30" x14ac:dyDescent="0.2">
      <c r="A389" t="str">
        <f>L389&amp;F389&amp;G389</f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>DAY(D389)&amp;"/"&amp;"07"&amp;"/"&amp;YEAR(D389)</f>
        <v>22/07/2026</v>
      </c>
      <c r="M389" s="23">
        <f>E389-TIME(3,0,0)</f>
        <v>0.64583333333333337</v>
      </c>
      <c r="N389" t="str">
        <f>J389&amp;" - "&amp;K389</f>
        <v>1 - 1</v>
      </c>
      <c r="O389" t="str">
        <f>IF($J389&gt;$K389,"Green","Red")</f>
        <v>Red</v>
      </c>
      <c r="P389" t="str">
        <f>IF($J389=$K389,"Green","Red")</f>
        <v>Green</v>
      </c>
      <c r="Q389" t="str">
        <f>IF($J389&lt;$K389,"Green","Red")</f>
        <v>Red</v>
      </c>
      <c r="R389" t="str">
        <f>IF($J389&gt;=$K389,"Green","Red")</f>
        <v>Green</v>
      </c>
      <c r="S389" t="str">
        <f>IF($J389&lt;=$K389,"Green","Red")</f>
        <v>Green</v>
      </c>
      <c r="T389" t="str">
        <f>IF(OR($J389&gt;$K389,$J389&lt;$K389),"Green","Red")</f>
        <v>Red</v>
      </c>
      <c r="U389" t="str">
        <f>IF($H389&gt;$I389,"Green","Red")</f>
        <v>Red</v>
      </c>
      <c r="V389" t="str">
        <f>IF($H389=$I389,"Green","Red")</f>
        <v>Green</v>
      </c>
      <c r="W389" t="str">
        <f>IF($H389&lt;$I389,"Green","Red")</f>
        <v>Red</v>
      </c>
      <c r="X389" t="str">
        <f>IF($H389+$I389&gt;0,"Green","Red")</f>
        <v>Red</v>
      </c>
      <c r="Y389" t="str">
        <f>IF($J389+$K389&gt;1.5,"Green","Red")</f>
        <v>Green</v>
      </c>
      <c r="Z389" t="str">
        <f>IF($J389+$K389&gt;2.5,"Green","Red")</f>
        <v>Red</v>
      </c>
      <c r="AA389" t="str">
        <f>IF($J389+$K389&lt;2.5,"Green","Red")</f>
        <v>Green</v>
      </c>
      <c r="AB389" t="str">
        <f>IF($J389+$K389&lt;3.5,"Green","Red")</f>
        <v>Green</v>
      </c>
      <c r="AC389" t="str">
        <f>IF(AND($J389&gt;0,$K389&gt;0),"Green","Red")</f>
        <v>Green</v>
      </c>
      <c r="AD389" t="str">
        <f>IF(OR($J389=0,$K389=0),"Green","Red")</f>
        <v>Red</v>
      </c>
    </row>
    <row r="390" spans="1:30" x14ac:dyDescent="0.2">
      <c r="A390" t="str">
        <f>L390&amp;F390&amp;G390</f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>DAY(D390)&amp;"/"&amp;"07"&amp;"/"&amp;YEAR(D390)</f>
        <v>22/07/2026</v>
      </c>
      <c r="M390" s="23">
        <f>E390-TIME(3,0,0)</f>
        <v>0.64583333333333337</v>
      </c>
      <c r="N390" t="str">
        <f>J390&amp;" - "&amp;K390</f>
        <v>0 - 1</v>
      </c>
      <c r="O390" t="str">
        <f>IF($J390&gt;$K390,"Green","Red")</f>
        <v>Red</v>
      </c>
      <c r="P390" t="str">
        <f>IF($J390=$K390,"Green","Red")</f>
        <v>Red</v>
      </c>
      <c r="Q390" t="str">
        <f>IF($J390&lt;$K390,"Green","Red")</f>
        <v>Green</v>
      </c>
      <c r="R390" t="str">
        <f>IF($J390&gt;=$K390,"Green","Red")</f>
        <v>Red</v>
      </c>
      <c r="S390" t="str">
        <f>IF($J390&lt;=$K390,"Green","Red")</f>
        <v>Green</v>
      </c>
      <c r="T390" t="str">
        <f>IF(OR($J390&gt;$K390,$J390&lt;$K390),"Green","Red")</f>
        <v>Green</v>
      </c>
      <c r="U390" t="str">
        <f>IF($H390&gt;$I390,"Green","Red")</f>
        <v>Red</v>
      </c>
      <c r="V390" t="str">
        <f>IF($H390=$I390,"Green","Red")</f>
        <v>Red</v>
      </c>
      <c r="W390" t="str">
        <f>IF($H390&lt;$I390,"Green","Red")</f>
        <v>Green</v>
      </c>
      <c r="X390" t="str">
        <f>IF($H390+$I390&gt;0,"Green","Red")</f>
        <v>Green</v>
      </c>
      <c r="Y390" t="str">
        <f>IF($J390+$K390&gt;1.5,"Green","Red")</f>
        <v>Red</v>
      </c>
      <c r="Z390" t="str">
        <f>IF($J390+$K390&gt;2.5,"Green","Red")</f>
        <v>Red</v>
      </c>
      <c r="AA390" t="str">
        <f>IF($J390+$K390&lt;2.5,"Green","Red")</f>
        <v>Green</v>
      </c>
      <c r="AB390" t="str">
        <f>IF($J390+$K390&lt;3.5,"Green","Red")</f>
        <v>Green</v>
      </c>
      <c r="AC390" t="str">
        <f>IF(AND($J390&gt;0,$K390&gt;0),"Green","Red")</f>
        <v>Red</v>
      </c>
      <c r="AD390" t="str">
        <f>IF(OR($J390=0,$K390=0),"Green","Red")</f>
        <v>Green</v>
      </c>
    </row>
    <row r="391" spans="1:30" x14ac:dyDescent="0.2">
      <c r="A391" t="str">
        <f>L391&amp;F391&amp;G391</f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>DAY(D391)&amp;"/"&amp;"07"&amp;"/"&amp;YEAR(D391)</f>
        <v>22/07/2026</v>
      </c>
      <c r="M391" s="23">
        <f>E391-TIME(3,0,0)</f>
        <v>0.64583333333333337</v>
      </c>
      <c r="N391" t="str">
        <f>J391&amp;" - "&amp;K391</f>
        <v>0 - 1</v>
      </c>
      <c r="O391" t="str">
        <f>IF($J391&gt;$K391,"Green","Red")</f>
        <v>Red</v>
      </c>
      <c r="P391" t="str">
        <f>IF($J391=$K391,"Green","Red")</f>
        <v>Red</v>
      </c>
      <c r="Q391" t="str">
        <f>IF($J391&lt;$K391,"Green","Red")</f>
        <v>Green</v>
      </c>
      <c r="R391" t="str">
        <f>IF($J391&gt;=$K391,"Green","Red")</f>
        <v>Red</v>
      </c>
      <c r="S391" t="str">
        <f>IF($J391&lt;=$K391,"Green","Red")</f>
        <v>Green</v>
      </c>
      <c r="T391" t="str">
        <f>IF(OR($J391&gt;$K391,$J391&lt;$K391),"Green","Red")</f>
        <v>Green</v>
      </c>
      <c r="U391" t="str">
        <f>IF($H391&gt;$I391,"Green","Red")</f>
        <v>Red</v>
      </c>
      <c r="V391" t="str">
        <f>IF($H391=$I391,"Green","Red")</f>
        <v>Green</v>
      </c>
      <c r="W391" t="str">
        <f>IF($H391&lt;$I391,"Green","Red")</f>
        <v>Red</v>
      </c>
      <c r="X391" t="str">
        <f>IF($H391+$I391&gt;0,"Green","Red")</f>
        <v>Red</v>
      </c>
      <c r="Y391" t="str">
        <f>IF($J391+$K391&gt;1.5,"Green","Red")</f>
        <v>Red</v>
      </c>
      <c r="Z391" t="str">
        <f>IF($J391+$K391&gt;2.5,"Green","Red")</f>
        <v>Red</v>
      </c>
      <c r="AA391" t="str">
        <f>IF($J391+$K391&lt;2.5,"Green","Red")</f>
        <v>Green</v>
      </c>
      <c r="AB391" t="str">
        <f>IF($J391+$K391&lt;3.5,"Green","Red")</f>
        <v>Green</v>
      </c>
      <c r="AC391" t="str">
        <f>IF(AND($J391&gt;0,$K391&gt;0),"Green","Red")</f>
        <v>Red</v>
      </c>
      <c r="AD391" t="str">
        <f>IF(OR($J391=0,$K391=0),"Green","Red")</f>
        <v>Green</v>
      </c>
    </row>
    <row r="392" spans="1:30" x14ac:dyDescent="0.2">
      <c r="A392" t="str">
        <f>L392&amp;F392&amp;G392</f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>DAY(D392)&amp;"/"&amp;"07"&amp;"/"&amp;YEAR(D392)</f>
        <v>22/07/2026</v>
      </c>
      <c r="M392" s="23">
        <f>E392-TIME(3,0,0)</f>
        <v>0.64583333333333337</v>
      </c>
      <c r="N392" t="str">
        <f>J392&amp;" - "&amp;K392</f>
        <v>0 - 1</v>
      </c>
      <c r="O392" t="str">
        <f>IF($J392&gt;$K392,"Green","Red")</f>
        <v>Red</v>
      </c>
      <c r="P392" t="str">
        <f>IF($J392=$K392,"Green","Red")</f>
        <v>Red</v>
      </c>
      <c r="Q392" t="str">
        <f>IF($J392&lt;$K392,"Green","Red")</f>
        <v>Green</v>
      </c>
      <c r="R392" t="str">
        <f>IF($J392&gt;=$K392,"Green","Red")</f>
        <v>Red</v>
      </c>
      <c r="S392" t="str">
        <f>IF($J392&lt;=$K392,"Green","Red")</f>
        <v>Green</v>
      </c>
      <c r="T392" t="str">
        <f>IF(OR($J392&gt;$K392,$J392&lt;$K392),"Green","Red")</f>
        <v>Green</v>
      </c>
      <c r="U392" t="str">
        <f>IF($H392&gt;$I392,"Green","Red")</f>
        <v>Red</v>
      </c>
      <c r="V392" t="str">
        <f>IF($H392=$I392,"Green","Red")</f>
        <v>Green</v>
      </c>
      <c r="W392" t="str">
        <f>IF($H392&lt;$I392,"Green","Red")</f>
        <v>Red</v>
      </c>
      <c r="X392" t="str">
        <f>IF($H392+$I392&gt;0,"Green","Red")</f>
        <v>Red</v>
      </c>
      <c r="Y392" t="str">
        <f>IF($J392+$K392&gt;1.5,"Green","Red")</f>
        <v>Red</v>
      </c>
      <c r="Z392" t="str">
        <f>IF($J392+$K392&gt;2.5,"Green","Red")</f>
        <v>Red</v>
      </c>
      <c r="AA392" t="str">
        <f>IF($J392+$K392&lt;2.5,"Green","Red")</f>
        <v>Green</v>
      </c>
      <c r="AB392" t="str">
        <f>IF($J392+$K392&lt;3.5,"Green","Red")</f>
        <v>Green</v>
      </c>
      <c r="AC392" t="str">
        <f>IF(AND($J392&gt;0,$K392&gt;0),"Green","Red")</f>
        <v>Red</v>
      </c>
      <c r="AD392" t="str">
        <f>IF(OR($J392=0,$K392=0),"Green","Red")</f>
        <v>Green</v>
      </c>
    </row>
    <row r="393" spans="1:30" x14ac:dyDescent="0.2">
      <c r="A393" t="str">
        <f>L393&amp;F393&amp;G393</f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>DAY(D393)&amp;"/"&amp;"07"&amp;"/"&amp;YEAR(D393)</f>
        <v>22/07/2026</v>
      </c>
      <c r="M393" s="23">
        <f>E393-TIME(3,0,0)</f>
        <v>0.64583333333333337</v>
      </c>
      <c r="N393" t="str">
        <f>J393&amp;" - "&amp;K393</f>
        <v>1 - 3</v>
      </c>
      <c r="O393" t="str">
        <f>IF($J393&gt;$K393,"Green","Red")</f>
        <v>Red</v>
      </c>
      <c r="P393" t="str">
        <f>IF($J393=$K393,"Green","Red")</f>
        <v>Red</v>
      </c>
      <c r="Q393" t="str">
        <f>IF($J393&lt;$K393,"Green","Red")</f>
        <v>Green</v>
      </c>
      <c r="R393" t="str">
        <f>IF($J393&gt;=$K393,"Green","Red")</f>
        <v>Red</v>
      </c>
      <c r="S393" t="str">
        <f>IF($J393&lt;=$K393,"Green","Red")</f>
        <v>Green</v>
      </c>
      <c r="T393" t="str">
        <f>IF(OR($J393&gt;$K393,$J393&lt;$K393),"Green","Red")</f>
        <v>Green</v>
      </c>
      <c r="U393" t="str">
        <f>IF($H393&gt;$I393,"Green","Red")</f>
        <v>Red</v>
      </c>
      <c r="V393" t="str">
        <f>IF($H393=$I393,"Green","Red")</f>
        <v>Red</v>
      </c>
      <c r="W393" t="str">
        <f>IF($H393&lt;$I393,"Green","Red")</f>
        <v>Green</v>
      </c>
      <c r="X393" t="str">
        <f>IF($H393+$I393&gt;0,"Green","Red")</f>
        <v>Green</v>
      </c>
      <c r="Y393" t="str">
        <f>IF($J393+$K393&gt;1.5,"Green","Red")</f>
        <v>Green</v>
      </c>
      <c r="Z393" t="str">
        <f>IF($J393+$K393&gt;2.5,"Green","Red")</f>
        <v>Green</v>
      </c>
      <c r="AA393" t="str">
        <f>IF($J393+$K393&lt;2.5,"Green","Red")</f>
        <v>Red</v>
      </c>
      <c r="AB393" t="str">
        <f>IF($J393+$K393&lt;3.5,"Green","Red")</f>
        <v>Red</v>
      </c>
      <c r="AC393" t="str">
        <f>IF(AND($J393&gt;0,$K393&gt;0),"Green","Red")</f>
        <v>Green</v>
      </c>
      <c r="AD393" t="str">
        <f>IF(OR($J393=0,$K393=0),"Green","Red")</f>
        <v>Red</v>
      </c>
    </row>
    <row r="394" spans="1:30" x14ac:dyDescent="0.2">
      <c r="A394" t="str">
        <f>L394&amp;F394&amp;G394</f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>DAY(D394)&amp;"/"&amp;"07"&amp;"/"&amp;YEAR(D394)</f>
        <v>22/07/2026</v>
      </c>
      <c r="M394" s="23">
        <f>E394-TIME(3,0,0)</f>
        <v>0.64583333333333337</v>
      </c>
      <c r="N394" t="str">
        <f>J394&amp;" - "&amp;K394</f>
        <v>1 - 2</v>
      </c>
      <c r="O394" t="str">
        <f>IF($J394&gt;$K394,"Green","Red")</f>
        <v>Red</v>
      </c>
      <c r="P394" t="str">
        <f>IF($J394=$K394,"Green","Red")</f>
        <v>Red</v>
      </c>
      <c r="Q394" t="str">
        <f>IF($J394&lt;$K394,"Green","Red")</f>
        <v>Green</v>
      </c>
      <c r="R394" t="str">
        <f>IF($J394&gt;=$K394,"Green","Red")</f>
        <v>Red</v>
      </c>
      <c r="S394" t="str">
        <f>IF($J394&lt;=$K394,"Green","Red")</f>
        <v>Green</v>
      </c>
      <c r="T394" t="str">
        <f>IF(OR($J394&gt;$K394,$J394&lt;$K394),"Green","Red")</f>
        <v>Green</v>
      </c>
      <c r="U394" t="str">
        <f>IF($H394&gt;$I394,"Green","Red")</f>
        <v>Green</v>
      </c>
      <c r="V394" t="str">
        <f>IF($H394=$I394,"Green","Red")</f>
        <v>Red</v>
      </c>
      <c r="W394" t="str">
        <f>IF($H394&lt;$I394,"Green","Red")</f>
        <v>Red</v>
      </c>
      <c r="X394" t="str">
        <f>IF($H394+$I394&gt;0,"Green","Red")</f>
        <v>Green</v>
      </c>
      <c r="Y394" t="str">
        <f>IF($J394+$K394&gt;1.5,"Green","Red")</f>
        <v>Green</v>
      </c>
      <c r="Z394" t="str">
        <f>IF($J394+$K394&gt;2.5,"Green","Red")</f>
        <v>Green</v>
      </c>
      <c r="AA394" t="str">
        <f>IF($J394+$K394&lt;2.5,"Green","Red")</f>
        <v>Red</v>
      </c>
      <c r="AB394" t="str">
        <f>IF($J394+$K394&lt;3.5,"Green","Red")</f>
        <v>Green</v>
      </c>
      <c r="AC394" t="str">
        <f>IF(AND($J394&gt;0,$K394&gt;0),"Green","Red")</f>
        <v>Green</v>
      </c>
      <c r="AD394" t="str">
        <f>IF(OR($J394=0,$K394=0),"Green","Red")</f>
        <v>Red</v>
      </c>
    </row>
    <row r="395" spans="1:30" x14ac:dyDescent="0.2">
      <c r="A395" t="str">
        <f>L395&amp;F395&amp;G395</f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>DAY(D395)&amp;"/"&amp;"07"&amp;"/"&amp;YEAR(D395)</f>
        <v>22/07/2026</v>
      </c>
      <c r="M395" s="23">
        <f>E395-TIME(3,0,0)</f>
        <v>0.65625</v>
      </c>
      <c r="N395" t="str">
        <f>J395&amp;" - "&amp;K395</f>
        <v>1 - 4</v>
      </c>
      <c r="O395" t="str">
        <f>IF($J395&gt;$K395,"Green","Red")</f>
        <v>Red</v>
      </c>
      <c r="P395" t="str">
        <f>IF($J395=$K395,"Green","Red")</f>
        <v>Red</v>
      </c>
      <c r="Q395" t="str">
        <f>IF($J395&lt;$K395,"Green","Red")</f>
        <v>Green</v>
      </c>
      <c r="R395" t="str">
        <f>IF($J395&gt;=$K395,"Green","Red")</f>
        <v>Red</v>
      </c>
      <c r="S395" t="str">
        <f>IF($J395&lt;=$K395,"Green","Red")</f>
        <v>Green</v>
      </c>
      <c r="T395" t="str">
        <f>IF(OR($J395&gt;$K395,$J395&lt;$K395),"Green","Red")</f>
        <v>Green</v>
      </c>
      <c r="U395" t="str">
        <f>IF($H395&gt;$I395,"Green","Red")</f>
        <v>Red</v>
      </c>
      <c r="V395" t="str">
        <f>IF($H395=$I395,"Green","Red")</f>
        <v>Green</v>
      </c>
      <c r="W395" t="str">
        <f>IF($H395&lt;$I395,"Green","Red")</f>
        <v>Red</v>
      </c>
      <c r="X395" t="str">
        <f>IF($H395+$I395&gt;0,"Green","Red")</f>
        <v>Green</v>
      </c>
      <c r="Y395" t="str">
        <f>IF($J395+$K395&gt;1.5,"Green","Red")</f>
        <v>Green</v>
      </c>
      <c r="Z395" t="str">
        <f>IF($J395+$K395&gt;2.5,"Green","Red")</f>
        <v>Green</v>
      </c>
      <c r="AA395" t="str">
        <f>IF($J395+$K395&lt;2.5,"Green","Red")</f>
        <v>Red</v>
      </c>
      <c r="AB395" t="str">
        <f>IF($J395+$K395&lt;3.5,"Green","Red")</f>
        <v>Red</v>
      </c>
      <c r="AC395" t="str">
        <f>IF(AND($J395&gt;0,$K395&gt;0),"Green","Red")</f>
        <v>Green</v>
      </c>
      <c r="AD395" t="str">
        <f>IF(OR($J395=0,$K395=0),"Green","Red")</f>
        <v>Red</v>
      </c>
    </row>
    <row r="396" spans="1:30" x14ac:dyDescent="0.2">
      <c r="A396" t="str">
        <f>L396&amp;F396&amp;G396</f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>DAY(D396)&amp;"/"&amp;"07"&amp;"/"&amp;YEAR(D396)</f>
        <v>22/07/2026</v>
      </c>
      <c r="M396" s="23">
        <f>E396-TIME(3,0,0)</f>
        <v>0.65625</v>
      </c>
      <c r="N396" t="str">
        <f>J396&amp;" - "&amp;K396</f>
        <v>0 - 3</v>
      </c>
      <c r="O396" t="str">
        <f>IF($J396&gt;$K396,"Green","Red")</f>
        <v>Red</v>
      </c>
      <c r="P396" t="str">
        <f>IF($J396=$K396,"Green","Red")</f>
        <v>Red</v>
      </c>
      <c r="Q396" t="str">
        <f>IF($J396&lt;$K396,"Green","Red")</f>
        <v>Green</v>
      </c>
      <c r="R396" t="str">
        <f>IF($J396&gt;=$K396,"Green","Red")</f>
        <v>Red</v>
      </c>
      <c r="S396" t="str">
        <f>IF($J396&lt;=$K396,"Green","Red")</f>
        <v>Green</v>
      </c>
      <c r="T396" t="str">
        <f>IF(OR($J396&gt;$K396,$J396&lt;$K396),"Green","Red")</f>
        <v>Green</v>
      </c>
      <c r="U396" t="str">
        <f>IF($H396&gt;$I396,"Green","Red")</f>
        <v>Red</v>
      </c>
      <c r="V396" t="str">
        <f>IF($H396=$I396,"Green","Red")</f>
        <v>Red</v>
      </c>
      <c r="W396" t="str">
        <f>IF($H396&lt;$I396,"Green","Red")</f>
        <v>Green</v>
      </c>
      <c r="X396" t="str">
        <f>IF($H396+$I396&gt;0,"Green","Red")</f>
        <v>Green</v>
      </c>
      <c r="Y396" t="str">
        <f>IF($J396+$K396&gt;1.5,"Green","Red")</f>
        <v>Green</v>
      </c>
      <c r="Z396" t="str">
        <f>IF($J396+$K396&gt;2.5,"Green","Red")</f>
        <v>Green</v>
      </c>
      <c r="AA396" t="str">
        <f>IF($J396+$K396&lt;2.5,"Green","Red")</f>
        <v>Red</v>
      </c>
      <c r="AB396" t="str">
        <f>IF($J396+$K396&lt;3.5,"Green","Red")</f>
        <v>Green</v>
      </c>
      <c r="AC396" t="str">
        <f>IF(AND($J396&gt;0,$K396&gt;0),"Green","Red")</f>
        <v>Red</v>
      </c>
      <c r="AD396" t="str">
        <f>IF(OR($J396=0,$K396=0),"Green","Red")</f>
        <v>Green</v>
      </c>
    </row>
    <row r="397" spans="1:30" x14ac:dyDescent="0.2">
      <c r="A397" t="str">
        <f>L397&amp;F397&amp;G397</f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>DAY(D397)&amp;"/"&amp;"07"&amp;"/"&amp;YEAR(D397)</f>
        <v>22/07/2026</v>
      </c>
      <c r="M397" s="23">
        <f>E397-TIME(3,0,0)</f>
        <v>0.65625</v>
      </c>
      <c r="N397" t="str">
        <f>J397&amp;" - "&amp;K397</f>
        <v>0 - 1</v>
      </c>
      <c r="O397" t="str">
        <f>IF($J397&gt;$K397,"Green","Red")</f>
        <v>Red</v>
      </c>
      <c r="P397" t="str">
        <f>IF($J397=$K397,"Green","Red")</f>
        <v>Red</v>
      </c>
      <c r="Q397" t="str">
        <f>IF($J397&lt;$K397,"Green","Red")</f>
        <v>Green</v>
      </c>
      <c r="R397" t="str">
        <f>IF($J397&gt;=$K397,"Green","Red")</f>
        <v>Red</v>
      </c>
      <c r="S397" t="str">
        <f>IF($J397&lt;=$K397,"Green","Red")</f>
        <v>Green</v>
      </c>
      <c r="T397" t="str">
        <f>IF(OR($J397&gt;$K397,$J397&lt;$K397),"Green","Red")</f>
        <v>Green</v>
      </c>
      <c r="U397" t="str">
        <f>IF($H397&gt;$I397,"Green","Red")</f>
        <v>Red</v>
      </c>
      <c r="V397" t="str">
        <f>IF($H397=$I397,"Green","Red")</f>
        <v>Green</v>
      </c>
      <c r="W397" t="str">
        <f>IF($H397&lt;$I397,"Green","Red")</f>
        <v>Red</v>
      </c>
      <c r="X397" t="str">
        <f>IF($H397+$I397&gt;0,"Green","Red")</f>
        <v>Red</v>
      </c>
      <c r="Y397" t="str">
        <f>IF($J397+$K397&gt;1.5,"Green","Red")</f>
        <v>Red</v>
      </c>
      <c r="Z397" t="str">
        <f>IF($J397+$K397&gt;2.5,"Green","Red")</f>
        <v>Red</v>
      </c>
      <c r="AA397" t="str">
        <f>IF($J397+$K397&lt;2.5,"Green","Red")</f>
        <v>Green</v>
      </c>
      <c r="AB397" t="str">
        <f>IF($J397+$K397&lt;3.5,"Green","Red")</f>
        <v>Green</v>
      </c>
      <c r="AC397" t="str">
        <f>IF(AND($J397&gt;0,$K397&gt;0),"Green","Red")</f>
        <v>Red</v>
      </c>
      <c r="AD397" t="str">
        <f>IF(OR($J397=0,$K397=0),"Green","Red")</f>
        <v>Green</v>
      </c>
    </row>
    <row r="398" spans="1:30" x14ac:dyDescent="0.2">
      <c r="A398" t="str">
        <f>L398&amp;F398&amp;G398</f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>DAY(D398)&amp;"/"&amp;"07"&amp;"/"&amp;YEAR(D398)</f>
        <v>22/07/2026</v>
      </c>
      <c r="M398" s="23">
        <f>E398-TIME(3,0,0)</f>
        <v>0.65625</v>
      </c>
      <c r="N398" t="str">
        <f>J398&amp;" - "&amp;K398</f>
        <v>2 - 1</v>
      </c>
      <c r="O398" t="str">
        <f>IF($J398&gt;$K398,"Green","Red")</f>
        <v>Green</v>
      </c>
      <c r="P398" t="str">
        <f>IF($J398=$K398,"Green","Red")</f>
        <v>Red</v>
      </c>
      <c r="Q398" t="str">
        <f>IF($J398&lt;$K398,"Green","Red")</f>
        <v>Red</v>
      </c>
      <c r="R398" t="str">
        <f>IF($J398&gt;=$K398,"Green","Red")</f>
        <v>Green</v>
      </c>
      <c r="S398" t="str">
        <f>IF($J398&lt;=$K398,"Green","Red")</f>
        <v>Red</v>
      </c>
      <c r="T398" t="str">
        <f>IF(OR($J398&gt;$K398,$J398&lt;$K398),"Green","Red")</f>
        <v>Green</v>
      </c>
      <c r="U398" t="str">
        <f>IF($H398&gt;$I398,"Green","Red")</f>
        <v>Red</v>
      </c>
      <c r="V398" t="str">
        <f>IF($H398=$I398,"Green","Red")</f>
        <v>Green</v>
      </c>
      <c r="W398" t="str">
        <f>IF($H398&lt;$I398,"Green","Red")</f>
        <v>Red</v>
      </c>
      <c r="X398" t="str">
        <f>IF($H398+$I398&gt;0,"Green","Red")</f>
        <v>Green</v>
      </c>
      <c r="Y398" t="str">
        <f>IF($J398+$K398&gt;1.5,"Green","Red")</f>
        <v>Green</v>
      </c>
      <c r="Z398" t="str">
        <f>IF($J398+$K398&gt;2.5,"Green","Red")</f>
        <v>Green</v>
      </c>
      <c r="AA398" t="str">
        <f>IF($J398+$K398&lt;2.5,"Green","Red")</f>
        <v>Red</v>
      </c>
      <c r="AB398" t="str">
        <f>IF($J398+$K398&lt;3.5,"Green","Red")</f>
        <v>Green</v>
      </c>
      <c r="AC398" t="str">
        <f>IF(AND($J398&gt;0,$K398&gt;0),"Green","Red")</f>
        <v>Green</v>
      </c>
      <c r="AD398" t="str">
        <f>IF(OR($J398=0,$K398=0),"Green","Red")</f>
        <v>Red</v>
      </c>
    </row>
    <row r="399" spans="1:30" x14ac:dyDescent="0.2">
      <c r="A399" t="str">
        <f>L399&amp;F399&amp;G399</f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>DAY(D399)&amp;"/"&amp;"07"&amp;"/"&amp;YEAR(D399)</f>
        <v>22/07/2026</v>
      </c>
      <c r="M399" s="23">
        <f>E399-TIME(3,0,0)</f>
        <v>0.65625</v>
      </c>
      <c r="N399" t="str">
        <f>J399&amp;" - "&amp;K399</f>
        <v>0 - 5</v>
      </c>
      <c r="O399" t="str">
        <f>IF($J399&gt;$K399,"Green","Red")</f>
        <v>Red</v>
      </c>
      <c r="P399" t="str">
        <f>IF($J399=$K399,"Green","Red")</f>
        <v>Red</v>
      </c>
      <c r="Q399" t="str">
        <f>IF($J399&lt;$K399,"Green","Red")</f>
        <v>Green</v>
      </c>
      <c r="R399" t="str">
        <f>IF($J399&gt;=$K399,"Green","Red")</f>
        <v>Red</v>
      </c>
      <c r="S399" t="str">
        <f>IF($J399&lt;=$K399,"Green","Red")</f>
        <v>Green</v>
      </c>
      <c r="T399" t="str">
        <f>IF(OR($J399&gt;$K399,$J399&lt;$K399),"Green","Red")</f>
        <v>Green</v>
      </c>
      <c r="U399" t="str">
        <f>IF($H399&gt;$I399,"Green","Red")</f>
        <v>Red</v>
      </c>
      <c r="V399" t="str">
        <f>IF($H399=$I399,"Green","Red")</f>
        <v>Red</v>
      </c>
      <c r="W399" t="str">
        <f>IF($H399&lt;$I399,"Green","Red")</f>
        <v>Green</v>
      </c>
      <c r="X399" t="str">
        <f>IF($H399+$I399&gt;0,"Green","Red")</f>
        <v>Green</v>
      </c>
      <c r="Y399" t="str">
        <f>IF($J399+$K399&gt;1.5,"Green","Red")</f>
        <v>Green</v>
      </c>
      <c r="Z399" t="str">
        <f>IF($J399+$K399&gt;2.5,"Green","Red")</f>
        <v>Green</v>
      </c>
      <c r="AA399" t="str">
        <f>IF($J399+$K399&lt;2.5,"Green","Red")</f>
        <v>Red</v>
      </c>
      <c r="AB399" t="str">
        <f>IF($J399+$K399&lt;3.5,"Green","Red")</f>
        <v>Red</v>
      </c>
      <c r="AC399" t="str">
        <f>IF(AND($J399&gt;0,$K399&gt;0),"Green","Red")</f>
        <v>Red</v>
      </c>
      <c r="AD399" t="str">
        <f>IF(OR($J399=0,$K399=0),"Green","Red")</f>
        <v>Green</v>
      </c>
    </row>
    <row r="400" spans="1:30" x14ac:dyDescent="0.2">
      <c r="A400" t="str">
        <f>L400&amp;F400&amp;G400</f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>DAY(D400)&amp;"/"&amp;"07"&amp;"/"&amp;YEAR(D400)</f>
        <v>22/07/2026</v>
      </c>
      <c r="M400" s="23">
        <f>E400-TIME(3,0,0)</f>
        <v>0.66666666666666663</v>
      </c>
      <c r="N400" t="str">
        <f>J400&amp;" - "&amp;K400</f>
        <v>3 - 3</v>
      </c>
      <c r="O400" t="str">
        <f>IF($J400&gt;$K400,"Green","Red")</f>
        <v>Red</v>
      </c>
      <c r="P400" t="str">
        <f>IF($J400=$K400,"Green","Red")</f>
        <v>Green</v>
      </c>
      <c r="Q400" t="str">
        <f>IF($J400&lt;$K400,"Green","Red")</f>
        <v>Red</v>
      </c>
      <c r="R400" t="str">
        <f>IF($J400&gt;=$K400,"Green","Red")</f>
        <v>Green</v>
      </c>
      <c r="S400" t="str">
        <f>IF($J400&lt;=$K400,"Green","Red")</f>
        <v>Green</v>
      </c>
      <c r="T400" t="str">
        <f>IF(OR($J400&gt;$K400,$J400&lt;$K400),"Green","Red")</f>
        <v>Red</v>
      </c>
      <c r="U400" t="str">
        <f>IF($H400&gt;$I400,"Green","Red")</f>
        <v>Red</v>
      </c>
      <c r="V400" t="str">
        <f>IF($H400=$I400,"Green","Red")</f>
        <v>Green</v>
      </c>
      <c r="W400" t="str">
        <f>IF($H400&lt;$I400,"Green","Red")</f>
        <v>Red</v>
      </c>
      <c r="X400" t="str">
        <f>IF($H400+$I400&gt;0,"Green","Red")</f>
        <v>Green</v>
      </c>
      <c r="Y400" t="str">
        <f>IF($J400+$K400&gt;1.5,"Green","Red")</f>
        <v>Green</v>
      </c>
      <c r="Z400" t="str">
        <f>IF($J400+$K400&gt;2.5,"Green","Red")</f>
        <v>Green</v>
      </c>
      <c r="AA400" t="str">
        <f>IF($J400+$K400&lt;2.5,"Green","Red")</f>
        <v>Red</v>
      </c>
      <c r="AB400" t="str">
        <f>IF($J400+$K400&lt;3.5,"Green","Red")</f>
        <v>Red</v>
      </c>
      <c r="AC400" t="str">
        <f>IF(AND($J400&gt;0,$K400&gt;0),"Green","Red")</f>
        <v>Green</v>
      </c>
      <c r="AD400" t="str">
        <f>IF(OR($J400=0,$K400=0),"Green","Red")</f>
        <v>Red</v>
      </c>
    </row>
    <row r="401" spans="1:30" x14ac:dyDescent="0.2">
      <c r="A401" t="str">
        <f>L401&amp;F401&amp;G401</f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>DAY(D401)&amp;"/"&amp;"07"&amp;"/"&amp;YEAR(D401)</f>
        <v>22/07/2026</v>
      </c>
      <c r="M401" s="23">
        <f>E401-TIME(3,0,0)</f>
        <v>0.66666666666666663</v>
      </c>
      <c r="N401" t="str">
        <f>J401&amp;" - "&amp;K401</f>
        <v>0 - 1</v>
      </c>
      <c r="O401" t="str">
        <f>IF($J401&gt;$K401,"Green","Red")</f>
        <v>Red</v>
      </c>
      <c r="P401" t="str">
        <f>IF($J401=$K401,"Green","Red")</f>
        <v>Red</v>
      </c>
      <c r="Q401" t="str">
        <f>IF($J401&lt;$K401,"Green","Red")</f>
        <v>Green</v>
      </c>
      <c r="R401" t="str">
        <f>IF($J401&gt;=$K401,"Green","Red")</f>
        <v>Red</v>
      </c>
      <c r="S401" t="str">
        <f>IF($J401&lt;=$K401,"Green","Red")</f>
        <v>Green</v>
      </c>
      <c r="T401" t="str">
        <f>IF(OR($J401&gt;$K401,$J401&lt;$K401),"Green","Red")</f>
        <v>Green</v>
      </c>
      <c r="U401" t="str">
        <f>IF($H401&gt;$I401,"Green","Red")</f>
        <v>Red</v>
      </c>
      <c r="V401" t="str">
        <f>IF($H401=$I401,"Green","Red")</f>
        <v>Green</v>
      </c>
      <c r="W401" t="str">
        <f>IF($H401&lt;$I401,"Green","Red")</f>
        <v>Red</v>
      </c>
      <c r="X401" t="str">
        <f>IF($H401+$I401&gt;0,"Green","Red")</f>
        <v>Red</v>
      </c>
      <c r="Y401" t="str">
        <f>IF($J401+$K401&gt;1.5,"Green","Red")</f>
        <v>Red</v>
      </c>
      <c r="Z401" t="str">
        <f>IF($J401+$K401&gt;2.5,"Green","Red")</f>
        <v>Red</v>
      </c>
      <c r="AA401" t="str">
        <f>IF($J401+$K401&lt;2.5,"Green","Red")</f>
        <v>Green</v>
      </c>
      <c r="AB401" t="str">
        <f>IF($J401+$K401&lt;3.5,"Green","Red")</f>
        <v>Green</v>
      </c>
      <c r="AC401" t="str">
        <f>IF(AND($J401&gt;0,$K401&gt;0),"Green","Red")</f>
        <v>Red</v>
      </c>
      <c r="AD401" t="str">
        <f>IF(OR($J401=0,$K401=0),"Green","Red")</f>
        <v>Green</v>
      </c>
    </row>
    <row r="402" spans="1:30" x14ac:dyDescent="0.2">
      <c r="A402" t="str">
        <f>L402&amp;F402&amp;G402</f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>DAY(D402)&amp;"/"&amp;"07"&amp;"/"&amp;YEAR(D402)</f>
        <v>22/07/2026</v>
      </c>
      <c r="M402" s="23">
        <f>E402-TIME(3,0,0)</f>
        <v>0.66666666666666663</v>
      </c>
      <c r="N402" t="str">
        <f>J402&amp;" - "&amp;K402</f>
        <v>4 - 0</v>
      </c>
      <c r="O402" t="str">
        <f>IF($J402&gt;$K402,"Green","Red")</f>
        <v>Green</v>
      </c>
      <c r="P402" t="str">
        <f>IF($J402=$K402,"Green","Red")</f>
        <v>Red</v>
      </c>
      <c r="Q402" t="str">
        <f>IF($J402&lt;$K402,"Green","Red")</f>
        <v>Red</v>
      </c>
      <c r="R402" t="str">
        <f>IF($J402&gt;=$K402,"Green","Red")</f>
        <v>Green</v>
      </c>
      <c r="S402" t="str">
        <f>IF($J402&lt;=$K402,"Green","Red")</f>
        <v>Red</v>
      </c>
      <c r="T402" t="str">
        <f>IF(OR($J402&gt;$K402,$J402&lt;$K402),"Green","Red")</f>
        <v>Green</v>
      </c>
      <c r="U402" t="str">
        <f>IF($H402&gt;$I402,"Green","Red")</f>
        <v>Red</v>
      </c>
      <c r="V402" t="str">
        <f>IF($H402=$I402,"Green","Red")</f>
        <v>Green</v>
      </c>
      <c r="W402" t="str">
        <f>IF($H402&lt;$I402,"Green","Red")</f>
        <v>Red</v>
      </c>
      <c r="X402" t="str">
        <f>IF($H402+$I402&gt;0,"Green","Red")</f>
        <v>Red</v>
      </c>
      <c r="Y402" t="str">
        <f>IF($J402+$K402&gt;1.5,"Green","Red")</f>
        <v>Green</v>
      </c>
      <c r="Z402" t="str">
        <f>IF($J402+$K402&gt;2.5,"Green","Red")</f>
        <v>Green</v>
      </c>
      <c r="AA402" t="str">
        <f>IF($J402+$K402&lt;2.5,"Green","Red")</f>
        <v>Red</v>
      </c>
      <c r="AB402" t="str">
        <f>IF($J402+$K402&lt;3.5,"Green","Red")</f>
        <v>Red</v>
      </c>
      <c r="AC402" t="str">
        <f>IF(AND($J402&gt;0,$K402&gt;0),"Green","Red")</f>
        <v>Red</v>
      </c>
      <c r="AD402" t="str">
        <f>IF(OR($J402=0,$K402=0),"Green","Red")</f>
        <v>Green</v>
      </c>
    </row>
    <row r="403" spans="1:30" x14ac:dyDescent="0.2">
      <c r="A403" t="str">
        <f>L403&amp;F403&amp;G403</f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>DAY(D403)&amp;"/"&amp;"07"&amp;"/"&amp;YEAR(D403)</f>
        <v>22/07/2026</v>
      </c>
      <c r="M403" s="23">
        <f>E403-TIME(3,0,0)</f>
        <v>0.66666666666666663</v>
      </c>
      <c r="N403" t="str">
        <f>J403&amp;" - "&amp;K403</f>
        <v xml:space="preserve"> - </v>
      </c>
      <c r="O403" t="str">
        <f>IF($J403&gt;$K403,"Green","Red")</f>
        <v>Red</v>
      </c>
      <c r="P403" t="str">
        <f>IF($J403=$K403,"Green","Red")</f>
        <v>Green</v>
      </c>
      <c r="Q403" t="str">
        <f>IF($J403&lt;$K403,"Green","Red")</f>
        <v>Red</v>
      </c>
      <c r="R403" t="str">
        <f>IF($J403&gt;=$K403,"Green","Red")</f>
        <v>Green</v>
      </c>
      <c r="S403" t="str">
        <f>IF($J403&lt;=$K403,"Green","Red")</f>
        <v>Green</v>
      </c>
      <c r="T403" t="str">
        <f>IF(OR($J403&gt;$K403,$J403&lt;$K403),"Green","Red")</f>
        <v>Red</v>
      </c>
      <c r="U403" t="str">
        <f>IF($H403&gt;$I403,"Green","Red")</f>
        <v>Red</v>
      </c>
      <c r="V403" t="str">
        <f>IF($H403=$I403,"Green","Red")</f>
        <v>Green</v>
      </c>
      <c r="W403" t="str">
        <f>IF($H403&lt;$I403,"Green","Red")</f>
        <v>Red</v>
      </c>
      <c r="X403" t="str">
        <f>IF($H403+$I403&gt;0,"Green","Red")</f>
        <v>Red</v>
      </c>
      <c r="Y403" t="str">
        <f>IF($J403+$K403&gt;1.5,"Green","Red")</f>
        <v>Red</v>
      </c>
      <c r="Z403" t="str">
        <f>IF($J403+$K403&gt;2.5,"Green","Red")</f>
        <v>Red</v>
      </c>
      <c r="AA403" t="str">
        <f>IF($J403+$K403&lt;2.5,"Green","Red")</f>
        <v>Green</v>
      </c>
      <c r="AB403" t="str">
        <f>IF($J403+$K403&lt;3.5,"Green","Red")</f>
        <v>Green</v>
      </c>
      <c r="AC403" t="str">
        <f>IF(AND($J403&gt;0,$K403&gt;0),"Green","Red")</f>
        <v>Red</v>
      </c>
      <c r="AD403" t="str">
        <f>IF(OR($J403=0,$K403=0),"Green","Red")</f>
        <v>Green</v>
      </c>
    </row>
    <row r="404" spans="1:30" x14ac:dyDescent="0.2">
      <c r="A404" t="str">
        <f>L404&amp;F404&amp;G404</f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>DAY(D404)&amp;"/"&amp;"07"&amp;"/"&amp;YEAR(D404)</f>
        <v>22/07/2026</v>
      </c>
      <c r="M404" s="23">
        <f>E404-TIME(3,0,0)</f>
        <v>0.66666666666666663</v>
      </c>
      <c r="N404" t="str">
        <f>J404&amp;" - "&amp;K404</f>
        <v>2 - 0</v>
      </c>
      <c r="O404" t="str">
        <f>IF($J404&gt;$K404,"Green","Red")</f>
        <v>Green</v>
      </c>
      <c r="P404" t="str">
        <f>IF($J404=$K404,"Green","Red")</f>
        <v>Red</v>
      </c>
      <c r="Q404" t="str">
        <f>IF($J404&lt;$K404,"Green","Red")</f>
        <v>Red</v>
      </c>
      <c r="R404" t="str">
        <f>IF($J404&gt;=$K404,"Green","Red")</f>
        <v>Green</v>
      </c>
      <c r="S404" t="str">
        <f>IF($J404&lt;=$K404,"Green","Red")</f>
        <v>Red</v>
      </c>
      <c r="T404" t="str">
        <f>IF(OR($J404&gt;$K404,$J404&lt;$K404),"Green","Red")</f>
        <v>Green</v>
      </c>
      <c r="U404" t="str">
        <f>IF($H404&gt;$I404,"Green","Red")</f>
        <v>Red</v>
      </c>
      <c r="V404" t="str">
        <f>IF($H404=$I404,"Green","Red")</f>
        <v>Green</v>
      </c>
      <c r="W404" t="str">
        <f>IF($H404&lt;$I404,"Green","Red")</f>
        <v>Red</v>
      </c>
      <c r="X404" t="str">
        <f>IF($H404+$I404&gt;0,"Green","Red")</f>
        <v>Red</v>
      </c>
      <c r="Y404" t="str">
        <f>IF($J404+$K404&gt;1.5,"Green","Red")</f>
        <v>Green</v>
      </c>
      <c r="Z404" t="str">
        <f>IF($J404+$K404&gt;2.5,"Green","Red")</f>
        <v>Red</v>
      </c>
      <c r="AA404" t="str">
        <f>IF($J404+$K404&lt;2.5,"Green","Red")</f>
        <v>Green</v>
      </c>
      <c r="AB404" t="str">
        <f>IF($J404+$K404&lt;3.5,"Green","Red")</f>
        <v>Green</v>
      </c>
      <c r="AC404" t="str">
        <f>IF(AND($J404&gt;0,$K404&gt;0),"Green","Red")</f>
        <v>Red</v>
      </c>
      <c r="AD404" t="str">
        <f>IF(OR($J404=0,$K404=0),"Green","Red")</f>
        <v>Green</v>
      </c>
    </row>
    <row r="405" spans="1:30" x14ac:dyDescent="0.2">
      <c r="A405" t="str">
        <f>L405&amp;F405&amp;G405</f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>DAY(D405)&amp;"/"&amp;"07"&amp;"/"&amp;YEAR(D405)</f>
        <v>22/07/2026</v>
      </c>
      <c r="M405" s="23">
        <f>E405-TIME(3,0,0)</f>
        <v>0.66666666666666663</v>
      </c>
      <c r="N405" t="str">
        <f>J405&amp;" - "&amp;K405</f>
        <v>3 - 0</v>
      </c>
      <c r="O405" t="str">
        <f>IF($J405&gt;$K405,"Green","Red")</f>
        <v>Green</v>
      </c>
      <c r="P405" t="str">
        <f>IF($J405=$K405,"Green","Red")</f>
        <v>Red</v>
      </c>
      <c r="Q405" t="str">
        <f>IF($J405&lt;$K405,"Green","Red")</f>
        <v>Red</v>
      </c>
      <c r="R405" t="str">
        <f>IF($J405&gt;=$K405,"Green","Red")</f>
        <v>Green</v>
      </c>
      <c r="S405" t="str">
        <f>IF($J405&lt;=$K405,"Green","Red")</f>
        <v>Red</v>
      </c>
      <c r="T405" t="str">
        <f>IF(OR($J405&gt;$K405,$J405&lt;$K405),"Green","Red")</f>
        <v>Green</v>
      </c>
      <c r="U405" t="str">
        <f>IF($H405&gt;$I405,"Green","Red")</f>
        <v>Green</v>
      </c>
      <c r="V405" t="str">
        <f>IF($H405=$I405,"Green","Red")</f>
        <v>Red</v>
      </c>
      <c r="W405" t="str">
        <f>IF($H405&lt;$I405,"Green","Red")</f>
        <v>Red</v>
      </c>
      <c r="X405" t="str">
        <f>IF($H405+$I405&gt;0,"Green","Red")</f>
        <v>Green</v>
      </c>
      <c r="Y405" t="str">
        <f>IF($J405+$K405&gt;1.5,"Green","Red")</f>
        <v>Green</v>
      </c>
      <c r="Z405" t="str">
        <f>IF($J405+$K405&gt;2.5,"Green","Red")</f>
        <v>Green</v>
      </c>
      <c r="AA405" t="str">
        <f>IF($J405+$K405&lt;2.5,"Green","Red")</f>
        <v>Red</v>
      </c>
      <c r="AB405" t="str">
        <f>IF($J405+$K405&lt;3.5,"Green","Red")</f>
        <v>Green</v>
      </c>
      <c r="AC405" t="str">
        <f>IF(AND($J405&gt;0,$K405&gt;0),"Green","Red")</f>
        <v>Red</v>
      </c>
      <c r="AD405" t="str">
        <f>IF(OR($J405=0,$K405=0),"Green","Red")</f>
        <v>Green</v>
      </c>
    </row>
    <row r="406" spans="1:30" x14ac:dyDescent="0.2">
      <c r="A406" t="str">
        <f>L406&amp;F406&amp;G406</f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>DAY(D406)&amp;"/"&amp;"07"&amp;"/"&amp;YEAR(D406)</f>
        <v>22/07/2026</v>
      </c>
      <c r="M406" s="23">
        <f>E406-TIME(3,0,0)</f>
        <v>0.66666666666666663</v>
      </c>
      <c r="N406" t="str">
        <f>J406&amp;" - "&amp;K406</f>
        <v>1 - 0</v>
      </c>
      <c r="O406" t="str">
        <f>IF($J406&gt;$K406,"Green","Red")</f>
        <v>Green</v>
      </c>
      <c r="P406" t="str">
        <f>IF($J406=$K406,"Green","Red")</f>
        <v>Red</v>
      </c>
      <c r="Q406" t="str">
        <f>IF($J406&lt;$K406,"Green","Red")</f>
        <v>Red</v>
      </c>
      <c r="R406" t="str">
        <f>IF($J406&gt;=$K406,"Green","Red")</f>
        <v>Green</v>
      </c>
      <c r="S406" t="str">
        <f>IF($J406&lt;=$K406,"Green","Red")</f>
        <v>Red</v>
      </c>
      <c r="T406" t="str">
        <f>IF(OR($J406&gt;$K406,$J406&lt;$K406),"Green","Red")</f>
        <v>Green</v>
      </c>
      <c r="U406" t="str">
        <f>IF($H406&gt;$I406,"Green","Red")</f>
        <v>Red</v>
      </c>
      <c r="V406" t="str">
        <f>IF($H406=$I406,"Green","Red")</f>
        <v>Green</v>
      </c>
      <c r="W406" t="str">
        <f>IF($H406&lt;$I406,"Green","Red")</f>
        <v>Red</v>
      </c>
      <c r="X406" t="str">
        <f>IF($H406+$I406&gt;0,"Green","Red")</f>
        <v>Red</v>
      </c>
      <c r="Y406" t="str">
        <f>IF($J406+$K406&gt;1.5,"Green","Red")</f>
        <v>Red</v>
      </c>
      <c r="Z406" t="str">
        <f>IF($J406+$K406&gt;2.5,"Green","Red")</f>
        <v>Red</v>
      </c>
      <c r="AA406" t="str">
        <f>IF($J406+$K406&lt;2.5,"Green","Red")</f>
        <v>Green</v>
      </c>
      <c r="AB406" t="str">
        <f>IF($J406+$K406&lt;3.5,"Green","Red")</f>
        <v>Green</v>
      </c>
      <c r="AC406" t="str">
        <f>IF(AND($J406&gt;0,$K406&gt;0),"Green","Red")</f>
        <v>Red</v>
      </c>
      <c r="AD406" t="str">
        <f>IF(OR($J406=0,$K406=0),"Green","Red")</f>
        <v>Green</v>
      </c>
    </row>
    <row r="407" spans="1:30" x14ac:dyDescent="0.2">
      <c r="A407" t="str">
        <f>L407&amp;F407&amp;G407</f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>DAY(D407)&amp;"/"&amp;"07"&amp;"/"&amp;YEAR(D407)</f>
        <v>22/07/2026</v>
      </c>
      <c r="M407" s="23">
        <f>E407-TIME(3,0,0)</f>
        <v>0.67708333333333337</v>
      </c>
      <c r="N407" t="str">
        <f>J407&amp;" - "&amp;K407</f>
        <v>1 - 0</v>
      </c>
      <c r="O407" t="str">
        <f>IF($J407&gt;$K407,"Green","Red")</f>
        <v>Green</v>
      </c>
      <c r="P407" t="str">
        <f>IF($J407=$K407,"Green","Red")</f>
        <v>Red</v>
      </c>
      <c r="Q407" t="str">
        <f>IF($J407&lt;$K407,"Green","Red")</f>
        <v>Red</v>
      </c>
      <c r="R407" t="str">
        <f>IF($J407&gt;=$K407,"Green","Red")</f>
        <v>Green</v>
      </c>
      <c r="S407" t="str">
        <f>IF($J407&lt;=$K407,"Green","Red")</f>
        <v>Red</v>
      </c>
      <c r="T407" t="str">
        <f>IF(OR($J407&gt;$K407,$J407&lt;$K407),"Green","Red")</f>
        <v>Green</v>
      </c>
      <c r="U407" t="str">
        <f>IF($H407&gt;$I407,"Green","Red")</f>
        <v>Red</v>
      </c>
      <c r="V407" t="str">
        <f>IF($H407=$I407,"Green","Red")</f>
        <v>Green</v>
      </c>
      <c r="W407" t="str">
        <f>IF($H407&lt;$I407,"Green","Red")</f>
        <v>Red</v>
      </c>
      <c r="X407" t="str">
        <f>IF($H407+$I407&gt;0,"Green","Red")</f>
        <v>Red</v>
      </c>
      <c r="Y407" t="str">
        <f>IF($J407+$K407&gt;1.5,"Green","Red")</f>
        <v>Red</v>
      </c>
      <c r="Z407" t="str">
        <f>IF($J407+$K407&gt;2.5,"Green","Red")</f>
        <v>Red</v>
      </c>
      <c r="AA407" t="str">
        <f>IF($J407+$K407&lt;2.5,"Green","Red")</f>
        <v>Green</v>
      </c>
      <c r="AB407" t="str">
        <f>IF($J407+$K407&lt;3.5,"Green","Red")</f>
        <v>Green</v>
      </c>
      <c r="AC407" t="str">
        <f>IF(AND($J407&gt;0,$K407&gt;0),"Green","Red")</f>
        <v>Red</v>
      </c>
      <c r="AD407" t="str">
        <f>IF(OR($J407=0,$K407=0),"Green","Red")</f>
        <v>Green</v>
      </c>
    </row>
    <row r="408" spans="1:30" x14ac:dyDescent="0.2">
      <c r="A408" t="str">
        <f>L408&amp;F408&amp;G408</f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>DAY(D408)&amp;"/"&amp;"07"&amp;"/"&amp;YEAR(D408)</f>
        <v>22/07/2026</v>
      </c>
      <c r="M408" s="23">
        <f>E408-TIME(3,0,0)</f>
        <v>0.70833333333333337</v>
      </c>
      <c r="N408" t="str">
        <f>J408&amp;" - "&amp;K408</f>
        <v xml:space="preserve"> - </v>
      </c>
      <c r="O408" t="str">
        <f>IF($J408&gt;$K408,"Green","Red")</f>
        <v>Red</v>
      </c>
      <c r="P408" t="str">
        <f>IF($J408=$K408,"Green","Red")</f>
        <v>Green</v>
      </c>
      <c r="Q408" t="str">
        <f>IF($J408&lt;$K408,"Green","Red")</f>
        <v>Red</v>
      </c>
      <c r="R408" t="str">
        <f>IF($J408&gt;=$K408,"Green","Red")</f>
        <v>Green</v>
      </c>
      <c r="S408" t="str">
        <f>IF($J408&lt;=$K408,"Green","Red")</f>
        <v>Green</v>
      </c>
      <c r="T408" t="str">
        <f>IF(OR($J408&gt;$K408,$J408&lt;$K408),"Green","Red")</f>
        <v>Red</v>
      </c>
      <c r="U408" t="str">
        <f>IF($H408&gt;$I408,"Green","Red")</f>
        <v>Red</v>
      </c>
      <c r="V408" t="str">
        <f>IF($H408=$I408,"Green","Red")</f>
        <v>Green</v>
      </c>
      <c r="W408" t="str">
        <f>IF($H408&lt;$I408,"Green","Red")</f>
        <v>Red</v>
      </c>
      <c r="X408" t="str">
        <f>IF($H408+$I408&gt;0,"Green","Red")</f>
        <v>Red</v>
      </c>
      <c r="Y408" t="str">
        <f>IF($J408+$K408&gt;1.5,"Green","Red")</f>
        <v>Red</v>
      </c>
      <c r="Z408" t="str">
        <f>IF($J408+$K408&gt;2.5,"Green","Red")</f>
        <v>Red</v>
      </c>
      <c r="AA408" t="str">
        <f>IF($J408+$K408&lt;2.5,"Green","Red")</f>
        <v>Green</v>
      </c>
      <c r="AB408" t="str">
        <f>IF($J408+$K408&lt;3.5,"Green","Red")</f>
        <v>Green</v>
      </c>
      <c r="AC408" t="str">
        <f>IF(AND($J408&gt;0,$K408&gt;0),"Green","Red")</f>
        <v>Red</v>
      </c>
      <c r="AD408" t="str">
        <f>IF(OR($J408=0,$K408=0),"Green","Red")</f>
        <v>Green</v>
      </c>
    </row>
    <row r="409" spans="1:30" x14ac:dyDescent="0.2">
      <c r="A409" t="str">
        <f>L409&amp;F409&amp;G409</f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>DAY(D409)&amp;"/"&amp;"07"&amp;"/"&amp;YEAR(D409)</f>
        <v>22/07/2026</v>
      </c>
      <c r="M409" s="23">
        <f>E409-TIME(3,0,0)</f>
        <v>0.70833333333333337</v>
      </c>
      <c r="N409" t="str">
        <f>J409&amp;" - "&amp;K409</f>
        <v xml:space="preserve"> - </v>
      </c>
      <c r="O409" t="str">
        <f>IF($J409&gt;$K409,"Green","Red")</f>
        <v>Red</v>
      </c>
      <c r="P409" t="str">
        <f>IF($J409=$K409,"Green","Red")</f>
        <v>Green</v>
      </c>
      <c r="Q409" t="str">
        <f>IF($J409&lt;$K409,"Green","Red")</f>
        <v>Red</v>
      </c>
      <c r="R409" t="str">
        <f>IF($J409&gt;=$K409,"Green","Red")</f>
        <v>Green</v>
      </c>
      <c r="S409" t="str">
        <f>IF($J409&lt;=$K409,"Green","Red")</f>
        <v>Green</v>
      </c>
      <c r="T409" t="str">
        <f>IF(OR($J409&gt;$K409,$J409&lt;$K409),"Green","Red")</f>
        <v>Red</v>
      </c>
      <c r="U409" t="str">
        <f>IF($H409&gt;$I409,"Green","Red")</f>
        <v>Red</v>
      </c>
      <c r="V409" t="str">
        <f>IF($H409=$I409,"Green","Red")</f>
        <v>Green</v>
      </c>
      <c r="W409" t="str">
        <f>IF($H409&lt;$I409,"Green","Red")</f>
        <v>Red</v>
      </c>
      <c r="X409" t="str">
        <f>IF($H409+$I409&gt;0,"Green","Red")</f>
        <v>Red</v>
      </c>
      <c r="Y409" t="str">
        <f>IF($J409+$K409&gt;1.5,"Green","Red")</f>
        <v>Red</v>
      </c>
      <c r="Z409" t="str">
        <f>IF($J409+$K409&gt;2.5,"Green","Red")</f>
        <v>Red</v>
      </c>
      <c r="AA409" t="str">
        <f>IF($J409+$K409&lt;2.5,"Green","Red")</f>
        <v>Green</v>
      </c>
      <c r="AB409" t="str">
        <f>IF($J409+$K409&lt;3.5,"Green","Red")</f>
        <v>Green</v>
      </c>
      <c r="AC409" t="str">
        <f>IF(AND($J409&gt;0,$K409&gt;0),"Green","Red")</f>
        <v>Red</v>
      </c>
      <c r="AD409" t="str">
        <f>IF(OR($J409=0,$K409=0),"Green","Red")</f>
        <v>Green</v>
      </c>
    </row>
    <row r="410" spans="1:30" x14ac:dyDescent="0.2">
      <c r="A410" t="str">
        <f>L410&amp;F410&amp;G410</f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>DAY(D410)&amp;"/"&amp;"07"&amp;"/"&amp;YEAR(D410)</f>
        <v>22/07/2026</v>
      </c>
      <c r="M410" s="23">
        <f>E410-TIME(3,0,0)</f>
        <v>0.70833333333333337</v>
      </c>
      <c r="N410" t="str">
        <f>J410&amp;" - "&amp;K410</f>
        <v xml:space="preserve"> - </v>
      </c>
      <c r="O410" t="str">
        <f>IF($J410&gt;$K410,"Green","Red")</f>
        <v>Red</v>
      </c>
      <c r="P410" t="str">
        <f>IF($J410=$K410,"Green","Red")</f>
        <v>Green</v>
      </c>
      <c r="Q410" t="str">
        <f>IF($J410&lt;$K410,"Green","Red")</f>
        <v>Red</v>
      </c>
      <c r="R410" t="str">
        <f>IF($J410&gt;=$K410,"Green","Red")</f>
        <v>Green</v>
      </c>
      <c r="S410" t="str">
        <f>IF($J410&lt;=$K410,"Green","Red")</f>
        <v>Green</v>
      </c>
      <c r="T410" t="str">
        <f>IF(OR($J410&gt;$K410,$J410&lt;$K410),"Green","Red")</f>
        <v>Red</v>
      </c>
      <c r="U410" t="str">
        <f>IF($H410&gt;$I410,"Green","Red")</f>
        <v>Red</v>
      </c>
      <c r="V410" t="str">
        <f>IF($H410=$I410,"Green","Red")</f>
        <v>Green</v>
      </c>
      <c r="W410" t="str">
        <f>IF($H410&lt;$I410,"Green","Red")</f>
        <v>Red</v>
      </c>
      <c r="X410" t="str">
        <f>IF($H410+$I410&gt;0,"Green","Red")</f>
        <v>Red</v>
      </c>
      <c r="Y410" t="str">
        <f>IF($J410+$K410&gt;1.5,"Green","Red")</f>
        <v>Red</v>
      </c>
      <c r="Z410" t="str">
        <f>IF($J410+$K410&gt;2.5,"Green","Red")</f>
        <v>Red</v>
      </c>
      <c r="AA410" t="str">
        <f>IF($J410+$K410&lt;2.5,"Green","Red")</f>
        <v>Green</v>
      </c>
      <c r="AB410" t="str">
        <f>IF($J410+$K410&lt;3.5,"Green","Red")</f>
        <v>Green</v>
      </c>
      <c r="AC410" t="str">
        <f>IF(AND($J410&gt;0,$K410&gt;0),"Green","Red")</f>
        <v>Red</v>
      </c>
      <c r="AD410" t="str">
        <f>IF(OR($J410=0,$K410=0),"Green","Red")</f>
        <v>Green</v>
      </c>
    </row>
    <row r="411" spans="1:30" x14ac:dyDescent="0.2">
      <c r="A411" t="str">
        <f>L411&amp;F411&amp;G411</f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>DAY(D411)&amp;"/"&amp;"07"&amp;"/"&amp;YEAR(D411)</f>
        <v>22/07/2026</v>
      </c>
      <c r="M411" s="23">
        <f>E411-TIME(3,0,0)</f>
        <v>0.70833333333333337</v>
      </c>
      <c r="N411" t="str">
        <f>J411&amp;" - "&amp;K411</f>
        <v xml:space="preserve"> - </v>
      </c>
      <c r="O411" t="str">
        <f>IF($J411&gt;$K411,"Green","Red")</f>
        <v>Red</v>
      </c>
      <c r="P411" t="str">
        <f>IF($J411=$K411,"Green","Red")</f>
        <v>Green</v>
      </c>
      <c r="Q411" t="str">
        <f>IF($J411&lt;$K411,"Green","Red")</f>
        <v>Red</v>
      </c>
      <c r="R411" t="str">
        <f>IF($J411&gt;=$K411,"Green","Red")</f>
        <v>Green</v>
      </c>
      <c r="S411" t="str">
        <f>IF($J411&lt;=$K411,"Green","Red")</f>
        <v>Green</v>
      </c>
      <c r="T411" t="str">
        <f>IF(OR($J411&gt;$K411,$J411&lt;$K411),"Green","Red")</f>
        <v>Red</v>
      </c>
      <c r="U411" t="str">
        <f>IF($H411&gt;$I411,"Green","Red")</f>
        <v>Red</v>
      </c>
      <c r="V411" t="str">
        <f>IF($H411=$I411,"Green","Red")</f>
        <v>Green</v>
      </c>
      <c r="W411" t="str">
        <f>IF($H411&lt;$I411,"Green","Red")</f>
        <v>Red</v>
      </c>
      <c r="X411" t="str">
        <f>IF($H411+$I411&gt;0,"Green","Red")</f>
        <v>Red</v>
      </c>
      <c r="Y411" t="str">
        <f>IF($J411+$K411&gt;1.5,"Green","Red")</f>
        <v>Red</v>
      </c>
      <c r="Z411" t="str">
        <f>IF($J411+$K411&gt;2.5,"Green","Red")</f>
        <v>Red</v>
      </c>
      <c r="AA411" t="str">
        <f>IF($J411+$K411&lt;2.5,"Green","Red")</f>
        <v>Green</v>
      </c>
      <c r="AB411" t="str">
        <f>IF($J411+$K411&lt;3.5,"Green","Red")</f>
        <v>Green</v>
      </c>
      <c r="AC411" t="str">
        <f>IF(AND($J411&gt;0,$K411&gt;0),"Green","Red")</f>
        <v>Red</v>
      </c>
      <c r="AD411" t="str">
        <f>IF(OR($J411=0,$K411=0),"Green","Red")</f>
        <v>Green</v>
      </c>
    </row>
    <row r="412" spans="1:30" x14ac:dyDescent="0.2">
      <c r="A412" t="str">
        <f>L412&amp;F412&amp;G412</f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>DAY(D412)&amp;"/"&amp;"07"&amp;"/"&amp;YEAR(D412)</f>
        <v>22/07/2026</v>
      </c>
      <c r="M412" s="23">
        <f>E412-TIME(3,0,0)</f>
        <v>0.70833333333333337</v>
      </c>
      <c r="N412" t="str">
        <f>J412&amp;" - "&amp;K412</f>
        <v xml:space="preserve"> - </v>
      </c>
      <c r="O412" t="str">
        <f>IF($J412&gt;$K412,"Green","Red")</f>
        <v>Red</v>
      </c>
      <c r="P412" t="str">
        <f>IF($J412=$K412,"Green","Red")</f>
        <v>Green</v>
      </c>
      <c r="Q412" t="str">
        <f>IF($J412&lt;$K412,"Green","Red")</f>
        <v>Red</v>
      </c>
      <c r="R412" t="str">
        <f>IF($J412&gt;=$K412,"Green","Red")</f>
        <v>Green</v>
      </c>
      <c r="S412" t="str">
        <f>IF($J412&lt;=$K412,"Green","Red")</f>
        <v>Green</v>
      </c>
      <c r="T412" t="str">
        <f>IF(OR($J412&gt;$K412,$J412&lt;$K412),"Green","Red")</f>
        <v>Red</v>
      </c>
      <c r="U412" t="str">
        <f>IF($H412&gt;$I412,"Green","Red")</f>
        <v>Red</v>
      </c>
      <c r="V412" t="str">
        <f>IF($H412=$I412,"Green","Red")</f>
        <v>Green</v>
      </c>
      <c r="W412" t="str">
        <f>IF($H412&lt;$I412,"Green","Red")</f>
        <v>Red</v>
      </c>
      <c r="X412" t="str">
        <f>IF($H412+$I412&gt;0,"Green","Red")</f>
        <v>Red</v>
      </c>
      <c r="Y412" t="str">
        <f>IF($J412+$K412&gt;1.5,"Green","Red")</f>
        <v>Red</v>
      </c>
      <c r="Z412" t="str">
        <f>IF($J412+$K412&gt;2.5,"Green","Red")</f>
        <v>Red</v>
      </c>
      <c r="AA412" t="str">
        <f>IF($J412+$K412&lt;2.5,"Green","Red")</f>
        <v>Green</v>
      </c>
      <c r="AB412" t="str">
        <f>IF($J412+$K412&lt;3.5,"Green","Red")</f>
        <v>Green</v>
      </c>
      <c r="AC412" t="str">
        <f>IF(AND($J412&gt;0,$K412&gt;0),"Green","Red")</f>
        <v>Red</v>
      </c>
      <c r="AD412" t="str">
        <f>IF(OR($J412=0,$K412=0),"Green","Red")</f>
        <v>Green</v>
      </c>
    </row>
    <row r="413" spans="1:30" x14ac:dyDescent="0.2">
      <c r="A413" t="str">
        <f>L413&amp;F413&amp;G413</f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>DAY(D413)&amp;"/"&amp;"07"&amp;"/"&amp;YEAR(D413)</f>
        <v>22/07/2026</v>
      </c>
      <c r="M413" s="23">
        <f>E413-TIME(3,0,0)</f>
        <v>0.71875</v>
      </c>
      <c r="N413" t="str">
        <f>J413&amp;" - "&amp;K413</f>
        <v>12 - 0</v>
      </c>
      <c r="O413" t="str">
        <f>IF($J413&gt;$K413,"Green","Red")</f>
        <v>Green</v>
      </c>
      <c r="P413" t="str">
        <f>IF($J413=$K413,"Green","Red")</f>
        <v>Red</v>
      </c>
      <c r="Q413" t="str">
        <f>IF($J413&lt;$K413,"Green","Red")</f>
        <v>Red</v>
      </c>
      <c r="R413" t="str">
        <f>IF($J413&gt;=$K413,"Green","Red")</f>
        <v>Green</v>
      </c>
      <c r="S413" t="str">
        <f>IF($J413&lt;=$K413,"Green","Red")</f>
        <v>Red</v>
      </c>
      <c r="T413" t="str">
        <f>IF(OR($J413&gt;$K413,$J413&lt;$K413),"Green","Red")</f>
        <v>Green</v>
      </c>
      <c r="U413" t="str">
        <f>IF($H413&gt;$I413,"Green","Red")</f>
        <v>Red</v>
      </c>
      <c r="V413" t="str">
        <f>IF($H413=$I413,"Green","Red")</f>
        <v>Green</v>
      </c>
      <c r="W413" t="str">
        <f>IF($H413&lt;$I413,"Green","Red")</f>
        <v>Red</v>
      </c>
      <c r="X413" t="str">
        <f>IF($H413+$I413&gt;0,"Green","Red")</f>
        <v>Red</v>
      </c>
      <c r="Y413" t="str">
        <f>IF($J413+$K413&gt;1.5,"Green","Red")</f>
        <v>Green</v>
      </c>
      <c r="Z413" t="str">
        <f>IF($J413+$K413&gt;2.5,"Green","Red")</f>
        <v>Green</v>
      </c>
      <c r="AA413" t="str">
        <f>IF($J413+$K413&lt;2.5,"Green","Red")</f>
        <v>Red</v>
      </c>
      <c r="AB413" t="str">
        <f>IF($J413+$K413&lt;3.5,"Green","Red")</f>
        <v>Red</v>
      </c>
      <c r="AC413" t="str">
        <f>IF(AND($J413&gt;0,$K413&gt;0),"Green","Red")</f>
        <v>Red</v>
      </c>
      <c r="AD413" t="str">
        <f>IF(OR($J413=0,$K413=0),"Green","Red")</f>
        <v>Green</v>
      </c>
    </row>
    <row r="414" spans="1:30" x14ac:dyDescent="0.2">
      <c r="A414" t="str">
        <f>L414&amp;F414&amp;G414</f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>DAY(D414)&amp;"/"&amp;"07"&amp;"/"&amp;YEAR(D414)</f>
        <v>22/07/2026</v>
      </c>
      <c r="M414" s="23">
        <f>E414-TIME(3,0,0)</f>
        <v>0.72916666666666663</v>
      </c>
      <c r="N414" t="str">
        <f>J414&amp;" - "&amp;K414</f>
        <v>0 - 0</v>
      </c>
      <c r="O414" t="str">
        <f>IF($J414&gt;$K414,"Green","Red")</f>
        <v>Red</v>
      </c>
      <c r="P414" t="str">
        <f>IF($J414=$K414,"Green","Red")</f>
        <v>Green</v>
      </c>
      <c r="Q414" t="str">
        <f>IF($J414&lt;$K414,"Green","Red")</f>
        <v>Red</v>
      </c>
      <c r="R414" t="str">
        <f>IF($J414&gt;=$K414,"Green","Red")</f>
        <v>Green</v>
      </c>
      <c r="S414" t="str">
        <f>IF($J414&lt;=$K414,"Green","Red")</f>
        <v>Green</v>
      </c>
      <c r="T414" t="str">
        <f>IF(OR($J414&gt;$K414,$J414&lt;$K414),"Green","Red")</f>
        <v>Red</v>
      </c>
      <c r="U414" t="str">
        <f>IF($H414&gt;$I414,"Green","Red")</f>
        <v>Red</v>
      </c>
      <c r="V414" t="str">
        <f>IF($H414=$I414,"Green","Red")</f>
        <v>Green</v>
      </c>
      <c r="W414" t="str">
        <f>IF($H414&lt;$I414,"Green","Red")</f>
        <v>Red</v>
      </c>
      <c r="X414" t="str">
        <f>IF($H414+$I414&gt;0,"Green","Red")</f>
        <v>Red</v>
      </c>
      <c r="Y414" t="str">
        <f>IF($J414+$K414&gt;1.5,"Green","Red")</f>
        <v>Red</v>
      </c>
      <c r="Z414" t="str">
        <f>IF($J414+$K414&gt;2.5,"Green","Red")</f>
        <v>Red</v>
      </c>
      <c r="AA414" t="str">
        <f>IF($J414+$K414&lt;2.5,"Green","Red")</f>
        <v>Green</v>
      </c>
      <c r="AB414" t="str">
        <f>IF($J414+$K414&lt;3.5,"Green","Red")</f>
        <v>Green</v>
      </c>
      <c r="AC414" t="str">
        <f>IF(AND($J414&gt;0,$K414&gt;0),"Green","Red")</f>
        <v>Red</v>
      </c>
      <c r="AD414" t="str">
        <f>IF(OR($J414=0,$K414=0),"Green","Red")</f>
        <v>Green</v>
      </c>
    </row>
    <row r="415" spans="1:30" x14ac:dyDescent="0.2">
      <c r="A415" t="str">
        <f>L415&amp;F415&amp;G415</f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>DAY(D415)&amp;"/"&amp;"07"&amp;"/"&amp;YEAR(D415)</f>
        <v>22/07/2026</v>
      </c>
      <c r="M415" s="23">
        <f>E415-TIME(3,0,0)</f>
        <v>0.75</v>
      </c>
      <c r="N415" t="str">
        <f>J415&amp;" - "&amp;K415</f>
        <v>1 - 3</v>
      </c>
      <c r="O415" t="str">
        <f>IF($J415&gt;$K415,"Green","Red")</f>
        <v>Red</v>
      </c>
      <c r="P415" t="str">
        <f>IF($J415=$K415,"Green","Red")</f>
        <v>Red</v>
      </c>
      <c r="Q415" t="str">
        <f>IF($J415&lt;$K415,"Green","Red")</f>
        <v>Green</v>
      </c>
      <c r="R415" t="str">
        <f>IF($J415&gt;=$K415,"Green","Red")</f>
        <v>Red</v>
      </c>
      <c r="S415" t="str">
        <f>IF($J415&lt;=$K415,"Green","Red")</f>
        <v>Green</v>
      </c>
      <c r="T415" t="str">
        <f>IF(OR($J415&gt;$K415,$J415&lt;$K415),"Green","Red")</f>
        <v>Green</v>
      </c>
      <c r="U415" t="str">
        <f>IF($H415&gt;$I415,"Green","Red")</f>
        <v>Red</v>
      </c>
      <c r="V415" t="str">
        <f>IF($H415=$I415,"Green","Red")</f>
        <v>Green</v>
      </c>
      <c r="W415" t="str">
        <f>IF($H415&lt;$I415,"Green","Red")</f>
        <v>Red</v>
      </c>
      <c r="X415" t="str">
        <f>IF($H415+$I415&gt;0,"Green","Red")</f>
        <v>Green</v>
      </c>
      <c r="Y415" t="str">
        <f>IF($J415+$K415&gt;1.5,"Green","Red")</f>
        <v>Green</v>
      </c>
      <c r="Z415" t="str">
        <f>IF($J415+$K415&gt;2.5,"Green","Red")</f>
        <v>Green</v>
      </c>
      <c r="AA415" t="str">
        <f>IF($J415+$K415&lt;2.5,"Green","Red")</f>
        <v>Red</v>
      </c>
      <c r="AB415" t="str">
        <f>IF($J415+$K415&lt;3.5,"Green","Red")</f>
        <v>Red</v>
      </c>
      <c r="AC415" t="str">
        <f>IF(AND($J415&gt;0,$K415&gt;0),"Green","Red")</f>
        <v>Green</v>
      </c>
      <c r="AD415" t="str">
        <f>IF(OR($J415=0,$K415=0),"Green","Red")</f>
        <v>Red</v>
      </c>
    </row>
    <row r="416" spans="1:30" x14ac:dyDescent="0.2">
      <c r="A416" t="str">
        <f>L416&amp;F416&amp;G416</f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>DAY(D416)&amp;"/"&amp;"07"&amp;"/"&amp;YEAR(D416)</f>
        <v>22/07/2026</v>
      </c>
      <c r="M416" s="23">
        <f>E416-TIME(3,0,0)</f>
        <v>0.77083333333333337</v>
      </c>
      <c r="N416" t="str">
        <f>J416&amp;" - "&amp;K416</f>
        <v>3 - 0</v>
      </c>
      <c r="O416" t="str">
        <f>IF($J416&gt;$K416,"Green","Red")</f>
        <v>Green</v>
      </c>
      <c r="P416" t="str">
        <f>IF($J416=$K416,"Green","Red")</f>
        <v>Red</v>
      </c>
      <c r="Q416" t="str">
        <f>IF($J416&lt;$K416,"Green","Red")</f>
        <v>Red</v>
      </c>
      <c r="R416" t="str">
        <f>IF($J416&gt;=$K416,"Green","Red")</f>
        <v>Green</v>
      </c>
      <c r="S416" t="str">
        <f>IF($J416&lt;=$K416,"Green","Red")</f>
        <v>Red</v>
      </c>
      <c r="T416" t="str">
        <f>IF(OR($J416&gt;$K416,$J416&lt;$K416),"Green","Red")</f>
        <v>Green</v>
      </c>
      <c r="U416" t="str">
        <f>IF($H416&gt;$I416,"Green","Red")</f>
        <v>Green</v>
      </c>
      <c r="V416" t="str">
        <f>IF($H416=$I416,"Green","Red")</f>
        <v>Red</v>
      </c>
      <c r="W416" t="str">
        <f>IF($H416&lt;$I416,"Green","Red")</f>
        <v>Red</v>
      </c>
      <c r="X416" t="str">
        <f>IF($H416+$I416&gt;0,"Green","Red")</f>
        <v>Green</v>
      </c>
      <c r="Y416" t="str">
        <f>IF($J416+$K416&gt;1.5,"Green","Red")</f>
        <v>Green</v>
      </c>
      <c r="Z416" t="str">
        <f>IF($J416+$K416&gt;2.5,"Green","Red")</f>
        <v>Green</v>
      </c>
      <c r="AA416" t="str">
        <f>IF($J416+$K416&lt;2.5,"Green","Red")</f>
        <v>Red</v>
      </c>
      <c r="AB416" t="str">
        <f>IF($J416+$K416&lt;3.5,"Green","Red")</f>
        <v>Green</v>
      </c>
      <c r="AC416" t="str">
        <f>IF(AND($J416&gt;0,$K416&gt;0),"Green","Red")</f>
        <v>Red</v>
      </c>
      <c r="AD416" t="str">
        <f>IF(OR($J416=0,$K416=0),"Green","Red")</f>
        <v>Green</v>
      </c>
    </row>
    <row r="417" spans="1:30" x14ac:dyDescent="0.2">
      <c r="A417" t="str">
        <f>L417&amp;F417&amp;G417</f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>DAY(D417)&amp;"/"&amp;"07"&amp;"/"&amp;YEAR(D417)</f>
        <v>22/07/2026</v>
      </c>
      <c r="M417" s="23">
        <f>E417-TIME(3,0,0)</f>
        <v>0.79166666666666663</v>
      </c>
      <c r="N417" t="str">
        <f>J417&amp;" - "&amp;K417</f>
        <v>2 - 2</v>
      </c>
      <c r="O417" t="str">
        <f>IF($J417&gt;$K417,"Green","Red")</f>
        <v>Red</v>
      </c>
      <c r="P417" t="str">
        <f>IF($J417=$K417,"Green","Red")</f>
        <v>Green</v>
      </c>
      <c r="Q417" t="str">
        <f>IF($J417&lt;$K417,"Green","Red")</f>
        <v>Red</v>
      </c>
      <c r="R417" t="str">
        <f>IF($J417&gt;=$K417,"Green","Red")</f>
        <v>Green</v>
      </c>
      <c r="S417" t="str">
        <f>IF($J417&lt;=$K417,"Green","Red")</f>
        <v>Green</v>
      </c>
      <c r="T417" t="str">
        <f>IF(OR($J417&gt;$K417,$J417&lt;$K417),"Green","Red")</f>
        <v>Red</v>
      </c>
      <c r="U417" t="str">
        <f>IF($H417&gt;$I417,"Green","Red")</f>
        <v>Green</v>
      </c>
      <c r="V417" t="str">
        <f>IF($H417=$I417,"Green","Red")</f>
        <v>Red</v>
      </c>
      <c r="W417" t="str">
        <f>IF($H417&lt;$I417,"Green","Red")</f>
        <v>Red</v>
      </c>
      <c r="X417" t="str">
        <f>IF($H417+$I417&gt;0,"Green","Red")</f>
        <v>Green</v>
      </c>
      <c r="Y417" t="str">
        <f>IF($J417+$K417&gt;1.5,"Green","Red")</f>
        <v>Green</v>
      </c>
      <c r="Z417" t="str">
        <f>IF($J417+$K417&gt;2.5,"Green","Red")</f>
        <v>Green</v>
      </c>
      <c r="AA417" t="str">
        <f>IF($J417+$K417&lt;2.5,"Green","Red")</f>
        <v>Red</v>
      </c>
      <c r="AB417" t="str">
        <f>IF($J417+$K417&lt;3.5,"Green","Red")</f>
        <v>Red</v>
      </c>
      <c r="AC417" t="str">
        <f>IF(AND($J417&gt;0,$K417&gt;0),"Green","Red")</f>
        <v>Green</v>
      </c>
      <c r="AD417" t="str">
        <f>IF(OR($J417=0,$K417=0),"Green","Red")</f>
        <v>Red</v>
      </c>
    </row>
    <row r="418" spans="1:30" x14ac:dyDescent="0.2">
      <c r="A418" t="str">
        <f>L418&amp;F418&amp;G418</f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>DAY(D418)&amp;"/"&amp;"07"&amp;"/"&amp;YEAR(D418)</f>
        <v>22/07/2026</v>
      </c>
      <c r="M418" s="23">
        <f>E418-TIME(3,0,0)</f>
        <v>0.79166666666666663</v>
      </c>
      <c r="N418" t="str">
        <f>J418&amp;" - "&amp;K418</f>
        <v>0 - 0</v>
      </c>
      <c r="O418" t="str">
        <f>IF($J418&gt;$K418,"Green","Red")</f>
        <v>Red</v>
      </c>
      <c r="P418" t="str">
        <f>IF($J418=$K418,"Green","Red")</f>
        <v>Green</v>
      </c>
      <c r="Q418" t="str">
        <f>IF($J418&lt;$K418,"Green","Red")</f>
        <v>Red</v>
      </c>
      <c r="R418" t="str">
        <f>IF($J418&gt;=$K418,"Green","Red")</f>
        <v>Green</v>
      </c>
      <c r="S418" t="str">
        <f>IF($J418&lt;=$K418,"Green","Red")</f>
        <v>Green</v>
      </c>
      <c r="T418" t="str">
        <f>IF(OR($J418&gt;$K418,$J418&lt;$K418),"Green","Red")</f>
        <v>Red</v>
      </c>
      <c r="U418" t="str">
        <f>IF($H418&gt;$I418,"Green","Red")</f>
        <v>Red</v>
      </c>
      <c r="V418" t="str">
        <f>IF($H418=$I418,"Green","Red")</f>
        <v>Green</v>
      </c>
      <c r="W418" t="str">
        <f>IF($H418&lt;$I418,"Green","Red")</f>
        <v>Red</v>
      </c>
      <c r="X418" t="str">
        <f>IF($H418+$I418&gt;0,"Green","Red")</f>
        <v>Red</v>
      </c>
      <c r="Y418" t="str">
        <f>IF($J418+$K418&gt;1.5,"Green","Red")</f>
        <v>Red</v>
      </c>
      <c r="Z418" t="str">
        <f>IF($J418+$K418&gt;2.5,"Green","Red")</f>
        <v>Red</v>
      </c>
      <c r="AA418" t="str">
        <f>IF($J418+$K418&lt;2.5,"Green","Red")</f>
        <v>Green</v>
      </c>
      <c r="AB418" t="str">
        <f>IF($J418+$K418&lt;3.5,"Green","Red")</f>
        <v>Green</v>
      </c>
      <c r="AC418" t="str">
        <f>IF(AND($J418&gt;0,$K418&gt;0),"Green","Red")</f>
        <v>Red</v>
      </c>
      <c r="AD418" t="str">
        <f>IF(OR($J418=0,$K418=0),"Green","Red")</f>
        <v>Green</v>
      </c>
    </row>
    <row r="419" spans="1:30" x14ac:dyDescent="0.2">
      <c r="A419" t="str">
        <f>L419&amp;F419&amp;G419</f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>DAY(D419)&amp;"/"&amp;"07"&amp;"/"&amp;YEAR(D419)</f>
        <v>22/07/2026</v>
      </c>
      <c r="M419" s="23">
        <f>E419-TIME(3,0,0)</f>
        <v>0.79166666666666663</v>
      </c>
      <c r="N419" t="str">
        <f>J419&amp;" - "&amp;K419</f>
        <v>0 - 2</v>
      </c>
      <c r="O419" t="str">
        <f>IF($J419&gt;$K419,"Green","Red")</f>
        <v>Red</v>
      </c>
      <c r="P419" t="str">
        <f>IF($J419=$K419,"Green","Red")</f>
        <v>Red</v>
      </c>
      <c r="Q419" t="str">
        <f>IF($J419&lt;$K419,"Green","Red")</f>
        <v>Green</v>
      </c>
      <c r="R419" t="str">
        <f>IF($J419&gt;=$K419,"Green","Red")</f>
        <v>Red</v>
      </c>
      <c r="S419" t="str">
        <f>IF($J419&lt;=$K419,"Green","Red")</f>
        <v>Green</v>
      </c>
      <c r="T419" t="str">
        <f>IF(OR($J419&gt;$K419,$J419&lt;$K419),"Green","Red")</f>
        <v>Green</v>
      </c>
      <c r="U419" t="str">
        <f>IF($H419&gt;$I419,"Green","Red")</f>
        <v>Red</v>
      </c>
      <c r="V419" t="str">
        <f>IF($H419=$I419,"Green","Red")</f>
        <v>Green</v>
      </c>
      <c r="W419" t="str">
        <f>IF($H419&lt;$I419,"Green","Red")</f>
        <v>Red</v>
      </c>
      <c r="X419" t="str">
        <f>IF($H419+$I419&gt;0,"Green","Red")</f>
        <v>Red</v>
      </c>
      <c r="Y419" t="str">
        <f>IF($J419+$K419&gt;1.5,"Green","Red")</f>
        <v>Green</v>
      </c>
      <c r="Z419" t="str">
        <f>IF($J419+$K419&gt;2.5,"Green","Red")</f>
        <v>Red</v>
      </c>
      <c r="AA419" t="str">
        <f>IF($J419+$K419&lt;2.5,"Green","Red")</f>
        <v>Green</v>
      </c>
      <c r="AB419" t="str">
        <f>IF($J419+$K419&lt;3.5,"Green","Red")</f>
        <v>Green</v>
      </c>
      <c r="AC419" t="str">
        <f>IF(AND($J419&gt;0,$K419&gt;0),"Green","Red")</f>
        <v>Red</v>
      </c>
      <c r="AD419" t="str">
        <f>IF(OR($J419=0,$K419=0),"Green","Red")</f>
        <v>Green</v>
      </c>
    </row>
    <row r="420" spans="1:30" x14ac:dyDescent="0.2">
      <c r="A420" t="str">
        <f>L420&amp;F420&amp;G420</f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>DAY(D420)&amp;"/"&amp;"07"&amp;"/"&amp;YEAR(D420)</f>
        <v>22/07/2026</v>
      </c>
      <c r="M420" s="23">
        <f>E420-TIME(3,0,0)</f>
        <v>0.8125</v>
      </c>
      <c r="N420" t="str">
        <f>J420&amp;" - "&amp;K420</f>
        <v>1 - 3</v>
      </c>
      <c r="O420" t="str">
        <f>IF($J420&gt;$K420,"Green","Red")</f>
        <v>Red</v>
      </c>
      <c r="P420" t="str">
        <f>IF($J420=$K420,"Green","Red")</f>
        <v>Red</v>
      </c>
      <c r="Q420" t="str">
        <f>IF($J420&lt;$K420,"Green","Red")</f>
        <v>Green</v>
      </c>
      <c r="R420" t="str">
        <f>IF($J420&gt;=$K420,"Green","Red")</f>
        <v>Red</v>
      </c>
      <c r="S420" t="str">
        <f>IF($J420&lt;=$K420,"Green","Red")</f>
        <v>Green</v>
      </c>
      <c r="T420" t="str">
        <f>IF(OR($J420&gt;$K420,$J420&lt;$K420),"Green","Red")</f>
        <v>Green</v>
      </c>
      <c r="U420" t="str">
        <f>IF($H420&gt;$I420,"Green","Red")</f>
        <v>Red</v>
      </c>
      <c r="V420" t="str">
        <f>IF($H420=$I420,"Green","Red")</f>
        <v>Red</v>
      </c>
      <c r="W420" t="str">
        <f>IF($H420&lt;$I420,"Green","Red")</f>
        <v>Green</v>
      </c>
      <c r="X420" t="str">
        <f>IF($H420+$I420&gt;0,"Green","Red")</f>
        <v>Green</v>
      </c>
      <c r="Y420" t="str">
        <f>IF($J420+$K420&gt;1.5,"Green","Red")</f>
        <v>Green</v>
      </c>
      <c r="Z420" t="str">
        <f>IF($J420+$K420&gt;2.5,"Green","Red")</f>
        <v>Green</v>
      </c>
      <c r="AA420" t="str">
        <f>IF($J420+$K420&lt;2.5,"Green","Red")</f>
        <v>Red</v>
      </c>
      <c r="AB420" t="str">
        <f>IF($J420+$K420&lt;3.5,"Green","Red")</f>
        <v>Red</v>
      </c>
      <c r="AC420" t="str">
        <f>IF(AND($J420&gt;0,$K420&gt;0),"Green","Red")</f>
        <v>Green</v>
      </c>
      <c r="AD420" t="str">
        <f>IF(OR($J420=0,$K420=0),"Green","Red")</f>
        <v>Red</v>
      </c>
    </row>
    <row r="421" spans="1:30" x14ac:dyDescent="0.2">
      <c r="A421" t="str">
        <f>L421&amp;F421&amp;G421</f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>DAY(D421)&amp;"/"&amp;"07"&amp;"/"&amp;YEAR(D421)</f>
        <v>22/07/2026</v>
      </c>
      <c r="M421" s="23">
        <f>E421-TIME(3,0,0)</f>
        <v>0.8125</v>
      </c>
      <c r="N421" t="str">
        <f>J421&amp;" - "&amp;K421</f>
        <v>0 - 1</v>
      </c>
      <c r="O421" t="str">
        <f>IF($J421&gt;$K421,"Green","Red")</f>
        <v>Red</v>
      </c>
      <c r="P421" t="str">
        <f>IF($J421=$K421,"Green","Red")</f>
        <v>Red</v>
      </c>
      <c r="Q421" t="str">
        <f>IF($J421&lt;$K421,"Green","Red")</f>
        <v>Green</v>
      </c>
      <c r="R421" t="str">
        <f>IF($J421&gt;=$K421,"Green","Red")</f>
        <v>Red</v>
      </c>
      <c r="S421" t="str">
        <f>IF($J421&lt;=$K421,"Green","Red")</f>
        <v>Green</v>
      </c>
      <c r="T421" t="str">
        <f>IF(OR($J421&gt;$K421,$J421&lt;$K421),"Green","Red")</f>
        <v>Green</v>
      </c>
      <c r="U421" t="str">
        <f>IF($H421&gt;$I421,"Green","Red")</f>
        <v>Red</v>
      </c>
      <c r="V421" t="str">
        <f>IF($H421=$I421,"Green","Red")</f>
        <v>Red</v>
      </c>
      <c r="W421" t="str">
        <f>IF($H421&lt;$I421,"Green","Red")</f>
        <v>Green</v>
      </c>
      <c r="X421" t="str">
        <f>IF($H421+$I421&gt;0,"Green","Red")</f>
        <v>Green</v>
      </c>
      <c r="Y421" t="str">
        <f>IF($J421+$K421&gt;1.5,"Green","Red")</f>
        <v>Red</v>
      </c>
      <c r="Z421" t="str">
        <f>IF($J421+$K421&gt;2.5,"Green","Red")</f>
        <v>Red</v>
      </c>
      <c r="AA421" t="str">
        <f>IF($J421+$K421&lt;2.5,"Green","Red")</f>
        <v>Green</v>
      </c>
      <c r="AB421" t="str">
        <f>IF($J421+$K421&lt;3.5,"Green","Red")</f>
        <v>Green</v>
      </c>
      <c r="AC421" t="str">
        <f>IF(AND($J421&gt;0,$K421&gt;0),"Green","Red")</f>
        <v>Red</v>
      </c>
      <c r="AD421" t="str">
        <f>IF(OR($J421=0,$K421=0),"Green","Red")</f>
        <v>Green</v>
      </c>
    </row>
    <row r="422" spans="1:30" x14ac:dyDescent="0.2">
      <c r="A422" t="str">
        <f>L422&amp;F422&amp;G422</f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>DAY(D422)&amp;"/"&amp;"07"&amp;"/"&amp;YEAR(D422)</f>
        <v>22/07/2026</v>
      </c>
      <c r="M422" s="23">
        <f>E422-TIME(3,0,0)</f>
        <v>0.8125</v>
      </c>
      <c r="N422" t="str">
        <f>J422&amp;" - "&amp;K422</f>
        <v>3 - 2</v>
      </c>
      <c r="O422" t="str">
        <f>IF($J422&gt;$K422,"Green","Red")</f>
        <v>Green</v>
      </c>
      <c r="P422" t="str">
        <f>IF($J422=$K422,"Green","Red")</f>
        <v>Red</v>
      </c>
      <c r="Q422" t="str">
        <f>IF($J422&lt;$K422,"Green","Red")</f>
        <v>Red</v>
      </c>
      <c r="R422" t="str">
        <f>IF($J422&gt;=$K422,"Green","Red")</f>
        <v>Green</v>
      </c>
      <c r="S422" t="str">
        <f>IF($J422&lt;=$K422,"Green","Red")</f>
        <v>Red</v>
      </c>
      <c r="T422" t="str">
        <f>IF(OR($J422&gt;$K422,$J422&lt;$K422),"Green","Red")</f>
        <v>Green</v>
      </c>
      <c r="U422" t="str">
        <f>IF($H422&gt;$I422,"Green","Red")</f>
        <v>Red</v>
      </c>
      <c r="V422" t="str">
        <f>IF($H422=$I422,"Green","Red")</f>
        <v>Green</v>
      </c>
      <c r="W422" t="str">
        <f>IF($H422&lt;$I422,"Green","Red")</f>
        <v>Red</v>
      </c>
      <c r="X422" t="str">
        <f>IF($H422+$I422&gt;0,"Green","Red")</f>
        <v>Green</v>
      </c>
      <c r="Y422" t="str">
        <f>IF($J422+$K422&gt;1.5,"Green","Red")</f>
        <v>Green</v>
      </c>
      <c r="Z422" t="str">
        <f>IF($J422+$K422&gt;2.5,"Green","Red")</f>
        <v>Green</v>
      </c>
      <c r="AA422" t="str">
        <f>IF($J422+$K422&lt;2.5,"Green","Red")</f>
        <v>Red</v>
      </c>
      <c r="AB422" t="str">
        <f>IF($J422+$K422&lt;3.5,"Green","Red")</f>
        <v>Red</v>
      </c>
      <c r="AC422" t="str">
        <f>IF(AND($J422&gt;0,$K422&gt;0),"Green","Red")</f>
        <v>Green</v>
      </c>
      <c r="AD422" t="str">
        <f>IF(OR($J422=0,$K422=0),"Green","Red")</f>
        <v>Red</v>
      </c>
    </row>
    <row r="423" spans="1:30" x14ac:dyDescent="0.2">
      <c r="A423" t="str">
        <f>L423&amp;F423&amp;G423</f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>DAY(D423)&amp;"/"&amp;"07"&amp;"/"&amp;YEAR(D423)</f>
        <v>22/07/2026</v>
      </c>
      <c r="M423" s="23">
        <f>E423-TIME(3,0,0)</f>
        <v>0.8125</v>
      </c>
      <c r="N423" t="str">
        <f>J423&amp;" - "&amp;K423</f>
        <v>2 - 0</v>
      </c>
      <c r="O423" t="str">
        <f>IF($J423&gt;$K423,"Green","Red")</f>
        <v>Green</v>
      </c>
      <c r="P423" t="str">
        <f>IF($J423=$K423,"Green","Red")</f>
        <v>Red</v>
      </c>
      <c r="Q423" t="str">
        <f>IF($J423&lt;$K423,"Green","Red")</f>
        <v>Red</v>
      </c>
      <c r="R423" t="str">
        <f>IF($J423&gt;=$K423,"Green","Red")</f>
        <v>Green</v>
      </c>
      <c r="S423" t="str">
        <f>IF($J423&lt;=$K423,"Green","Red")</f>
        <v>Red</v>
      </c>
      <c r="T423" t="str">
        <f>IF(OR($J423&gt;$K423,$J423&lt;$K423),"Green","Red")</f>
        <v>Green</v>
      </c>
      <c r="U423" t="str">
        <f>IF($H423&gt;$I423,"Green","Red")</f>
        <v>Red</v>
      </c>
      <c r="V423" t="str">
        <f>IF($H423=$I423,"Green","Red")</f>
        <v>Green</v>
      </c>
      <c r="W423" t="str">
        <f>IF($H423&lt;$I423,"Green","Red")</f>
        <v>Red</v>
      </c>
      <c r="X423" t="str">
        <f>IF($H423+$I423&gt;0,"Green","Red")</f>
        <v>Red</v>
      </c>
      <c r="Y423" t="str">
        <f>IF($J423+$K423&gt;1.5,"Green","Red")</f>
        <v>Green</v>
      </c>
      <c r="Z423" t="str">
        <f>IF($J423+$K423&gt;2.5,"Green","Red")</f>
        <v>Red</v>
      </c>
      <c r="AA423" t="str">
        <f>IF($J423+$K423&lt;2.5,"Green","Red")</f>
        <v>Green</v>
      </c>
      <c r="AB423" t="str">
        <f>IF($J423+$K423&lt;3.5,"Green","Red")</f>
        <v>Green</v>
      </c>
      <c r="AC423" t="str">
        <f>IF(AND($J423&gt;0,$K423&gt;0),"Green","Red")</f>
        <v>Red</v>
      </c>
      <c r="AD423" t="str">
        <f>IF(OR($J423=0,$K423=0),"Green","Red")</f>
        <v>Green</v>
      </c>
    </row>
    <row r="424" spans="1:30" x14ac:dyDescent="0.2">
      <c r="A424" t="str">
        <f>L424&amp;F424&amp;G424</f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>DAY(D424)&amp;"/"&amp;"07"&amp;"/"&amp;YEAR(D424)</f>
        <v>22/07/2026</v>
      </c>
      <c r="M424" s="23">
        <f>E424-TIME(3,0,0)</f>
        <v>0.8125</v>
      </c>
      <c r="N424" t="str">
        <f>J424&amp;" - "&amp;K424</f>
        <v>2 - 1</v>
      </c>
      <c r="O424" t="str">
        <f>IF($J424&gt;$K424,"Green","Red")</f>
        <v>Green</v>
      </c>
      <c r="P424" t="str">
        <f>IF($J424=$K424,"Green","Red")</f>
        <v>Red</v>
      </c>
      <c r="Q424" t="str">
        <f>IF($J424&lt;$K424,"Green","Red")</f>
        <v>Red</v>
      </c>
      <c r="R424" t="str">
        <f>IF($J424&gt;=$K424,"Green","Red")</f>
        <v>Green</v>
      </c>
      <c r="S424" t="str">
        <f>IF($J424&lt;=$K424,"Green","Red")</f>
        <v>Red</v>
      </c>
      <c r="T424" t="str">
        <f>IF(OR($J424&gt;$K424,$J424&lt;$K424),"Green","Red")</f>
        <v>Green</v>
      </c>
      <c r="U424" t="str">
        <f>IF($H424&gt;$I424,"Green","Red")</f>
        <v>Red</v>
      </c>
      <c r="V424" t="str">
        <f>IF($H424=$I424,"Green","Red")</f>
        <v>Green</v>
      </c>
      <c r="W424" t="str">
        <f>IF($H424&lt;$I424,"Green","Red")</f>
        <v>Red</v>
      </c>
      <c r="X424" t="str">
        <f>IF($H424+$I424&gt;0,"Green","Red")</f>
        <v>Red</v>
      </c>
      <c r="Y424" t="str">
        <f>IF($J424+$K424&gt;1.5,"Green","Red")</f>
        <v>Green</v>
      </c>
      <c r="Z424" t="str">
        <f>IF($J424+$K424&gt;2.5,"Green","Red")</f>
        <v>Green</v>
      </c>
      <c r="AA424" t="str">
        <f>IF($J424+$K424&lt;2.5,"Green","Red")</f>
        <v>Red</v>
      </c>
      <c r="AB424" t="str">
        <f>IF($J424+$K424&lt;3.5,"Green","Red")</f>
        <v>Green</v>
      </c>
      <c r="AC424" t="str">
        <f>IF(AND($J424&gt;0,$K424&gt;0),"Green","Red")</f>
        <v>Green</v>
      </c>
      <c r="AD424" t="str">
        <f>IF(OR($J424=0,$K424=0),"Green","Red")</f>
        <v>Red</v>
      </c>
    </row>
    <row r="425" spans="1:30" x14ac:dyDescent="0.2">
      <c r="A425" t="str">
        <f>L425&amp;F425&amp;G425</f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>DAY(D425)&amp;"/"&amp;"07"&amp;"/"&amp;YEAR(D425)</f>
        <v>22/07/2026</v>
      </c>
      <c r="M425" s="23">
        <f>E425-TIME(3,0,0)</f>
        <v>0.8125</v>
      </c>
      <c r="N425" t="str">
        <f>J425&amp;" - "&amp;K425</f>
        <v>4 - 0</v>
      </c>
      <c r="O425" t="str">
        <f>IF($J425&gt;$K425,"Green","Red")</f>
        <v>Green</v>
      </c>
      <c r="P425" t="str">
        <f>IF($J425=$K425,"Green","Red")</f>
        <v>Red</v>
      </c>
      <c r="Q425" t="str">
        <f>IF($J425&lt;$K425,"Green","Red")</f>
        <v>Red</v>
      </c>
      <c r="R425" t="str">
        <f>IF($J425&gt;=$K425,"Green","Red")</f>
        <v>Green</v>
      </c>
      <c r="S425" t="str">
        <f>IF($J425&lt;=$K425,"Green","Red")</f>
        <v>Red</v>
      </c>
      <c r="T425" t="str">
        <f>IF(OR($J425&gt;$K425,$J425&lt;$K425),"Green","Red")</f>
        <v>Green</v>
      </c>
      <c r="U425" t="str">
        <f>IF($H425&gt;$I425,"Green","Red")</f>
        <v>Green</v>
      </c>
      <c r="V425" t="str">
        <f>IF($H425=$I425,"Green","Red")</f>
        <v>Red</v>
      </c>
      <c r="W425" t="str">
        <f>IF($H425&lt;$I425,"Green","Red")</f>
        <v>Red</v>
      </c>
      <c r="X425" t="str">
        <f>IF($H425+$I425&gt;0,"Green","Red")</f>
        <v>Green</v>
      </c>
      <c r="Y425" t="str">
        <f>IF($J425+$K425&gt;1.5,"Green","Red")</f>
        <v>Green</v>
      </c>
      <c r="Z425" t="str">
        <f>IF($J425+$K425&gt;2.5,"Green","Red")</f>
        <v>Green</v>
      </c>
      <c r="AA425" t="str">
        <f>IF($J425+$K425&lt;2.5,"Green","Red")</f>
        <v>Red</v>
      </c>
      <c r="AB425" t="str">
        <f>IF($J425+$K425&lt;3.5,"Green","Red")</f>
        <v>Red</v>
      </c>
      <c r="AC425" t="str">
        <f>IF(AND($J425&gt;0,$K425&gt;0),"Green","Red")</f>
        <v>Red</v>
      </c>
      <c r="AD425" t="str">
        <f>IF(OR($J425=0,$K425=0),"Green","Red")</f>
        <v>Green</v>
      </c>
    </row>
    <row r="426" spans="1:30" x14ac:dyDescent="0.2">
      <c r="A426" t="str">
        <f>L426&amp;F426&amp;G426</f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>DAY(D426)&amp;"/"&amp;"07"&amp;"/"&amp;YEAR(D426)</f>
        <v>22/07/2026</v>
      </c>
      <c r="M426" s="23">
        <f>E426-TIME(3,0,0)</f>
        <v>0.83333333333333337</v>
      </c>
      <c r="N426" t="str">
        <f>J426&amp;" - "&amp;K426</f>
        <v>0 - 0</v>
      </c>
      <c r="O426" t="str">
        <f>IF($J426&gt;$K426,"Green","Red")</f>
        <v>Red</v>
      </c>
      <c r="P426" t="str">
        <f>IF($J426=$K426,"Green","Red")</f>
        <v>Green</v>
      </c>
      <c r="Q426" t="str">
        <f>IF($J426&lt;$K426,"Green","Red")</f>
        <v>Red</v>
      </c>
      <c r="R426" t="str">
        <f>IF($J426&gt;=$K426,"Green","Red")</f>
        <v>Green</v>
      </c>
      <c r="S426" t="str">
        <f>IF($J426&lt;=$K426,"Green","Red")</f>
        <v>Green</v>
      </c>
      <c r="T426" t="str">
        <f>IF(OR($J426&gt;$K426,$J426&lt;$K426),"Green","Red")</f>
        <v>Red</v>
      </c>
      <c r="U426" t="str">
        <f>IF($H426&gt;$I426,"Green","Red")</f>
        <v>Red</v>
      </c>
      <c r="V426" t="str">
        <f>IF($H426=$I426,"Green","Red")</f>
        <v>Green</v>
      </c>
      <c r="W426" t="str">
        <f>IF($H426&lt;$I426,"Green","Red")</f>
        <v>Red</v>
      </c>
      <c r="X426" t="str">
        <f>IF($H426+$I426&gt;0,"Green","Red")</f>
        <v>Red</v>
      </c>
      <c r="Y426" t="str">
        <f>IF($J426+$K426&gt;1.5,"Green","Red")</f>
        <v>Red</v>
      </c>
      <c r="Z426" t="str">
        <f>IF($J426+$K426&gt;2.5,"Green","Red")</f>
        <v>Red</v>
      </c>
      <c r="AA426" t="str">
        <f>IF($J426+$K426&lt;2.5,"Green","Red")</f>
        <v>Green</v>
      </c>
      <c r="AB426" t="str">
        <f>IF($J426+$K426&lt;3.5,"Green","Red")</f>
        <v>Green</v>
      </c>
      <c r="AC426" t="str">
        <f>IF(AND($J426&gt;0,$K426&gt;0),"Green","Red")</f>
        <v>Red</v>
      </c>
      <c r="AD426" t="str">
        <f>IF(OR($J426=0,$K426=0),"Green","Red")</f>
        <v>Green</v>
      </c>
    </row>
    <row r="427" spans="1:30" x14ac:dyDescent="0.2">
      <c r="A427" t="str">
        <f>L427&amp;F427&amp;G427</f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>DAY(D427)&amp;"/"&amp;"07"&amp;"/"&amp;YEAR(D427)</f>
        <v>22/07/2026</v>
      </c>
      <c r="M427" s="23">
        <f>E427-TIME(3,0,0)</f>
        <v>0.83333333333333337</v>
      </c>
      <c r="N427" t="str">
        <f>J427&amp;" - "&amp;K427</f>
        <v>2 - 0</v>
      </c>
      <c r="O427" t="str">
        <f>IF($J427&gt;$K427,"Green","Red")</f>
        <v>Green</v>
      </c>
      <c r="P427" t="str">
        <f>IF($J427=$K427,"Green","Red")</f>
        <v>Red</v>
      </c>
      <c r="Q427" t="str">
        <f>IF($J427&lt;$K427,"Green","Red")</f>
        <v>Red</v>
      </c>
      <c r="R427" t="str">
        <f>IF($J427&gt;=$K427,"Green","Red")</f>
        <v>Green</v>
      </c>
      <c r="S427" t="str">
        <f>IF($J427&lt;=$K427,"Green","Red")</f>
        <v>Red</v>
      </c>
      <c r="T427" t="str">
        <f>IF(OR($J427&gt;$K427,$J427&lt;$K427),"Green","Red")</f>
        <v>Green</v>
      </c>
      <c r="U427" t="str">
        <f>IF($H427&gt;$I427,"Green","Red")</f>
        <v>Red</v>
      </c>
      <c r="V427" t="str">
        <f>IF($H427=$I427,"Green","Red")</f>
        <v>Green</v>
      </c>
      <c r="W427" t="str">
        <f>IF($H427&lt;$I427,"Green","Red")</f>
        <v>Red</v>
      </c>
      <c r="X427" t="str">
        <f>IF($H427+$I427&gt;0,"Green","Red")</f>
        <v>Red</v>
      </c>
      <c r="Y427" t="str">
        <f>IF($J427+$K427&gt;1.5,"Green","Red")</f>
        <v>Green</v>
      </c>
      <c r="Z427" t="str">
        <f>IF($J427+$K427&gt;2.5,"Green","Red")</f>
        <v>Red</v>
      </c>
      <c r="AA427" t="str">
        <f>IF($J427+$K427&lt;2.5,"Green","Red")</f>
        <v>Green</v>
      </c>
      <c r="AB427" t="str">
        <f>IF($J427+$K427&lt;3.5,"Green","Red")</f>
        <v>Green</v>
      </c>
      <c r="AC427" t="str">
        <f>IF(AND($J427&gt;0,$K427&gt;0),"Green","Red")</f>
        <v>Red</v>
      </c>
      <c r="AD427" t="str">
        <f>IF(OR($J427=0,$K427=0),"Green","Red")</f>
        <v>Green</v>
      </c>
    </row>
    <row r="428" spans="1:30" x14ac:dyDescent="0.2">
      <c r="A428" t="str">
        <f>L428&amp;F428&amp;G428</f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>DAY(D428)&amp;"/"&amp;"07"&amp;"/"&amp;YEAR(D428)</f>
        <v>22/07/2026</v>
      </c>
      <c r="M428" s="23">
        <f>E428-TIME(3,0,0)</f>
        <v>0.83333333333333337</v>
      </c>
      <c r="N428" t="str">
        <f>J428&amp;" - "&amp;K428</f>
        <v>1 - 2</v>
      </c>
      <c r="O428" t="str">
        <f>IF($J428&gt;$K428,"Green","Red")</f>
        <v>Red</v>
      </c>
      <c r="P428" t="str">
        <f>IF($J428=$K428,"Green","Red")</f>
        <v>Red</v>
      </c>
      <c r="Q428" t="str">
        <f>IF($J428&lt;$K428,"Green","Red")</f>
        <v>Green</v>
      </c>
      <c r="R428" t="str">
        <f>IF($J428&gt;=$K428,"Green","Red")</f>
        <v>Red</v>
      </c>
      <c r="S428" t="str">
        <f>IF($J428&lt;=$K428,"Green","Red")</f>
        <v>Green</v>
      </c>
      <c r="T428" t="str">
        <f>IF(OR($J428&gt;$K428,$J428&lt;$K428),"Green","Red")</f>
        <v>Green</v>
      </c>
      <c r="U428" t="str">
        <f>IF($H428&gt;$I428,"Green","Red")</f>
        <v>Red</v>
      </c>
      <c r="V428" t="str">
        <f>IF($H428=$I428,"Green","Red")</f>
        <v>Red</v>
      </c>
      <c r="W428" t="str">
        <f>IF($H428&lt;$I428,"Green","Red")</f>
        <v>Green</v>
      </c>
      <c r="X428" t="str">
        <f>IF($H428+$I428&gt;0,"Green","Red")</f>
        <v>Green</v>
      </c>
      <c r="Y428" t="str">
        <f>IF($J428+$K428&gt;1.5,"Green","Red")</f>
        <v>Green</v>
      </c>
      <c r="Z428" t="str">
        <f>IF($J428+$K428&gt;2.5,"Green","Red")</f>
        <v>Green</v>
      </c>
      <c r="AA428" t="str">
        <f>IF($J428+$K428&lt;2.5,"Green","Red")</f>
        <v>Red</v>
      </c>
      <c r="AB428" t="str">
        <f>IF($J428+$K428&lt;3.5,"Green","Red")</f>
        <v>Green</v>
      </c>
      <c r="AC428" t="str">
        <f>IF(AND($J428&gt;0,$K428&gt;0),"Green","Red")</f>
        <v>Green</v>
      </c>
      <c r="AD428" t="str">
        <f>IF(OR($J428=0,$K428=0),"Green","Red")</f>
        <v>Red</v>
      </c>
    </row>
    <row r="429" spans="1:30" x14ac:dyDescent="0.2">
      <c r="A429" t="str">
        <f>L429&amp;F429&amp;G429</f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>DAY(D429)&amp;"/"&amp;"07"&amp;"/"&amp;YEAR(D429)</f>
        <v>22/07/2026</v>
      </c>
      <c r="M429" s="23">
        <f>E429-TIME(3,0,0)</f>
        <v>0.83333333333333337</v>
      </c>
      <c r="N429" t="str">
        <f>J429&amp;" - "&amp;K429</f>
        <v>3 - 0</v>
      </c>
      <c r="O429" t="str">
        <f>IF($J429&gt;$K429,"Green","Red")</f>
        <v>Green</v>
      </c>
      <c r="P429" t="str">
        <f>IF($J429=$K429,"Green","Red")</f>
        <v>Red</v>
      </c>
      <c r="Q429" t="str">
        <f>IF($J429&lt;$K429,"Green","Red")</f>
        <v>Red</v>
      </c>
      <c r="R429" t="str">
        <f>IF($J429&gt;=$K429,"Green","Red")</f>
        <v>Green</v>
      </c>
      <c r="S429" t="str">
        <f>IF($J429&lt;=$K429,"Green","Red")</f>
        <v>Red</v>
      </c>
      <c r="T429" t="str">
        <f>IF(OR($J429&gt;$K429,$J429&lt;$K429),"Green","Red")</f>
        <v>Green</v>
      </c>
      <c r="U429" t="str">
        <f>IF($H429&gt;$I429,"Green","Red")</f>
        <v>Green</v>
      </c>
      <c r="V429" t="str">
        <f>IF($H429=$I429,"Green","Red")</f>
        <v>Red</v>
      </c>
      <c r="W429" t="str">
        <f>IF($H429&lt;$I429,"Green","Red")</f>
        <v>Red</v>
      </c>
      <c r="X429" t="str">
        <f>IF($H429+$I429&gt;0,"Green","Red")</f>
        <v>Green</v>
      </c>
      <c r="Y429" t="str">
        <f>IF($J429+$K429&gt;1.5,"Green","Red")</f>
        <v>Green</v>
      </c>
      <c r="Z429" t="str">
        <f>IF($J429+$K429&gt;2.5,"Green","Red")</f>
        <v>Green</v>
      </c>
      <c r="AA429" t="str">
        <f>IF($J429+$K429&lt;2.5,"Green","Red")</f>
        <v>Red</v>
      </c>
      <c r="AB429" t="str">
        <f>IF($J429+$K429&lt;3.5,"Green","Red")</f>
        <v>Green</v>
      </c>
      <c r="AC429" t="str">
        <f>IF(AND($J429&gt;0,$K429&gt;0),"Green","Red")</f>
        <v>Red</v>
      </c>
      <c r="AD429" t="str">
        <f>IF(OR($J429=0,$K429=0),"Green","Red")</f>
        <v>Green</v>
      </c>
    </row>
    <row r="430" spans="1:30" x14ac:dyDescent="0.2">
      <c r="A430" t="str">
        <f>L430&amp;F430&amp;G430</f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>DAY(D430)&amp;"/"&amp;"07"&amp;"/"&amp;YEAR(D430)</f>
        <v>22/07/2026</v>
      </c>
      <c r="M430" s="23">
        <f>E430-TIME(3,0,0)</f>
        <v>0.85416666666666663</v>
      </c>
      <c r="N430" t="str">
        <f>J430&amp;" - "&amp;K430</f>
        <v>1 - 1</v>
      </c>
      <c r="O430" t="str">
        <f>IF($J430&gt;$K430,"Green","Red")</f>
        <v>Red</v>
      </c>
      <c r="P430" t="str">
        <f>IF($J430=$K430,"Green","Red")</f>
        <v>Green</v>
      </c>
      <c r="Q430" t="str">
        <f>IF($J430&lt;$K430,"Green","Red")</f>
        <v>Red</v>
      </c>
      <c r="R430" t="str">
        <f>IF($J430&gt;=$K430,"Green","Red")</f>
        <v>Green</v>
      </c>
      <c r="S430" t="str">
        <f>IF($J430&lt;=$K430,"Green","Red")</f>
        <v>Green</v>
      </c>
      <c r="T430" t="str">
        <f>IF(OR($J430&gt;$K430,$J430&lt;$K430),"Green","Red")</f>
        <v>Red</v>
      </c>
      <c r="U430" t="str">
        <f>IF($H430&gt;$I430,"Green","Red")</f>
        <v>Red</v>
      </c>
      <c r="V430" t="str">
        <f>IF($H430=$I430,"Green","Red")</f>
        <v>Red</v>
      </c>
      <c r="W430" t="str">
        <f>IF($H430&lt;$I430,"Green","Red")</f>
        <v>Green</v>
      </c>
      <c r="X430" t="str">
        <f>IF($H430+$I430&gt;0,"Green","Red")</f>
        <v>Green</v>
      </c>
      <c r="Y430" t="str">
        <f>IF($J430+$K430&gt;1.5,"Green","Red")</f>
        <v>Green</v>
      </c>
      <c r="Z430" t="str">
        <f>IF($J430+$K430&gt;2.5,"Green","Red")</f>
        <v>Red</v>
      </c>
      <c r="AA430" t="str">
        <f>IF($J430+$K430&lt;2.5,"Green","Red")</f>
        <v>Green</v>
      </c>
      <c r="AB430" t="str">
        <f>IF($J430+$K430&lt;3.5,"Green","Red")</f>
        <v>Green</v>
      </c>
      <c r="AC430" t="str">
        <f>IF(AND($J430&gt;0,$K430&gt;0),"Green","Red")</f>
        <v>Green</v>
      </c>
      <c r="AD430" t="str">
        <f>IF(OR($J430=0,$K430=0),"Green","Red")</f>
        <v>Red</v>
      </c>
    </row>
    <row r="431" spans="1:30" x14ac:dyDescent="0.2">
      <c r="A431" t="str">
        <f>L431&amp;F431&amp;G431</f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>DAY(D431)&amp;"/"&amp;"07"&amp;"/"&amp;YEAR(D431)</f>
        <v>22/07/2026</v>
      </c>
      <c r="M431" s="23">
        <f>E431-TIME(3,0,0)</f>
        <v>0.85416666666666663</v>
      </c>
      <c r="N431" t="str">
        <f>J431&amp;" - "&amp;K431</f>
        <v>1 - 2</v>
      </c>
      <c r="O431" t="str">
        <f>IF($J431&gt;$K431,"Green","Red")</f>
        <v>Red</v>
      </c>
      <c r="P431" t="str">
        <f>IF($J431=$K431,"Green","Red")</f>
        <v>Red</v>
      </c>
      <c r="Q431" t="str">
        <f>IF($J431&lt;$K431,"Green","Red")</f>
        <v>Green</v>
      </c>
      <c r="R431" t="str">
        <f>IF($J431&gt;=$K431,"Green","Red")</f>
        <v>Red</v>
      </c>
      <c r="S431" t="str">
        <f>IF($J431&lt;=$K431,"Green","Red")</f>
        <v>Green</v>
      </c>
      <c r="T431" t="str">
        <f>IF(OR($J431&gt;$K431,$J431&lt;$K431),"Green","Red")</f>
        <v>Green</v>
      </c>
      <c r="U431" t="str">
        <f>IF($H431&gt;$I431,"Green","Red")</f>
        <v>Red</v>
      </c>
      <c r="V431" t="str">
        <f>IF($H431=$I431,"Green","Red")</f>
        <v>Red</v>
      </c>
      <c r="W431" t="str">
        <f>IF($H431&lt;$I431,"Green","Red")</f>
        <v>Green</v>
      </c>
      <c r="X431" t="str">
        <f>IF($H431+$I431&gt;0,"Green","Red")</f>
        <v>Green</v>
      </c>
      <c r="Y431" t="str">
        <f>IF($J431+$K431&gt;1.5,"Green","Red")</f>
        <v>Green</v>
      </c>
      <c r="Z431" t="str">
        <f>IF($J431+$K431&gt;2.5,"Green","Red")</f>
        <v>Green</v>
      </c>
      <c r="AA431" t="str">
        <f>IF($J431+$K431&lt;2.5,"Green","Red")</f>
        <v>Red</v>
      </c>
      <c r="AB431" t="str">
        <f>IF($J431+$K431&lt;3.5,"Green","Red")</f>
        <v>Green</v>
      </c>
      <c r="AC431" t="str">
        <f>IF(AND($J431&gt;0,$K431&gt;0),"Green","Red")</f>
        <v>Green</v>
      </c>
      <c r="AD431" t="str">
        <f>IF(OR($J431=0,$K431=0),"Green","Red")</f>
        <v>Red</v>
      </c>
    </row>
    <row r="432" spans="1:30" x14ac:dyDescent="0.2">
      <c r="A432" t="str">
        <f>L432&amp;F432&amp;G432</f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>DAY(D432)&amp;"/"&amp;"07"&amp;"/"&amp;YEAR(D432)</f>
        <v>22/07/2026</v>
      </c>
      <c r="M432" s="23">
        <f>E432-TIME(3,0,0)</f>
        <v>0.85416666666666663</v>
      </c>
      <c r="N432" t="str">
        <f>J432&amp;" - "&amp;K432</f>
        <v>4 - 3</v>
      </c>
      <c r="O432" t="str">
        <f>IF($J432&gt;$K432,"Green","Red")</f>
        <v>Green</v>
      </c>
      <c r="P432" t="str">
        <f>IF($J432=$K432,"Green","Red")</f>
        <v>Red</v>
      </c>
      <c r="Q432" t="str">
        <f>IF($J432&lt;$K432,"Green","Red")</f>
        <v>Red</v>
      </c>
      <c r="R432" t="str">
        <f>IF($J432&gt;=$K432,"Green","Red")</f>
        <v>Green</v>
      </c>
      <c r="S432" t="str">
        <f>IF($J432&lt;=$K432,"Green","Red")</f>
        <v>Red</v>
      </c>
      <c r="T432" t="str">
        <f>IF(OR($J432&gt;$K432,$J432&lt;$K432),"Green","Red")</f>
        <v>Green</v>
      </c>
      <c r="U432" t="str">
        <f>IF($H432&gt;$I432,"Green","Red")</f>
        <v>Green</v>
      </c>
      <c r="V432" t="str">
        <f>IF($H432=$I432,"Green","Red")</f>
        <v>Red</v>
      </c>
      <c r="W432" t="str">
        <f>IF($H432&lt;$I432,"Green","Red")</f>
        <v>Red</v>
      </c>
      <c r="X432" t="str">
        <f>IF($H432+$I432&gt;0,"Green","Red")</f>
        <v>Green</v>
      </c>
      <c r="Y432" t="str">
        <f>IF($J432+$K432&gt;1.5,"Green","Red")</f>
        <v>Green</v>
      </c>
      <c r="Z432" t="str">
        <f>IF($J432+$K432&gt;2.5,"Green","Red")</f>
        <v>Green</v>
      </c>
      <c r="AA432" t="str">
        <f>IF($J432+$K432&lt;2.5,"Green","Red")</f>
        <v>Red</v>
      </c>
      <c r="AB432" t="str">
        <f>IF($J432+$K432&lt;3.5,"Green","Red")</f>
        <v>Red</v>
      </c>
      <c r="AC432" t="str">
        <f>IF(AND($J432&gt;0,$K432&gt;0),"Green","Red")</f>
        <v>Green</v>
      </c>
      <c r="AD432" t="str">
        <f>IF(OR($J432=0,$K432=0),"Green","Red")</f>
        <v>Red</v>
      </c>
    </row>
    <row r="433" spans="1:30" x14ac:dyDescent="0.2">
      <c r="A433" t="str">
        <f>L433&amp;F433&amp;G433</f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>DAY(D433)&amp;"/"&amp;"07"&amp;"/"&amp;YEAR(D433)</f>
        <v>22/07/2026</v>
      </c>
      <c r="M433" s="23">
        <f>E433-TIME(3,0,0)</f>
        <v>0.85416666666666663</v>
      </c>
      <c r="N433" t="str">
        <f>J433&amp;" - "&amp;K433</f>
        <v>3 - 2</v>
      </c>
      <c r="O433" t="str">
        <f>IF($J433&gt;$K433,"Green","Red")</f>
        <v>Green</v>
      </c>
      <c r="P433" t="str">
        <f>IF($J433=$K433,"Green","Red")</f>
        <v>Red</v>
      </c>
      <c r="Q433" t="str">
        <f>IF($J433&lt;$K433,"Green","Red")</f>
        <v>Red</v>
      </c>
      <c r="R433" t="str">
        <f>IF($J433&gt;=$K433,"Green","Red")</f>
        <v>Green</v>
      </c>
      <c r="S433" t="str">
        <f>IF($J433&lt;=$K433,"Green","Red")</f>
        <v>Red</v>
      </c>
      <c r="T433" t="str">
        <f>IF(OR($J433&gt;$K433,$J433&lt;$K433),"Green","Red")</f>
        <v>Green</v>
      </c>
      <c r="U433" t="str">
        <f>IF($H433&gt;$I433,"Green","Red")</f>
        <v>Red</v>
      </c>
      <c r="V433" t="str">
        <f>IF($H433=$I433,"Green","Red")</f>
        <v>Green</v>
      </c>
      <c r="W433" t="str">
        <f>IF($H433&lt;$I433,"Green","Red")</f>
        <v>Red</v>
      </c>
      <c r="X433" t="str">
        <f>IF($H433+$I433&gt;0,"Green","Red")</f>
        <v>Green</v>
      </c>
      <c r="Y433" t="str">
        <f>IF($J433+$K433&gt;1.5,"Green","Red")</f>
        <v>Green</v>
      </c>
      <c r="Z433" t="str">
        <f>IF($J433+$K433&gt;2.5,"Green","Red")</f>
        <v>Green</v>
      </c>
      <c r="AA433" t="str">
        <f>IF($J433+$K433&lt;2.5,"Green","Red")</f>
        <v>Red</v>
      </c>
      <c r="AB433" t="str">
        <f>IF($J433+$K433&lt;3.5,"Green","Red")</f>
        <v>Red</v>
      </c>
      <c r="AC433" t="str">
        <f>IF(AND($J433&gt;0,$K433&gt;0),"Green","Red")</f>
        <v>Green</v>
      </c>
      <c r="AD433" t="str">
        <f>IF(OR($J433=0,$K433=0),"Green","Red")</f>
        <v>Red</v>
      </c>
    </row>
    <row r="434" spans="1:30" x14ac:dyDescent="0.2">
      <c r="A434" t="str">
        <f>L434&amp;F434&amp;G434</f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>DAY(D434)&amp;"/"&amp;"07"&amp;"/"&amp;YEAR(D434)</f>
        <v>22/07/2026</v>
      </c>
      <c r="M434" s="23">
        <f>E434-TIME(3,0,0)</f>
        <v>0.85416666666666663</v>
      </c>
      <c r="N434" t="str">
        <f>J434&amp;" - "&amp;K434</f>
        <v>0 - 0</v>
      </c>
      <c r="O434" t="str">
        <f>IF($J434&gt;$K434,"Green","Red")</f>
        <v>Red</v>
      </c>
      <c r="P434" t="str">
        <f>IF($J434=$K434,"Green","Red")</f>
        <v>Green</v>
      </c>
      <c r="Q434" t="str">
        <f>IF($J434&lt;$K434,"Green","Red")</f>
        <v>Red</v>
      </c>
      <c r="R434" t="str">
        <f>IF($J434&gt;=$K434,"Green","Red")</f>
        <v>Green</v>
      </c>
      <c r="S434" t="str">
        <f>IF($J434&lt;=$K434,"Green","Red")</f>
        <v>Green</v>
      </c>
      <c r="T434" t="str">
        <f>IF(OR($J434&gt;$K434,$J434&lt;$K434),"Green","Red")</f>
        <v>Red</v>
      </c>
      <c r="U434" t="str">
        <f>IF($H434&gt;$I434,"Green","Red")</f>
        <v>Red</v>
      </c>
      <c r="V434" t="str">
        <f>IF($H434=$I434,"Green","Red")</f>
        <v>Green</v>
      </c>
      <c r="W434" t="str">
        <f>IF($H434&lt;$I434,"Green","Red")</f>
        <v>Red</v>
      </c>
      <c r="X434" t="str">
        <f>IF($H434+$I434&gt;0,"Green","Red")</f>
        <v>Red</v>
      </c>
      <c r="Y434" t="str">
        <f>IF($J434+$K434&gt;1.5,"Green","Red")</f>
        <v>Red</v>
      </c>
      <c r="Z434" t="str">
        <f>IF($J434+$K434&gt;2.5,"Green","Red")</f>
        <v>Red</v>
      </c>
      <c r="AA434" t="str">
        <f>IF($J434+$K434&lt;2.5,"Green","Red")</f>
        <v>Green</v>
      </c>
      <c r="AB434" t="str">
        <f>IF($J434+$K434&lt;3.5,"Green","Red")</f>
        <v>Green</v>
      </c>
      <c r="AC434" t="str">
        <f>IF(AND($J434&gt;0,$K434&gt;0),"Green","Red")</f>
        <v>Red</v>
      </c>
      <c r="AD434" t="str">
        <f>IF(OR($J434=0,$K434=0),"Green","Red")</f>
        <v>Green</v>
      </c>
    </row>
    <row r="435" spans="1:30" x14ac:dyDescent="0.2">
      <c r="A435" t="str">
        <f>L435&amp;F435&amp;G435</f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>DAY(D435)&amp;"/"&amp;"07"&amp;"/"&amp;YEAR(D435)</f>
        <v>22/07/2026</v>
      </c>
      <c r="M435" s="23">
        <f>E435-TIME(3,0,0)</f>
        <v>0.85416666666666663</v>
      </c>
      <c r="N435" t="str">
        <f>J435&amp;" - "&amp;K435</f>
        <v>3 - 1</v>
      </c>
      <c r="O435" t="str">
        <f>IF($J435&gt;$K435,"Green","Red")</f>
        <v>Green</v>
      </c>
      <c r="P435" t="str">
        <f>IF($J435=$K435,"Green","Red")</f>
        <v>Red</v>
      </c>
      <c r="Q435" t="str">
        <f>IF($J435&lt;$K435,"Green","Red")</f>
        <v>Red</v>
      </c>
      <c r="R435" t="str">
        <f>IF($J435&gt;=$K435,"Green","Red")</f>
        <v>Green</v>
      </c>
      <c r="S435" t="str">
        <f>IF($J435&lt;=$K435,"Green","Red")</f>
        <v>Red</v>
      </c>
      <c r="T435" t="str">
        <f>IF(OR($J435&gt;$K435,$J435&lt;$K435),"Green","Red")</f>
        <v>Green</v>
      </c>
      <c r="U435" t="str">
        <f>IF($H435&gt;$I435,"Green","Red")</f>
        <v>Red</v>
      </c>
      <c r="V435" t="str">
        <f>IF($H435=$I435,"Green","Red")</f>
        <v>Green</v>
      </c>
      <c r="W435" t="str">
        <f>IF($H435&lt;$I435,"Green","Red")</f>
        <v>Red</v>
      </c>
      <c r="X435" t="str">
        <f>IF($H435+$I435&gt;0,"Green","Red")</f>
        <v>Green</v>
      </c>
      <c r="Y435" t="str">
        <f>IF($J435+$K435&gt;1.5,"Green","Red")</f>
        <v>Green</v>
      </c>
      <c r="Z435" t="str">
        <f>IF($J435+$K435&gt;2.5,"Green","Red")</f>
        <v>Green</v>
      </c>
      <c r="AA435" t="str">
        <f>IF($J435+$K435&lt;2.5,"Green","Red")</f>
        <v>Red</v>
      </c>
      <c r="AB435" t="str">
        <f>IF($J435+$K435&lt;3.5,"Green","Red")</f>
        <v>Red</v>
      </c>
      <c r="AC435" t="str">
        <f>IF(AND($J435&gt;0,$K435&gt;0),"Green","Red")</f>
        <v>Green</v>
      </c>
      <c r="AD435" t="str">
        <f>IF(OR($J435=0,$K435=0),"Green","Red")</f>
        <v>Red</v>
      </c>
    </row>
    <row r="436" spans="1:30" x14ac:dyDescent="0.2">
      <c r="A436" t="str">
        <f>L436&amp;F436&amp;G436</f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>J436&amp;" - "&amp;K436</f>
        <v>1 - 0</v>
      </c>
      <c r="O436" t="str">
        <f>IF($J436&gt;$K436,"Green","Red")</f>
        <v>Green</v>
      </c>
      <c r="P436" t="str">
        <f>IF($J436=$K436,"Green","Red")</f>
        <v>Red</v>
      </c>
      <c r="Q436" t="str">
        <f>IF($J436&lt;$K436,"Green","Red")</f>
        <v>Red</v>
      </c>
      <c r="R436" t="str">
        <f>IF($J436&gt;=$K436,"Green","Red")</f>
        <v>Green</v>
      </c>
      <c r="S436" t="str">
        <f>IF($J436&lt;=$K436,"Green","Red")</f>
        <v>Red</v>
      </c>
      <c r="T436" t="str">
        <f>IF(OR($J436&gt;$K436,$J436&lt;$K436),"Green","Red")</f>
        <v>Green</v>
      </c>
      <c r="U436" t="str">
        <f>IF($H436&gt;$I436,"Green","Red")</f>
        <v>Green</v>
      </c>
      <c r="V436" t="str">
        <f>IF($H436=$I436,"Green","Red")</f>
        <v>Red</v>
      </c>
      <c r="W436" t="str">
        <f>IF($H436&lt;$I436,"Green","Red")</f>
        <v>Red</v>
      </c>
      <c r="X436" t="str">
        <f>IF($H436+$I436&gt;0,"Green","Red")</f>
        <v>Green</v>
      </c>
      <c r="Y436" t="str">
        <f>IF($J436+$K436&gt;1.5,"Green","Red")</f>
        <v>Red</v>
      </c>
      <c r="Z436" t="str">
        <f>IF($J436+$K436&gt;2.5,"Green","Red")</f>
        <v>Red</v>
      </c>
      <c r="AA436" t="str">
        <f>IF($J436+$K436&lt;2.5,"Green","Red")</f>
        <v>Green</v>
      </c>
      <c r="AB436" t="str">
        <f>IF($J436+$K436&lt;3.5,"Green","Red")</f>
        <v>Green</v>
      </c>
      <c r="AC436" t="str">
        <f>IF(AND($J436&gt;0,$K436&gt;0),"Green","Red")</f>
        <v>Red</v>
      </c>
      <c r="AD436" t="str">
        <f>IF(OR($J436=0,$K436=0),"Green","Red")</f>
        <v>Green</v>
      </c>
    </row>
    <row r="437" spans="1:30" x14ac:dyDescent="0.2">
      <c r="A437" t="str">
        <f>L437&amp;F437&amp;G437</f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>J437&amp;" - "&amp;K437</f>
        <v>1 - 1</v>
      </c>
      <c r="O437" t="str">
        <f>IF($J437&gt;$K437,"Green","Red")</f>
        <v>Red</v>
      </c>
      <c r="P437" t="str">
        <f>IF($J437=$K437,"Green","Red")</f>
        <v>Green</v>
      </c>
      <c r="Q437" t="str">
        <f>IF($J437&lt;$K437,"Green","Red")</f>
        <v>Red</v>
      </c>
      <c r="R437" t="str">
        <f>IF($J437&gt;=$K437,"Green","Red")</f>
        <v>Green</v>
      </c>
      <c r="S437" t="str">
        <f>IF($J437&lt;=$K437,"Green","Red")</f>
        <v>Green</v>
      </c>
      <c r="T437" t="str">
        <f>IF(OR($J437&gt;$K437,$J437&lt;$K437),"Green","Red")</f>
        <v>Red</v>
      </c>
      <c r="U437" t="str">
        <f>IF($H437&gt;$I437,"Green","Red")</f>
        <v>Red</v>
      </c>
      <c r="V437" t="str">
        <f>IF($H437=$I437,"Green","Red")</f>
        <v>Red</v>
      </c>
      <c r="W437" t="str">
        <f>IF($H437&lt;$I437,"Green","Red")</f>
        <v>Green</v>
      </c>
      <c r="X437" t="str">
        <f>IF($H437+$I437&gt;0,"Green","Red")</f>
        <v>Green</v>
      </c>
      <c r="Y437" t="str">
        <f>IF($J437+$K437&gt;1.5,"Green","Red")</f>
        <v>Green</v>
      </c>
      <c r="Z437" t="str">
        <f>IF($J437+$K437&gt;2.5,"Green","Red")</f>
        <v>Red</v>
      </c>
      <c r="AA437" t="str">
        <f>IF($J437+$K437&lt;2.5,"Green","Red")</f>
        <v>Green</v>
      </c>
      <c r="AB437" t="str">
        <f>IF($J437+$K437&lt;3.5,"Green","Red")</f>
        <v>Green</v>
      </c>
      <c r="AC437" t="str">
        <f>IF(AND($J437&gt;0,$K437&gt;0),"Green","Red")</f>
        <v>Green</v>
      </c>
      <c r="AD437" t="str">
        <f>IF(OR($J437=0,$K437=0),"Green","Red")</f>
        <v>Red</v>
      </c>
    </row>
    <row r="438" spans="1:30" x14ac:dyDescent="0.2">
      <c r="A438" t="str">
        <f>L438&amp;F438&amp;G438</f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>DAY(D438)-1&amp;"/"&amp;"07"&amp;"/"&amp;YEAR(D438)</f>
        <v>22/07/2026</v>
      </c>
      <c r="M438" s="31">
        <f>E438-TIME(3,0,0)+TIME(12,0,0)+TIME(12,0,0)</f>
        <v>0.88541666666666674</v>
      </c>
      <c r="N438" t="str">
        <f>J438&amp;" - "&amp;K438</f>
        <v>2 - 2</v>
      </c>
      <c r="O438" t="str">
        <f>IF($J438&gt;$K438,"Green","Red")</f>
        <v>Red</v>
      </c>
      <c r="P438" t="str">
        <f>IF($J438=$K438,"Green","Red")</f>
        <v>Green</v>
      </c>
      <c r="Q438" t="str">
        <f>IF($J438&lt;$K438,"Green","Red")</f>
        <v>Red</v>
      </c>
      <c r="R438" t="str">
        <f>IF($J438&gt;=$K438,"Green","Red")</f>
        <v>Green</v>
      </c>
      <c r="S438" t="str">
        <f>IF($J438&lt;=$K438,"Green","Red")</f>
        <v>Green</v>
      </c>
      <c r="T438" t="str">
        <f>IF(OR($J438&gt;$K438,$J438&lt;$K438),"Green","Red")</f>
        <v>Red</v>
      </c>
      <c r="U438" t="str">
        <f>IF($H438&gt;$I438,"Green","Red")</f>
        <v>Green</v>
      </c>
      <c r="V438" t="str">
        <f>IF($H438=$I438,"Green","Red")</f>
        <v>Red</v>
      </c>
      <c r="W438" t="str">
        <f>IF($H438&lt;$I438,"Green","Red")</f>
        <v>Red</v>
      </c>
      <c r="X438" t="str">
        <f>IF($H438+$I438&gt;0,"Green","Red")</f>
        <v>Green</v>
      </c>
      <c r="Y438" t="str">
        <f>IF($J438+$K438&gt;1.5,"Green","Red")</f>
        <v>Green</v>
      </c>
      <c r="Z438" t="str">
        <f>IF($J438+$K438&gt;2.5,"Green","Red")</f>
        <v>Green</v>
      </c>
      <c r="AA438" t="str">
        <f>IF($J438+$K438&lt;2.5,"Green","Red")</f>
        <v>Red</v>
      </c>
      <c r="AB438" t="str">
        <f>IF($J438+$K438&lt;3.5,"Green","Red")</f>
        <v>Red</v>
      </c>
      <c r="AC438" t="str">
        <f>IF(AND($J438&gt;0,$K438&gt;0),"Green","Red")</f>
        <v>Green</v>
      </c>
      <c r="AD438" t="str">
        <f>IF(OR($J438=0,$K438=0),"Green","Red")</f>
        <v>Red</v>
      </c>
    </row>
    <row r="439" spans="1:30" x14ac:dyDescent="0.2">
      <c r="A439" t="str">
        <f>L439&amp;F439&amp;G439</f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>DAY(D439)-1&amp;"/"&amp;"07"&amp;"/"&amp;YEAR(D439)</f>
        <v>22/07/2026</v>
      </c>
      <c r="M439" s="31">
        <f>E439-TIME(3,0,0)+TIME(12,0,0)+TIME(12,0,0)</f>
        <v>0.89583333333333326</v>
      </c>
      <c r="N439" t="str">
        <f>J439&amp;" - "&amp;K439</f>
        <v>2 - 0</v>
      </c>
      <c r="O439" t="str">
        <f>IF($J439&gt;$K439,"Green","Red")</f>
        <v>Green</v>
      </c>
      <c r="P439" t="str">
        <f>IF($J439=$K439,"Green","Red")</f>
        <v>Red</v>
      </c>
      <c r="Q439" t="str">
        <f>IF($J439&lt;$K439,"Green","Red")</f>
        <v>Red</v>
      </c>
      <c r="R439" t="str">
        <f>IF($J439&gt;=$K439,"Green","Red")</f>
        <v>Green</v>
      </c>
      <c r="S439" t="str">
        <f>IF($J439&lt;=$K439,"Green","Red")</f>
        <v>Red</v>
      </c>
      <c r="T439" t="str">
        <f>IF(OR($J439&gt;$K439,$J439&lt;$K439),"Green","Red")</f>
        <v>Green</v>
      </c>
      <c r="U439" t="str">
        <f>IF($H439&gt;$I439,"Green","Red")</f>
        <v>Green</v>
      </c>
      <c r="V439" t="str">
        <f>IF($H439=$I439,"Green","Red")</f>
        <v>Red</v>
      </c>
      <c r="W439" t="str">
        <f>IF($H439&lt;$I439,"Green","Red")</f>
        <v>Red</v>
      </c>
      <c r="X439" t="str">
        <f>IF($H439+$I439&gt;0,"Green","Red")</f>
        <v>Green</v>
      </c>
      <c r="Y439" t="str">
        <f>IF($J439+$K439&gt;1.5,"Green","Red")</f>
        <v>Green</v>
      </c>
      <c r="Z439" t="str">
        <f>IF($J439+$K439&gt;2.5,"Green","Red")</f>
        <v>Red</v>
      </c>
      <c r="AA439" t="str">
        <f>IF($J439+$K439&lt;2.5,"Green","Red")</f>
        <v>Green</v>
      </c>
      <c r="AB439" t="str">
        <f>IF($J439+$K439&lt;3.5,"Green","Red")</f>
        <v>Green</v>
      </c>
      <c r="AC439" t="str">
        <f>IF(AND($J439&gt;0,$K439&gt;0),"Green","Red")</f>
        <v>Red</v>
      </c>
      <c r="AD439" t="str">
        <f>IF(OR($J439=0,$K439=0),"Green","Red")</f>
        <v>Green</v>
      </c>
    </row>
    <row r="440" spans="1:30" x14ac:dyDescent="0.2">
      <c r="A440" t="str">
        <f>L440&amp;F440&amp;G440</f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>DAY(D440)-1&amp;"/"&amp;"07"&amp;"/"&amp;YEAR(D440)</f>
        <v>22/07/2026</v>
      </c>
      <c r="M440" s="31">
        <f>E440-TIME(3,0,0)+TIME(12,0,0)+TIME(12,0,0)</f>
        <v>0.89583333333333326</v>
      </c>
      <c r="N440" t="str">
        <f>J440&amp;" - "&amp;K440</f>
        <v>0 - 0</v>
      </c>
      <c r="O440" t="str">
        <f>IF($J440&gt;$K440,"Green","Red")</f>
        <v>Red</v>
      </c>
      <c r="P440" t="str">
        <f>IF($J440=$K440,"Green","Red")</f>
        <v>Green</v>
      </c>
      <c r="Q440" t="str">
        <f>IF($J440&lt;$K440,"Green","Red")</f>
        <v>Red</v>
      </c>
      <c r="R440" t="str">
        <f>IF($J440&gt;=$K440,"Green","Red")</f>
        <v>Green</v>
      </c>
      <c r="S440" t="str">
        <f>IF($J440&lt;=$K440,"Green","Red")</f>
        <v>Green</v>
      </c>
      <c r="T440" t="str">
        <f>IF(OR($J440&gt;$K440,$J440&lt;$K440),"Green","Red")</f>
        <v>Red</v>
      </c>
      <c r="U440" t="str">
        <f>IF($H440&gt;$I440,"Green","Red")</f>
        <v>Red</v>
      </c>
      <c r="V440" t="str">
        <f>IF($H440=$I440,"Green","Red")</f>
        <v>Green</v>
      </c>
      <c r="W440" t="str">
        <f>IF($H440&lt;$I440,"Green","Red")</f>
        <v>Red</v>
      </c>
      <c r="X440" t="str">
        <f>IF($H440+$I440&gt;0,"Green","Red")</f>
        <v>Red</v>
      </c>
      <c r="Y440" t="str">
        <f>IF($J440+$K440&gt;1.5,"Green","Red")</f>
        <v>Red</v>
      </c>
      <c r="Z440" t="str">
        <f>IF($J440+$K440&gt;2.5,"Green","Red")</f>
        <v>Red</v>
      </c>
      <c r="AA440" t="str">
        <f>IF($J440+$K440&lt;2.5,"Green","Red")</f>
        <v>Green</v>
      </c>
      <c r="AB440" t="str">
        <f>IF($J440+$K440&lt;3.5,"Green","Red")</f>
        <v>Green</v>
      </c>
      <c r="AC440" t="str">
        <f>IF(AND($J440&gt;0,$K440&gt;0),"Green","Red")</f>
        <v>Red</v>
      </c>
      <c r="AD440" t="str">
        <f>IF(OR($J440=0,$K440=0),"Green","Red")</f>
        <v>Green</v>
      </c>
    </row>
    <row r="441" spans="1:30" x14ac:dyDescent="0.2">
      <c r="A441" t="str">
        <f>L441&amp;F441&amp;G441</f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>DAY(D441)-1&amp;"/"&amp;"07"&amp;"/"&amp;YEAR(D441)</f>
        <v>22/07/2026</v>
      </c>
      <c r="M441" s="31">
        <f>E441-TIME(3,0,0)+TIME(12,0,0)+TIME(12,0,0)</f>
        <v>0.89583333333333326</v>
      </c>
      <c r="N441" t="str">
        <f>J441&amp;" - "&amp;K441</f>
        <v>0 - 4</v>
      </c>
      <c r="O441" t="str">
        <f>IF($J441&gt;$K441,"Green","Red")</f>
        <v>Red</v>
      </c>
      <c r="P441" t="str">
        <f>IF($J441=$K441,"Green","Red")</f>
        <v>Red</v>
      </c>
      <c r="Q441" t="str">
        <f>IF($J441&lt;$K441,"Green","Red")</f>
        <v>Green</v>
      </c>
      <c r="R441" t="str">
        <f>IF($J441&gt;=$K441,"Green","Red")</f>
        <v>Red</v>
      </c>
      <c r="S441" t="str">
        <f>IF($J441&lt;=$K441,"Green","Red")</f>
        <v>Green</v>
      </c>
      <c r="T441" t="str">
        <f>IF(OR($J441&gt;$K441,$J441&lt;$K441),"Green","Red")</f>
        <v>Green</v>
      </c>
      <c r="U441" t="str">
        <f>IF($H441&gt;$I441,"Green","Red")</f>
        <v>Red</v>
      </c>
      <c r="V441" t="str">
        <f>IF($H441=$I441,"Green","Red")</f>
        <v>Red</v>
      </c>
      <c r="W441" t="str">
        <f>IF($H441&lt;$I441,"Green","Red")</f>
        <v>Green</v>
      </c>
      <c r="X441" t="str">
        <f>IF($H441+$I441&gt;0,"Green","Red")</f>
        <v>Green</v>
      </c>
      <c r="Y441" t="str">
        <f>IF($J441+$K441&gt;1.5,"Green","Red")</f>
        <v>Green</v>
      </c>
      <c r="Z441" t="str">
        <f>IF($J441+$K441&gt;2.5,"Green","Red")</f>
        <v>Green</v>
      </c>
      <c r="AA441" t="str">
        <f>IF($J441+$K441&lt;2.5,"Green","Red")</f>
        <v>Red</v>
      </c>
      <c r="AB441" t="str">
        <f>IF($J441+$K441&lt;3.5,"Green","Red")</f>
        <v>Red</v>
      </c>
      <c r="AC441" t="str">
        <f>IF(AND($J441&gt;0,$K441&gt;0),"Green","Red")</f>
        <v>Red</v>
      </c>
      <c r="AD441" t="str">
        <f>IF(OR($J441=0,$K441=0),"Green","Red")</f>
        <v>Green</v>
      </c>
    </row>
    <row r="442" spans="1:30" x14ac:dyDescent="0.2">
      <c r="A442" t="str">
        <f>L442&amp;F442&amp;G442</f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>DAY(D442)-1&amp;"/"&amp;"07"&amp;"/"&amp;YEAR(D442)</f>
        <v>22/07/2026</v>
      </c>
      <c r="M442" s="31">
        <f>E442-TIME(3,0,0)+TIME(12,0,0)+TIME(12,0,0)</f>
        <v>0.89583333333333326</v>
      </c>
      <c r="N442" t="str">
        <f>J442&amp;" - "&amp;K442</f>
        <v>1 - 2</v>
      </c>
      <c r="O442" t="str">
        <f>IF($J442&gt;$K442,"Green","Red")</f>
        <v>Red</v>
      </c>
      <c r="P442" t="str">
        <f>IF($J442=$K442,"Green","Red")</f>
        <v>Red</v>
      </c>
      <c r="Q442" t="str">
        <f>IF($J442&lt;$K442,"Green","Red")</f>
        <v>Green</v>
      </c>
      <c r="R442" t="str">
        <f>IF($J442&gt;=$K442,"Green","Red")</f>
        <v>Red</v>
      </c>
      <c r="S442" t="str">
        <f>IF($J442&lt;=$K442,"Green","Red")</f>
        <v>Green</v>
      </c>
      <c r="T442" t="str">
        <f>IF(OR($J442&gt;$K442,$J442&lt;$K442),"Green","Red")</f>
        <v>Green</v>
      </c>
      <c r="U442" t="str">
        <f>IF($H442&gt;$I442,"Green","Red")</f>
        <v>Red</v>
      </c>
      <c r="V442" t="str">
        <f>IF($H442=$I442,"Green","Red")</f>
        <v>Red</v>
      </c>
      <c r="W442" t="str">
        <f>IF($H442&lt;$I442,"Green","Red")</f>
        <v>Green</v>
      </c>
      <c r="X442" t="str">
        <f>IF($H442+$I442&gt;0,"Green","Red")</f>
        <v>Green</v>
      </c>
      <c r="Y442" t="str">
        <f>IF($J442+$K442&gt;1.5,"Green","Red")</f>
        <v>Green</v>
      </c>
      <c r="Z442" t="str">
        <f>IF($J442+$K442&gt;2.5,"Green","Red")</f>
        <v>Green</v>
      </c>
      <c r="AA442" t="str">
        <f>IF($J442+$K442&lt;2.5,"Green","Red")</f>
        <v>Red</v>
      </c>
      <c r="AB442" t="str">
        <f>IF($J442+$K442&lt;3.5,"Green","Red")</f>
        <v>Green</v>
      </c>
      <c r="AC442" t="str">
        <f>IF(AND($J442&gt;0,$K442&gt;0),"Green","Red")</f>
        <v>Green</v>
      </c>
      <c r="AD442" t="str">
        <f>IF(OR($J442=0,$K442=0),"Green","Red")</f>
        <v>Red</v>
      </c>
    </row>
    <row r="443" spans="1:30" x14ac:dyDescent="0.2">
      <c r="A443" t="str">
        <f>L443&amp;F443&amp;G443</f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>DAY(D443)-1&amp;"/"&amp;"07"&amp;"/"&amp;YEAR(D443)</f>
        <v>22/07/2026</v>
      </c>
      <c r="M443" s="31">
        <f>E443-TIME(3,0,0)+TIME(12,0,0)+TIME(12,0,0)</f>
        <v>0.89583333333333326</v>
      </c>
      <c r="N443" t="str">
        <f>J443&amp;" - "&amp;K443</f>
        <v>1 - 2</v>
      </c>
      <c r="O443" t="str">
        <f>IF($J443&gt;$K443,"Green","Red")</f>
        <v>Red</v>
      </c>
      <c r="P443" t="str">
        <f>IF($J443=$K443,"Green","Red")</f>
        <v>Red</v>
      </c>
      <c r="Q443" t="str">
        <f>IF($J443&lt;$K443,"Green","Red")</f>
        <v>Green</v>
      </c>
      <c r="R443" t="str">
        <f>IF($J443&gt;=$K443,"Green","Red")</f>
        <v>Red</v>
      </c>
      <c r="S443" t="str">
        <f>IF($J443&lt;=$K443,"Green","Red")</f>
        <v>Green</v>
      </c>
      <c r="T443" t="str">
        <f>IF(OR($J443&gt;$K443,$J443&lt;$K443),"Green","Red")</f>
        <v>Green</v>
      </c>
      <c r="U443" t="str">
        <f>IF($H443&gt;$I443,"Green","Red")</f>
        <v>Green</v>
      </c>
      <c r="V443" t="str">
        <f>IF($H443=$I443,"Green","Red")</f>
        <v>Red</v>
      </c>
      <c r="W443" t="str">
        <f>IF($H443&lt;$I443,"Green","Red")</f>
        <v>Red</v>
      </c>
      <c r="X443" t="str">
        <f>IF($H443+$I443&gt;0,"Green","Red")</f>
        <v>Green</v>
      </c>
      <c r="Y443" t="str">
        <f>IF($J443+$K443&gt;1.5,"Green","Red")</f>
        <v>Green</v>
      </c>
      <c r="Z443" t="str">
        <f>IF($J443+$K443&gt;2.5,"Green","Red")</f>
        <v>Green</v>
      </c>
      <c r="AA443" t="str">
        <f>IF($J443+$K443&lt;2.5,"Green","Red")</f>
        <v>Red</v>
      </c>
      <c r="AB443" t="str">
        <f>IF($J443+$K443&lt;3.5,"Green","Red")</f>
        <v>Green</v>
      </c>
      <c r="AC443" t="str">
        <f>IF(AND($J443&gt;0,$K443&gt;0),"Green","Red")</f>
        <v>Green</v>
      </c>
      <c r="AD443" t="str">
        <f>IF(OR($J443=0,$K443=0),"Green","Red")</f>
        <v>Red</v>
      </c>
    </row>
    <row r="444" spans="1:30" x14ac:dyDescent="0.2">
      <c r="A444" t="str">
        <f>L444&amp;F444&amp;G444</f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>DAY(D444)-1&amp;"/"&amp;"07"&amp;"/"&amp;YEAR(D444)</f>
        <v>22/07/2026</v>
      </c>
      <c r="M444" s="31">
        <f>E444-TIME(3,0,0)+TIME(12,0,0)+TIME(12,0,0)</f>
        <v>0.89583333333333326</v>
      </c>
      <c r="N444" t="str">
        <f>J444&amp;" - "&amp;K444</f>
        <v>2 - 1</v>
      </c>
      <c r="O444" t="str">
        <f>IF($J444&gt;$K444,"Green","Red")</f>
        <v>Green</v>
      </c>
      <c r="P444" t="str">
        <f>IF($J444=$K444,"Green","Red")</f>
        <v>Red</v>
      </c>
      <c r="Q444" t="str">
        <f>IF($J444&lt;$K444,"Green","Red")</f>
        <v>Red</v>
      </c>
      <c r="R444" t="str">
        <f>IF($J444&gt;=$K444,"Green","Red")</f>
        <v>Green</v>
      </c>
      <c r="S444" t="str">
        <f>IF($J444&lt;=$K444,"Green","Red")</f>
        <v>Red</v>
      </c>
      <c r="T444" t="str">
        <f>IF(OR($J444&gt;$K444,$J444&lt;$K444),"Green","Red")</f>
        <v>Green</v>
      </c>
      <c r="U444" t="str">
        <f>IF($H444&gt;$I444,"Green","Red")</f>
        <v>Green</v>
      </c>
      <c r="V444" t="str">
        <f>IF($H444=$I444,"Green","Red")</f>
        <v>Red</v>
      </c>
      <c r="W444" t="str">
        <f>IF($H444&lt;$I444,"Green","Red")</f>
        <v>Red</v>
      </c>
      <c r="X444" t="str">
        <f>IF($H444+$I444&gt;0,"Green","Red")</f>
        <v>Green</v>
      </c>
      <c r="Y444" t="str">
        <f>IF($J444+$K444&gt;1.5,"Green","Red")</f>
        <v>Green</v>
      </c>
      <c r="Z444" t="str">
        <f>IF($J444+$K444&gt;2.5,"Green","Red")</f>
        <v>Green</v>
      </c>
      <c r="AA444" t="str">
        <f>IF($J444+$K444&lt;2.5,"Green","Red")</f>
        <v>Red</v>
      </c>
      <c r="AB444" t="str">
        <f>IF($J444+$K444&lt;3.5,"Green","Red")</f>
        <v>Green</v>
      </c>
      <c r="AC444" t="str">
        <f>IF(AND($J444&gt;0,$K444&gt;0),"Green","Red")</f>
        <v>Green</v>
      </c>
      <c r="AD444" t="str">
        <f>IF(OR($J444=0,$K444=0),"Green","Red")</f>
        <v>Red</v>
      </c>
    </row>
    <row r="445" spans="1:30" x14ac:dyDescent="0.2">
      <c r="A445" t="str">
        <f>L445&amp;F445&amp;G445</f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>DAY(D445)-1&amp;"/"&amp;"07"&amp;"/"&amp;YEAR(D445)</f>
        <v>22/07/2026</v>
      </c>
      <c r="M445" s="31">
        <f>E445-TIME(3,0,0)+TIME(12,0,0)+TIME(12,0,0)</f>
        <v>0.89583333333333326</v>
      </c>
      <c r="N445" t="str">
        <f>J445&amp;" - "&amp;K445</f>
        <v>2 - 2</v>
      </c>
      <c r="O445" t="str">
        <f>IF($J445&gt;$K445,"Green","Red")</f>
        <v>Red</v>
      </c>
      <c r="P445" t="str">
        <f>IF($J445=$K445,"Green","Red")</f>
        <v>Green</v>
      </c>
      <c r="Q445" t="str">
        <f>IF($J445&lt;$K445,"Green","Red")</f>
        <v>Red</v>
      </c>
      <c r="R445" t="str">
        <f>IF($J445&gt;=$K445,"Green","Red")</f>
        <v>Green</v>
      </c>
      <c r="S445" t="str">
        <f>IF($J445&lt;=$K445,"Green","Red")</f>
        <v>Green</v>
      </c>
      <c r="T445" t="str">
        <f>IF(OR($J445&gt;$K445,$J445&lt;$K445),"Green","Red")</f>
        <v>Red</v>
      </c>
      <c r="U445" t="str">
        <f>IF($H445&gt;$I445,"Green","Red")</f>
        <v>Green</v>
      </c>
      <c r="V445" t="str">
        <f>IF($H445=$I445,"Green","Red")</f>
        <v>Red</v>
      </c>
      <c r="W445" t="str">
        <f>IF($H445&lt;$I445,"Green","Red")</f>
        <v>Red</v>
      </c>
      <c r="X445" t="str">
        <f>IF($H445+$I445&gt;0,"Green","Red")</f>
        <v>Green</v>
      </c>
      <c r="Y445" t="str">
        <f>IF($J445+$K445&gt;1.5,"Green","Red")</f>
        <v>Green</v>
      </c>
      <c r="Z445" t="str">
        <f>IF($J445+$K445&gt;2.5,"Green","Red")</f>
        <v>Green</v>
      </c>
      <c r="AA445" t="str">
        <f>IF($J445+$K445&lt;2.5,"Green","Red")</f>
        <v>Red</v>
      </c>
      <c r="AB445" t="str">
        <f>IF($J445+$K445&lt;3.5,"Green","Red")</f>
        <v>Red</v>
      </c>
      <c r="AC445" t="str">
        <f>IF(AND($J445&gt;0,$K445&gt;0),"Green","Red")</f>
        <v>Green</v>
      </c>
      <c r="AD445" t="str">
        <f>IF(OR($J445=0,$K445=0),"Green","Red")</f>
        <v>Red</v>
      </c>
    </row>
    <row r="446" spans="1:30" x14ac:dyDescent="0.2">
      <c r="A446" t="str">
        <f>L446&amp;F446&amp;G446</f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>DAY(D446)-1&amp;"/"&amp;"07"&amp;"/"&amp;YEAR(D446)</f>
        <v>22/07/2026</v>
      </c>
      <c r="M446" s="31">
        <f>E446-TIME(3,0,0)+TIME(12,0,0)+TIME(12,0,0)</f>
        <v>0.89583333333333326</v>
      </c>
      <c r="N446" t="str">
        <f>J446&amp;" - "&amp;K446</f>
        <v>1 - 1</v>
      </c>
      <c r="O446" t="str">
        <f>IF($J446&gt;$K446,"Green","Red")</f>
        <v>Red</v>
      </c>
      <c r="P446" t="str">
        <f>IF($J446=$K446,"Green","Red")</f>
        <v>Green</v>
      </c>
      <c r="Q446" t="str">
        <f>IF($J446&lt;$K446,"Green","Red")</f>
        <v>Red</v>
      </c>
      <c r="R446" t="str">
        <f>IF($J446&gt;=$K446,"Green","Red")</f>
        <v>Green</v>
      </c>
      <c r="S446" t="str">
        <f>IF($J446&lt;=$K446,"Green","Red")</f>
        <v>Green</v>
      </c>
      <c r="T446" t="str">
        <f>IF(OR($J446&gt;$K446,$J446&lt;$K446),"Green","Red")</f>
        <v>Red</v>
      </c>
      <c r="U446" t="str">
        <f>IF($H446&gt;$I446,"Green","Red")</f>
        <v>Green</v>
      </c>
      <c r="V446" t="str">
        <f>IF($H446=$I446,"Green","Red")</f>
        <v>Red</v>
      </c>
      <c r="W446" t="str">
        <f>IF($H446&lt;$I446,"Green","Red")</f>
        <v>Red</v>
      </c>
      <c r="X446" t="str">
        <f>IF($H446+$I446&gt;0,"Green","Red")</f>
        <v>Green</v>
      </c>
      <c r="Y446" t="str">
        <f>IF($J446+$K446&gt;1.5,"Green","Red")</f>
        <v>Green</v>
      </c>
      <c r="Z446" t="str">
        <f>IF($J446+$K446&gt;2.5,"Green","Red")</f>
        <v>Red</v>
      </c>
      <c r="AA446" t="str">
        <f>IF($J446+$K446&lt;2.5,"Green","Red")</f>
        <v>Green</v>
      </c>
      <c r="AB446" t="str">
        <f>IF($J446+$K446&lt;3.5,"Green","Red")</f>
        <v>Green</v>
      </c>
      <c r="AC446" t="str">
        <f>IF(AND($J446&gt;0,$K446&gt;0),"Green","Red")</f>
        <v>Green</v>
      </c>
      <c r="AD446" t="str">
        <f>IF(OR($J446=0,$K446=0),"Green","Red")</f>
        <v>Red</v>
      </c>
    </row>
    <row r="447" spans="1:30" x14ac:dyDescent="0.2">
      <c r="A447" t="str">
        <f>L447&amp;F447&amp;G447</f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>DAY(D447)-1&amp;"/"&amp;"07"&amp;"/"&amp;YEAR(D447)</f>
        <v>22/07/2026</v>
      </c>
      <c r="M447" s="31">
        <f>E447-TIME(3,0,0)+TIME(12,0,0)+TIME(12,0,0)</f>
        <v>0.89583333333333326</v>
      </c>
      <c r="N447" t="str">
        <f>J447&amp;" - "&amp;K447</f>
        <v>1 - 0</v>
      </c>
      <c r="O447" t="str">
        <f>IF($J447&gt;$K447,"Green","Red")</f>
        <v>Green</v>
      </c>
      <c r="P447" t="str">
        <f>IF($J447=$K447,"Green","Red")</f>
        <v>Red</v>
      </c>
      <c r="Q447" t="str">
        <f>IF($J447&lt;$K447,"Green","Red")</f>
        <v>Red</v>
      </c>
      <c r="R447" t="str">
        <f>IF($J447&gt;=$K447,"Green","Red")</f>
        <v>Green</v>
      </c>
      <c r="S447" t="str">
        <f>IF($J447&lt;=$K447,"Green","Red")</f>
        <v>Red</v>
      </c>
      <c r="T447" t="str">
        <f>IF(OR($J447&gt;$K447,$J447&lt;$K447),"Green","Red")</f>
        <v>Green</v>
      </c>
      <c r="U447" t="str">
        <f>IF($H447&gt;$I447,"Green","Red")</f>
        <v>Red</v>
      </c>
      <c r="V447" t="str">
        <f>IF($H447=$I447,"Green","Red")</f>
        <v>Green</v>
      </c>
      <c r="W447" t="str">
        <f>IF($H447&lt;$I447,"Green","Red")</f>
        <v>Red</v>
      </c>
      <c r="X447" t="str">
        <f>IF($H447+$I447&gt;0,"Green","Red")</f>
        <v>Red</v>
      </c>
      <c r="Y447" t="str">
        <f>IF($J447+$K447&gt;1.5,"Green","Red")</f>
        <v>Red</v>
      </c>
      <c r="Z447" t="str">
        <f>IF($J447+$K447&gt;2.5,"Green","Red")</f>
        <v>Red</v>
      </c>
      <c r="AA447" t="str">
        <f>IF($J447+$K447&lt;2.5,"Green","Red")</f>
        <v>Green</v>
      </c>
      <c r="AB447" t="str">
        <f>IF($J447+$K447&lt;3.5,"Green","Red")</f>
        <v>Green</v>
      </c>
      <c r="AC447" t="str">
        <f>IF(AND($J447&gt;0,$K447&gt;0),"Green","Red")</f>
        <v>Red</v>
      </c>
      <c r="AD447" t="str">
        <f>IF(OR($J447=0,$K447=0),"Green","Red")</f>
        <v>Green</v>
      </c>
    </row>
    <row r="448" spans="1:30" x14ac:dyDescent="0.2">
      <c r="A448" t="str">
        <f>L448&amp;F448&amp;G448</f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>DAY(D448)-1&amp;"/"&amp;"07"&amp;"/"&amp;YEAR(D448)</f>
        <v>22/07/2026</v>
      </c>
      <c r="M448" s="31">
        <f>E448-TIME(3,0,0)+TIME(12,0,0)+TIME(12,0,0)</f>
        <v>0.89583333333333326</v>
      </c>
      <c r="N448" t="str">
        <f>J448&amp;" - "&amp;K448</f>
        <v>2 - 1</v>
      </c>
      <c r="O448" t="str">
        <f>IF($J448&gt;$K448,"Green","Red")</f>
        <v>Green</v>
      </c>
      <c r="P448" t="str">
        <f>IF($J448=$K448,"Green","Red")</f>
        <v>Red</v>
      </c>
      <c r="Q448" t="str">
        <f>IF($J448&lt;$K448,"Green","Red")</f>
        <v>Red</v>
      </c>
      <c r="R448" t="str">
        <f>IF($J448&gt;=$K448,"Green","Red")</f>
        <v>Green</v>
      </c>
      <c r="S448" t="str">
        <f>IF($J448&lt;=$K448,"Green","Red")</f>
        <v>Red</v>
      </c>
      <c r="T448" t="str">
        <f>IF(OR($J448&gt;$K448,$J448&lt;$K448),"Green","Red")</f>
        <v>Green</v>
      </c>
      <c r="U448" t="str">
        <f>IF($H448&gt;$I448,"Green","Red")</f>
        <v>Green</v>
      </c>
      <c r="V448" t="str">
        <f>IF($H448=$I448,"Green","Red")</f>
        <v>Red</v>
      </c>
      <c r="W448" t="str">
        <f>IF($H448&lt;$I448,"Green","Red")</f>
        <v>Red</v>
      </c>
      <c r="X448" t="str">
        <f>IF($H448+$I448&gt;0,"Green","Red")</f>
        <v>Green</v>
      </c>
      <c r="Y448" t="str">
        <f>IF($J448+$K448&gt;1.5,"Green","Red")</f>
        <v>Green</v>
      </c>
      <c r="Z448" t="str">
        <f>IF($J448+$K448&gt;2.5,"Green","Red")</f>
        <v>Green</v>
      </c>
      <c r="AA448" t="str">
        <f>IF($J448+$K448&lt;2.5,"Green","Red")</f>
        <v>Red</v>
      </c>
      <c r="AB448" t="str">
        <f>IF($J448+$K448&lt;3.5,"Green","Red")</f>
        <v>Green</v>
      </c>
      <c r="AC448" t="str">
        <f>IF(AND($J448&gt;0,$K448&gt;0),"Green","Red")</f>
        <v>Green</v>
      </c>
      <c r="AD448" t="str">
        <f>IF(OR($J448=0,$K448=0),"Green","Red")</f>
        <v>Red</v>
      </c>
    </row>
    <row r="449" spans="1:30" x14ac:dyDescent="0.2">
      <c r="A449" t="str">
        <f>L449&amp;F449&amp;G449</f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>DAY(D449)-1&amp;"/"&amp;"07"&amp;"/"&amp;YEAR(D449)</f>
        <v>22/07/2026</v>
      </c>
      <c r="M449" s="31">
        <f>E449-TIME(3,0,0)+TIME(12,0,0)+TIME(12,0,0)</f>
        <v>0.91666666666666663</v>
      </c>
      <c r="N449" t="str">
        <f>J449&amp;" - "&amp;K449</f>
        <v>2 - 0</v>
      </c>
      <c r="O449" t="str">
        <f>IF($J449&gt;$K449,"Green","Red")</f>
        <v>Green</v>
      </c>
      <c r="P449" t="str">
        <f>IF($J449=$K449,"Green","Red")</f>
        <v>Red</v>
      </c>
      <c r="Q449" t="str">
        <f>IF($J449&lt;$K449,"Green","Red")</f>
        <v>Red</v>
      </c>
      <c r="R449" t="str">
        <f>IF($J449&gt;=$K449,"Green","Red")</f>
        <v>Green</v>
      </c>
      <c r="S449" t="str">
        <f>IF($J449&lt;=$K449,"Green","Red")</f>
        <v>Red</v>
      </c>
      <c r="T449" t="str">
        <f>IF(OR($J449&gt;$K449,$J449&lt;$K449),"Green","Red")</f>
        <v>Green</v>
      </c>
      <c r="U449" t="str">
        <f>IF($H449&gt;$I449,"Green","Red")</f>
        <v>Red</v>
      </c>
      <c r="V449" t="str">
        <f>IF($H449=$I449,"Green","Red")</f>
        <v>Green</v>
      </c>
      <c r="W449" t="str">
        <f>IF($H449&lt;$I449,"Green","Red")</f>
        <v>Red</v>
      </c>
      <c r="X449" t="str">
        <f>IF($H449+$I449&gt;0,"Green","Red")</f>
        <v>Red</v>
      </c>
      <c r="Y449" t="str">
        <f>IF($J449+$K449&gt;1.5,"Green","Red")</f>
        <v>Green</v>
      </c>
      <c r="Z449" t="str">
        <f>IF($J449+$K449&gt;2.5,"Green","Red")</f>
        <v>Red</v>
      </c>
      <c r="AA449" t="str">
        <f>IF($J449+$K449&lt;2.5,"Green","Red")</f>
        <v>Green</v>
      </c>
      <c r="AB449" t="str">
        <f>IF($J449+$K449&lt;3.5,"Green","Red")</f>
        <v>Green</v>
      </c>
      <c r="AC449" t="str">
        <f>IF(AND($J449&gt;0,$K449&gt;0),"Green","Red")</f>
        <v>Red</v>
      </c>
      <c r="AD449" t="str">
        <f>IF(OR($J449=0,$K449=0),"Green","Red")</f>
        <v>Green</v>
      </c>
    </row>
    <row r="450" spans="1:30" x14ac:dyDescent="0.2">
      <c r="A450" t="str">
        <f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>DAY(D450)-1&amp;"/"&amp;"07"&amp;"/"&amp;YEAR(D450)</f>
        <v>22/07/2026</v>
      </c>
      <c r="M450" s="31">
        <f>E450-TIME(3,0,0)+TIME(12,0,0)+TIME(12,0,0)</f>
        <v>0.91666666666666663</v>
      </c>
      <c r="N450" t="str">
        <f>J450&amp;" - "&amp;K450</f>
        <v>3 - 0</v>
      </c>
      <c r="O450" t="str">
        <f>IF($J450&gt;$K450,"Green","Red")</f>
        <v>Green</v>
      </c>
      <c r="P450" t="str">
        <f>IF($J450=$K450,"Green","Red")</f>
        <v>Red</v>
      </c>
      <c r="Q450" t="str">
        <f>IF($J450&lt;$K450,"Green","Red")</f>
        <v>Red</v>
      </c>
      <c r="R450" t="str">
        <f>IF($J450&gt;=$K450,"Green","Red")</f>
        <v>Green</v>
      </c>
      <c r="S450" t="str">
        <f>IF($J450&lt;=$K450,"Green","Red")</f>
        <v>Red</v>
      </c>
      <c r="T450" t="str">
        <f>IF(OR($J450&gt;$K450,$J450&lt;$K450),"Green","Red")</f>
        <v>Green</v>
      </c>
      <c r="U450" t="str">
        <f>IF($H450&gt;$I450,"Green","Red")</f>
        <v>Red</v>
      </c>
      <c r="V450" t="str">
        <f>IF($H450=$I450,"Green","Red")</f>
        <v>Green</v>
      </c>
      <c r="W450" t="str">
        <f>IF($H450&lt;$I450,"Green","Red")</f>
        <v>Red</v>
      </c>
      <c r="X450" t="str">
        <f>IF($H450+$I450&gt;0,"Green","Red")</f>
        <v>Red</v>
      </c>
      <c r="Y450" t="str">
        <f>IF($J450+$K450&gt;1.5,"Green","Red")</f>
        <v>Green</v>
      </c>
      <c r="Z450" t="str">
        <f>IF($J450+$K450&gt;2.5,"Green","Red")</f>
        <v>Green</v>
      </c>
      <c r="AA450" t="str">
        <f>IF($J450+$K450&lt;2.5,"Green","Red")</f>
        <v>Red</v>
      </c>
      <c r="AB450" t="str">
        <f>IF($J450+$K450&lt;3.5,"Green","Red")</f>
        <v>Green</v>
      </c>
      <c r="AC450" t="str">
        <f>IF(AND($J450&gt;0,$K450&gt;0),"Green","Red")</f>
        <v>Red</v>
      </c>
      <c r="AD450" t="str">
        <f>IF(OR($J450=0,$K450=0),"Green","Red")</f>
        <v>Green</v>
      </c>
    </row>
    <row r="451" spans="1:30" x14ac:dyDescent="0.2">
      <c r="A451" t="str">
        <f>L451&amp;F451&amp;G451</f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>DAY(D451)-1&amp;"/"&amp;"07"&amp;"/"&amp;YEAR(D451)</f>
        <v>22/07/2026</v>
      </c>
      <c r="M451" s="31">
        <f>E451-TIME(3,0,0)+TIME(12,0,0)+TIME(12,0,0)</f>
        <v>0.91666666666666663</v>
      </c>
      <c r="N451" t="str">
        <f>J451&amp;" - "&amp;K451</f>
        <v>0 - 4</v>
      </c>
      <c r="O451" t="str">
        <f>IF($J451&gt;$K451,"Green","Red")</f>
        <v>Red</v>
      </c>
      <c r="P451" t="str">
        <f>IF($J451=$K451,"Green","Red")</f>
        <v>Red</v>
      </c>
      <c r="Q451" t="str">
        <f>IF($J451&lt;$K451,"Green","Red")</f>
        <v>Green</v>
      </c>
      <c r="R451" t="str">
        <f>IF($J451&gt;=$K451,"Green","Red")</f>
        <v>Red</v>
      </c>
      <c r="S451" t="str">
        <f>IF($J451&lt;=$K451,"Green","Red")</f>
        <v>Green</v>
      </c>
      <c r="T451" t="str">
        <f>IF(OR($J451&gt;$K451,$J451&lt;$K451),"Green","Red")</f>
        <v>Green</v>
      </c>
      <c r="U451" t="str">
        <f>IF($H451&gt;$I451,"Green","Red")</f>
        <v>Red</v>
      </c>
      <c r="V451" t="str">
        <f>IF($H451=$I451,"Green","Red")</f>
        <v>Red</v>
      </c>
      <c r="W451" t="str">
        <f>IF($H451&lt;$I451,"Green","Red")</f>
        <v>Green</v>
      </c>
      <c r="X451" t="str">
        <f>IF($H451+$I451&gt;0,"Green","Red")</f>
        <v>Green</v>
      </c>
      <c r="Y451" t="str">
        <f>IF($J451+$K451&gt;1.5,"Green","Red")</f>
        <v>Green</v>
      </c>
      <c r="Z451" t="str">
        <f>IF($J451+$K451&gt;2.5,"Green","Red")</f>
        <v>Green</v>
      </c>
      <c r="AA451" t="str">
        <f>IF($J451+$K451&lt;2.5,"Green","Red")</f>
        <v>Red</v>
      </c>
      <c r="AB451" t="str">
        <f>IF($J451+$K451&lt;3.5,"Green","Red")</f>
        <v>Red</v>
      </c>
      <c r="AC451" t="str">
        <f>IF(AND($J451&gt;0,$K451&gt;0),"Green","Red")</f>
        <v>Red</v>
      </c>
      <c r="AD451" t="str">
        <f>IF(OR($J451=0,$K451=0),"Green","Red")</f>
        <v>Green</v>
      </c>
    </row>
    <row r="452" spans="1:30" x14ac:dyDescent="0.2">
      <c r="A452" t="str">
        <f>L452&amp;F452&amp;G452</f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>DAY(D452)-1&amp;"/"&amp;"07"&amp;"/"&amp;YEAR(D452)</f>
        <v>22/07/2026</v>
      </c>
      <c r="M452" s="31">
        <f>E452-TIME(3,0,0)+TIME(12,0,0)+TIME(12,0,0)</f>
        <v>0.9375</v>
      </c>
      <c r="N452" t="str">
        <f>J452&amp;" - "&amp;K452</f>
        <v>3 - 1</v>
      </c>
      <c r="O452" t="str">
        <f>IF($J452&gt;$K452,"Green","Red")</f>
        <v>Green</v>
      </c>
      <c r="P452" t="str">
        <f>IF($J452=$K452,"Green","Red")</f>
        <v>Red</v>
      </c>
      <c r="Q452" t="str">
        <f>IF($J452&lt;$K452,"Green","Red")</f>
        <v>Red</v>
      </c>
      <c r="R452" t="str">
        <f>IF($J452&gt;=$K452,"Green","Red")</f>
        <v>Green</v>
      </c>
      <c r="S452" t="str">
        <f>IF($J452&lt;=$K452,"Green","Red")</f>
        <v>Red</v>
      </c>
      <c r="T452" t="str">
        <f>IF(OR($J452&gt;$K452,$J452&lt;$K452),"Green","Red")</f>
        <v>Green</v>
      </c>
      <c r="U452" t="str">
        <f>IF($H452&gt;$I452,"Green","Red")</f>
        <v>Red</v>
      </c>
      <c r="V452" t="str">
        <f>IF($H452=$I452,"Green","Red")</f>
        <v>Green</v>
      </c>
      <c r="W452" t="str">
        <f>IF($H452&lt;$I452,"Green","Red")</f>
        <v>Red</v>
      </c>
      <c r="X452" t="str">
        <f>IF($H452+$I452&gt;0,"Green","Red")</f>
        <v>Green</v>
      </c>
      <c r="Y452" t="str">
        <f>IF($J452+$K452&gt;1.5,"Green","Red")</f>
        <v>Green</v>
      </c>
      <c r="Z452" t="str">
        <f>IF($J452+$K452&gt;2.5,"Green","Red")</f>
        <v>Green</v>
      </c>
      <c r="AA452" t="str">
        <f>IF($J452+$K452&lt;2.5,"Green","Red")</f>
        <v>Red</v>
      </c>
      <c r="AB452" t="str">
        <f>IF($J452+$K452&lt;3.5,"Green","Red")</f>
        <v>Red</v>
      </c>
      <c r="AC452" t="str">
        <f>IF(AND($J452&gt;0,$K452&gt;0),"Green","Red")</f>
        <v>Green</v>
      </c>
      <c r="AD452" t="str">
        <f>IF(OR($J452=0,$K452=0),"Green","Red")</f>
        <v>Red</v>
      </c>
    </row>
    <row r="453" spans="1:30" x14ac:dyDescent="0.2">
      <c r="A453" t="str">
        <f>L453&amp;F453&amp;G453</f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>DAY(D453)-1&amp;"/"&amp;"07"&amp;"/"&amp;YEAR(D453)</f>
        <v>22/07/2026</v>
      </c>
      <c r="M453" s="31">
        <f>E453-TIME(3,0,0)+TIME(12,0,0)+TIME(12,0,0)</f>
        <v>0.9375</v>
      </c>
      <c r="N453" t="str">
        <f>J453&amp;" - "&amp;K453</f>
        <v>1 - 0</v>
      </c>
      <c r="O453" t="str">
        <f>IF($J453&gt;$K453,"Green","Red")</f>
        <v>Green</v>
      </c>
      <c r="P453" t="str">
        <f>IF($J453=$K453,"Green","Red")</f>
        <v>Red</v>
      </c>
      <c r="Q453" t="str">
        <f>IF($J453&lt;$K453,"Green","Red")</f>
        <v>Red</v>
      </c>
      <c r="R453" t="str">
        <f>IF($J453&gt;=$K453,"Green","Red")</f>
        <v>Green</v>
      </c>
      <c r="S453" t="str">
        <f>IF($J453&lt;=$K453,"Green","Red")</f>
        <v>Red</v>
      </c>
      <c r="T453" t="str">
        <f>IF(OR($J453&gt;$K453,$J453&lt;$K453),"Green","Red")</f>
        <v>Green</v>
      </c>
      <c r="U453" t="str">
        <f>IF($H453&gt;$I453,"Green","Red")</f>
        <v>Red</v>
      </c>
      <c r="V453" t="str">
        <f>IF($H453=$I453,"Green","Red")</f>
        <v>Green</v>
      </c>
      <c r="W453" t="str">
        <f>IF($H453&lt;$I453,"Green","Red")</f>
        <v>Red</v>
      </c>
      <c r="X453" t="str">
        <f>IF($H453+$I453&gt;0,"Green","Red")</f>
        <v>Red</v>
      </c>
      <c r="Y453" t="str">
        <f>IF($J453+$K453&gt;1.5,"Green","Red")</f>
        <v>Red</v>
      </c>
      <c r="Z453" t="str">
        <f>IF($J453+$K453&gt;2.5,"Green","Red")</f>
        <v>Red</v>
      </c>
      <c r="AA453" t="str">
        <f>IF($J453+$K453&lt;2.5,"Green","Red")</f>
        <v>Green</v>
      </c>
      <c r="AB453" t="str">
        <f>IF($J453+$K453&lt;3.5,"Green","Red")</f>
        <v>Green</v>
      </c>
      <c r="AC453" t="str">
        <f>IF(AND($J453&gt;0,$K453&gt;0),"Green","Red")</f>
        <v>Red</v>
      </c>
      <c r="AD453" t="str">
        <f>IF(OR($J453=0,$K453=0),"Green","Red")</f>
        <v>Green</v>
      </c>
    </row>
    <row r="454" spans="1:30" x14ac:dyDescent="0.2">
      <c r="A454" t="str">
        <f>L454&amp;F454&amp;G454</f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>DAY(D454)-1&amp;"/"&amp;"07"&amp;"/"&amp;YEAR(D454)</f>
        <v>22/07/2026</v>
      </c>
      <c r="M454" s="31">
        <f>E454-TIME(3,0,0)+TIME(12,0,0)+TIME(12,0,0)</f>
        <v>0.97916666666666674</v>
      </c>
      <c r="N454" t="str">
        <f>J454&amp;" - "&amp;K454</f>
        <v>1 - 3</v>
      </c>
      <c r="O454" t="str">
        <f>IF($J454&gt;$K454,"Green","Red")</f>
        <v>Red</v>
      </c>
      <c r="P454" t="str">
        <f>IF($J454=$K454,"Green","Red")</f>
        <v>Red</v>
      </c>
      <c r="Q454" t="str">
        <f>IF($J454&lt;$K454,"Green","Red")</f>
        <v>Green</v>
      </c>
      <c r="R454" t="str">
        <f>IF($J454&gt;=$K454,"Green","Red")</f>
        <v>Red</v>
      </c>
      <c r="S454" t="str">
        <f>IF($J454&lt;=$K454,"Green","Red")</f>
        <v>Green</v>
      </c>
      <c r="T454" t="str">
        <f>IF(OR($J454&gt;$K454,$J454&lt;$K454),"Green","Red")</f>
        <v>Green</v>
      </c>
      <c r="U454" t="str">
        <f>IF($H454&gt;$I454,"Green","Red")</f>
        <v>Red</v>
      </c>
      <c r="V454" t="str">
        <f>IF($H454=$I454,"Green","Red")</f>
        <v>Red</v>
      </c>
      <c r="W454" t="str">
        <f>IF($H454&lt;$I454,"Green","Red")</f>
        <v>Green</v>
      </c>
      <c r="X454" t="str">
        <f>IF($H454+$I454&gt;0,"Green","Red")</f>
        <v>Green</v>
      </c>
      <c r="Y454" t="str">
        <f>IF($J454+$K454&gt;1.5,"Green","Red")</f>
        <v>Green</v>
      </c>
      <c r="Z454" t="str">
        <f>IF($J454+$K454&gt;2.5,"Green","Red")</f>
        <v>Green</v>
      </c>
      <c r="AA454" t="str">
        <f>IF($J454+$K454&lt;2.5,"Green","Red")</f>
        <v>Red</v>
      </c>
      <c r="AB454" t="str">
        <f>IF($J454+$K454&lt;3.5,"Green","Red")</f>
        <v>Red</v>
      </c>
      <c r="AC454" t="str">
        <f>IF(AND($J454&gt;0,$K454&gt;0),"Green","Red")</f>
        <v>Green</v>
      </c>
      <c r="AD454" t="str">
        <f>IF(OR($J454=0,$K454=0),"Green","Red")</f>
        <v>Red</v>
      </c>
    </row>
    <row r="455" spans="1:30" x14ac:dyDescent="0.2">
      <c r="A455" t="str">
        <f>L455&amp;F455&amp;G455</f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>DAY(D455)-1&amp;"/"&amp;"07"&amp;"/"&amp;YEAR(D455)</f>
        <v>22/07/2026</v>
      </c>
      <c r="M455" s="31">
        <f>E455-TIME(3,0,0)+TIME(12,0,0)+TIME(12,0,0)</f>
        <v>0.97916666666666674</v>
      </c>
      <c r="N455" t="str">
        <f>J455&amp;" - "&amp;K455</f>
        <v>3 - 1</v>
      </c>
      <c r="O455" t="str">
        <f>IF($J455&gt;$K455,"Green","Red")</f>
        <v>Green</v>
      </c>
      <c r="P455" t="str">
        <f>IF($J455=$K455,"Green","Red")</f>
        <v>Red</v>
      </c>
      <c r="Q455" t="str">
        <f>IF($J455&lt;$K455,"Green","Red")</f>
        <v>Red</v>
      </c>
      <c r="R455" t="str">
        <f>IF($J455&gt;=$K455,"Green","Red")</f>
        <v>Green</v>
      </c>
      <c r="S455" t="str">
        <f>IF($J455&lt;=$K455,"Green","Red")</f>
        <v>Red</v>
      </c>
      <c r="T455" t="str">
        <f>IF(OR($J455&gt;$K455,$J455&lt;$K455),"Green","Red")</f>
        <v>Green</v>
      </c>
      <c r="U455" t="str">
        <f>IF($H455&gt;$I455,"Green","Red")</f>
        <v>Green</v>
      </c>
      <c r="V455" t="str">
        <f>IF($H455=$I455,"Green","Red")</f>
        <v>Red</v>
      </c>
      <c r="W455" t="str">
        <f>IF($H455&lt;$I455,"Green","Red")</f>
        <v>Red</v>
      </c>
      <c r="X455" t="str">
        <f>IF($H455+$I455&gt;0,"Green","Red")</f>
        <v>Green</v>
      </c>
      <c r="Y455" t="str">
        <f>IF($J455+$K455&gt;1.5,"Green","Red")</f>
        <v>Green</v>
      </c>
      <c r="Z455" t="str">
        <f>IF($J455+$K455&gt;2.5,"Green","Red")</f>
        <v>Green</v>
      </c>
      <c r="AA455" t="str">
        <f>IF($J455+$K455&lt;2.5,"Green","Red")</f>
        <v>Red</v>
      </c>
      <c r="AB455" t="str">
        <f>IF($J455+$K455&lt;3.5,"Green","Red")</f>
        <v>Red</v>
      </c>
      <c r="AC455" t="str">
        <f>IF(AND($J455&gt;0,$K455&gt;0),"Green","Red")</f>
        <v>Green</v>
      </c>
      <c r="AD455" t="str">
        <f>IF(OR($J455=0,$K455=0),"Green","Red")</f>
        <v>Red</v>
      </c>
    </row>
    <row r="456" spans="1:30" x14ac:dyDescent="0.2">
      <c r="A456" t="str">
        <f>L456&amp;F456&amp;G456</f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>DAY(D456)-1&amp;"/"&amp;"07"&amp;"/"&amp;YEAR(D456)</f>
        <v>22/07/2026</v>
      </c>
      <c r="M456" s="31">
        <f>E456-TIME(3,0,0)+TIME(12,0,0)+TIME(12,0,0)</f>
        <v>0.97916666666666674</v>
      </c>
      <c r="N456" t="str">
        <f>J456&amp;" - "&amp;K456</f>
        <v>2 - 2</v>
      </c>
      <c r="O456" t="str">
        <f>IF($J456&gt;$K456,"Green","Red")</f>
        <v>Red</v>
      </c>
      <c r="P456" t="str">
        <f>IF($J456=$K456,"Green","Red")</f>
        <v>Green</v>
      </c>
      <c r="Q456" t="str">
        <f>IF($J456&lt;$K456,"Green","Red")</f>
        <v>Red</v>
      </c>
      <c r="R456" t="str">
        <f>IF($J456&gt;=$K456,"Green","Red")</f>
        <v>Green</v>
      </c>
      <c r="S456" t="str">
        <f>IF($J456&lt;=$K456,"Green","Red")</f>
        <v>Green</v>
      </c>
      <c r="T456" t="str">
        <f>IF(OR($J456&gt;$K456,$J456&lt;$K456),"Green","Red")</f>
        <v>Red</v>
      </c>
      <c r="U456" t="str">
        <f>IF($H456&gt;$I456,"Green","Red")</f>
        <v>Red</v>
      </c>
      <c r="V456" t="str">
        <f>IF($H456=$I456,"Green","Red")</f>
        <v>Red</v>
      </c>
      <c r="W456" t="str">
        <f>IF($H456&lt;$I456,"Green","Red")</f>
        <v>Green</v>
      </c>
      <c r="X456" t="str">
        <f>IF($H456+$I456&gt;0,"Green","Red")</f>
        <v>Green</v>
      </c>
      <c r="Y456" t="str">
        <f>IF($J456+$K456&gt;1.5,"Green","Red")</f>
        <v>Green</v>
      </c>
      <c r="Z456" t="str">
        <f>IF($J456+$K456&gt;2.5,"Green","Red")</f>
        <v>Green</v>
      </c>
      <c r="AA456" t="str">
        <f>IF($J456+$K456&lt;2.5,"Green","Red")</f>
        <v>Red</v>
      </c>
      <c r="AB456" t="str">
        <f>IF($J456+$K456&lt;3.5,"Green","Red")</f>
        <v>Red</v>
      </c>
      <c r="AC456" t="str">
        <f>IF(AND($J456&gt;0,$K456&gt;0),"Green","Red")</f>
        <v>Green</v>
      </c>
      <c r="AD456" t="str">
        <f>IF(OR($J456=0,$K456=0),"Green","Red")</f>
        <v>Red</v>
      </c>
    </row>
    <row r="457" spans="1:30" x14ac:dyDescent="0.2">
      <c r="A457" t="str">
        <f>L457&amp;F457&amp;G457</f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>DAY(D457)-1&amp;"/"&amp;"07"&amp;"/"&amp;YEAR(D457)</f>
        <v>22/07/2026</v>
      </c>
      <c r="M457" s="31">
        <f>E457-TIME(3,0,0)+TIME(12,0,0)+TIME(12,0,0)</f>
        <v>0.97916666666666674</v>
      </c>
      <c r="N457" t="str">
        <f>J457&amp;" - "&amp;K457</f>
        <v>0 - 4</v>
      </c>
      <c r="O457" t="str">
        <f>IF($J457&gt;$K457,"Green","Red")</f>
        <v>Red</v>
      </c>
      <c r="P457" t="str">
        <f>IF($J457=$K457,"Green","Red")</f>
        <v>Red</v>
      </c>
      <c r="Q457" t="str">
        <f>IF($J457&lt;$K457,"Green","Red")</f>
        <v>Green</v>
      </c>
      <c r="R457" t="str">
        <f>IF($J457&gt;=$K457,"Green","Red")</f>
        <v>Red</v>
      </c>
      <c r="S457" t="str">
        <f>IF($J457&lt;=$K457,"Green","Red")</f>
        <v>Green</v>
      </c>
      <c r="T457" t="str">
        <f>IF(OR($J457&gt;$K457,$J457&lt;$K457),"Green","Red")</f>
        <v>Green</v>
      </c>
      <c r="U457" t="str">
        <f>IF($H457&gt;$I457,"Green","Red")</f>
        <v>Red</v>
      </c>
      <c r="V457" t="str">
        <f>IF($H457=$I457,"Green","Red")</f>
        <v>Red</v>
      </c>
      <c r="W457" t="str">
        <f>IF($H457&lt;$I457,"Green","Red")</f>
        <v>Green</v>
      </c>
      <c r="X457" t="str">
        <f>IF($H457+$I457&gt;0,"Green","Red")</f>
        <v>Green</v>
      </c>
      <c r="Y457" t="str">
        <f>IF($J457+$K457&gt;1.5,"Green","Red")</f>
        <v>Green</v>
      </c>
      <c r="Z457" t="str">
        <f>IF($J457+$K457&gt;2.5,"Green","Red")</f>
        <v>Green</v>
      </c>
      <c r="AA457" t="str">
        <f>IF($J457+$K457&lt;2.5,"Green","Red")</f>
        <v>Red</v>
      </c>
      <c r="AB457" t="str">
        <f>IF($J457+$K457&lt;3.5,"Green","Red")</f>
        <v>Red</v>
      </c>
      <c r="AC457" t="str">
        <f>IF(AND($J457&gt;0,$K457&gt;0),"Green","Red")</f>
        <v>Red</v>
      </c>
      <c r="AD457" t="str">
        <f>IF(OR($J457=0,$K457=0),"Green","Red")</f>
        <v>Green</v>
      </c>
    </row>
    <row r="458" spans="1:30" x14ac:dyDescent="0.2">
      <c r="A458" t="str">
        <f>L458&amp;F458&amp;G458</f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>DAY(D458)&amp;"/"&amp;"07"&amp;"/"&amp;YEAR(D458)</f>
        <v>23/07/2026</v>
      </c>
      <c r="M458" s="23">
        <f>E458-TIME(3,0,0)</f>
        <v>0.22916666666666669</v>
      </c>
      <c r="N458" t="str">
        <f>J458&amp;" - "&amp;K458</f>
        <v xml:space="preserve"> - </v>
      </c>
      <c r="O458" t="str">
        <f>IF($J458&gt;$K458,"Green","Red")</f>
        <v>Red</v>
      </c>
      <c r="P458" t="str">
        <f>IF($J458=$K458,"Green","Red")</f>
        <v>Green</v>
      </c>
      <c r="Q458" t="str">
        <f>IF($J458&lt;$K458,"Green","Red")</f>
        <v>Red</v>
      </c>
      <c r="R458" t="str">
        <f>IF($J458&gt;=$K458,"Green","Red")</f>
        <v>Green</v>
      </c>
      <c r="S458" t="str">
        <f>IF($J458&lt;=$K458,"Green","Red")</f>
        <v>Green</v>
      </c>
      <c r="T458" t="str">
        <f>IF(OR($J458&gt;$K458,$J458&lt;$K458),"Green","Red")</f>
        <v>Red</v>
      </c>
      <c r="U458" t="str">
        <f>IF($H458&gt;$I458,"Green","Red")</f>
        <v>Red</v>
      </c>
      <c r="V458" t="str">
        <f>IF($H458=$I458,"Green","Red")</f>
        <v>Green</v>
      </c>
      <c r="W458" t="str">
        <f>IF($H458&lt;$I458,"Green","Red")</f>
        <v>Red</v>
      </c>
      <c r="X458" t="str">
        <f>IF($H458+$I458&gt;0,"Green","Red")</f>
        <v>Red</v>
      </c>
      <c r="Y458" t="str">
        <f>IF($J458+$K458&gt;1.5,"Green","Red")</f>
        <v>Red</v>
      </c>
      <c r="Z458" t="str">
        <f>IF($J458+$K458&gt;2.5,"Green","Red")</f>
        <v>Red</v>
      </c>
      <c r="AA458" t="str">
        <f>IF($J458+$K458&lt;2.5,"Green","Red")</f>
        <v>Green</v>
      </c>
      <c r="AB458" t="str">
        <f>IF($J458+$K458&lt;3.5,"Green","Red")</f>
        <v>Green</v>
      </c>
      <c r="AC458" t="str">
        <f>IF(AND($J458&gt;0,$K458&gt;0),"Green","Red")</f>
        <v>Red</v>
      </c>
      <c r="AD458" t="str">
        <f>IF(OR($J458=0,$K458=0),"Green","Red")</f>
        <v>Green</v>
      </c>
    </row>
    <row r="459" spans="1:30" x14ac:dyDescent="0.2">
      <c r="A459" t="str">
        <f>L459&amp;F459&amp;G459</f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>DAY(D459)&amp;"/"&amp;"07"&amp;"/"&amp;YEAR(D459)</f>
        <v>23/07/2026</v>
      </c>
      <c r="M459" s="23">
        <f>E459-TIME(3,0,0)</f>
        <v>0.25</v>
      </c>
      <c r="N459" t="str">
        <f>J459&amp;" - "&amp;K459</f>
        <v>2 - 1</v>
      </c>
      <c r="O459" t="str">
        <f>IF($J459&gt;$K459,"Green","Red")</f>
        <v>Green</v>
      </c>
      <c r="P459" t="str">
        <f>IF($J459=$K459,"Green","Red")</f>
        <v>Red</v>
      </c>
      <c r="Q459" t="str">
        <f>IF($J459&lt;$K459,"Green","Red")</f>
        <v>Red</v>
      </c>
      <c r="R459" t="str">
        <f>IF($J459&gt;=$K459,"Green","Red")</f>
        <v>Green</v>
      </c>
      <c r="S459" t="str">
        <f>IF($J459&lt;=$K459,"Green","Red")</f>
        <v>Red</v>
      </c>
      <c r="T459" t="str">
        <f>IF(OR($J459&gt;$K459,$J459&lt;$K459),"Green","Red")</f>
        <v>Green</v>
      </c>
      <c r="U459" t="str">
        <f>IF($H459&gt;$I459,"Green","Red")</f>
        <v>Green</v>
      </c>
      <c r="V459" t="str">
        <f>IF($H459=$I459,"Green","Red")</f>
        <v>Red</v>
      </c>
      <c r="W459" t="str">
        <f>IF($H459&lt;$I459,"Green","Red")</f>
        <v>Red</v>
      </c>
      <c r="X459" t="str">
        <f>IF($H459+$I459&gt;0,"Green","Red")</f>
        <v>Green</v>
      </c>
      <c r="Y459" t="str">
        <f>IF($J459+$K459&gt;1.5,"Green","Red")</f>
        <v>Green</v>
      </c>
      <c r="Z459" t="str">
        <f>IF($J459+$K459&gt;2.5,"Green","Red")</f>
        <v>Green</v>
      </c>
      <c r="AA459" t="str">
        <f>IF($J459+$K459&lt;2.5,"Green","Red")</f>
        <v>Red</v>
      </c>
      <c r="AB459" t="str">
        <f>IF($J459+$K459&lt;3.5,"Green","Red")</f>
        <v>Green</v>
      </c>
      <c r="AC459" t="str">
        <f>IF(AND($J459&gt;0,$K459&gt;0),"Green","Red")</f>
        <v>Green</v>
      </c>
      <c r="AD459" t="str">
        <f>IF(OR($J459=0,$K459=0),"Green","Red")</f>
        <v>Red</v>
      </c>
    </row>
    <row r="460" spans="1:30" x14ac:dyDescent="0.2">
      <c r="A460" t="str">
        <f>L460&amp;F460&amp;G460</f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>DAY(D460)&amp;"/"&amp;"07"&amp;"/"&amp;YEAR(D460)</f>
        <v>23/07/2026</v>
      </c>
      <c r="M460" s="23">
        <f>E460-TIME(3,0,0)</f>
        <v>0.33333333333333331</v>
      </c>
      <c r="N460" t="str">
        <f>J460&amp;" - "&amp;K460</f>
        <v>2 - 3</v>
      </c>
      <c r="O460" t="str">
        <f>IF($J460&gt;$K460,"Green","Red")</f>
        <v>Red</v>
      </c>
      <c r="P460" t="str">
        <f>IF($J460=$K460,"Green","Red")</f>
        <v>Red</v>
      </c>
      <c r="Q460" t="str">
        <f>IF($J460&lt;$K460,"Green","Red")</f>
        <v>Green</v>
      </c>
      <c r="R460" t="str">
        <f>IF($J460&gt;=$K460,"Green","Red")</f>
        <v>Red</v>
      </c>
      <c r="S460" t="str">
        <f>IF($J460&lt;=$K460,"Green","Red")</f>
        <v>Green</v>
      </c>
      <c r="T460" t="str">
        <f>IF(OR($J460&gt;$K460,$J460&lt;$K460),"Green","Red")</f>
        <v>Green</v>
      </c>
      <c r="U460" t="str">
        <f>IF($H460&gt;$I460,"Green","Red")</f>
        <v>Red</v>
      </c>
      <c r="V460" t="str">
        <f>IF($H460=$I460,"Green","Red")</f>
        <v>Red</v>
      </c>
      <c r="W460" t="str">
        <f>IF($H460&lt;$I460,"Green","Red")</f>
        <v>Green</v>
      </c>
      <c r="X460" t="str">
        <f>IF($H460+$I460&gt;0,"Green","Red")</f>
        <v>Green</v>
      </c>
      <c r="Y460" t="str">
        <f>IF($J460+$K460&gt;1.5,"Green","Red")</f>
        <v>Green</v>
      </c>
      <c r="Z460" t="str">
        <f>IF($J460+$K460&gt;2.5,"Green","Red")</f>
        <v>Green</v>
      </c>
      <c r="AA460" t="str">
        <f>IF($J460+$K460&lt;2.5,"Green","Red")</f>
        <v>Red</v>
      </c>
      <c r="AB460" t="str">
        <f>IF($J460+$K460&lt;3.5,"Green","Red")</f>
        <v>Red</v>
      </c>
      <c r="AC460" t="str">
        <f>IF(AND($J460&gt;0,$K460&gt;0),"Green","Red")</f>
        <v>Green</v>
      </c>
      <c r="AD460" t="str">
        <f>IF(OR($J460=0,$K460=0),"Green","Red")</f>
        <v>Red</v>
      </c>
    </row>
    <row r="461" spans="1:30" x14ac:dyDescent="0.2">
      <c r="A461" t="str">
        <f>L461&amp;F461&amp;G461</f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>DAY(D461)&amp;"/"&amp;"07"&amp;"/"&amp;YEAR(D461)</f>
        <v>23/07/2026</v>
      </c>
      <c r="M461" s="23">
        <f>E461-TIME(3,0,0)</f>
        <v>0.375</v>
      </c>
      <c r="N461" t="str">
        <f>J461&amp;" - "&amp;K461</f>
        <v>2 - 1</v>
      </c>
      <c r="O461" t="str">
        <f>IF($J461&gt;$K461,"Green","Red")</f>
        <v>Green</v>
      </c>
      <c r="P461" t="str">
        <f>IF($J461=$K461,"Green","Red")</f>
        <v>Red</v>
      </c>
      <c r="Q461" t="str">
        <f>IF($J461&lt;$K461,"Green","Red")</f>
        <v>Red</v>
      </c>
      <c r="R461" t="str">
        <f>IF($J461&gt;=$K461,"Green","Red")</f>
        <v>Green</v>
      </c>
      <c r="S461" t="str">
        <f>IF($J461&lt;=$K461,"Green","Red")</f>
        <v>Red</v>
      </c>
      <c r="T461" t="str">
        <f>IF(OR($J461&gt;$K461,$J461&lt;$K461),"Green","Red")</f>
        <v>Green</v>
      </c>
      <c r="U461" t="str">
        <f>IF($H461&gt;$I461,"Green","Red")</f>
        <v>Red</v>
      </c>
      <c r="V461" t="str">
        <f>IF($H461=$I461,"Green","Red")</f>
        <v>Red</v>
      </c>
      <c r="W461" t="str">
        <f>IF($H461&lt;$I461,"Green","Red")</f>
        <v>Green</v>
      </c>
      <c r="X461" t="str">
        <f>IF($H461+$I461&gt;0,"Green","Red")</f>
        <v>Green</v>
      </c>
      <c r="Y461" t="str">
        <f>IF($J461+$K461&gt;1.5,"Green","Red")</f>
        <v>Green</v>
      </c>
      <c r="Z461" t="str">
        <f>IF($J461+$K461&gt;2.5,"Green","Red")</f>
        <v>Green</v>
      </c>
      <c r="AA461" t="str">
        <f>IF($J461+$K461&lt;2.5,"Green","Red")</f>
        <v>Red</v>
      </c>
      <c r="AB461" t="str">
        <f>IF($J461+$K461&lt;3.5,"Green","Red")</f>
        <v>Green</v>
      </c>
      <c r="AC461" t="str">
        <f>IF(AND($J461&gt;0,$K461&gt;0),"Green","Red")</f>
        <v>Green</v>
      </c>
      <c r="AD461" t="str">
        <f>IF(OR($J461=0,$K461=0),"Green","Red")</f>
        <v>Red</v>
      </c>
    </row>
    <row r="462" spans="1:30" x14ac:dyDescent="0.2">
      <c r="A462" t="str">
        <f>L462&amp;F462&amp;G462</f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>DAY(D462)&amp;"/"&amp;"07"&amp;"/"&amp;YEAR(D462)</f>
        <v>23/07/2026</v>
      </c>
      <c r="M462" s="23">
        <f>E462-TIME(3,0,0)</f>
        <v>0.375</v>
      </c>
      <c r="N462" t="str">
        <f>J462&amp;" - "&amp;K462</f>
        <v>0 - 1</v>
      </c>
      <c r="O462" t="str">
        <f>IF($J462&gt;$K462,"Green","Red")</f>
        <v>Red</v>
      </c>
      <c r="P462" t="str">
        <f>IF($J462=$K462,"Green","Red")</f>
        <v>Red</v>
      </c>
      <c r="Q462" t="str">
        <f>IF($J462&lt;$K462,"Green","Red")</f>
        <v>Green</v>
      </c>
      <c r="R462" t="str">
        <f>IF($J462&gt;=$K462,"Green","Red")</f>
        <v>Red</v>
      </c>
      <c r="S462" t="str">
        <f>IF($J462&lt;=$K462,"Green","Red")</f>
        <v>Green</v>
      </c>
      <c r="T462" t="str">
        <f>IF(OR($J462&gt;$K462,$J462&lt;$K462),"Green","Red")</f>
        <v>Green</v>
      </c>
      <c r="U462" t="str">
        <f>IF($H462&gt;$I462,"Green","Red")</f>
        <v>Red</v>
      </c>
      <c r="V462" t="str">
        <f>IF($H462=$I462,"Green","Red")</f>
        <v>Red</v>
      </c>
      <c r="W462" t="str">
        <f>IF($H462&lt;$I462,"Green","Red")</f>
        <v>Green</v>
      </c>
      <c r="X462" t="str">
        <f>IF($H462+$I462&gt;0,"Green","Red")</f>
        <v>Green</v>
      </c>
      <c r="Y462" t="str">
        <f>IF($J462+$K462&gt;1.5,"Green","Red")</f>
        <v>Red</v>
      </c>
      <c r="Z462" t="str">
        <f>IF($J462+$K462&gt;2.5,"Green","Red")</f>
        <v>Red</v>
      </c>
      <c r="AA462" t="str">
        <f>IF($J462+$K462&lt;2.5,"Green","Red")</f>
        <v>Green</v>
      </c>
      <c r="AB462" t="str">
        <f>IF($J462+$K462&lt;3.5,"Green","Red")</f>
        <v>Green</v>
      </c>
      <c r="AC462" t="str">
        <f>IF(AND($J462&gt;0,$K462&gt;0),"Green","Red")</f>
        <v>Red</v>
      </c>
      <c r="AD462" t="str">
        <f>IF(OR($J462=0,$K462=0),"Green","Red")</f>
        <v>Green</v>
      </c>
    </row>
    <row r="463" spans="1:30" x14ac:dyDescent="0.2">
      <c r="A463" t="str">
        <f>L463&amp;F463&amp;G463</f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>DAY(D463)&amp;"/"&amp;"07"&amp;"/"&amp;YEAR(D463)</f>
        <v>23/07/2026</v>
      </c>
      <c r="M463" s="23">
        <f>E463-TIME(3,0,0)</f>
        <v>0.41666666666666663</v>
      </c>
      <c r="N463" t="str">
        <f>J463&amp;" - "&amp;K463</f>
        <v xml:space="preserve"> - </v>
      </c>
      <c r="O463" t="str">
        <f>IF($J463&gt;$K463,"Green","Red")</f>
        <v>Red</v>
      </c>
      <c r="P463" t="str">
        <f>IF($J463=$K463,"Green","Red")</f>
        <v>Green</v>
      </c>
      <c r="Q463" t="str">
        <f>IF($J463&lt;$K463,"Green","Red")</f>
        <v>Red</v>
      </c>
      <c r="R463" t="str">
        <f>IF($J463&gt;=$K463,"Green","Red")</f>
        <v>Green</v>
      </c>
      <c r="S463" t="str">
        <f>IF($J463&lt;=$K463,"Green","Red")</f>
        <v>Green</v>
      </c>
      <c r="T463" t="str">
        <f>IF(OR($J463&gt;$K463,$J463&lt;$K463),"Green","Red")</f>
        <v>Red</v>
      </c>
      <c r="U463" t="str">
        <f>IF($H463&gt;$I463,"Green","Red")</f>
        <v>Red</v>
      </c>
      <c r="V463" t="str">
        <f>IF($H463=$I463,"Green","Red")</f>
        <v>Green</v>
      </c>
      <c r="W463" t="str">
        <f>IF($H463&lt;$I463,"Green","Red")</f>
        <v>Red</v>
      </c>
      <c r="X463" t="str">
        <f>IF($H463+$I463&gt;0,"Green","Red")</f>
        <v>Red</v>
      </c>
      <c r="Y463" t="str">
        <f>IF($J463+$K463&gt;1.5,"Green","Red")</f>
        <v>Red</v>
      </c>
      <c r="Z463" t="str">
        <f>IF($J463+$K463&gt;2.5,"Green","Red")</f>
        <v>Red</v>
      </c>
      <c r="AA463" t="str">
        <f>IF($J463+$K463&lt;2.5,"Green","Red")</f>
        <v>Green</v>
      </c>
      <c r="AB463" t="str">
        <f>IF($J463+$K463&lt;3.5,"Green","Red")</f>
        <v>Green</v>
      </c>
      <c r="AC463" t="str">
        <f>IF(AND($J463&gt;0,$K463&gt;0),"Green","Red")</f>
        <v>Red</v>
      </c>
      <c r="AD463" t="str">
        <f>IF(OR($J463=0,$K463=0),"Green","Red")</f>
        <v>Green</v>
      </c>
    </row>
    <row r="464" spans="1:30" x14ac:dyDescent="0.2">
      <c r="A464" t="str">
        <f>L464&amp;F464&amp;G464</f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>DAY(D464)&amp;"/"&amp;"07"&amp;"/"&amp;YEAR(D464)</f>
        <v>23/07/2026</v>
      </c>
      <c r="M464" s="23">
        <f>E464-TIME(3,0,0)</f>
        <v>0.41666666666666663</v>
      </c>
      <c r="N464" t="str">
        <f>J464&amp;" - "&amp;K464</f>
        <v xml:space="preserve"> - </v>
      </c>
      <c r="O464" t="str">
        <f>IF($J464&gt;$K464,"Green","Red")</f>
        <v>Red</v>
      </c>
      <c r="P464" t="str">
        <f>IF($J464=$K464,"Green","Red")</f>
        <v>Green</v>
      </c>
      <c r="Q464" t="str">
        <f>IF($J464&lt;$K464,"Green","Red")</f>
        <v>Red</v>
      </c>
      <c r="R464" t="str">
        <f>IF($J464&gt;=$K464,"Green","Red")</f>
        <v>Green</v>
      </c>
      <c r="S464" t="str">
        <f>IF($J464&lt;=$K464,"Green","Red")</f>
        <v>Green</v>
      </c>
      <c r="T464" t="str">
        <f>IF(OR($J464&gt;$K464,$J464&lt;$K464),"Green","Red")</f>
        <v>Red</v>
      </c>
      <c r="U464" t="str">
        <f>IF($H464&gt;$I464,"Green","Red")</f>
        <v>Red</v>
      </c>
      <c r="V464" t="str">
        <f>IF($H464=$I464,"Green","Red")</f>
        <v>Green</v>
      </c>
      <c r="W464" t="str">
        <f>IF($H464&lt;$I464,"Green","Red")</f>
        <v>Red</v>
      </c>
      <c r="X464" t="str">
        <f>IF($H464+$I464&gt;0,"Green","Red")</f>
        <v>Red</v>
      </c>
      <c r="Y464" t="str">
        <f>IF($J464+$K464&gt;1.5,"Green","Red")</f>
        <v>Red</v>
      </c>
      <c r="Z464" t="str">
        <f>IF($J464+$K464&gt;2.5,"Green","Red")</f>
        <v>Red</v>
      </c>
      <c r="AA464" t="str">
        <f>IF($J464+$K464&lt;2.5,"Green","Red")</f>
        <v>Green</v>
      </c>
      <c r="AB464" t="str">
        <f>IF($J464+$K464&lt;3.5,"Green","Red")</f>
        <v>Green</v>
      </c>
      <c r="AC464" t="str">
        <f>IF(AND($J464&gt;0,$K464&gt;0),"Green","Red")</f>
        <v>Red</v>
      </c>
      <c r="AD464" t="str">
        <f>IF(OR($J464=0,$K464=0),"Green","Red")</f>
        <v>Green</v>
      </c>
    </row>
    <row r="465" spans="1:30" x14ac:dyDescent="0.2">
      <c r="A465" t="str">
        <f>L465&amp;F465&amp;G465</f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>DAY(D465)&amp;"/"&amp;"07"&amp;"/"&amp;YEAR(D465)</f>
        <v>23/07/2026</v>
      </c>
      <c r="M465" s="23">
        <f>E465-TIME(3,0,0)</f>
        <v>0.41666666666666663</v>
      </c>
      <c r="N465" t="str">
        <f>J465&amp;" - "&amp;K465</f>
        <v xml:space="preserve"> - </v>
      </c>
      <c r="O465" t="str">
        <f>IF($J465&gt;$K465,"Green","Red")</f>
        <v>Red</v>
      </c>
      <c r="P465" t="str">
        <f>IF($J465=$K465,"Green","Red")</f>
        <v>Green</v>
      </c>
      <c r="Q465" t="str">
        <f>IF($J465&lt;$K465,"Green","Red")</f>
        <v>Red</v>
      </c>
      <c r="R465" t="str">
        <f>IF($J465&gt;=$K465,"Green","Red")</f>
        <v>Green</v>
      </c>
      <c r="S465" t="str">
        <f>IF($J465&lt;=$K465,"Green","Red")</f>
        <v>Green</v>
      </c>
      <c r="T465" t="str">
        <f>IF(OR($J465&gt;$K465,$J465&lt;$K465),"Green","Red")</f>
        <v>Red</v>
      </c>
      <c r="U465" t="str">
        <f>IF($H465&gt;$I465,"Green","Red")</f>
        <v>Red</v>
      </c>
      <c r="V465" t="str">
        <f>IF($H465=$I465,"Green","Red")</f>
        <v>Green</v>
      </c>
      <c r="W465" t="str">
        <f>IF($H465&lt;$I465,"Green","Red")</f>
        <v>Red</v>
      </c>
      <c r="X465" t="str">
        <f>IF($H465+$I465&gt;0,"Green","Red")</f>
        <v>Red</v>
      </c>
      <c r="Y465" t="str">
        <f>IF($J465+$K465&gt;1.5,"Green","Red")</f>
        <v>Red</v>
      </c>
      <c r="Z465" t="str">
        <f>IF($J465+$K465&gt;2.5,"Green","Red")</f>
        <v>Red</v>
      </c>
      <c r="AA465" t="str">
        <f>IF($J465+$K465&lt;2.5,"Green","Red")</f>
        <v>Green</v>
      </c>
      <c r="AB465" t="str">
        <f>IF($J465+$K465&lt;3.5,"Green","Red")</f>
        <v>Green</v>
      </c>
      <c r="AC465" t="str">
        <f>IF(AND($J465&gt;0,$K465&gt;0),"Green","Red")</f>
        <v>Red</v>
      </c>
      <c r="AD465" t="str">
        <f>IF(OR($J465=0,$K465=0),"Green","Red")</f>
        <v>Green</v>
      </c>
    </row>
    <row r="466" spans="1:30" x14ac:dyDescent="0.2">
      <c r="A466" t="str">
        <f>L466&amp;F466&amp;G466</f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>DAY(D466)&amp;"/"&amp;"07"&amp;"/"&amp;YEAR(D466)</f>
        <v>23/07/2026</v>
      </c>
      <c r="M466" s="23">
        <f>E466-TIME(3,0,0)</f>
        <v>0.41666666666666663</v>
      </c>
      <c r="N466" t="str">
        <f>J466&amp;" - "&amp;K466</f>
        <v>2 - 0</v>
      </c>
      <c r="O466" t="str">
        <f>IF($J466&gt;$K466,"Green","Red")</f>
        <v>Green</v>
      </c>
      <c r="P466" t="str">
        <f>IF($J466=$K466,"Green","Red")</f>
        <v>Red</v>
      </c>
      <c r="Q466" t="str">
        <f>IF($J466&lt;$K466,"Green","Red")</f>
        <v>Red</v>
      </c>
      <c r="R466" t="str">
        <f>IF($J466&gt;=$K466,"Green","Red")</f>
        <v>Green</v>
      </c>
      <c r="S466" t="str">
        <f>IF($J466&lt;=$K466,"Green","Red")</f>
        <v>Red</v>
      </c>
      <c r="T466" t="str">
        <f>IF(OR($J466&gt;$K466,$J466&lt;$K466),"Green","Red")</f>
        <v>Green</v>
      </c>
      <c r="U466" t="str">
        <f>IF($H466&gt;$I466,"Green","Red")</f>
        <v>Green</v>
      </c>
      <c r="V466" t="str">
        <f>IF($H466=$I466,"Green","Red")</f>
        <v>Red</v>
      </c>
      <c r="W466" t="str">
        <f>IF($H466&lt;$I466,"Green","Red")</f>
        <v>Red</v>
      </c>
      <c r="X466" t="str">
        <f>IF($H466+$I466&gt;0,"Green","Red")</f>
        <v>Green</v>
      </c>
      <c r="Y466" t="str">
        <f>IF($J466+$K466&gt;1.5,"Green","Red")</f>
        <v>Green</v>
      </c>
      <c r="Z466" t="str">
        <f>IF($J466+$K466&gt;2.5,"Green","Red")</f>
        <v>Red</v>
      </c>
      <c r="AA466" t="str">
        <f>IF($J466+$K466&lt;2.5,"Green","Red")</f>
        <v>Green</v>
      </c>
      <c r="AB466" t="str">
        <f>IF($J466+$K466&lt;3.5,"Green","Red")</f>
        <v>Green</v>
      </c>
      <c r="AC466" t="str">
        <f>IF(AND($J466&gt;0,$K466&gt;0),"Green","Red")</f>
        <v>Red</v>
      </c>
      <c r="AD466" t="str">
        <f>IF(OR($J466=0,$K466=0),"Green","Red")</f>
        <v>Green</v>
      </c>
    </row>
    <row r="467" spans="1:30" x14ac:dyDescent="0.2">
      <c r="A467" t="str">
        <f>L467&amp;F467&amp;G467</f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>DAY(D467)&amp;"/"&amp;"07"&amp;"/"&amp;YEAR(D467)</f>
        <v>23/07/2026</v>
      </c>
      <c r="M467" s="23">
        <f>E467-TIME(3,0,0)</f>
        <v>0.41666666666666663</v>
      </c>
      <c r="N467" t="str">
        <f>J467&amp;" - "&amp;K467</f>
        <v>3 - 0</v>
      </c>
      <c r="O467" t="str">
        <f>IF($J467&gt;$K467,"Green","Red")</f>
        <v>Green</v>
      </c>
      <c r="P467" t="str">
        <f>IF($J467=$K467,"Green","Red")</f>
        <v>Red</v>
      </c>
      <c r="Q467" t="str">
        <f>IF($J467&lt;$K467,"Green","Red")</f>
        <v>Red</v>
      </c>
      <c r="R467" t="str">
        <f>IF($J467&gt;=$K467,"Green","Red")</f>
        <v>Green</v>
      </c>
      <c r="S467" t="str">
        <f>IF($J467&lt;=$K467,"Green","Red")</f>
        <v>Red</v>
      </c>
      <c r="T467" t="str">
        <f>IF(OR($J467&gt;$K467,$J467&lt;$K467),"Green","Red")</f>
        <v>Green</v>
      </c>
      <c r="U467" t="str">
        <f>IF($H467&gt;$I467,"Green","Red")</f>
        <v>Green</v>
      </c>
      <c r="V467" t="str">
        <f>IF($H467=$I467,"Green","Red")</f>
        <v>Red</v>
      </c>
      <c r="W467" t="str">
        <f>IF($H467&lt;$I467,"Green","Red")</f>
        <v>Red</v>
      </c>
      <c r="X467" t="str">
        <f>IF($H467+$I467&gt;0,"Green","Red")</f>
        <v>Green</v>
      </c>
      <c r="Y467" t="str">
        <f>IF($J467+$K467&gt;1.5,"Green","Red")</f>
        <v>Green</v>
      </c>
      <c r="Z467" t="str">
        <f>IF($J467+$K467&gt;2.5,"Green","Red")</f>
        <v>Green</v>
      </c>
      <c r="AA467" t="str">
        <f>IF($J467+$K467&lt;2.5,"Green","Red")</f>
        <v>Red</v>
      </c>
      <c r="AB467" t="str">
        <f>IF($J467+$K467&lt;3.5,"Green","Red")</f>
        <v>Green</v>
      </c>
      <c r="AC467" t="str">
        <f>IF(AND($J467&gt;0,$K467&gt;0),"Green","Red")</f>
        <v>Red</v>
      </c>
      <c r="AD467" t="str">
        <f>IF(OR($J467=0,$K467=0),"Green","Red")</f>
        <v>Green</v>
      </c>
    </row>
    <row r="468" spans="1:30" x14ac:dyDescent="0.2">
      <c r="A468" t="str">
        <f>L468&amp;F468&amp;G468</f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>DAY(D468)&amp;"/"&amp;"07"&amp;"/"&amp;YEAR(D468)</f>
        <v>23/07/2026</v>
      </c>
      <c r="M468" s="23">
        <f>E468-TIME(3,0,0)</f>
        <v>0.41666666666666663</v>
      </c>
      <c r="N468" t="str">
        <f>J468&amp;" - "&amp;K468</f>
        <v>4 - 1</v>
      </c>
      <c r="O468" t="str">
        <f>IF($J468&gt;$K468,"Green","Red")</f>
        <v>Green</v>
      </c>
      <c r="P468" t="str">
        <f>IF($J468=$K468,"Green","Red")</f>
        <v>Red</v>
      </c>
      <c r="Q468" t="str">
        <f>IF($J468&lt;$K468,"Green","Red")</f>
        <v>Red</v>
      </c>
      <c r="R468" t="str">
        <f>IF($J468&gt;=$K468,"Green","Red")</f>
        <v>Green</v>
      </c>
      <c r="S468" t="str">
        <f>IF($J468&lt;=$K468,"Green","Red")</f>
        <v>Red</v>
      </c>
      <c r="T468" t="str">
        <f>IF(OR($J468&gt;$K468,$J468&lt;$K468),"Green","Red")</f>
        <v>Green</v>
      </c>
      <c r="U468" t="str">
        <f>IF($H468&gt;$I468,"Green","Red")</f>
        <v>Red</v>
      </c>
      <c r="V468" t="str">
        <f>IF($H468=$I468,"Green","Red")</f>
        <v>Green</v>
      </c>
      <c r="W468" t="str">
        <f>IF($H468&lt;$I468,"Green","Red")</f>
        <v>Red</v>
      </c>
      <c r="X468" t="str">
        <f>IF($H468+$I468&gt;0,"Green","Red")</f>
        <v>Red</v>
      </c>
      <c r="Y468" t="str">
        <f>IF($J468+$K468&gt;1.5,"Green","Red")</f>
        <v>Green</v>
      </c>
      <c r="Z468" t="str">
        <f>IF($J468+$K468&gt;2.5,"Green","Red")</f>
        <v>Green</v>
      </c>
      <c r="AA468" t="str">
        <f>IF($J468+$K468&lt;2.5,"Green","Red")</f>
        <v>Red</v>
      </c>
      <c r="AB468" t="str">
        <f>IF($J468+$K468&lt;3.5,"Green","Red")</f>
        <v>Red</v>
      </c>
      <c r="AC468" t="str">
        <f>IF(AND($J468&gt;0,$K468&gt;0),"Green","Red")</f>
        <v>Green</v>
      </c>
      <c r="AD468" t="str">
        <f>IF(OR($J468=0,$K468=0),"Green","Red")</f>
        <v>Red</v>
      </c>
    </row>
    <row r="469" spans="1:30" x14ac:dyDescent="0.2">
      <c r="A469" t="str">
        <f>L469&amp;F469&amp;G469</f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>DAY(D469)&amp;"/"&amp;"07"&amp;"/"&amp;YEAR(D469)</f>
        <v>23/07/2026</v>
      </c>
      <c r="M469" s="23">
        <f>E469-TIME(3,0,0)</f>
        <v>0.41666666666666663</v>
      </c>
      <c r="N469" t="str">
        <f>J469&amp;" - "&amp;K469</f>
        <v>0 - 2</v>
      </c>
      <c r="O469" t="str">
        <f>IF($J469&gt;$K469,"Green","Red")</f>
        <v>Red</v>
      </c>
      <c r="P469" t="str">
        <f>IF($J469=$K469,"Green","Red")</f>
        <v>Red</v>
      </c>
      <c r="Q469" t="str">
        <f>IF($J469&lt;$K469,"Green","Red")</f>
        <v>Green</v>
      </c>
      <c r="R469" t="str">
        <f>IF($J469&gt;=$K469,"Green","Red")</f>
        <v>Red</v>
      </c>
      <c r="S469" t="str">
        <f>IF($J469&lt;=$K469,"Green","Red")</f>
        <v>Green</v>
      </c>
      <c r="T469" t="str">
        <f>IF(OR($J469&gt;$K469,$J469&lt;$K469),"Green","Red")</f>
        <v>Green</v>
      </c>
      <c r="U469" t="str">
        <f>IF($H469&gt;$I469,"Green","Red")</f>
        <v>Red</v>
      </c>
      <c r="V469" t="str">
        <f>IF($H469=$I469,"Green","Red")</f>
        <v>Green</v>
      </c>
      <c r="W469" t="str">
        <f>IF($H469&lt;$I469,"Green","Red")</f>
        <v>Red</v>
      </c>
      <c r="X469" t="str">
        <f>IF($H469+$I469&gt;0,"Green","Red")</f>
        <v>Red</v>
      </c>
      <c r="Y469" t="str">
        <f>IF($J469+$K469&gt;1.5,"Green","Red")</f>
        <v>Green</v>
      </c>
      <c r="Z469" t="str">
        <f>IF($J469+$K469&gt;2.5,"Green","Red")</f>
        <v>Red</v>
      </c>
      <c r="AA469" t="str">
        <f>IF($J469+$K469&lt;2.5,"Green","Red")</f>
        <v>Green</v>
      </c>
      <c r="AB469" t="str">
        <f>IF($J469+$K469&lt;3.5,"Green","Red")</f>
        <v>Green</v>
      </c>
      <c r="AC469" t="str">
        <f>IF(AND($J469&gt;0,$K469&gt;0),"Green","Red")</f>
        <v>Red</v>
      </c>
      <c r="AD469" t="str">
        <f>IF(OR($J469=0,$K469=0),"Green","Red")</f>
        <v>Green</v>
      </c>
    </row>
    <row r="470" spans="1:30" x14ac:dyDescent="0.2">
      <c r="A470" t="str">
        <f>L470&amp;F470&amp;G470</f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>DAY(D470)&amp;"/"&amp;"07"&amp;"/"&amp;YEAR(D470)</f>
        <v>23/07/2026</v>
      </c>
      <c r="M470" s="23">
        <f>E470-TIME(3,0,0)</f>
        <v>0.41666666666666663</v>
      </c>
      <c r="N470" t="str">
        <f>J470&amp;" - "&amp;K470</f>
        <v>0 - 1</v>
      </c>
      <c r="O470" t="str">
        <f>IF($J470&gt;$K470,"Green","Red")</f>
        <v>Red</v>
      </c>
      <c r="P470" t="str">
        <f>IF($J470=$K470,"Green","Red")</f>
        <v>Red</v>
      </c>
      <c r="Q470" t="str">
        <f>IF($J470&lt;$K470,"Green","Red")</f>
        <v>Green</v>
      </c>
      <c r="R470" t="str">
        <f>IF($J470&gt;=$K470,"Green","Red")</f>
        <v>Red</v>
      </c>
      <c r="S470" t="str">
        <f>IF($J470&lt;=$K470,"Green","Red")</f>
        <v>Green</v>
      </c>
      <c r="T470" t="str">
        <f>IF(OR($J470&gt;$K470,$J470&lt;$K470),"Green","Red")</f>
        <v>Green</v>
      </c>
      <c r="U470" t="str">
        <f>IF($H470&gt;$I470,"Green","Red")</f>
        <v>Red</v>
      </c>
      <c r="V470" t="str">
        <f>IF($H470=$I470,"Green","Red")</f>
        <v>Green</v>
      </c>
      <c r="W470" t="str">
        <f>IF($H470&lt;$I470,"Green","Red")</f>
        <v>Red</v>
      </c>
      <c r="X470" t="str">
        <f>IF($H470+$I470&gt;0,"Green","Red")</f>
        <v>Red</v>
      </c>
      <c r="Y470" t="str">
        <f>IF($J470+$K470&gt;1.5,"Green","Red")</f>
        <v>Red</v>
      </c>
      <c r="Z470" t="str">
        <f>IF($J470+$K470&gt;2.5,"Green","Red")</f>
        <v>Red</v>
      </c>
      <c r="AA470" t="str">
        <f>IF($J470+$K470&lt;2.5,"Green","Red")</f>
        <v>Green</v>
      </c>
      <c r="AB470" t="str">
        <f>IF($J470+$K470&lt;3.5,"Green","Red")</f>
        <v>Green</v>
      </c>
      <c r="AC470" t="str">
        <f>IF(AND($J470&gt;0,$K470&gt;0),"Green","Red")</f>
        <v>Red</v>
      </c>
      <c r="AD470" t="str">
        <f>IF(OR($J470=0,$K470=0),"Green","Red")</f>
        <v>Green</v>
      </c>
    </row>
    <row r="471" spans="1:30" x14ac:dyDescent="0.2">
      <c r="A471" t="str">
        <f>L471&amp;F471&amp;G471</f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>DAY(D471)&amp;"/"&amp;"07"&amp;"/"&amp;YEAR(D471)</f>
        <v>23/07/2026</v>
      </c>
      <c r="M471" s="23">
        <f>E471-TIME(3,0,0)</f>
        <v>0.41666666666666663</v>
      </c>
      <c r="N471" t="str">
        <f>J471&amp;" - "&amp;K471</f>
        <v>1 - 1</v>
      </c>
      <c r="O471" t="str">
        <f>IF($J471&gt;$K471,"Green","Red")</f>
        <v>Red</v>
      </c>
      <c r="P471" t="str">
        <f>IF($J471=$K471,"Green","Red")</f>
        <v>Green</v>
      </c>
      <c r="Q471" t="str">
        <f>IF($J471&lt;$K471,"Green","Red")</f>
        <v>Red</v>
      </c>
      <c r="R471" t="str">
        <f>IF($J471&gt;=$K471,"Green","Red")</f>
        <v>Green</v>
      </c>
      <c r="S471" t="str">
        <f>IF($J471&lt;=$K471,"Green","Red")</f>
        <v>Green</v>
      </c>
      <c r="T471" t="str">
        <f>IF(OR($J471&gt;$K471,$J471&lt;$K471),"Green","Red")</f>
        <v>Red</v>
      </c>
      <c r="U471" t="str">
        <f>IF($H471&gt;$I471,"Green","Red")</f>
        <v>Red</v>
      </c>
      <c r="V471" t="str">
        <f>IF($H471=$I471,"Green","Red")</f>
        <v>Green</v>
      </c>
      <c r="W471" t="str">
        <f>IF($H471&lt;$I471,"Green","Red")</f>
        <v>Red</v>
      </c>
      <c r="X471" t="str">
        <f>IF($H471+$I471&gt;0,"Green","Red")</f>
        <v>Red</v>
      </c>
      <c r="Y471" t="str">
        <f>IF($J471+$K471&gt;1.5,"Green","Red")</f>
        <v>Green</v>
      </c>
      <c r="Z471" t="str">
        <f>IF($J471+$K471&gt;2.5,"Green","Red")</f>
        <v>Red</v>
      </c>
      <c r="AA471" t="str">
        <f>IF($J471+$K471&lt;2.5,"Green","Red")</f>
        <v>Green</v>
      </c>
      <c r="AB471" t="str">
        <f>IF($J471+$K471&lt;3.5,"Green","Red")</f>
        <v>Green</v>
      </c>
      <c r="AC471" t="str">
        <f>IF(AND($J471&gt;0,$K471&gt;0),"Green","Red")</f>
        <v>Green</v>
      </c>
      <c r="AD471" t="str">
        <f>IF(OR($J471=0,$K471=0),"Green","Red")</f>
        <v>Red</v>
      </c>
    </row>
    <row r="472" spans="1:30" x14ac:dyDescent="0.2">
      <c r="A472" t="str">
        <f>L472&amp;F472&amp;G472</f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>DAY(D472)&amp;"/"&amp;"07"&amp;"/"&amp;YEAR(D472)</f>
        <v>23/07/2026</v>
      </c>
      <c r="M472" s="23">
        <f>E472-TIME(3,0,0)</f>
        <v>0.47916666666666663</v>
      </c>
      <c r="N472" t="str">
        <f>J472&amp;" - "&amp;K472</f>
        <v>2 - 0</v>
      </c>
      <c r="O472" t="str">
        <f>IF($J472&gt;$K472,"Green","Red")</f>
        <v>Green</v>
      </c>
      <c r="P472" t="str">
        <f>IF($J472=$K472,"Green","Red")</f>
        <v>Red</v>
      </c>
      <c r="Q472" t="str">
        <f>IF($J472&lt;$K472,"Green","Red")</f>
        <v>Red</v>
      </c>
      <c r="R472" t="str">
        <f>IF($J472&gt;=$K472,"Green","Red")</f>
        <v>Green</v>
      </c>
      <c r="S472" t="str">
        <f>IF($J472&lt;=$K472,"Green","Red")</f>
        <v>Red</v>
      </c>
      <c r="T472" t="str">
        <f>IF(OR($J472&gt;$K472,$J472&lt;$K472),"Green","Red")</f>
        <v>Green</v>
      </c>
      <c r="U472" t="str">
        <f>IF($H472&gt;$I472,"Green","Red")</f>
        <v>Green</v>
      </c>
      <c r="V472" t="str">
        <f>IF($H472=$I472,"Green","Red")</f>
        <v>Red</v>
      </c>
      <c r="W472" t="str">
        <f>IF($H472&lt;$I472,"Green","Red")</f>
        <v>Red</v>
      </c>
      <c r="X472" t="str">
        <f>IF($H472+$I472&gt;0,"Green","Red")</f>
        <v>Green</v>
      </c>
      <c r="Y472" t="str">
        <f>IF($J472+$K472&gt;1.5,"Green","Red")</f>
        <v>Green</v>
      </c>
      <c r="Z472" t="str">
        <f>IF($J472+$K472&gt;2.5,"Green","Red")</f>
        <v>Red</v>
      </c>
      <c r="AA472" t="str">
        <f>IF($J472+$K472&lt;2.5,"Green","Red")</f>
        <v>Green</v>
      </c>
      <c r="AB472" t="str">
        <f>IF($J472+$K472&lt;3.5,"Green","Red")</f>
        <v>Green</v>
      </c>
      <c r="AC472" t="str">
        <f>IF(AND($J472&gt;0,$K472&gt;0),"Green","Red")</f>
        <v>Red</v>
      </c>
      <c r="AD472" t="str">
        <f>IF(OR($J472=0,$K472=0),"Green","Red")</f>
        <v>Green</v>
      </c>
    </row>
    <row r="473" spans="1:30" x14ac:dyDescent="0.2">
      <c r="A473" t="str">
        <f>L473&amp;F473&amp;G473</f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>DAY(D473)&amp;"/"&amp;"07"&amp;"/"&amp;YEAR(D473)</f>
        <v>23/07/2026</v>
      </c>
      <c r="M473" s="23">
        <f>E473-TIME(3,0,0)</f>
        <v>0.47916666666666663</v>
      </c>
      <c r="N473" t="str">
        <f>J473&amp;" - "&amp;K473</f>
        <v>3 - 2</v>
      </c>
      <c r="O473" t="str">
        <f>IF($J473&gt;$K473,"Green","Red")</f>
        <v>Green</v>
      </c>
      <c r="P473" t="str">
        <f>IF($J473=$K473,"Green","Red")</f>
        <v>Red</v>
      </c>
      <c r="Q473" t="str">
        <f>IF($J473&lt;$K473,"Green","Red")</f>
        <v>Red</v>
      </c>
      <c r="R473" t="str">
        <f>IF($J473&gt;=$K473,"Green","Red")</f>
        <v>Green</v>
      </c>
      <c r="S473" t="str">
        <f>IF($J473&lt;=$K473,"Green","Red")</f>
        <v>Red</v>
      </c>
      <c r="T473" t="str">
        <f>IF(OR($J473&gt;$K473,$J473&lt;$K473),"Green","Red")</f>
        <v>Green</v>
      </c>
      <c r="U473" t="str">
        <f>IF($H473&gt;$I473,"Green","Red")</f>
        <v>Red</v>
      </c>
      <c r="V473" t="str">
        <f>IF($H473=$I473,"Green","Red")</f>
        <v>Green</v>
      </c>
      <c r="W473" t="str">
        <f>IF($H473&lt;$I473,"Green","Red")</f>
        <v>Red</v>
      </c>
      <c r="X473" t="str">
        <f>IF($H473+$I473&gt;0,"Green","Red")</f>
        <v>Red</v>
      </c>
      <c r="Y473" t="str">
        <f>IF($J473+$K473&gt;1.5,"Green","Red")</f>
        <v>Green</v>
      </c>
      <c r="Z473" t="str">
        <f>IF($J473+$K473&gt;2.5,"Green","Red")</f>
        <v>Green</v>
      </c>
      <c r="AA473" t="str">
        <f>IF($J473+$K473&lt;2.5,"Green","Red")</f>
        <v>Red</v>
      </c>
      <c r="AB473" t="str">
        <f>IF($J473+$K473&lt;3.5,"Green","Red")</f>
        <v>Red</v>
      </c>
      <c r="AC473" t="str">
        <f>IF(AND($J473&gt;0,$K473&gt;0),"Green","Red")</f>
        <v>Green</v>
      </c>
      <c r="AD473" t="str">
        <f>IF(OR($J473=0,$K473=0),"Green","Red")</f>
        <v>Red</v>
      </c>
    </row>
    <row r="474" spans="1:30" x14ac:dyDescent="0.2">
      <c r="A474" t="str">
        <f>L474&amp;F474&amp;G474</f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>DAY(D474)&amp;"/"&amp;"07"&amp;"/"&amp;YEAR(D474)</f>
        <v>23/07/2026</v>
      </c>
      <c r="M474" s="23">
        <f>E474-TIME(3,0,0)</f>
        <v>0.5</v>
      </c>
      <c r="N474" t="str">
        <f>J474&amp;" - "&amp;K474</f>
        <v>1 - 1</v>
      </c>
      <c r="O474" t="str">
        <f>IF($J474&gt;$K474,"Green","Red")</f>
        <v>Red</v>
      </c>
      <c r="P474" t="str">
        <f>IF($J474=$K474,"Green","Red")</f>
        <v>Green</v>
      </c>
      <c r="Q474" t="str">
        <f>IF($J474&lt;$K474,"Green","Red")</f>
        <v>Red</v>
      </c>
      <c r="R474" t="str">
        <f>IF($J474&gt;=$K474,"Green","Red")</f>
        <v>Green</v>
      </c>
      <c r="S474" t="str">
        <f>IF($J474&lt;=$K474,"Green","Red")</f>
        <v>Green</v>
      </c>
      <c r="T474" t="str">
        <f>IF(OR($J474&gt;$K474,$J474&lt;$K474),"Green","Red")</f>
        <v>Red</v>
      </c>
      <c r="U474" t="str">
        <f>IF($H474&gt;$I474,"Green","Red")</f>
        <v>Green</v>
      </c>
      <c r="V474" t="str">
        <f>IF($H474=$I474,"Green","Red")</f>
        <v>Red</v>
      </c>
      <c r="W474" t="str">
        <f>IF($H474&lt;$I474,"Green","Red")</f>
        <v>Red</v>
      </c>
      <c r="X474" t="str">
        <f>IF($H474+$I474&gt;0,"Green","Red")</f>
        <v>Green</v>
      </c>
      <c r="Y474" t="str">
        <f>IF($J474+$K474&gt;1.5,"Green","Red")</f>
        <v>Green</v>
      </c>
      <c r="Z474" t="str">
        <f>IF($J474+$K474&gt;2.5,"Green","Red")</f>
        <v>Red</v>
      </c>
      <c r="AA474" t="str">
        <f>IF($J474+$K474&lt;2.5,"Green","Red")</f>
        <v>Green</v>
      </c>
      <c r="AB474" t="str">
        <f>IF($J474+$K474&lt;3.5,"Green","Red")</f>
        <v>Green</v>
      </c>
      <c r="AC474" t="str">
        <f>IF(AND($J474&gt;0,$K474&gt;0),"Green","Red")</f>
        <v>Green</v>
      </c>
      <c r="AD474" t="str">
        <f>IF(OR($J474=0,$K474=0),"Green","Red")</f>
        <v>Red</v>
      </c>
    </row>
    <row r="475" spans="1:30" x14ac:dyDescent="0.2">
      <c r="A475" t="str">
        <f>L475&amp;F475&amp;G475</f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>DAY(D475)&amp;"/"&amp;"07"&amp;"/"&amp;YEAR(D475)</f>
        <v>23/07/2026</v>
      </c>
      <c r="M475" s="23">
        <f>E475-TIME(3,0,0)</f>
        <v>0.5</v>
      </c>
      <c r="N475" t="str">
        <f>J475&amp;" - "&amp;K475</f>
        <v>0 - 2</v>
      </c>
      <c r="O475" t="str">
        <f>IF($J475&gt;$K475,"Green","Red")</f>
        <v>Red</v>
      </c>
      <c r="P475" t="str">
        <f>IF($J475=$K475,"Green","Red")</f>
        <v>Red</v>
      </c>
      <c r="Q475" t="str">
        <f>IF($J475&lt;$K475,"Green","Red")</f>
        <v>Green</v>
      </c>
      <c r="R475" t="str">
        <f>IF($J475&gt;=$K475,"Green","Red")</f>
        <v>Red</v>
      </c>
      <c r="S475" t="str">
        <f>IF($J475&lt;=$K475,"Green","Red")</f>
        <v>Green</v>
      </c>
      <c r="T475" t="str">
        <f>IF(OR($J475&gt;$K475,$J475&lt;$K475),"Green","Red")</f>
        <v>Green</v>
      </c>
      <c r="U475" t="str">
        <f>IF($H475&gt;$I475,"Green","Red")</f>
        <v>Red</v>
      </c>
      <c r="V475" t="str">
        <f>IF($H475=$I475,"Green","Red")</f>
        <v>Red</v>
      </c>
      <c r="W475" t="str">
        <f>IF($H475&lt;$I475,"Green","Red")</f>
        <v>Green</v>
      </c>
      <c r="X475" t="str">
        <f>IF($H475+$I475&gt;0,"Green","Red")</f>
        <v>Green</v>
      </c>
      <c r="Y475" t="str">
        <f>IF($J475+$K475&gt;1.5,"Green","Red")</f>
        <v>Green</v>
      </c>
      <c r="Z475" t="str">
        <f>IF($J475+$K475&gt;2.5,"Green","Red")</f>
        <v>Red</v>
      </c>
      <c r="AA475" t="str">
        <f>IF($J475+$K475&lt;2.5,"Green","Red")</f>
        <v>Green</v>
      </c>
      <c r="AB475" t="str">
        <f>IF($J475+$K475&lt;3.5,"Green","Red")</f>
        <v>Green</v>
      </c>
      <c r="AC475" t="str">
        <f>IF(AND($J475&gt;0,$K475&gt;0),"Green","Red")</f>
        <v>Red</v>
      </c>
      <c r="AD475" t="str">
        <f>IF(OR($J475=0,$K475=0),"Green","Red")</f>
        <v>Green</v>
      </c>
    </row>
    <row r="476" spans="1:30" x14ac:dyDescent="0.2">
      <c r="A476" t="str">
        <f>L476&amp;F476&amp;G476</f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>DAY(D476)&amp;"/"&amp;"07"&amp;"/"&amp;YEAR(D476)</f>
        <v>23/07/2026</v>
      </c>
      <c r="M476" s="23">
        <f>E476-TIME(3,0,0)</f>
        <v>0.5</v>
      </c>
      <c r="N476" t="str">
        <f>J476&amp;" - "&amp;K476</f>
        <v>1 - 1</v>
      </c>
      <c r="O476" t="str">
        <f>IF($J476&gt;$K476,"Green","Red")</f>
        <v>Red</v>
      </c>
      <c r="P476" t="str">
        <f>IF($J476=$K476,"Green","Red")</f>
        <v>Green</v>
      </c>
      <c r="Q476" t="str">
        <f>IF($J476&lt;$K476,"Green","Red")</f>
        <v>Red</v>
      </c>
      <c r="R476" t="str">
        <f>IF($J476&gt;=$K476,"Green","Red")</f>
        <v>Green</v>
      </c>
      <c r="S476" t="str">
        <f>IF($J476&lt;=$K476,"Green","Red")</f>
        <v>Green</v>
      </c>
      <c r="T476" t="str">
        <f>IF(OR($J476&gt;$K476,$J476&lt;$K476),"Green","Red")</f>
        <v>Red</v>
      </c>
      <c r="U476" t="str">
        <f>IF($H476&gt;$I476,"Green","Red")</f>
        <v>Red</v>
      </c>
      <c r="V476" t="str">
        <f>IF($H476=$I476,"Green","Red")</f>
        <v>Green</v>
      </c>
      <c r="W476" t="str">
        <f>IF($H476&lt;$I476,"Green","Red")</f>
        <v>Red</v>
      </c>
      <c r="X476" t="str">
        <f>IF($H476+$I476&gt;0,"Green","Red")</f>
        <v>Red</v>
      </c>
      <c r="Y476" t="str">
        <f>IF($J476+$K476&gt;1.5,"Green","Red")</f>
        <v>Green</v>
      </c>
      <c r="Z476" t="str">
        <f>IF($J476+$K476&gt;2.5,"Green","Red")</f>
        <v>Red</v>
      </c>
      <c r="AA476" t="str">
        <f>IF($J476+$K476&lt;2.5,"Green","Red")</f>
        <v>Green</v>
      </c>
      <c r="AB476" t="str">
        <f>IF($J476+$K476&lt;3.5,"Green","Red")</f>
        <v>Green</v>
      </c>
      <c r="AC476" t="str">
        <f>IF(AND($J476&gt;0,$K476&gt;0),"Green","Red")</f>
        <v>Green</v>
      </c>
      <c r="AD476" t="str">
        <f>IF(OR($J476=0,$K476=0),"Green","Red")</f>
        <v>Red</v>
      </c>
    </row>
    <row r="477" spans="1:30" x14ac:dyDescent="0.2">
      <c r="A477" t="str">
        <f>L477&amp;F477&amp;G477</f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>DAY(D477)&amp;"/"&amp;"07"&amp;"/"&amp;YEAR(D477)</f>
        <v>23/07/2026</v>
      </c>
      <c r="M477" s="23">
        <f>E477-TIME(3,0,0)</f>
        <v>0.5</v>
      </c>
      <c r="N477" t="str">
        <f>J477&amp;" - "&amp;K477</f>
        <v>3 - 0</v>
      </c>
      <c r="O477" t="str">
        <f>IF($J477&gt;$K477,"Green","Red")</f>
        <v>Green</v>
      </c>
      <c r="P477" t="str">
        <f>IF($J477=$K477,"Green","Red")</f>
        <v>Red</v>
      </c>
      <c r="Q477" t="str">
        <f>IF($J477&lt;$K477,"Green","Red")</f>
        <v>Red</v>
      </c>
      <c r="R477" t="str">
        <f>IF($J477&gt;=$K477,"Green","Red")</f>
        <v>Green</v>
      </c>
      <c r="S477" t="str">
        <f>IF($J477&lt;=$K477,"Green","Red")</f>
        <v>Red</v>
      </c>
      <c r="T477" t="str">
        <f>IF(OR($J477&gt;$K477,$J477&lt;$K477),"Green","Red")</f>
        <v>Green</v>
      </c>
      <c r="U477" t="str">
        <f>IF($H477&gt;$I477,"Green","Red")</f>
        <v>Green</v>
      </c>
      <c r="V477" t="str">
        <f>IF($H477=$I477,"Green","Red")</f>
        <v>Red</v>
      </c>
      <c r="W477" t="str">
        <f>IF($H477&lt;$I477,"Green","Red")</f>
        <v>Red</v>
      </c>
      <c r="X477" t="str">
        <f>IF($H477+$I477&gt;0,"Green","Red")</f>
        <v>Green</v>
      </c>
      <c r="Y477" t="str">
        <f>IF($J477+$K477&gt;1.5,"Green","Red")</f>
        <v>Green</v>
      </c>
      <c r="Z477" t="str">
        <f>IF($J477+$K477&gt;2.5,"Green","Red")</f>
        <v>Green</v>
      </c>
      <c r="AA477" t="str">
        <f>IF($J477+$K477&lt;2.5,"Green","Red")</f>
        <v>Red</v>
      </c>
      <c r="AB477" t="str">
        <f>IF($J477+$K477&lt;3.5,"Green","Red")</f>
        <v>Green</v>
      </c>
      <c r="AC477" t="str">
        <f>IF(AND($J477&gt;0,$K477&gt;0),"Green","Red")</f>
        <v>Red</v>
      </c>
      <c r="AD477" t="str">
        <f>IF(OR($J477=0,$K477=0),"Green","Red")</f>
        <v>Green</v>
      </c>
    </row>
    <row r="478" spans="1:30" x14ac:dyDescent="0.2">
      <c r="A478" t="str">
        <f>L478&amp;F478&amp;G478</f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>DAY(D478)&amp;"/"&amp;"07"&amp;"/"&amp;YEAR(D478)</f>
        <v>23/07/2026</v>
      </c>
      <c r="M478" s="23">
        <f>E478-TIME(3,0,0)</f>
        <v>0.5</v>
      </c>
      <c r="N478" t="str">
        <f>J478&amp;" - "&amp;K478</f>
        <v>1 - 1</v>
      </c>
      <c r="O478" t="str">
        <f>IF($J478&gt;$K478,"Green","Red")</f>
        <v>Red</v>
      </c>
      <c r="P478" t="str">
        <f>IF($J478=$K478,"Green","Red")</f>
        <v>Green</v>
      </c>
      <c r="Q478" t="str">
        <f>IF($J478&lt;$K478,"Green","Red")</f>
        <v>Red</v>
      </c>
      <c r="R478" t="str">
        <f>IF($J478&gt;=$K478,"Green","Red")</f>
        <v>Green</v>
      </c>
      <c r="S478" t="str">
        <f>IF($J478&lt;=$K478,"Green","Red")</f>
        <v>Green</v>
      </c>
      <c r="T478" t="str">
        <f>IF(OR($J478&gt;$K478,$J478&lt;$K478),"Green","Red")</f>
        <v>Red</v>
      </c>
      <c r="U478" t="str">
        <f>IF($H478&gt;$I478,"Green","Red")</f>
        <v>Red</v>
      </c>
      <c r="V478" t="str">
        <f>IF($H478=$I478,"Green","Red")</f>
        <v>Green</v>
      </c>
      <c r="W478" t="str">
        <f>IF($H478&lt;$I478,"Green","Red")</f>
        <v>Red</v>
      </c>
      <c r="X478" t="str">
        <f>IF($H478+$I478&gt;0,"Green","Red")</f>
        <v>Green</v>
      </c>
      <c r="Y478" t="str">
        <f>IF($J478+$K478&gt;1.5,"Green","Red")</f>
        <v>Green</v>
      </c>
      <c r="Z478" t="str">
        <f>IF($J478+$K478&gt;2.5,"Green","Red")</f>
        <v>Red</v>
      </c>
      <c r="AA478" t="str">
        <f>IF($J478+$K478&lt;2.5,"Green","Red")</f>
        <v>Green</v>
      </c>
      <c r="AB478" t="str">
        <f>IF($J478+$K478&lt;3.5,"Green","Red")</f>
        <v>Green</v>
      </c>
      <c r="AC478" t="str">
        <f>IF(AND($J478&gt;0,$K478&gt;0),"Green","Red")</f>
        <v>Green</v>
      </c>
      <c r="AD478" t="str">
        <f>IF(OR($J478=0,$K478=0),"Green","Red")</f>
        <v>Red</v>
      </c>
    </row>
    <row r="479" spans="1:30" x14ac:dyDescent="0.2">
      <c r="A479" t="str">
        <f>L479&amp;F479&amp;G479</f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>DAY(D479)&amp;"/"&amp;"07"&amp;"/"&amp;YEAR(D479)</f>
        <v>23/07/2026</v>
      </c>
      <c r="M479" s="23">
        <f>E479-TIME(3,0,0)</f>
        <v>0.5</v>
      </c>
      <c r="N479" t="str">
        <f>J479&amp;" - "&amp;K479</f>
        <v>1 - 2</v>
      </c>
      <c r="O479" t="str">
        <f>IF($J479&gt;$K479,"Green","Red")</f>
        <v>Red</v>
      </c>
      <c r="P479" t="str">
        <f>IF($J479=$K479,"Green","Red")</f>
        <v>Red</v>
      </c>
      <c r="Q479" t="str">
        <f>IF($J479&lt;$K479,"Green","Red")</f>
        <v>Green</v>
      </c>
      <c r="R479" t="str">
        <f>IF($J479&gt;=$K479,"Green","Red")</f>
        <v>Red</v>
      </c>
      <c r="S479" t="str">
        <f>IF($J479&lt;=$K479,"Green","Red")</f>
        <v>Green</v>
      </c>
      <c r="T479" t="str">
        <f>IF(OR($J479&gt;$K479,$J479&lt;$K479),"Green","Red")</f>
        <v>Green</v>
      </c>
      <c r="U479" t="str">
        <f>IF($H479&gt;$I479,"Green","Red")</f>
        <v>Red</v>
      </c>
      <c r="V479" t="str">
        <f>IF($H479=$I479,"Green","Red")</f>
        <v>Red</v>
      </c>
      <c r="W479" t="str">
        <f>IF($H479&lt;$I479,"Green","Red")</f>
        <v>Green</v>
      </c>
      <c r="X479" t="str">
        <f>IF($H479+$I479&gt;0,"Green","Red")</f>
        <v>Green</v>
      </c>
      <c r="Y479" t="str">
        <f>IF($J479+$K479&gt;1.5,"Green","Red")</f>
        <v>Green</v>
      </c>
      <c r="Z479" t="str">
        <f>IF($J479+$K479&gt;2.5,"Green","Red")</f>
        <v>Green</v>
      </c>
      <c r="AA479" t="str">
        <f>IF($J479+$K479&lt;2.5,"Green","Red")</f>
        <v>Red</v>
      </c>
      <c r="AB479" t="str">
        <f>IF($J479+$K479&lt;3.5,"Green","Red")</f>
        <v>Green</v>
      </c>
      <c r="AC479" t="str">
        <f>IF(AND($J479&gt;0,$K479&gt;0),"Green","Red")</f>
        <v>Green</v>
      </c>
      <c r="AD479" t="str">
        <f>IF(OR($J479=0,$K479=0),"Green","Red")</f>
        <v>Red</v>
      </c>
    </row>
    <row r="480" spans="1:30" x14ac:dyDescent="0.2">
      <c r="A480" t="str">
        <f>L480&amp;F480&amp;G480</f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>DAY(D480)&amp;"/"&amp;"07"&amp;"/"&amp;YEAR(D480)</f>
        <v>23/07/2026</v>
      </c>
      <c r="M480" s="23">
        <f>E480-TIME(3,0,0)</f>
        <v>0.5</v>
      </c>
      <c r="N480" t="str">
        <f>J480&amp;" - "&amp;K480</f>
        <v>0 - 0</v>
      </c>
      <c r="O480" t="str">
        <f>IF($J480&gt;$K480,"Green","Red")</f>
        <v>Red</v>
      </c>
      <c r="P480" t="str">
        <f>IF($J480=$K480,"Green","Red")</f>
        <v>Green</v>
      </c>
      <c r="Q480" t="str">
        <f>IF($J480&lt;$K480,"Green","Red")</f>
        <v>Red</v>
      </c>
      <c r="R480" t="str">
        <f>IF($J480&gt;=$K480,"Green","Red")</f>
        <v>Green</v>
      </c>
      <c r="S480" t="str">
        <f>IF($J480&lt;=$K480,"Green","Red")</f>
        <v>Green</v>
      </c>
      <c r="T480" t="str">
        <f>IF(OR($J480&gt;$K480,$J480&lt;$K480),"Green","Red")</f>
        <v>Red</v>
      </c>
      <c r="U480" t="str">
        <f>IF($H480&gt;$I480,"Green","Red")</f>
        <v>Red</v>
      </c>
      <c r="V480" t="str">
        <f>IF($H480=$I480,"Green","Red")</f>
        <v>Green</v>
      </c>
      <c r="W480" t="str">
        <f>IF($H480&lt;$I480,"Green","Red")</f>
        <v>Red</v>
      </c>
      <c r="X480" t="str">
        <f>IF($H480+$I480&gt;0,"Green","Red")</f>
        <v>Red</v>
      </c>
      <c r="Y480" t="str">
        <f>IF($J480+$K480&gt;1.5,"Green","Red")</f>
        <v>Red</v>
      </c>
      <c r="Z480" t="str">
        <f>IF($J480+$K480&gt;2.5,"Green","Red")</f>
        <v>Red</v>
      </c>
      <c r="AA480" t="str">
        <f>IF($J480+$K480&lt;2.5,"Green","Red")</f>
        <v>Green</v>
      </c>
      <c r="AB480" t="str">
        <f>IF($J480+$K480&lt;3.5,"Green","Red")</f>
        <v>Green</v>
      </c>
      <c r="AC480" t="str">
        <f>IF(AND($J480&gt;0,$K480&gt;0),"Green","Red")</f>
        <v>Red</v>
      </c>
      <c r="AD480" t="str">
        <f>IF(OR($J480=0,$K480=0),"Green","Red")</f>
        <v>Green</v>
      </c>
    </row>
    <row r="481" spans="1:30" x14ac:dyDescent="0.2">
      <c r="A481" t="str">
        <f>L481&amp;F481&amp;G481</f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>DAY(D481)&amp;"/"&amp;"07"&amp;"/"&amp;YEAR(D481)</f>
        <v>23/07/2026</v>
      </c>
      <c r="M481" s="23">
        <f>E481-TIME(3,0,0)</f>
        <v>0.5</v>
      </c>
      <c r="N481" t="str">
        <f>J481&amp;" - "&amp;K481</f>
        <v>1 - 2</v>
      </c>
      <c r="O481" t="str">
        <f>IF($J481&gt;$K481,"Green","Red")</f>
        <v>Red</v>
      </c>
      <c r="P481" t="str">
        <f>IF($J481=$K481,"Green","Red")</f>
        <v>Red</v>
      </c>
      <c r="Q481" t="str">
        <f>IF($J481&lt;$K481,"Green","Red")</f>
        <v>Green</v>
      </c>
      <c r="R481" t="str">
        <f>IF($J481&gt;=$K481,"Green","Red")</f>
        <v>Red</v>
      </c>
      <c r="S481" t="str">
        <f>IF($J481&lt;=$K481,"Green","Red")</f>
        <v>Green</v>
      </c>
      <c r="T481" t="str">
        <f>IF(OR($J481&gt;$K481,$J481&lt;$K481),"Green","Red")</f>
        <v>Green</v>
      </c>
      <c r="U481" t="str">
        <f>IF($H481&gt;$I481,"Green","Red")</f>
        <v>Red</v>
      </c>
      <c r="V481" t="str">
        <f>IF($H481=$I481,"Green","Red")</f>
        <v>Red</v>
      </c>
      <c r="W481" t="str">
        <f>IF($H481&lt;$I481,"Green","Red")</f>
        <v>Green</v>
      </c>
      <c r="X481" t="str">
        <f>IF($H481+$I481&gt;0,"Green","Red")</f>
        <v>Green</v>
      </c>
      <c r="Y481" t="str">
        <f>IF($J481+$K481&gt;1.5,"Green","Red")</f>
        <v>Green</v>
      </c>
      <c r="Z481" t="str">
        <f>IF($J481+$K481&gt;2.5,"Green","Red")</f>
        <v>Green</v>
      </c>
      <c r="AA481" t="str">
        <f>IF($J481+$K481&lt;2.5,"Green","Red")</f>
        <v>Red</v>
      </c>
      <c r="AB481" t="str">
        <f>IF($J481+$K481&lt;3.5,"Green","Red")</f>
        <v>Green</v>
      </c>
      <c r="AC481" t="str">
        <f>IF(AND($J481&gt;0,$K481&gt;0),"Green","Red")</f>
        <v>Green</v>
      </c>
      <c r="AD481" t="str">
        <f>IF(OR($J481=0,$K481=0),"Green","Red")</f>
        <v>Red</v>
      </c>
    </row>
    <row r="482" spans="1:30" x14ac:dyDescent="0.2">
      <c r="A482" t="str">
        <f>L482&amp;F482&amp;G482</f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>DAY(D482)&amp;"/"&amp;"07"&amp;"/"&amp;YEAR(D482)</f>
        <v>23/07/2026</v>
      </c>
      <c r="M482" s="23">
        <f>E482-TIME(3,0,0)</f>
        <v>0.51041666666666663</v>
      </c>
      <c r="N482" t="str">
        <f>J482&amp;" - "&amp;K482</f>
        <v>1 - 1</v>
      </c>
      <c r="O482" t="str">
        <f>IF($J482&gt;$K482,"Green","Red")</f>
        <v>Red</v>
      </c>
      <c r="P482" t="str">
        <f>IF($J482=$K482,"Green","Red")</f>
        <v>Green</v>
      </c>
      <c r="Q482" t="str">
        <f>IF($J482&lt;$K482,"Green","Red")</f>
        <v>Red</v>
      </c>
      <c r="R482" t="str">
        <f>IF($J482&gt;=$K482,"Green","Red")</f>
        <v>Green</v>
      </c>
      <c r="S482" t="str">
        <f>IF($J482&lt;=$K482,"Green","Red")</f>
        <v>Green</v>
      </c>
      <c r="T482" t="str">
        <f>IF(OR($J482&gt;$K482,$J482&lt;$K482),"Green","Red")</f>
        <v>Red</v>
      </c>
      <c r="U482" t="str">
        <f>IF($H482&gt;$I482,"Green","Red")</f>
        <v>Red</v>
      </c>
      <c r="V482" t="str">
        <f>IF($H482=$I482,"Green","Red")</f>
        <v>Green</v>
      </c>
      <c r="W482" t="str">
        <f>IF($H482&lt;$I482,"Green","Red")</f>
        <v>Red</v>
      </c>
      <c r="X482" t="str">
        <f>IF($H482+$I482&gt;0,"Green","Red")</f>
        <v>Red</v>
      </c>
      <c r="Y482" t="str">
        <f>IF($J482+$K482&gt;1.5,"Green","Red")</f>
        <v>Green</v>
      </c>
      <c r="Z482" t="str">
        <f>IF($J482+$K482&gt;2.5,"Green","Red")</f>
        <v>Red</v>
      </c>
      <c r="AA482" t="str">
        <f>IF($J482+$K482&lt;2.5,"Green","Red")</f>
        <v>Green</v>
      </c>
      <c r="AB482" t="str">
        <f>IF($J482+$K482&lt;3.5,"Green","Red")</f>
        <v>Green</v>
      </c>
      <c r="AC482" t="str">
        <f>IF(AND($J482&gt;0,$K482&gt;0),"Green","Red")</f>
        <v>Green</v>
      </c>
      <c r="AD482" t="str">
        <f>IF(OR($J482=0,$K482=0),"Green","Red")</f>
        <v>Red</v>
      </c>
    </row>
    <row r="483" spans="1:30" x14ac:dyDescent="0.2">
      <c r="A483" t="str">
        <f>L483&amp;F483&amp;G483</f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>DAY(D483)&amp;"/"&amp;"07"&amp;"/"&amp;YEAR(D483)</f>
        <v>23/07/2026</v>
      </c>
      <c r="M483" s="23">
        <f>E483-TIME(3,0,0)</f>
        <v>0.52083333333333337</v>
      </c>
      <c r="N483" t="str">
        <f>J483&amp;" - "&amp;K483</f>
        <v>1 - 1</v>
      </c>
      <c r="O483" t="str">
        <f>IF($J483&gt;$K483,"Green","Red")</f>
        <v>Red</v>
      </c>
      <c r="P483" t="str">
        <f>IF($J483=$K483,"Green","Red")</f>
        <v>Green</v>
      </c>
      <c r="Q483" t="str">
        <f>IF($J483&lt;$K483,"Green","Red")</f>
        <v>Red</v>
      </c>
      <c r="R483" t="str">
        <f>IF($J483&gt;=$K483,"Green","Red")</f>
        <v>Green</v>
      </c>
      <c r="S483" t="str">
        <f>IF($J483&lt;=$K483,"Green","Red")</f>
        <v>Green</v>
      </c>
      <c r="T483" t="str">
        <f>IF(OR($J483&gt;$K483,$J483&lt;$K483),"Green","Red")</f>
        <v>Red</v>
      </c>
      <c r="U483" t="str">
        <f>IF($H483&gt;$I483,"Green","Red")</f>
        <v>Green</v>
      </c>
      <c r="V483" t="str">
        <f>IF($H483=$I483,"Green","Red")</f>
        <v>Red</v>
      </c>
      <c r="W483" t="str">
        <f>IF($H483&lt;$I483,"Green","Red")</f>
        <v>Red</v>
      </c>
      <c r="X483" t="str">
        <f>IF($H483+$I483&gt;0,"Green","Red")</f>
        <v>Green</v>
      </c>
      <c r="Y483" t="str">
        <f>IF($J483+$K483&gt;1.5,"Green","Red")</f>
        <v>Green</v>
      </c>
      <c r="Z483" t="str">
        <f>IF($J483+$K483&gt;2.5,"Green","Red")</f>
        <v>Red</v>
      </c>
      <c r="AA483" t="str">
        <f>IF($J483+$K483&lt;2.5,"Green","Red")</f>
        <v>Green</v>
      </c>
      <c r="AB483" t="str">
        <f>IF($J483+$K483&lt;3.5,"Green","Red")</f>
        <v>Green</v>
      </c>
      <c r="AC483" t="str">
        <f>IF(AND($J483&gt;0,$K483&gt;0),"Green","Red")</f>
        <v>Green</v>
      </c>
      <c r="AD483" t="str">
        <f>IF(OR($J483=0,$K483=0),"Green","Red")</f>
        <v>Red</v>
      </c>
    </row>
    <row r="484" spans="1:30" x14ac:dyDescent="0.2">
      <c r="A484" t="str">
        <f>L484&amp;F484&amp;G484</f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>DAY(D484)&amp;"/"&amp;"07"&amp;"/"&amp;YEAR(D484)</f>
        <v>23/07/2026</v>
      </c>
      <c r="M484" s="23">
        <f>E484-TIME(3,0,0)</f>
        <v>0.52083333333333337</v>
      </c>
      <c r="N484" t="str">
        <f>J484&amp;" - "&amp;K484</f>
        <v>0 - 1</v>
      </c>
      <c r="O484" t="str">
        <f>IF($J484&gt;$K484,"Green","Red")</f>
        <v>Red</v>
      </c>
      <c r="P484" t="str">
        <f>IF($J484=$K484,"Green","Red")</f>
        <v>Red</v>
      </c>
      <c r="Q484" t="str">
        <f>IF($J484&lt;$K484,"Green","Red")</f>
        <v>Green</v>
      </c>
      <c r="R484" t="str">
        <f>IF($J484&gt;=$K484,"Green","Red")</f>
        <v>Red</v>
      </c>
      <c r="S484" t="str">
        <f>IF($J484&lt;=$K484,"Green","Red")</f>
        <v>Green</v>
      </c>
      <c r="T484" t="str">
        <f>IF(OR($J484&gt;$K484,$J484&lt;$K484),"Green","Red")</f>
        <v>Green</v>
      </c>
      <c r="U484" t="str">
        <f>IF($H484&gt;$I484,"Green","Red")</f>
        <v>Red</v>
      </c>
      <c r="V484" t="str">
        <f>IF($H484=$I484,"Green","Red")</f>
        <v>Green</v>
      </c>
      <c r="W484" t="str">
        <f>IF($H484&lt;$I484,"Green","Red")</f>
        <v>Red</v>
      </c>
      <c r="X484" t="str">
        <f>IF($H484+$I484&gt;0,"Green","Red")</f>
        <v>Red</v>
      </c>
      <c r="Y484" t="str">
        <f>IF($J484+$K484&gt;1.5,"Green","Red")</f>
        <v>Red</v>
      </c>
      <c r="Z484" t="str">
        <f>IF($J484+$K484&gt;2.5,"Green","Red")</f>
        <v>Red</v>
      </c>
      <c r="AA484" t="str">
        <f>IF($J484+$K484&lt;2.5,"Green","Red")</f>
        <v>Green</v>
      </c>
      <c r="AB484" t="str">
        <f>IF($J484+$K484&lt;3.5,"Green","Red")</f>
        <v>Green</v>
      </c>
      <c r="AC484" t="str">
        <f>IF(AND($J484&gt;0,$K484&gt;0),"Green","Red")</f>
        <v>Red</v>
      </c>
      <c r="AD484" t="str">
        <f>IF(OR($J484=0,$K484=0),"Green","Red")</f>
        <v>Green</v>
      </c>
    </row>
    <row r="485" spans="1:30" x14ac:dyDescent="0.2">
      <c r="A485" t="str">
        <f>L485&amp;F485&amp;G485</f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>DAY(D485)&amp;"/"&amp;"07"&amp;"/"&amp;YEAR(D485)</f>
        <v>23/07/2026</v>
      </c>
      <c r="M485" s="23">
        <f>E485-TIME(3,0,0)</f>
        <v>0.52083333333333337</v>
      </c>
      <c r="N485" t="str">
        <f>J485&amp;" - "&amp;K485</f>
        <v>2 - 2</v>
      </c>
      <c r="O485" t="str">
        <f>IF($J485&gt;$K485,"Green","Red")</f>
        <v>Red</v>
      </c>
      <c r="P485" t="str">
        <f>IF($J485=$K485,"Green","Red")</f>
        <v>Green</v>
      </c>
      <c r="Q485" t="str">
        <f>IF($J485&lt;$K485,"Green","Red")</f>
        <v>Red</v>
      </c>
      <c r="R485" t="str">
        <f>IF($J485&gt;=$K485,"Green","Red")</f>
        <v>Green</v>
      </c>
      <c r="S485" t="str">
        <f>IF($J485&lt;=$K485,"Green","Red")</f>
        <v>Green</v>
      </c>
      <c r="T485" t="str">
        <f>IF(OR($J485&gt;$K485,$J485&lt;$K485),"Green","Red")</f>
        <v>Red</v>
      </c>
      <c r="U485" t="str">
        <f>IF($H485&gt;$I485,"Green","Red")</f>
        <v>Red</v>
      </c>
      <c r="V485" t="str">
        <f>IF($H485=$I485,"Green","Red")</f>
        <v>Green</v>
      </c>
      <c r="W485" t="str">
        <f>IF($H485&lt;$I485,"Green","Red")</f>
        <v>Red</v>
      </c>
      <c r="X485" t="str">
        <f>IF($H485+$I485&gt;0,"Green","Red")</f>
        <v>Red</v>
      </c>
      <c r="Y485" t="str">
        <f>IF($J485+$K485&gt;1.5,"Green","Red")</f>
        <v>Green</v>
      </c>
      <c r="Z485" t="str">
        <f>IF($J485+$K485&gt;2.5,"Green","Red")</f>
        <v>Green</v>
      </c>
      <c r="AA485" t="str">
        <f>IF($J485+$K485&lt;2.5,"Green","Red")</f>
        <v>Red</v>
      </c>
      <c r="AB485" t="str">
        <f>IF($J485+$K485&lt;3.5,"Green","Red")</f>
        <v>Red</v>
      </c>
      <c r="AC485" t="str">
        <f>IF(AND($J485&gt;0,$K485&gt;0),"Green","Red")</f>
        <v>Green</v>
      </c>
      <c r="AD485" t="str">
        <f>IF(OR($J485=0,$K485=0),"Green","Red")</f>
        <v>Red</v>
      </c>
    </row>
    <row r="486" spans="1:30" x14ac:dyDescent="0.2">
      <c r="A486" t="str">
        <f>L486&amp;F486&amp;G486</f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>DAY(D486)&amp;"/"&amp;"07"&amp;"/"&amp;YEAR(D486)</f>
        <v>23/07/2026</v>
      </c>
      <c r="M486" s="23">
        <f>E486-TIME(3,0,0)</f>
        <v>0.52083333333333337</v>
      </c>
      <c r="N486" t="str">
        <f>J486&amp;" - "&amp;K486</f>
        <v>3 - 0</v>
      </c>
      <c r="O486" t="str">
        <f>IF($J486&gt;$K486,"Green","Red")</f>
        <v>Green</v>
      </c>
      <c r="P486" t="str">
        <f>IF($J486=$K486,"Green","Red")</f>
        <v>Red</v>
      </c>
      <c r="Q486" t="str">
        <f>IF($J486&lt;$K486,"Green","Red")</f>
        <v>Red</v>
      </c>
      <c r="R486" t="str">
        <f>IF($J486&gt;=$K486,"Green","Red")</f>
        <v>Green</v>
      </c>
      <c r="S486" t="str">
        <f>IF($J486&lt;=$K486,"Green","Red")</f>
        <v>Red</v>
      </c>
      <c r="T486" t="str">
        <f>IF(OR($J486&gt;$K486,$J486&lt;$K486),"Green","Red")</f>
        <v>Green</v>
      </c>
      <c r="U486" t="str">
        <f>IF($H486&gt;$I486,"Green","Red")</f>
        <v>Red</v>
      </c>
      <c r="V486" t="str">
        <f>IF($H486=$I486,"Green","Red")</f>
        <v>Green</v>
      </c>
      <c r="W486" t="str">
        <f>IF($H486&lt;$I486,"Green","Red")</f>
        <v>Red</v>
      </c>
      <c r="X486" t="str">
        <f>IF($H486+$I486&gt;0,"Green","Red")</f>
        <v>Red</v>
      </c>
      <c r="Y486" t="str">
        <f>IF($J486+$K486&gt;1.5,"Green","Red")</f>
        <v>Green</v>
      </c>
      <c r="Z486" t="str">
        <f>IF($J486+$K486&gt;2.5,"Green","Red")</f>
        <v>Green</v>
      </c>
      <c r="AA486" t="str">
        <f>IF($J486+$K486&lt;2.5,"Green","Red")</f>
        <v>Red</v>
      </c>
      <c r="AB486" t="str">
        <f>IF($J486+$K486&lt;3.5,"Green","Red")</f>
        <v>Green</v>
      </c>
      <c r="AC486" t="str">
        <f>IF(AND($J486&gt;0,$K486&gt;0),"Green","Red")</f>
        <v>Red</v>
      </c>
      <c r="AD486" t="str">
        <f>IF(OR($J486=0,$K486=0),"Green","Red")</f>
        <v>Green</v>
      </c>
    </row>
    <row r="487" spans="1:30" x14ac:dyDescent="0.2">
      <c r="A487" t="str">
        <f>L487&amp;F487&amp;G487</f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>DAY(D487)&amp;"/"&amp;"07"&amp;"/"&amp;YEAR(D487)</f>
        <v>23/07/2026</v>
      </c>
      <c r="M487" s="23">
        <f>E487-TIME(3,0,0)</f>
        <v>0.52083333333333337</v>
      </c>
      <c r="N487" t="str">
        <f>J487&amp;" - "&amp;K487</f>
        <v>8 - 0</v>
      </c>
      <c r="O487" t="str">
        <f>IF($J487&gt;$K487,"Green","Red")</f>
        <v>Green</v>
      </c>
      <c r="P487" t="str">
        <f>IF($J487=$K487,"Green","Red")</f>
        <v>Red</v>
      </c>
      <c r="Q487" t="str">
        <f>IF($J487&lt;$K487,"Green","Red")</f>
        <v>Red</v>
      </c>
      <c r="R487" t="str">
        <f>IF($J487&gt;=$K487,"Green","Red")</f>
        <v>Green</v>
      </c>
      <c r="S487" t="str">
        <f>IF($J487&lt;=$K487,"Green","Red")</f>
        <v>Red</v>
      </c>
      <c r="T487" t="str">
        <f>IF(OR($J487&gt;$K487,$J487&lt;$K487),"Green","Red")</f>
        <v>Green</v>
      </c>
      <c r="U487" t="str">
        <f>IF($H487&gt;$I487,"Green","Red")</f>
        <v>Green</v>
      </c>
      <c r="V487" t="str">
        <f>IF($H487=$I487,"Green","Red")</f>
        <v>Red</v>
      </c>
      <c r="W487" t="str">
        <f>IF($H487&lt;$I487,"Green","Red")</f>
        <v>Red</v>
      </c>
      <c r="X487" t="str">
        <f>IF($H487+$I487&gt;0,"Green","Red")</f>
        <v>Green</v>
      </c>
      <c r="Y487" t="str">
        <f>IF($J487+$K487&gt;1.5,"Green","Red")</f>
        <v>Green</v>
      </c>
      <c r="Z487" t="str">
        <f>IF($J487+$K487&gt;2.5,"Green","Red")</f>
        <v>Green</v>
      </c>
      <c r="AA487" t="str">
        <f>IF($J487+$K487&lt;2.5,"Green","Red")</f>
        <v>Red</v>
      </c>
      <c r="AB487" t="str">
        <f>IF($J487+$K487&lt;3.5,"Green","Red")</f>
        <v>Red</v>
      </c>
      <c r="AC487" t="str">
        <f>IF(AND($J487&gt;0,$K487&gt;0),"Green","Red")</f>
        <v>Red</v>
      </c>
      <c r="AD487" t="str">
        <f>IF(OR($J487=0,$K487=0),"Green","Red")</f>
        <v>Green</v>
      </c>
    </row>
    <row r="488" spans="1:30" x14ac:dyDescent="0.2">
      <c r="A488" t="str">
        <f>L488&amp;F488&amp;G488</f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>DAY(D488)&amp;"/"&amp;"07"&amp;"/"&amp;YEAR(D488)</f>
        <v>23/07/2026</v>
      </c>
      <c r="M488" s="23">
        <f>E488-TIME(3,0,0)</f>
        <v>0.54166666666666663</v>
      </c>
      <c r="N488" t="str">
        <f>J488&amp;" - "&amp;K488</f>
        <v>0 - 0</v>
      </c>
      <c r="O488" t="str">
        <f>IF($J488&gt;$K488,"Green","Red")</f>
        <v>Red</v>
      </c>
      <c r="P488" t="str">
        <f>IF($J488=$K488,"Green","Red")</f>
        <v>Green</v>
      </c>
      <c r="Q488" t="str">
        <f>IF($J488&lt;$K488,"Green","Red")</f>
        <v>Red</v>
      </c>
      <c r="R488" t="str">
        <f>IF($J488&gt;=$K488,"Green","Red")</f>
        <v>Green</v>
      </c>
      <c r="S488" t="str">
        <f>IF($J488&lt;=$K488,"Green","Red")</f>
        <v>Green</v>
      </c>
      <c r="T488" t="str">
        <f>IF(OR($J488&gt;$K488,$J488&lt;$K488),"Green","Red")</f>
        <v>Red</v>
      </c>
      <c r="U488" t="str">
        <f>IF($H488&gt;$I488,"Green","Red")</f>
        <v>Red</v>
      </c>
      <c r="V488" t="str">
        <f>IF($H488=$I488,"Green","Red")</f>
        <v>Green</v>
      </c>
      <c r="W488" t="str">
        <f>IF($H488&lt;$I488,"Green","Red")</f>
        <v>Red</v>
      </c>
      <c r="X488" t="str">
        <f>IF($H488+$I488&gt;0,"Green","Red")</f>
        <v>Red</v>
      </c>
      <c r="Y488" t="str">
        <f>IF($J488+$K488&gt;1.5,"Green","Red")</f>
        <v>Red</v>
      </c>
      <c r="Z488" t="str">
        <f>IF($J488+$K488&gt;2.5,"Green","Red")</f>
        <v>Red</v>
      </c>
      <c r="AA488" t="str">
        <f>IF($J488+$K488&lt;2.5,"Green","Red")</f>
        <v>Green</v>
      </c>
      <c r="AB488" t="str">
        <f>IF($J488+$K488&lt;3.5,"Green","Red")</f>
        <v>Green</v>
      </c>
      <c r="AC488" t="str">
        <f>IF(AND($J488&gt;0,$K488&gt;0),"Green","Red")</f>
        <v>Red</v>
      </c>
      <c r="AD488" t="str">
        <f>IF(OR($J488=0,$K488=0),"Green","Red")</f>
        <v>Green</v>
      </c>
    </row>
    <row r="489" spans="1:30" x14ac:dyDescent="0.2">
      <c r="A489" t="str">
        <f>L489&amp;F489&amp;G489</f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>DAY(D489)&amp;"/"&amp;"07"&amp;"/"&amp;YEAR(D489)</f>
        <v>23/07/2026</v>
      </c>
      <c r="M489" s="23">
        <f>E489-TIME(3,0,0)</f>
        <v>0.54166666666666663</v>
      </c>
      <c r="N489" t="str">
        <f>J489&amp;" - "&amp;K489</f>
        <v>1 - 0</v>
      </c>
      <c r="O489" t="str">
        <f>IF($J489&gt;$K489,"Green","Red")</f>
        <v>Green</v>
      </c>
      <c r="P489" t="str">
        <f>IF($J489=$K489,"Green","Red")</f>
        <v>Red</v>
      </c>
      <c r="Q489" t="str">
        <f>IF($J489&lt;$K489,"Green","Red")</f>
        <v>Red</v>
      </c>
      <c r="R489" t="str">
        <f>IF($J489&gt;=$K489,"Green","Red")</f>
        <v>Green</v>
      </c>
      <c r="S489" t="str">
        <f>IF($J489&lt;=$K489,"Green","Red")</f>
        <v>Red</v>
      </c>
      <c r="T489" t="str">
        <f>IF(OR($J489&gt;$K489,$J489&lt;$K489),"Green","Red")</f>
        <v>Green</v>
      </c>
      <c r="U489" t="str">
        <f>IF($H489&gt;$I489,"Green","Red")</f>
        <v>Red</v>
      </c>
      <c r="V489" t="str">
        <f>IF($H489=$I489,"Green","Red")</f>
        <v>Green</v>
      </c>
      <c r="W489" t="str">
        <f>IF($H489&lt;$I489,"Green","Red")</f>
        <v>Red</v>
      </c>
      <c r="X489" t="str">
        <f>IF($H489+$I489&gt;0,"Green","Red")</f>
        <v>Red</v>
      </c>
      <c r="Y489" t="str">
        <f>IF($J489+$K489&gt;1.5,"Green","Red")</f>
        <v>Red</v>
      </c>
      <c r="Z489" t="str">
        <f>IF($J489+$K489&gt;2.5,"Green","Red")</f>
        <v>Red</v>
      </c>
      <c r="AA489" t="str">
        <f>IF($J489+$K489&lt;2.5,"Green","Red")</f>
        <v>Green</v>
      </c>
      <c r="AB489" t="str">
        <f>IF($J489+$K489&lt;3.5,"Green","Red")</f>
        <v>Green</v>
      </c>
      <c r="AC489" t="str">
        <f>IF(AND($J489&gt;0,$K489&gt;0),"Green","Red")</f>
        <v>Red</v>
      </c>
      <c r="AD489" t="str">
        <f>IF(OR($J489=0,$K489=0),"Green","Red")</f>
        <v>Green</v>
      </c>
    </row>
    <row r="490" spans="1:30" x14ac:dyDescent="0.2">
      <c r="A490" t="str">
        <f>L490&amp;F490&amp;G490</f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>DAY(D490)&amp;"/"&amp;"07"&amp;"/"&amp;YEAR(D490)</f>
        <v>23/07/2026</v>
      </c>
      <c r="M490" s="23">
        <f>E490-TIME(3,0,0)</f>
        <v>0.54166666666666663</v>
      </c>
      <c r="N490" t="str">
        <f>J490&amp;" - "&amp;K490</f>
        <v>0 - 4</v>
      </c>
      <c r="O490" t="str">
        <f>IF($J490&gt;$K490,"Green","Red")</f>
        <v>Red</v>
      </c>
      <c r="P490" t="str">
        <f>IF($J490=$K490,"Green","Red")</f>
        <v>Red</v>
      </c>
      <c r="Q490" t="str">
        <f>IF($J490&lt;$K490,"Green","Red")</f>
        <v>Green</v>
      </c>
      <c r="R490" t="str">
        <f>IF($J490&gt;=$K490,"Green","Red")</f>
        <v>Red</v>
      </c>
      <c r="S490" t="str">
        <f>IF($J490&lt;=$K490,"Green","Red")</f>
        <v>Green</v>
      </c>
      <c r="T490" t="str">
        <f>IF(OR($J490&gt;$K490,$J490&lt;$K490),"Green","Red")</f>
        <v>Green</v>
      </c>
      <c r="U490" t="str">
        <f>IF($H490&gt;$I490,"Green","Red")</f>
        <v>Red</v>
      </c>
      <c r="V490" t="str">
        <f>IF($H490=$I490,"Green","Red")</f>
        <v>Red</v>
      </c>
      <c r="W490" t="str">
        <f>IF($H490&lt;$I490,"Green","Red")</f>
        <v>Green</v>
      </c>
      <c r="X490" t="str">
        <f>IF($H490+$I490&gt;0,"Green","Red")</f>
        <v>Green</v>
      </c>
      <c r="Y490" t="str">
        <f>IF($J490+$K490&gt;1.5,"Green","Red")</f>
        <v>Green</v>
      </c>
      <c r="Z490" t="str">
        <f>IF($J490+$K490&gt;2.5,"Green","Red")</f>
        <v>Green</v>
      </c>
      <c r="AA490" t="str">
        <f>IF($J490+$K490&lt;2.5,"Green","Red")</f>
        <v>Red</v>
      </c>
      <c r="AB490" t="str">
        <f>IF($J490+$K490&lt;3.5,"Green","Red")</f>
        <v>Red</v>
      </c>
      <c r="AC490" t="str">
        <f>IF(AND($J490&gt;0,$K490&gt;0),"Green","Red")</f>
        <v>Red</v>
      </c>
      <c r="AD490" t="str">
        <f>IF(OR($J490=0,$K490=0),"Green","Red")</f>
        <v>Green</v>
      </c>
    </row>
    <row r="491" spans="1:30" x14ac:dyDescent="0.2">
      <c r="A491" t="str">
        <f>L491&amp;F491&amp;G491</f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>DAY(D491)&amp;"/"&amp;"07"&amp;"/"&amp;YEAR(D491)</f>
        <v>23/07/2026</v>
      </c>
      <c r="M491" s="23">
        <f>E491-TIME(3,0,0)</f>
        <v>0.54166666666666663</v>
      </c>
      <c r="N491" t="str">
        <f>J491&amp;" - "&amp;K491</f>
        <v>1 - 0</v>
      </c>
      <c r="O491" t="str">
        <f>IF($J491&gt;$K491,"Green","Red")</f>
        <v>Green</v>
      </c>
      <c r="P491" t="str">
        <f>IF($J491=$K491,"Green","Red")</f>
        <v>Red</v>
      </c>
      <c r="Q491" t="str">
        <f>IF($J491&lt;$K491,"Green","Red")</f>
        <v>Red</v>
      </c>
      <c r="R491" t="str">
        <f>IF($J491&gt;=$K491,"Green","Red")</f>
        <v>Green</v>
      </c>
      <c r="S491" t="str">
        <f>IF($J491&lt;=$K491,"Green","Red")</f>
        <v>Red</v>
      </c>
      <c r="T491" t="str">
        <f>IF(OR($J491&gt;$K491,$J491&lt;$K491),"Green","Red")</f>
        <v>Green</v>
      </c>
      <c r="U491" t="str">
        <f>IF($H491&gt;$I491,"Green","Red")</f>
        <v>Green</v>
      </c>
      <c r="V491" t="str">
        <f>IF($H491=$I491,"Green","Red")</f>
        <v>Red</v>
      </c>
      <c r="W491" t="str">
        <f>IF($H491&lt;$I491,"Green","Red")</f>
        <v>Red</v>
      </c>
      <c r="X491" t="str">
        <f>IF($H491+$I491&gt;0,"Green","Red")</f>
        <v>Green</v>
      </c>
      <c r="Y491" t="str">
        <f>IF($J491+$K491&gt;1.5,"Green","Red")</f>
        <v>Red</v>
      </c>
      <c r="Z491" t="str">
        <f>IF($J491+$K491&gt;2.5,"Green","Red")</f>
        <v>Red</v>
      </c>
      <c r="AA491" t="str">
        <f>IF($J491+$K491&lt;2.5,"Green","Red")</f>
        <v>Green</v>
      </c>
      <c r="AB491" t="str">
        <f>IF($J491+$K491&lt;3.5,"Green","Red")</f>
        <v>Green</v>
      </c>
      <c r="AC491" t="str">
        <f>IF(AND($J491&gt;0,$K491&gt;0),"Green","Red")</f>
        <v>Red</v>
      </c>
      <c r="AD491" t="str">
        <f>IF(OR($J491=0,$K491=0),"Green","Red")</f>
        <v>Green</v>
      </c>
    </row>
    <row r="492" spans="1:30" x14ac:dyDescent="0.2">
      <c r="A492" t="str">
        <f>L492&amp;F492&amp;G492</f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>DAY(D492)&amp;"/"&amp;"07"&amp;"/"&amp;YEAR(D492)</f>
        <v>23/07/2026</v>
      </c>
      <c r="M492" s="23">
        <f>E492-TIME(3,0,0)</f>
        <v>0.54166666666666663</v>
      </c>
      <c r="N492" t="str">
        <f>J492&amp;" - "&amp;K492</f>
        <v>5 - 0</v>
      </c>
      <c r="O492" t="str">
        <f>IF($J492&gt;$K492,"Green","Red")</f>
        <v>Green</v>
      </c>
      <c r="P492" t="str">
        <f>IF($J492=$K492,"Green","Red")</f>
        <v>Red</v>
      </c>
      <c r="Q492" t="str">
        <f>IF($J492&lt;$K492,"Green","Red")</f>
        <v>Red</v>
      </c>
      <c r="R492" t="str">
        <f>IF($J492&gt;=$K492,"Green","Red")</f>
        <v>Green</v>
      </c>
      <c r="S492" t="str">
        <f>IF($J492&lt;=$K492,"Green","Red")</f>
        <v>Red</v>
      </c>
      <c r="T492" t="str">
        <f>IF(OR($J492&gt;$K492,$J492&lt;$K492),"Green","Red")</f>
        <v>Green</v>
      </c>
      <c r="U492" t="str">
        <f>IF($H492&gt;$I492,"Green","Red")</f>
        <v>Green</v>
      </c>
      <c r="V492" t="str">
        <f>IF($H492=$I492,"Green","Red")</f>
        <v>Red</v>
      </c>
      <c r="W492" t="str">
        <f>IF($H492&lt;$I492,"Green","Red")</f>
        <v>Red</v>
      </c>
      <c r="X492" t="str">
        <f>IF($H492+$I492&gt;0,"Green","Red")</f>
        <v>Green</v>
      </c>
      <c r="Y492" t="str">
        <f>IF($J492+$K492&gt;1.5,"Green","Red")</f>
        <v>Green</v>
      </c>
      <c r="Z492" t="str">
        <f>IF($J492+$K492&gt;2.5,"Green","Red")</f>
        <v>Green</v>
      </c>
      <c r="AA492" t="str">
        <f>IF($J492+$K492&lt;2.5,"Green","Red")</f>
        <v>Red</v>
      </c>
      <c r="AB492" t="str">
        <f>IF($J492+$K492&lt;3.5,"Green","Red")</f>
        <v>Red</v>
      </c>
      <c r="AC492" t="str">
        <f>IF(AND($J492&gt;0,$K492&gt;0),"Green","Red")</f>
        <v>Red</v>
      </c>
      <c r="AD492" t="str">
        <f>IF(OR($J492=0,$K492=0),"Green","Red")</f>
        <v>Green</v>
      </c>
    </row>
    <row r="493" spans="1:30" x14ac:dyDescent="0.2">
      <c r="A493" t="str">
        <f>L493&amp;F493&amp;G493</f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>DAY(D493)&amp;"/"&amp;"07"&amp;"/"&amp;YEAR(D493)</f>
        <v>23/07/2026</v>
      </c>
      <c r="M493" s="23">
        <f>E493-TIME(3,0,0)</f>
        <v>0.54166666666666663</v>
      </c>
      <c r="N493" t="str">
        <f>J493&amp;" - "&amp;K493</f>
        <v>1 - 0</v>
      </c>
      <c r="O493" t="str">
        <f>IF($J493&gt;$K493,"Green","Red")</f>
        <v>Green</v>
      </c>
      <c r="P493" t="str">
        <f>IF($J493=$K493,"Green","Red")</f>
        <v>Red</v>
      </c>
      <c r="Q493" t="str">
        <f>IF($J493&lt;$K493,"Green","Red")</f>
        <v>Red</v>
      </c>
      <c r="R493" t="str">
        <f>IF($J493&gt;=$K493,"Green","Red")</f>
        <v>Green</v>
      </c>
      <c r="S493" t="str">
        <f>IF($J493&lt;=$K493,"Green","Red")</f>
        <v>Red</v>
      </c>
      <c r="T493" t="str">
        <f>IF(OR($J493&gt;$K493,$J493&lt;$K493),"Green","Red")</f>
        <v>Green</v>
      </c>
      <c r="U493" t="str">
        <f>IF($H493&gt;$I493,"Green","Red")</f>
        <v>Red</v>
      </c>
      <c r="V493" t="str">
        <f>IF($H493=$I493,"Green","Red")</f>
        <v>Green</v>
      </c>
      <c r="W493" t="str">
        <f>IF($H493&lt;$I493,"Green","Red")</f>
        <v>Red</v>
      </c>
      <c r="X493" t="str">
        <f>IF($H493+$I493&gt;0,"Green","Red")</f>
        <v>Red</v>
      </c>
      <c r="Y493" t="str">
        <f>IF($J493+$K493&gt;1.5,"Green","Red")</f>
        <v>Red</v>
      </c>
      <c r="Z493" t="str">
        <f>IF($J493+$K493&gt;2.5,"Green","Red")</f>
        <v>Red</v>
      </c>
      <c r="AA493" t="str">
        <f>IF($J493+$K493&lt;2.5,"Green","Red")</f>
        <v>Green</v>
      </c>
      <c r="AB493" t="str">
        <f>IF($J493+$K493&lt;3.5,"Green","Red")</f>
        <v>Green</v>
      </c>
      <c r="AC493" t="str">
        <f>IF(AND($J493&gt;0,$K493&gt;0),"Green","Red")</f>
        <v>Red</v>
      </c>
      <c r="AD493" t="str">
        <f>IF(OR($J493=0,$K493=0),"Green","Red")</f>
        <v>Green</v>
      </c>
    </row>
    <row r="494" spans="1:30" x14ac:dyDescent="0.2">
      <c r="A494" t="str">
        <f>L494&amp;F494&amp;G494</f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>DAY(D494)&amp;"/"&amp;"07"&amp;"/"&amp;YEAR(D494)</f>
        <v>23/07/2026</v>
      </c>
      <c r="M494" s="23">
        <f>E494-TIME(3,0,0)</f>
        <v>0.54166666666666663</v>
      </c>
      <c r="N494" t="str">
        <f>J494&amp;" - "&amp;K494</f>
        <v>0 - 0</v>
      </c>
      <c r="O494" t="str">
        <f>IF($J494&gt;$K494,"Green","Red")</f>
        <v>Red</v>
      </c>
      <c r="P494" t="str">
        <f>IF($J494=$K494,"Green","Red")</f>
        <v>Green</v>
      </c>
      <c r="Q494" t="str">
        <f>IF($J494&lt;$K494,"Green","Red")</f>
        <v>Red</v>
      </c>
      <c r="R494" t="str">
        <f>IF($J494&gt;=$K494,"Green","Red")</f>
        <v>Green</v>
      </c>
      <c r="S494" t="str">
        <f>IF($J494&lt;=$K494,"Green","Red")</f>
        <v>Green</v>
      </c>
      <c r="T494" t="str">
        <f>IF(OR($J494&gt;$K494,$J494&lt;$K494),"Green","Red")</f>
        <v>Red</v>
      </c>
      <c r="U494" t="str">
        <f>IF($H494&gt;$I494,"Green","Red")</f>
        <v>Red</v>
      </c>
      <c r="V494" t="str">
        <f>IF($H494=$I494,"Green","Red")</f>
        <v>Green</v>
      </c>
      <c r="W494" t="str">
        <f>IF($H494&lt;$I494,"Green","Red")</f>
        <v>Red</v>
      </c>
      <c r="X494" t="str">
        <f>IF($H494+$I494&gt;0,"Green","Red")</f>
        <v>Red</v>
      </c>
      <c r="Y494" t="str">
        <f>IF($J494+$K494&gt;1.5,"Green","Red")</f>
        <v>Red</v>
      </c>
      <c r="Z494" t="str">
        <f>IF($J494+$K494&gt;2.5,"Green","Red")</f>
        <v>Red</v>
      </c>
      <c r="AA494" t="str">
        <f>IF($J494+$K494&lt;2.5,"Green","Red")</f>
        <v>Green</v>
      </c>
      <c r="AB494" t="str">
        <f>IF($J494+$K494&lt;3.5,"Green","Red")</f>
        <v>Green</v>
      </c>
      <c r="AC494" t="str">
        <f>IF(AND($J494&gt;0,$K494&gt;0),"Green","Red")</f>
        <v>Red</v>
      </c>
      <c r="AD494" t="str">
        <f>IF(OR($J494=0,$K494=0),"Green","Red")</f>
        <v>Green</v>
      </c>
    </row>
    <row r="495" spans="1:30" x14ac:dyDescent="0.2">
      <c r="A495" t="str">
        <f>L495&amp;F495&amp;G495</f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>DAY(D495)&amp;"/"&amp;"07"&amp;"/"&amp;YEAR(D495)</f>
        <v>23/07/2026</v>
      </c>
      <c r="M495" s="23">
        <f>E495-TIME(3,0,0)</f>
        <v>0.54166666666666663</v>
      </c>
      <c r="N495" t="str">
        <f>J495&amp;" - "&amp;K495</f>
        <v>8 - 0</v>
      </c>
      <c r="O495" t="str">
        <f>IF($J495&gt;$K495,"Green","Red")</f>
        <v>Green</v>
      </c>
      <c r="P495" t="str">
        <f>IF($J495=$K495,"Green","Red")</f>
        <v>Red</v>
      </c>
      <c r="Q495" t="str">
        <f>IF($J495&lt;$K495,"Green","Red")</f>
        <v>Red</v>
      </c>
      <c r="R495" t="str">
        <f>IF($J495&gt;=$K495,"Green","Red")</f>
        <v>Green</v>
      </c>
      <c r="S495" t="str">
        <f>IF($J495&lt;=$K495,"Green","Red")</f>
        <v>Red</v>
      </c>
      <c r="T495" t="str">
        <f>IF(OR($J495&gt;$K495,$J495&lt;$K495),"Green","Red")</f>
        <v>Green</v>
      </c>
      <c r="U495" t="str">
        <f>IF($H495&gt;$I495,"Green","Red")</f>
        <v>Green</v>
      </c>
      <c r="V495" t="str">
        <f>IF($H495=$I495,"Green","Red")</f>
        <v>Red</v>
      </c>
      <c r="W495" t="str">
        <f>IF($H495&lt;$I495,"Green","Red")</f>
        <v>Red</v>
      </c>
      <c r="X495" t="str">
        <f>IF($H495+$I495&gt;0,"Green","Red")</f>
        <v>Green</v>
      </c>
      <c r="Y495" t="str">
        <f>IF($J495+$K495&gt;1.5,"Green","Red")</f>
        <v>Green</v>
      </c>
      <c r="Z495" t="str">
        <f>IF($J495+$K495&gt;2.5,"Green","Red")</f>
        <v>Green</v>
      </c>
      <c r="AA495" t="str">
        <f>IF($J495+$K495&lt;2.5,"Green","Red")</f>
        <v>Red</v>
      </c>
      <c r="AB495" t="str">
        <f>IF($J495+$K495&lt;3.5,"Green","Red")</f>
        <v>Red</v>
      </c>
      <c r="AC495" t="str">
        <f>IF(AND($J495&gt;0,$K495&gt;0),"Green","Red")</f>
        <v>Red</v>
      </c>
      <c r="AD495" t="str">
        <f>IF(OR($J495=0,$K495=0),"Green","Red")</f>
        <v>Green</v>
      </c>
    </row>
    <row r="496" spans="1:30" x14ac:dyDescent="0.2">
      <c r="A496" t="str">
        <f>L496&amp;F496&amp;G496</f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>DAY(D496)&amp;"/"&amp;"07"&amp;"/"&amp;YEAR(D496)</f>
        <v>23/07/2026</v>
      </c>
      <c r="M496" s="23">
        <f>E496-TIME(3,0,0)</f>
        <v>0.54166666666666663</v>
      </c>
      <c r="N496" t="str">
        <f>J496&amp;" - "&amp;K496</f>
        <v>12 - 0</v>
      </c>
      <c r="O496" t="str">
        <f>IF($J496&gt;$K496,"Green","Red")</f>
        <v>Green</v>
      </c>
      <c r="P496" t="str">
        <f>IF($J496=$K496,"Green","Red")</f>
        <v>Red</v>
      </c>
      <c r="Q496" t="str">
        <f>IF($J496&lt;$K496,"Green","Red")</f>
        <v>Red</v>
      </c>
      <c r="R496" t="str">
        <f>IF($J496&gt;=$K496,"Green","Red")</f>
        <v>Green</v>
      </c>
      <c r="S496" t="str">
        <f>IF($J496&lt;=$K496,"Green","Red")</f>
        <v>Red</v>
      </c>
      <c r="T496" t="str">
        <f>IF(OR($J496&gt;$K496,$J496&lt;$K496),"Green","Red")</f>
        <v>Green</v>
      </c>
      <c r="U496" t="str">
        <f>IF($H496&gt;$I496,"Green","Red")</f>
        <v>Green</v>
      </c>
      <c r="V496" t="str">
        <f>IF($H496=$I496,"Green","Red")</f>
        <v>Red</v>
      </c>
      <c r="W496" t="str">
        <f>IF($H496&lt;$I496,"Green","Red")</f>
        <v>Red</v>
      </c>
      <c r="X496" t="str">
        <f>IF($H496+$I496&gt;0,"Green","Red")</f>
        <v>Green</v>
      </c>
      <c r="Y496" t="str">
        <f>IF($J496+$K496&gt;1.5,"Green","Red")</f>
        <v>Green</v>
      </c>
      <c r="Z496" t="str">
        <f>IF($J496+$K496&gt;2.5,"Green","Red")</f>
        <v>Green</v>
      </c>
      <c r="AA496" t="str">
        <f>IF($J496+$K496&lt;2.5,"Green","Red")</f>
        <v>Red</v>
      </c>
      <c r="AB496" t="str">
        <f>IF($J496+$K496&lt;3.5,"Green","Red")</f>
        <v>Red</v>
      </c>
      <c r="AC496" t="str">
        <f>IF(AND($J496&gt;0,$K496&gt;0),"Green","Red")</f>
        <v>Red</v>
      </c>
      <c r="AD496" t="str">
        <f>IF(OR($J496=0,$K496=0),"Green","Red")</f>
        <v>Green</v>
      </c>
    </row>
    <row r="497" spans="1:30" x14ac:dyDescent="0.2">
      <c r="A497" t="str">
        <f>L497&amp;F497&amp;G497</f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>DAY(D497)&amp;"/"&amp;"07"&amp;"/"&amp;YEAR(D497)</f>
        <v>23/07/2026</v>
      </c>
      <c r="M497" s="23">
        <f>E497-TIME(3,0,0)</f>
        <v>0.54166666666666663</v>
      </c>
      <c r="N497" t="str">
        <f>J497&amp;" - "&amp;K497</f>
        <v>2 - 2</v>
      </c>
      <c r="O497" t="str">
        <f>IF($J497&gt;$K497,"Green","Red")</f>
        <v>Red</v>
      </c>
      <c r="P497" t="str">
        <f>IF($J497=$K497,"Green","Red")</f>
        <v>Green</v>
      </c>
      <c r="Q497" t="str">
        <f>IF($J497&lt;$K497,"Green","Red")</f>
        <v>Red</v>
      </c>
      <c r="R497" t="str">
        <f>IF($J497&gt;=$K497,"Green","Red")</f>
        <v>Green</v>
      </c>
      <c r="S497" t="str">
        <f>IF($J497&lt;=$K497,"Green","Red")</f>
        <v>Green</v>
      </c>
      <c r="T497" t="str">
        <f>IF(OR($J497&gt;$K497,$J497&lt;$K497),"Green","Red")</f>
        <v>Red</v>
      </c>
      <c r="U497" t="str">
        <f>IF($H497&gt;$I497,"Green","Red")</f>
        <v>Red</v>
      </c>
      <c r="V497" t="str">
        <f>IF($H497=$I497,"Green","Red")</f>
        <v>Green</v>
      </c>
      <c r="W497" t="str">
        <f>IF($H497&lt;$I497,"Green","Red")</f>
        <v>Red</v>
      </c>
      <c r="X497" t="str">
        <f>IF($H497+$I497&gt;0,"Green","Red")</f>
        <v>Green</v>
      </c>
      <c r="Y497" t="str">
        <f>IF($J497+$K497&gt;1.5,"Green","Red")</f>
        <v>Green</v>
      </c>
      <c r="Z497" t="str">
        <f>IF($J497+$K497&gt;2.5,"Green","Red")</f>
        <v>Green</v>
      </c>
      <c r="AA497" t="str">
        <f>IF($J497+$K497&lt;2.5,"Green","Red")</f>
        <v>Red</v>
      </c>
      <c r="AB497" t="str">
        <f>IF($J497+$K497&lt;3.5,"Green","Red")</f>
        <v>Red</v>
      </c>
      <c r="AC497" t="str">
        <f>IF(AND($J497&gt;0,$K497&gt;0),"Green","Red")</f>
        <v>Green</v>
      </c>
      <c r="AD497" t="str">
        <f>IF(OR($J497=0,$K497=0),"Green","Red")</f>
        <v>Red</v>
      </c>
    </row>
    <row r="498" spans="1:30" x14ac:dyDescent="0.2">
      <c r="A498" t="str">
        <f>L498&amp;F498&amp;G498</f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>DAY(D498)&amp;"/"&amp;"07"&amp;"/"&amp;YEAR(D498)</f>
        <v>23/07/2026</v>
      </c>
      <c r="M498" s="23">
        <f>E498-TIME(3,0,0)</f>
        <v>0.54166666666666663</v>
      </c>
      <c r="N498" t="str">
        <f>J498&amp;" - "&amp;K498</f>
        <v>5 - 1</v>
      </c>
      <c r="O498" t="str">
        <f>IF($J498&gt;$K498,"Green","Red")</f>
        <v>Green</v>
      </c>
      <c r="P498" t="str">
        <f>IF($J498=$K498,"Green","Red")</f>
        <v>Red</v>
      </c>
      <c r="Q498" t="str">
        <f>IF($J498&lt;$K498,"Green","Red")</f>
        <v>Red</v>
      </c>
      <c r="R498" t="str">
        <f>IF($J498&gt;=$K498,"Green","Red")</f>
        <v>Green</v>
      </c>
      <c r="S498" t="str">
        <f>IF($J498&lt;=$K498,"Green","Red")</f>
        <v>Red</v>
      </c>
      <c r="T498" t="str">
        <f>IF(OR($J498&gt;$K498,$J498&lt;$K498),"Green","Red")</f>
        <v>Green</v>
      </c>
      <c r="U498" t="str">
        <f>IF($H498&gt;$I498,"Green","Red")</f>
        <v>Green</v>
      </c>
      <c r="V498" t="str">
        <f>IF($H498=$I498,"Green","Red")</f>
        <v>Red</v>
      </c>
      <c r="W498" t="str">
        <f>IF($H498&lt;$I498,"Green","Red")</f>
        <v>Red</v>
      </c>
      <c r="X498" t="str">
        <f>IF($H498+$I498&gt;0,"Green","Red")</f>
        <v>Green</v>
      </c>
      <c r="Y498" t="str">
        <f>IF($J498+$K498&gt;1.5,"Green","Red")</f>
        <v>Green</v>
      </c>
      <c r="Z498" t="str">
        <f>IF($J498+$K498&gt;2.5,"Green","Red")</f>
        <v>Green</v>
      </c>
      <c r="AA498" t="str">
        <f>IF($J498+$K498&lt;2.5,"Green","Red")</f>
        <v>Red</v>
      </c>
      <c r="AB498" t="str">
        <f>IF($J498+$K498&lt;3.5,"Green","Red")</f>
        <v>Red</v>
      </c>
      <c r="AC498" t="str">
        <f>IF(AND($J498&gt;0,$K498&gt;0),"Green","Red")</f>
        <v>Green</v>
      </c>
      <c r="AD498" t="str">
        <f>IF(OR($J498=0,$K498=0),"Green","Red")</f>
        <v>Red</v>
      </c>
    </row>
    <row r="499" spans="1:30" x14ac:dyDescent="0.2">
      <c r="A499" t="str">
        <f>L499&amp;F499&amp;G499</f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>DAY(D499)&amp;"/"&amp;"07"&amp;"/"&amp;YEAR(D499)</f>
        <v>23/07/2026</v>
      </c>
      <c r="M499" s="23">
        <f>E499-TIME(3,0,0)</f>
        <v>0.54166666666666663</v>
      </c>
      <c r="N499" t="str">
        <f>J499&amp;" - "&amp;K499</f>
        <v>0 - 12</v>
      </c>
      <c r="O499" t="str">
        <f>IF($J499&gt;$K499,"Green","Red")</f>
        <v>Red</v>
      </c>
      <c r="P499" t="str">
        <f>IF($J499=$K499,"Green","Red")</f>
        <v>Red</v>
      </c>
      <c r="Q499" t="str">
        <f>IF($J499&lt;$K499,"Green","Red")</f>
        <v>Green</v>
      </c>
      <c r="R499" t="str">
        <f>IF($J499&gt;=$K499,"Green","Red")</f>
        <v>Red</v>
      </c>
      <c r="S499" t="str">
        <f>IF($J499&lt;=$K499,"Green","Red")</f>
        <v>Green</v>
      </c>
      <c r="T499" t="str">
        <f>IF(OR($J499&gt;$K499,$J499&lt;$K499),"Green","Red")</f>
        <v>Green</v>
      </c>
      <c r="U499" t="str">
        <f>IF($H499&gt;$I499,"Green","Red")</f>
        <v>Red</v>
      </c>
      <c r="V499" t="str">
        <f>IF($H499=$I499,"Green","Red")</f>
        <v>Red</v>
      </c>
      <c r="W499" t="str">
        <f>IF($H499&lt;$I499,"Green","Red")</f>
        <v>Green</v>
      </c>
      <c r="X499" t="str">
        <f>IF($H499+$I499&gt;0,"Green","Red")</f>
        <v>Green</v>
      </c>
      <c r="Y499" t="str">
        <f>IF($J499+$K499&gt;1.5,"Green","Red")</f>
        <v>Green</v>
      </c>
      <c r="Z499" t="str">
        <f>IF($J499+$K499&gt;2.5,"Green","Red")</f>
        <v>Green</v>
      </c>
      <c r="AA499" t="str">
        <f>IF($J499+$K499&lt;2.5,"Green","Red")</f>
        <v>Red</v>
      </c>
      <c r="AB499" t="str">
        <f>IF($J499+$K499&lt;3.5,"Green","Red")</f>
        <v>Red</v>
      </c>
      <c r="AC499" t="str">
        <f>IF(AND($J499&gt;0,$K499&gt;0),"Green","Red")</f>
        <v>Red</v>
      </c>
      <c r="AD499" t="str">
        <f>IF(OR($J499=0,$K499=0),"Green","Red")</f>
        <v>Green</v>
      </c>
    </row>
    <row r="500" spans="1:30" x14ac:dyDescent="0.2">
      <c r="A500" t="str">
        <f>L500&amp;F500&amp;G500</f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>DAY(D500)&amp;"/"&amp;"07"&amp;"/"&amp;YEAR(D500)</f>
        <v>23/07/2026</v>
      </c>
      <c r="M500" s="23">
        <f>E500-TIME(3,0,0)</f>
        <v>0.54166666666666663</v>
      </c>
      <c r="N500" t="str">
        <f>J500&amp;" - "&amp;K500</f>
        <v>7 - 0</v>
      </c>
      <c r="O500" t="str">
        <f>IF($J500&gt;$K500,"Green","Red")</f>
        <v>Green</v>
      </c>
      <c r="P500" t="str">
        <f>IF($J500=$K500,"Green","Red")</f>
        <v>Red</v>
      </c>
      <c r="Q500" t="str">
        <f>IF($J500&lt;$K500,"Green","Red")</f>
        <v>Red</v>
      </c>
      <c r="R500" t="str">
        <f>IF($J500&gt;=$K500,"Green","Red")</f>
        <v>Green</v>
      </c>
      <c r="S500" t="str">
        <f>IF($J500&lt;=$K500,"Green","Red")</f>
        <v>Red</v>
      </c>
      <c r="T500" t="str">
        <f>IF(OR($J500&gt;$K500,$J500&lt;$K500),"Green","Red")</f>
        <v>Green</v>
      </c>
      <c r="U500" t="str">
        <f>IF($H500&gt;$I500,"Green","Red")</f>
        <v>Green</v>
      </c>
      <c r="V500" t="str">
        <f>IF($H500=$I500,"Green","Red")</f>
        <v>Red</v>
      </c>
      <c r="W500" t="str">
        <f>IF($H500&lt;$I500,"Green","Red")</f>
        <v>Red</v>
      </c>
      <c r="X500" t="str">
        <f>IF($H500+$I500&gt;0,"Green","Red")</f>
        <v>Green</v>
      </c>
      <c r="Y500" t="str">
        <f>IF($J500+$K500&gt;1.5,"Green","Red")</f>
        <v>Green</v>
      </c>
      <c r="Z500" t="str">
        <f>IF($J500+$K500&gt;2.5,"Green","Red")</f>
        <v>Green</v>
      </c>
      <c r="AA500" t="str">
        <f>IF($J500+$K500&lt;2.5,"Green","Red")</f>
        <v>Red</v>
      </c>
      <c r="AB500" t="str">
        <f>IF($J500+$K500&lt;3.5,"Green","Red")</f>
        <v>Red</v>
      </c>
      <c r="AC500" t="str">
        <f>IF(AND($J500&gt;0,$K500&gt;0),"Green","Red")</f>
        <v>Red</v>
      </c>
      <c r="AD500" t="str">
        <f>IF(OR($J500=0,$K500=0),"Green","Red")</f>
        <v>Green</v>
      </c>
    </row>
    <row r="501" spans="1:30" x14ac:dyDescent="0.2">
      <c r="A501" t="str">
        <f>L501&amp;F501&amp;G501</f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>DAY(D501)&amp;"/"&amp;"07"&amp;"/"&amp;YEAR(D501)</f>
        <v>23/07/2026</v>
      </c>
      <c r="M501" s="23">
        <f>E501-TIME(3,0,0)</f>
        <v>0.54166666666666663</v>
      </c>
      <c r="N501" t="str">
        <f>J501&amp;" - "&amp;K501</f>
        <v>2 - 1</v>
      </c>
      <c r="O501" t="str">
        <f>IF($J501&gt;$K501,"Green","Red")</f>
        <v>Green</v>
      </c>
      <c r="P501" t="str">
        <f>IF($J501=$K501,"Green","Red")</f>
        <v>Red</v>
      </c>
      <c r="Q501" t="str">
        <f>IF($J501&lt;$K501,"Green","Red")</f>
        <v>Red</v>
      </c>
      <c r="R501" t="str">
        <f>IF($J501&gt;=$K501,"Green","Red")</f>
        <v>Green</v>
      </c>
      <c r="S501" t="str">
        <f>IF($J501&lt;=$K501,"Green","Red")</f>
        <v>Red</v>
      </c>
      <c r="T501" t="str">
        <f>IF(OR($J501&gt;$K501,$J501&lt;$K501),"Green","Red")</f>
        <v>Green</v>
      </c>
      <c r="U501" t="str">
        <f>IF($H501&gt;$I501,"Green","Red")</f>
        <v>Green</v>
      </c>
      <c r="V501" t="str">
        <f>IF($H501=$I501,"Green","Red")</f>
        <v>Red</v>
      </c>
      <c r="W501" t="str">
        <f>IF($H501&lt;$I501,"Green","Red")</f>
        <v>Red</v>
      </c>
      <c r="X501" t="str">
        <f>IF($H501+$I501&gt;0,"Green","Red")</f>
        <v>Green</v>
      </c>
      <c r="Y501" t="str">
        <f>IF($J501+$K501&gt;1.5,"Green","Red")</f>
        <v>Green</v>
      </c>
      <c r="Z501" t="str">
        <f>IF($J501+$K501&gt;2.5,"Green","Red")</f>
        <v>Green</v>
      </c>
      <c r="AA501" t="str">
        <f>IF($J501+$K501&lt;2.5,"Green","Red")</f>
        <v>Red</v>
      </c>
      <c r="AB501" t="str">
        <f>IF($J501+$K501&lt;3.5,"Green","Red")</f>
        <v>Green</v>
      </c>
      <c r="AC501" t="str">
        <f>IF(AND($J501&gt;0,$K501&gt;0),"Green","Red")</f>
        <v>Green</v>
      </c>
      <c r="AD501" t="str">
        <f>IF(OR($J501=0,$K501=0),"Green","Red")</f>
        <v>Red</v>
      </c>
    </row>
    <row r="502" spans="1:30" x14ac:dyDescent="0.2">
      <c r="A502" t="str">
        <f>L502&amp;F502&amp;G502</f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>DAY(D502)&amp;"/"&amp;"07"&amp;"/"&amp;YEAR(D502)</f>
        <v>23/07/2026</v>
      </c>
      <c r="M502" s="23">
        <f>E502-TIME(3,0,0)</f>
        <v>0.54166666666666663</v>
      </c>
      <c r="N502" t="str">
        <f>J502&amp;" - "&amp;K502</f>
        <v>3 - 2</v>
      </c>
      <c r="O502" t="str">
        <f>IF($J502&gt;$K502,"Green","Red")</f>
        <v>Green</v>
      </c>
      <c r="P502" t="str">
        <f>IF($J502=$K502,"Green","Red")</f>
        <v>Red</v>
      </c>
      <c r="Q502" t="str">
        <f>IF($J502&lt;$K502,"Green","Red")</f>
        <v>Red</v>
      </c>
      <c r="R502" t="str">
        <f>IF($J502&gt;=$K502,"Green","Red")</f>
        <v>Green</v>
      </c>
      <c r="S502" t="str">
        <f>IF($J502&lt;=$K502,"Green","Red")</f>
        <v>Red</v>
      </c>
      <c r="T502" t="str">
        <f>IF(OR($J502&gt;$K502,$J502&lt;$K502),"Green","Red")</f>
        <v>Green</v>
      </c>
      <c r="U502" t="str">
        <f>IF($H502&gt;$I502,"Green","Red")</f>
        <v>Red</v>
      </c>
      <c r="V502" t="str">
        <f>IF($H502=$I502,"Green","Red")</f>
        <v>Green</v>
      </c>
      <c r="W502" t="str">
        <f>IF($H502&lt;$I502,"Green","Red")</f>
        <v>Red</v>
      </c>
      <c r="X502" t="str">
        <f>IF($H502+$I502&gt;0,"Green","Red")</f>
        <v>Red</v>
      </c>
      <c r="Y502" t="str">
        <f>IF($J502+$K502&gt;1.5,"Green","Red")</f>
        <v>Green</v>
      </c>
      <c r="Z502" t="str">
        <f>IF($J502+$K502&gt;2.5,"Green","Red")</f>
        <v>Green</v>
      </c>
      <c r="AA502" t="str">
        <f>IF($J502+$K502&lt;2.5,"Green","Red")</f>
        <v>Red</v>
      </c>
      <c r="AB502" t="str">
        <f>IF($J502+$K502&lt;3.5,"Green","Red")</f>
        <v>Red</v>
      </c>
      <c r="AC502" t="str">
        <f>IF(AND($J502&gt;0,$K502&gt;0),"Green","Red")</f>
        <v>Green</v>
      </c>
      <c r="AD502" t="str">
        <f>IF(OR($J502=0,$K502=0),"Green","Red")</f>
        <v>Red</v>
      </c>
    </row>
    <row r="503" spans="1:30" x14ac:dyDescent="0.2">
      <c r="A503" t="str">
        <f>L503&amp;F503&amp;G503</f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>DAY(D503)&amp;"/"&amp;"07"&amp;"/"&amp;YEAR(D503)</f>
        <v>23/07/2026</v>
      </c>
      <c r="M503" s="23">
        <f>E503-TIME(3,0,0)</f>
        <v>0.54166666666666663</v>
      </c>
      <c r="N503" t="str">
        <f>J503&amp;" - "&amp;K503</f>
        <v>0 - 1</v>
      </c>
      <c r="O503" t="str">
        <f>IF($J503&gt;$K503,"Green","Red")</f>
        <v>Red</v>
      </c>
      <c r="P503" t="str">
        <f>IF($J503=$K503,"Green","Red")</f>
        <v>Red</v>
      </c>
      <c r="Q503" t="str">
        <f>IF($J503&lt;$K503,"Green","Red")</f>
        <v>Green</v>
      </c>
      <c r="R503" t="str">
        <f>IF($J503&gt;=$K503,"Green","Red")</f>
        <v>Red</v>
      </c>
      <c r="S503" t="str">
        <f>IF($J503&lt;=$K503,"Green","Red")</f>
        <v>Green</v>
      </c>
      <c r="T503" t="str">
        <f>IF(OR($J503&gt;$K503,$J503&lt;$K503),"Green","Red")</f>
        <v>Green</v>
      </c>
      <c r="U503" t="str">
        <f>IF($H503&gt;$I503,"Green","Red")</f>
        <v>Red</v>
      </c>
      <c r="V503" t="str">
        <f>IF($H503=$I503,"Green","Red")</f>
        <v>Green</v>
      </c>
      <c r="W503" t="str">
        <f>IF($H503&lt;$I503,"Green","Red")</f>
        <v>Red</v>
      </c>
      <c r="X503" t="str">
        <f>IF($H503+$I503&gt;0,"Green","Red")</f>
        <v>Red</v>
      </c>
      <c r="Y503" t="str">
        <f>IF($J503+$K503&gt;1.5,"Green","Red")</f>
        <v>Red</v>
      </c>
      <c r="Z503" t="str">
        <f>IF($J503+$K503&gt;2.5,"Green","Red")</f>
        <v>Red</v>
      </c>
      <c r="AA503" t="str">
        <f>IF($J503+$K503&lt;2.5,"Green","Red")</f>
        <v>Green</v>
      </c>
      <c r="AB503" t="str">
        <f>IF($J503+$K503&lt;3.5,"Green","Red")</f>
        <v>Green</v>
      </c>
      <c r="AC503" t="str">
        <f>IF(AND($J503&gt;0,$K503&gt;0),"Green","Red")</f>
        <v>Red</v>
      </c>
      <c r="AD503" t="str">
        <f>IF(OR($J503=0,$K503=0),"Green","Red")</f>
        <v>Green</v>
      </c>
    </row>
    <row r="504" spans="1:30" x14ac:dyDescent="0.2">
      <c r="A504" t="str">
        <f>L504&amp;F504&amp;G504</f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>DAY(D504)&amp;"/"&amp;"07"&amp;"/"&amp;YEAR(D504)</f>
        <v>23/07/2026</v>
      </c>
      <c r="M504" s="23">
        <f>E504-TIME(3,0,0)</f>
        <v>0.54166666666666663</v>
      </c>
      <c r="N504" t="str">
        <f>J504&amp;" - "&amp;K504</f>
        <v>2 - 1</v>
      </c>
      <c r="O504" t="str">
        <f>IF($J504&gt;$K504,"Green","Red")</f>
        <v>Green</v>
      </c>
      <c r="P504" t="str">
        <f>IF($J504=$K504,"Green","Red")</f>
        <v>Red</v>
      </c>
      <c r="Q504" t="str">
        <f>IF($J504&lt;$K504,"Green","Red")</f>
        <v>Red</v>
      </c>
      <c r="R504" t="str">
        <f>IF($J504&gt;=$K504,"Green","Red")</f>
        <v>Green</v>
      </c>
      <c r="S504" t="str">
        <f>IF($J504&lt;=$K504,"Green","Red")</f>
        <v>Red</v>
      </c>
      <c r="T504" t="str">
        <f>IF(OR($J504&gt;$K504,$J504&lt;$K504),"Green","Red")</f>
        <v>Green</v>
      </c>
      <c r="U504" t="str">
        <f>IF($H504&gt;$I504,"Green","Red")</f>
        <v>Red</v>
      </c>
      <c r="V504" t="str">
        <f>IF($H504=$I504,"Green","Red")</f>
        <v>Green</v>
      </c>
      <c r="W504" t="str">
        <f>IF($H504&lt;$I504,"Green","Red")</f>
        <v>Red</v>
      </c>
      <c r="X504" t="str">
        <f>IF($H504+$I504&gt;0,"Green","Red")</f>
        <v>Red</v>
      </c>
      <c r="Y504" t="str">
        <f>IF($J504+$K504&gt;1.5,"Green","Red")</f>
        <v>Green</v>
      </c>
      <c r="Z504" t="str">
        <f>IF($J504+$K504&gt;2.5,"Green","Red")</f>
        <v>Green</v>
      </c>
      <c r="AA504" t="str">
        <f>IF($J504+$K504&lt;2.5,"Green","Red")</f>
        <v>Red</v>
      </c>
      <c r="AB504" t="str">
        <f>IF($J504+$K504&lt;3.5,"Green","Red")</f>
        <v>Green</v>
      </c>
      <c r="AC504" t="str">
        <f>IF(AND($J504&gt;0,$K504&gt;0),"Green","Red")</f>
        <v>Green</v>
      </c>
      <c r="AD504" t="str">
        <f>IF(OR($J504=0,$K504=0),"Green","Red")</f>
        <v>Red</v>
      </c>
    </row>
    <row r="505" spans="1:30" x14ac:dyDescent="0.2">
      <c r="A505" t="str">
        <f>L505&amp;F505&amp;G505</f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>DAY(D505)&amp;"/"&amp;"07"&amp;"/"&amp;YEAR(D505)</f>
        <v>23/07/2026</v>
      </c>
      <c r="M505" s="23">
        <f>E505-TIME(3,0,0)</f>
        <v>0.54166666666666663</v>
      </c>
      <c r="N505" t="str">
        <f>J505&amp;" - "&amp;K505</f>
        <v>1 - 3</v>
      </c>
      <c r="O505" t="str">
        <f>IF($J505&gt;$K505,"Green","Red")</f>
        <v>Red</v>
      </c>
      <c r="P505" t="str">
        <f>IF($J505=$K505,"Green","Red")</f>
        <v>Red</v>
      </c>
      <c r="Q505" t="str">
        <f>IF($J505&lt;$K505,"Green","Red")</f>
        <v>Green</v>
      </c>
      <c r="R505" t="str">
        <f>IF($J505&gt;=$K505,"Green","Red")</f>
        <v>Red</v>
      </c>
      <c r="S505" t="str">
        <f>IF($J505&lt;=$K505,"Green","Red")</f>
        <v>Green</v>
      </c>
      <c r="T505" t="str">
        <f>IF(OR($J505&gt;$K505,$J505&lt;$K505),"Green","Red")</f>
        <v>Green</v>
      </c>
      <c r="U505" t="str">
        <f>IF($H505&gt;$I505,"Green","Red")</f>
        <v>Red</v>
      </c>
      <c r="V505" t="str">
        <f>IF($H505=$I505,"Green","Red")</f>
        <v>Green</v>
      </c>
      <c r="W505" t="str">
        <f>IF($H505&lt;$I505,"Green","Red")</f>
        <v>Red</v>
      </c>
      <c r="X505" t="str">
        <f>IF($H505+$I505&gt;0,"Green","Red")</f>
        <v>Red</v>
      </c>
      <c r="Y505" t="str">
        <f>IF($J505+$K505&gt;1.5,"Green","Red")</f>
        <v>Green</v>
      </c>
      <c r="Z505" t="str">
        <f>IF($J505+$K505&gt;2.5,"Green","Red")</f>
        <v>Green</v>
      </c>
      <c r="AA505" t="str">
        <f>IF($J505+$K505&lt;2.5,"Green","Red")</f>
        <v>Red</v>
      </c>
      <c r="AB505" t="str">
        <f>IF($J505+$K505&lt;3.5,"Green","Red")</f>
        <v>Red</v>
      </c>
      <c r="AC505" t="str">
        <f>IF(AND($J505&gt;0,$K505&gt;0),"Green","Red")</f>
        <v>Green</v>
      </c>
      <c r="AD505" t="str">
        <f>IF(OR($J505=0,$K505=0),"Green","Red")</f>
        <v>Red</v>
      </c>
    </row>
    <row r="506" spans="1:30" x14ac:dyDescent="0.2">
      <c r="A506" t="str">
        <f>L506&amp;F506&amp;G506</f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>DAY(D506)&amp;"/"&amp;"07"&amp;"/"&amp;YEAR(D506)</f>
        <v>23/07/2026</v>
      </c>
      <c r="M506" s="23">
        <f>E506-TIME(3,0,0)</f>
        <v>0.54166666666666663</v>
      </c>
      <c r="N506" t="str">
        <f>J506&amp;" - "&amp;K506</f>
        <v xml:space="preserve"> - </v>
      </c>
      <c r="O506" t="str">
        <f>IF($J506&gt;$K506,"Green","Red")</f>
        <v>Red</v>
      </c>
      <c r="P506" t="str">
        <f>IF($J506=$K506,"Green","Red")</f>
        <v>Green</v>
      </c>
      <c r="Q506" t="str">
        <f>IF($J506&lt;$K506,"Green","Red")</f>
        <v>Red</v>
      </c>
      <c r="R506" t="str">
        <f>IF($J506&gt;=$K506,"Green","Red")</f>
        <v>Green</v>
      </c>
      <c r="S506" t="str">
        <f>IF($J506&lt;=$K506,"Green","Red")</f>
        <v>Green</v>
      </c>
      <c r="T506" t="str">
        <f>IF(OR($J506&gt;$K506,$J506&lt;$K506),"Green","Red")</f>
        <v>Red</v>
      </c>
      <c r="U506" t="str">
        <f>IF($H506&gt;$I506,"Green","Red")</f>
        <v>Red</v>
      </c>
      <c r="V506" t="str">
        <f>IF($H506=$I506,"Green","Red")</f>
        <v>Green</v>
      </c>
      <c r="W506" t="str">
        <f>IF($H506&lt;$I506,"Green","Red")</f>
        <v>Red</v>
      </c>
      <c r="X506" t="str">
        <f>IF($H506+$I506&gt;0,"Green","Red")</f>
        <v>Red</v>
      </c>
      <c r="Y506" t="str">
        <f>IF($J506+$K506&gt;1.5,"Green","Red")</f>
        <v>Red</v>
      </c>
      <c r="Z506" t="str">
        <f>IF($J506+$K506&gt;2.5,"Green","Red")</f>
        <v>Red</v>
      </c>
      <c r="AA506" t="str">
        <f>IF($J506+$K506&lt;2.5,"Green","Red")</f>
        <v>Green</v>
      </c>
      <c r="AB506" t="str">
        <f>IF($J506+$K506&lt;3.5,"Green","Red")</f>
        <v>Green</v>
      </c>
      <c r="AC506" t="str">
        <f>IF(AND($J506&gt;0,$K506&gt;0),"Green","Red")</f>
        <v>Red</v>
      </c>
      <c r="AD506" t="str">
        <f>IF(OR($J506=0,$K506=0),"Green","Red")</f>
        <v>Green</v>
      </c>
    </row>
    <row r="507" spans="1:30" x14ac:dyDescent="0.2">
      <c r="A507" t="str">
        <f>L507&amp;F507&amp;G507</f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>DAY(D507)&amp;"/"&amp;"07"&amp;"/"&amp;YEAR(D507)</f>
        <v>23/07/2026</v>
      </c>
      <c r="M507" s="23">
        <f>E507-TIME(3,0,0)</f>
        <v>0.54166666666666663</v>
      </c>
      <c r="N507" t="str">
        <f>J507&amp;" - "&amp;K507</f>
        <v>0 - 8</v>
      </c>
      <c r="O507" t="str">
        <f>IF($J507&gt;$K507,"Green","Red")</f>
        <v>Red</v>
      </c>
      <c r="P507" t="str">
        <f>IF($J507=$K507,"Green","Red")</f>
        <v>Red</v>
      </c>
      <c r="Q507" t="str">
        <f>IF($J507&lt;$K507,"Green","Red")</f>
        <v>Green</v>
      </c>
      <c r="R507" t="str">
        <f>IF($J507&gt;=$K507,"Green","Red")</f>
        <v>Red</v>
      </c>
      <c r="S507" t="str">
        <f>IF($J507&lt;=$K507,"Green","Red")</f>
        <v>Green</v>
      </c>
      <c r="T507" t="str">
        <f>IF(OR($J507&gt;$K507,$J507&lt;$K507),"Green","Red")</f>
        <v>Green</v>
      </c>
      <c r="U507" t="str">
        <f>IF($H507&gt;$I507,"Green","Red")</f>
        <v>Red</v>
      </c>
      <c r="V507" t="str">
        <f>IF($H507=$I507,"Green","Red")</f>
        <v>Red</v>
      </c>
      <c r="W507" t="str">
        <f>IF($H507&lt;$I507,"Green","Red")</f>
        <v>Green</v>
      </c>
      <c r="X507" t="str">
        <f>IF($H507+$I507&gt;0,"Green","Red")</f>
        <v>Green</v>
      </c>
      <c r="Y507" t="str">
        <f>IF($J507+$K507&gt;1.5,"Green","Red")</f>
        <v>Green</v>
      </c>
      <c r="Z507" t="str">
        <f>IF($J507+$K507&gt;2.5,"Green","Red")</f>
        <v>Green</v>
      </c>
      <c r="AA507" t="str">
        <f>IF($J507+$K507&lt;2.5,"Green","Red")</f>
        <v>Red</v>
      </c>
      <c r="AB507" t="str">
        <f>IF($J507+$K507&lt;3.5,"Green","Red")</f>
        <v>Red</v>
      </c>
      <c r="AC507" t="str">
        <f>IF(AND($J507&gt;0,$K507&gt;0),"Green","Red")</f>
        <v>Red</v>
      </c>
      <c r="AD507" t="str">
        <f>IF(OR($J507=0,$K507=0),"Green","Red")</f>
        <v>Green</v>
      </c>
    </row>
    <row r="508" spans="1:30" x14ac:dyDescent="0.2">
      <c r="A508" t="str">
        <f>L508&amp;F508&amp;G508</f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>DAY(D508)&amp;"/"&amp;"07"&amp;"/"&amp;YEAR(D508)</f>
        <v>23/07/2026</v>
      </c>
      <c r="M508" s="23">
        <f>E508-TIME(3,0,0)</f>
        <v>0.54166666666666663</v>
      </c>
      <c r="N508" t="str">
        <f>J508&amp;" - "&amp;K508</f>
        <v>2 - 0</v>
      </c>
      <c r="O508" t="str">
        <f>IF($J508&gt;$K508,"Green","Red")</f>
        <v>Green</v>
      </c>
      <c r="P508" t="str">
        <f>IF($J508=$K508,"Green","Red")</f>
        <v>Red</v>
      </c>
      <c r="Q508" t="str">
        <f>IF($J508&lt;$K508,"Green","Red")</f>
        <v>Red</v>
      </c>
      <c r="R508" t="str">
        <f>IF($J508&gt;=$K508,"Green","Red")</f>
        <v>Green</v>
      </c>
      <c r="S508" t="str">
        <f>IF($J508&lt;=$K508,"Green","Red")</f>
        <v>Red</v>
      </c>
      <c r="T508" t="str">
        <f>IF(OR($J508&gt;$K508,$J508&lt;$K508),"Green","Red")</f>
        <v>Green</v>
      </c>
      <c r="U508" t="str">
        <f>IF($H508&gt;$I508,"Green","Red")</f>
        <v>Green</v>
      </c>
      <c r="V508" t="str">
        <f>IF($H508=$I508,"Green","Red")</f>
        <v>Red</v>
      </c>
      <c r="W508" t="str">
        <f>IF($H508&lt;$I508,"Green","Red")</f>
        <v>Red</v>
      </c>
      <c r="X508" t="str">
        <f>IF($H508+$I508&gt;0,"Green","Red")</f>
        <v>Green</v>
      </c>
      <c r="Y508" t="str">
        <f>IF($J508+$K508&gt;1.5,"Green","Red")</f>
        <v>Green</v>
      </c>
      <c r="Z508" t="str">
        <f>IF($J508+$K508&gt;2.5,"Green","Red")</f>
        <v>Red</v>
      </c>
      <c r="AA508" t="str">
        <f>IF($J508+$K508&lt;2.5,"Green","Red")</f>
        <v>Green</v>
      </c>
      <c r="AB508" t="str">
        <f>IF($J508+$K508&lt;3.5,"Green","Red")</f>
        <v>Green</v>
      </c>
      <c r="AC508" t="str">
        <f>IF(AND($J508&gt;0,$K508&gt;0),"Green","Red")</f>
        <v>Red</v>
      </c>
      <c r="AD508" t="str">
        <f>IF(OR($J508=0,$K508=0),"Green","Red")</f>
        <v>Green</v>
      </c>
    </row>
    <row r="509" spans="1:30" x14ac:dyDescent="0.2">
      <c r="A509" t="str">
        <f>L509&amp;F509&amp;G509</f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>DAY(D509)&amp;"/"&amp;"07"&amp;"/"&amp;YEAR(D509)</f>
        <v>23/07/2026</v>
      </c>
      <c r="M509" s="23">
        <f>E509-TIME(3,0,0)</f>
        <v>0.55208333333333337</v>
      </c>
      <c r="N509" t="str">
        <f>J509&amp;" - "&amp;K509</f>
        <v>3 - 2</v>
      </c>
      <c r="O509" t="str">
        <f>IF($J509&gt;$K509,"Green","Red")</f>
        <v>Green</v>
      </c>
      <c r="P509" t="str">
        <f>IF($J509=$K509,"Green","Red")</f>
        <v>Red</v>
      </c>
      <c r="Q509" t="str">
        <f>IF($J509&lt;$K509,"Green","Red")</f>
        <v>Red</v>
      </c>
      <c r="R509" t="str">
        <f>IF($J509&gt;=$K509,"Green","Red")</f>
        <v>Green</v>
      </c>
      <c r="S509" t="str">
        <f>IF($J509&lt;=$K509,"Green","Red")</f>
        <v>Red</v>
      </c>
      <c r="T509" t="str">
        <f>IF(OR($J509&gt;$K509,$J509&lt;$K509),"Green","Red")</f>
        <v>Green</v>
      </c>
      <c r="U509" t="str">
        <f>IF($H509&gt;$I509,"Green","Red")</f>
        <v>Red</v>
      </c>
      <c r="V509" t="str">
        <f>IF($H509=$I509,"Green","Red")</f>
        <v>Green</v>
      </c>
      <c r="W509" t="str">
        <f>IF($H509&lt;$I509,"Green","Red")</f>
        <v>Red</v>
      </c>
      <c r="X509" t="str">
        <f>IF($H509+$I509&gt;0,"Green","Red")</f>
        <v>Red</v>
      </c>
      <c r="Y509" t="str">
        <f>IF($J509+$K509&gt;1.5,"Green","Red")</f>
        <v>Green</v>
      </c>
      <c r="Z509" t="str">
        <f>IF($J509+$K509&gt;2.5,"Green","Red")</f>
        <v>Green</v>
      </c>
      <c r="AA509" t="str">
        <f>IF($J509+$K509&lt;2.5,"Green","Red")</f>
        <v>Red</v>
      </c>
      <c r="AB509" t="str">
        <f>IF($J509+$K509&lt;3.5,"Green","Red")</f>
        <v>Red</v>
      </c>
      <c r="AC509" t="str">
        <f>IF(AND($J509&gt;0,$K509&gt;0),"Green","Red")</f>
        <v>Green</v>
      </c>
      <c r="AD509" t="str">
        <f>IF(OR($J509=0,$K509=0),"Green","Red")</f>
        <v>Red</v>
      </c>
    </row>
    <row r="510" spans="1:30" x14ac:dyDescent="0.2">
      <c r="A510" t="str">
        <f>L510&amp;F510&amp;G510</f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>DAY(D510)&amp;"/"&amp;"07"&amp;"/"&amp;YEAR(D510)</f>
        <v>23/07/2026</v>
      </c>
      <c r="M510" s="23">
        <f>E510-TIME(3,0,0)</f>
        <v>0.5625</v>
      </c>
      <c r="N510" t="str">
        <f>J510&amp;" - "&amp;K510</f>
        <v>0 - 1</v>
      </c>
      <c r="O510" t="str">
        <f>IF($J510&gt;$K510,"Green","Red")</f>
        <v>Red</v>
      </c>
      <c r="P510" t="str">
        <f>IF($J510=$K510,"Green","Red")</f>
        <v>Red</v>
      </c>
      <c r="Q510" t="str">
        <f>IF($J510&lt;$K510,"Green","Red")</f>
        <v>Green</v>
      </c>
      <c r="R510" t="str">
        <f>IF($J510&gt;=$K510,"Green","Red")</f>
        <v>Red</v>
      </c>
      <c r="S510" t="str">
        <f>IF($J510&lt;=$K510,"Green","Red")</f>
        <v>Green</v>
      </c>
      <c r="T510" t="str">
        <f>IF(OR($J510&gt;$K510,$J510&lt;$K510),"Green","Red")</f>
        <v>Green</v>
      </c>
      <c r="U510" t="str">
        <f>IF($H510&gt;$I510,"Green","Red")</f>
        <v>Red</v>
      </c>
      <c r="V510" t="str">
        <f>IF($H510=$I510,"Green","Red")</f>
        <v>Green</v>
      </c>
      <c r="W510" t="str">
        <f>IF($H510&lt;$I510,"Green","Red")</f>
        <v>Red</v>
      </c>
      <c r="X510" t="str">
        <f>IF($H510+$I510&gt;0,"Green","Red")</f>
        <v>Red</v>
      </c>
      <c r="Y510" t="str">
        <f>IF($J510+$K510&gt;1.5,"Green","Red")</f>
        <v>Red</v>
      </c>
      <c r="Z510" t="str">
        <f>IF($J510+$K510&gt;2.5,"Green","Red")</f>
        <v>Red</v>
      </c>
      <c r="AA510" t="str">
        <f>IF($J510+$K510&lt;2.5,"Green","Red")</f>
        <v>Green</v>
      </c>
      <c r="AB510" t="str">
        <f>IF($J510+$K510&lt;3.5,"Green","Red")</f>
        <v>Green</v>
      </c>
      <c r="AC510" t="str">
        <f>IF(AND($J510&gt;0,$K510&gt;0),"Green","Red")</f>
        <v>Red</v>
      </c>
      <c r="AD510" t="str">
        <f>IF(OR($J510=0,$K510=0),"Green","Red")</f>
        <v>Green</v>
      </c>
    </row>
    <row r="511" spans="1:30" x14ac:dyDescent="0.2">
      <c r="A511" t="str">
        <f>L511&amp;F511&amp;G511</f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>DAY(D511)&amp;"/"&amp;"07"&amp;"/"&amp;YEAR(D511)</f>
        <v>23/07/2026</v>
      </c>
      <c r="M511" s="23">
        <f>E511-TIME(3,0,0)</f>
        <v>0.5625</v>
      </c>
      <c r="N511" t="str">
        <f>J511&amp;" - "&amp;K511</f>
        <v>1 - 0</v>
      </c>
      <c r="O511" t="str">
        <f>IF($J511&gt;$K511,"Green","Red")</f>
        <v>Green</v>
      </c>
      <c r="P511" t="str">
        <f>IF($J511=$K511,"Green","Red")</f>
        <v>Red</v>
      </c>
      <c r="Q511" t="str">
        <f>IF($J511&lt;$K511,"Green","Red")</f>
        <v>Red</v>
      </c>
      <c r="R511" t="str">
        <f>IF($J511&gt;=$K511,"Green","Red")</f>
        <v>Green</v>
      </c>
      <c r="S511" t="str">
        <f>IF($J511&lt;=$K511,"Green","Red")</f>
        <v>Red</v>
      </c>
      <c r="T511" t="str">
        <f>IF(OR($J511&gt;$K511,$J511&lt;$K511),"Green","Red")</f>
        <v>Green</v>
      </c>
      <c r="U511" t="str">
        <f>IF($H511&gt;$I511,"Green","Red")</f>
        <v>Red</v>
      </c>
      <c r="V511" t="str">
        <f>IF($H511=$I511,"Green","Red")</f>
        <v>Green</v>
      </c>
      <c r="W511" t="str">
        <f>IF($H511&lt;$I511,"Green","Red")</f>
        <v>Red</v>
      </c>
      <c r="X511" t="str">
        <f>IF($H511+$I511&gt;0,"Green","Red")</f>
        <v>Red</v>
      </c>
      <c r="Y511" t="str">
        <f>IF($J511+$K511&gt;1.5,"Green","Red")</f>
        <v>Red</v>
      </c>
      <c r="Z511" t="str">
        <f>IF($J511+$K511&gt;2.5,"Green","Red")</f>
        <v>Red</v>
      </c>
      <c r="AA511" t="str">
        <f>IF($J511+$K511&lt;2.5,"Green","Red")</f>
        <v>Green</v>
      </c>
      <c r="AB511" t="str">
        <f>IF($J511+$K511&lt;3.5,"Green","Red")</f>
        <v>Green</v>
      </c>
      <c r="AC511" t="str">
        <f>IF(AND($J511&gt;0,$K511&gt;0),"Green","Red")</f>
        <v>Red</v>
      </c>
      <c r="AD511" t="str">
        <f>IF(OR($J511=0,$K511=0),"Green","Red")</f>
        <v>Green</v>
      </c>
    </row>
    <row r="512" spans="1:30" x14ac:dyDescent="0.2">
      <c r="A512" t="str">
        <f>L512&amp;F512&amp;G512</f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>DAY(D512)&amp;"/"&amp;"07"&amp;"/"&amp;YEAR(D512)</f>
        <v>23/07/2026</v>
      </c>
      <c r="M512" s="23">
        <f>E512-TIME(3,0,0)</f>
        <v>0.5625</v>
      </c>
      <c r="N512" t="str">
        <f>J512&amp;" - "&amp;K512</f>
        <v>3 - 1</v>
      </c>
      <c r="O512" t="str">
        <f>IF($J512&gt;$K512,"Green","Red")</f>
        <v>Green</v>
      </c>
      <c r="P512" t="str">
        <f>IF($J512=$K512,"Green","Red")</f>
        <v>Red</v>
      </c>
      <c r="Q512" t="str">
        <f>IF($J512&lt;$K512,"Green","Red")</f>
        <v>Red</v>
      </c>
      <c r="R512" t="str">
        <f>IF($J512&gt;=$K512,"Green","Red")</f>
        <v>Green</v>
      </c>
      <c r="S512" t="str">
        <f>IF($J512&lt;=$K512,"Green","Red")</f>
        <v>Red</v>
      </c>
      <c r="T512" t="str">
        <f>IF(OR($J512&gt;$K512,$J512&lt;$K512),"Green","Red")</f>
        <v>Green</v>
      </c>
      <c r="U512" t="str">
        <f>IF($H512&gt;$I512,"Green","Red")</f>
        <v>Red</v>
      </c>
      <c r="V512" t="str">
        <f>IF($H512=$I512,"Green","Red")</f>
        <v>Red</v>
      </c>
      <c r="W512" t="str">
        <f>IF($H512&lt;$I512,"Green","Red")</f>
        <v>Green</v>
      </c>
      <c r="X512" t="str">
        <f>IF($H512+$I512&gt;0,"Green","Red")</f>
        <v>Green</v>
      </c>
      <c r="Y512" t="str">
        <f>IF($J512+$K512&gt;1.5,"Green","Red")</f>
        <v>Green</v>
      </c>
      <c r="Z512" t="str">
        <f>IF($J512+$K512&gt;2.5,"Green","Red")</f>
        <v>Green</v>
      </c>
      <c r="AA512" t="str">
        <f>IF($J512+$K512&lt;2.5,"Green","Red")</f>
        <v>Red</v>
      </c>
      <c r="AB512" t="str">
        <f>IF($J512+$K512&lt;3.5,"Green","Red")</f>
        <v>Red</v>
      </c>
      <c r="AC512" t="str">
        <f>IF(AND($J512&gt;0,$K512&gt;0),"Green","Red")</f>
        <v>Green</v>
      </c>
      <c r="AD512" t="str">
        <f>IF(OR($J512=0,$K512=0),"Green","Red")</f>
        <v>Red</v>
      </c>
    </row>
    <row r="513" spans="1:30" x14ac:dyDescent="0.2">
      <c r="A513" t="str">
        <f>L513&amp;F513&amp;G513</f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>DAY(D513)&amp;"/"&amp;"07"&amp;"/"&amp;YEAR(D513)</f>
        <v>23/07/2026</v>
      </c>
      <c r="M513" s="23">
        <f>E513-TIME(3,0,0)</f>
        <v>0.5625</v>
      </c>
      <c r="N513" t="str">
        <f>J513&amp;" - "&amp;K513</f>
        <v>4 - 1</v>
      </c>
      <c r="O513" t="str">
        <f>IF($J513&gt;$K513,"Green","Red")</f>
        <v>Green</v>
      </c>
      <c r="P513" t="str">
        <f>IF($J513=$K513,"Green","Red")</f>
        <v>Red</v>
      </c>
      <c r="Q513" t="str">
        <f>IF($J513&lt;$K513,"Green","Red")</f>
        <v>Red</v>
      </c>
      <c r="R513" t="str">
        <f>IF($J513&gt;=$K513,"Green","Red")</f>
        <v>Green</v>
      </c>
      <c r="S513" t="str">
        <f>IF($J513&lt;=$K513,"Green","Red")</f>
        <v>Red</v>
      </c>
      <c r="T513" t="str">
        <f>IF(OR($J513&gt;$K513,$J513&lt;$K513),"Green","Red")</f>
        <v>Green</v>
      </c>
      <c r="U513" t="str">
        <f>IF($H513&gt;$I513,"Green","Red")</f>
        <v>Green</v>
      </c>
      <c r="V513" t="str">
        <f>IF($H513=$I513,"Green","Red")</f>
        <v>Red</v>
      </c>
      <c r="W513" t="str">
        <f>IF($H513&lt;$I513,"Green","Red")</f>
        <v>Red</v>
      </c>
      <c r="X513" t="str">
        <f>IF($H513+$I513&gt;0,"Green","Red")</f>
        <v>Green</v>
      </c>
      <c r="Y513" t="str">
        <f>IF($J513+$K513&gt;1.5,"Green","Red")</f>
        <v>Green</v>
      </c>
      <c r="Z513" t="str">
        <f>IF($J513+$K513&gt;2.5,"Green","Red")</f>
        <v>Green</v>
      </c>
      <c r="AA513" t="str">
        <f>IF($J513+$K513&lt;2.5,"Green","Red")</f>
        <v>Red</v>
      </c>
      <c r="AB513" t="str">
        <f>IF($J513+$K513&lt;3.5,"Green","Red")</f>
        <v>Red</v>
      </c>
      <c r="AC513" t="str">
        <f>IF(AND($J513&gt;0,$K513&gt;0),"Green","Red")</f>
        <v>Green</v>
      </c>
      <c r="AD513" t="str">
        <f>IF(OR($J513=0,$K513=0),"Green","Red")</f>
        <v>Red</v>
      </c>
    </row>
    <row r="514" spans="1:30" x14ac:dyDescent="0.2">
      <c r="A514" t="str">
        <f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>DAY(D514)&amp;"/"&amp;"07"&amp;"/"&amp;YEAR(D514)</f>
        <v>23/07/2026</v>
      </c>
      <c r="M514" s="23">
        <f>E514-TIME(3,0,0)</f>
        <v>0.58333333333333337</v>
      </c>
      <c r="N514" t="str">
        <f>J514&amp;" - "&amp;K514</f>
        <v>2 - 3</v>
      </c>
      <c r="O514" t="str">
        <f>IF($J514&gt;$K514,"Green","Red")</f>
        <v>Red</v>
      </c>
      <c r="P514" t="str">
        <f>IF($J514=$K514,"Green","Red")</f>
        <v>Red</v>
      </c>
      <c r="Q514" t="str">
        <f>IF($J514&lt;$K514,"Green","Red")</f>
        <v>Green</v>
      </c>
      <c r="R514" t="str">
        <f>IF($J514&gt;=$K514,"Green","Red")</f>
        <v>Red</v>
      </c>
      <c r="S514" t="str">
        <f>IF($J514&lt;=$K514,"Green","Red")</f>
        <v>Green</v>
      </c>
      <c r="T514" t="str">
        <f>IF(OR($J514&gt;$K514,$J514&lt;$K514),"Green","Red")</f>
        <v>Green</v>
      </c>
      <c r="U514" t="str">
        <f>IF($H514&gt;$I514,"Green","Red")</f>
        <v>Red</v>
      </c>
      <c r="V514" t="str">
        <f>IF($H514=$I514,"Green","Red")</f>
        <v>Red</v>
      </c>
      <c r="W514" t="str">
        <f>IF($H514&lt;$I514,"Green","Red")</f>
        <v>Green</v>
      </c>
      <c r="X514" t="str">
        <f>IF($H514+$I514&gt;0,"Green","Red")</f>
        <v>Green</v>
      </c>
      <c r="Y514" t="str">
        <f>IF($J514+$K514&gt;1.5,"Green","Red")</f>
        <v>Green</v>
      </c>
      <c r="Z514" t="str">
        <f>IF($J514+$K514&gt;2.5,"Green","Red")</f>
        <v>Green</v>
      </c>
      <c r="AA514" t="str">
        <f>IF($J514+$K514&lt;2.5,"Green","Red")</f>
        <v>Red</v>
      </c>
      <c r="AB514" t="str">
        <f>IF($J514+$K514&lt;3.5,"Green","Red")</f>
        <v>Red</v>
      </c>
      <c r="AC514" t="str">
        <f>IF(AND($J514&gt;0,$K514&gt;0),"Green","Red")</f>
        <v>Green</v>
      </c>
      <c r="AD514" t="str">
        <f>IF(OR($J514=0,$K514=0),"Green","Red")</f>
        <v>Red</v>
      </c>
    </row>
    <row r="515" spans="1:30" x14ac:dyDescent="0.2">
      <c r="A515" t="str">
        <f>L515&amp;F515&amp;G515</f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>DAY(D515)&amp;"/"&amp;"07"&amp;"/"&amp;YEAR(D515)</f>
        <v>23/07/2026</v>
      </c>
      <c r="M515" s="23">
        <f>E515-TIME(3,0,0)</f>
        <v>0.58333333333333337</v>
      </c>
      <c r="N515" t="str">
        <f>J515&amp;" - "&amp;K515</f>
        <v>0 - 5</v>
      </c>
      <c r="O515" t="str">
        <f>IF($J515&gt;$K515,"Green","Red")</f>
        <v>Red</v>
      </c>
      <c r="P515" t="str">
        <f>IF($J515=$K515,"Green","Red")</f>
        <v>Red</v>
      </c>
      <c r="Q515" t="str">
        <f>IF($J515&lt;$K515,"Green","Red")</f>
        <v>Green</v>
      </c>
      <c r="R515" t="str">
        <f>IF($J515&gt;=$K515,"Green","Red")</f>
        <v>Red</v>
      </c>
      <c r="S515" t="str">
        <f>IF($J515&lt;=$K515,"Green","Red")</f>
        <v>Green</v>
      </c>
      <c r="T515" t="str">
        <f>IF(OR($J515&gt;$K515,$J515&lt;$K515),"Green","Red")</f>
        <v>Green</v>
      </c>
      <c r="U515" t="str">
        <f>IF($H515&gt;$I515,"Green","Red")</f>
        <v>Red</v>
      </c>
      <c r="V515" t="str">
        <f>IF($H515=$I515,"Green","Red")</f>
        <v>Red</v>
      </c>
      <c r="W515" t="str">
        <f>IF($H515&lt;$I515,"Green","Red")</f>
        <v>Green</v>
      </c>
      <c r="X515" t="str">
        <f>IF($H515+$I515&gt;0,"Green","Red")</f>
        <v>Green</v>
      </c>
      <c r="Y515" t="str">
        <f>IF($J515+$K515&gt;1.5,"Green","Red")</f>
        <v>Green</v>
      </c>
      <c r="Z515" t="str">
        <f>IF($J515+$K515&gt;2.5,"Green","Red")</f>
        <v>Green</v>
      </c>
      <c r="AA515" t="str">
        <f>IF($J515+$K515&lt;2.5,"Green","Red")</f>
        <v>Red</v>
      </c>
      <c r="AB515" t="str">
        <f>IF($J515+$K515&lt;3.5,"Green","Red")</f>
        <v>Red</v>
      </c>
      <c r="AC515" t="str">
        <f>IF(AND($J515&gt;0,$K515&gt;0),"Green","Red")</f>
        <v>Red</v>
      </c>
      <c r="AD515" t="str">
        <f>IF(OR($J515=0,$K515=0),"Green","Red")</f>
        <v>Green</v>
      </c>
    </row>
    <row r="516" spans="1:30" x14ac:dyDescent="0.2">
      <c r="A516" t="str">
        <f>L516&amp;F516&amp;G516</f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>DAY(D516)&amp;"/"&amp;"07"&amp;"/"&amp;YEAR(D516)</f>
        <v>23/07/2026</v>
      </c>
      <c r="M516" s="23">
        <f>E516-TIME(3,0,0)</f>
        <v>0.58333333333333337</v>
      </c>
      <c r="N516" t="str">
        <f>J516&amp;" - "&amp;K516</f>
        <v>1 - 1</v>
      </c>
      <c r="O516" t="str">
        <f>IF($J516&gt;$K516,"Green","Red")</f>
        <v>Red</v>
      </c>
      <c r="P516" t="str">
        <f>IF($J516=$K516,"Green","Red")</f>
        <v>Green</v>
      </c>
      <c r="Q516" t="str">
        <f>IF($J516&lt;$K516,"Green","Red")</f>
        <v>Red</v>
      </c>
      <c r="R516" t="str">
        <f>IF($J516&gt;=$K516,"Green","Red")</f>
        <v>Green</v>
      </c>
      <c r="S516" t="str">
        <f>IF($J516&lt;=$K516,"Green","Red")</f>
        <v>Green</v>
      </c>
      <c r="T516" t="str">
        <f>IF(OR($J516&gt;$K516,$J516&lt;$K516),"Green","Red")</f>
        <v>Red</v>
      </c>
      <c r="U516" t="str">
        <f>IF($H516&gt;$I516,"Green","Red")</f>
        <v>Red</v>
      </c>
      <c r="V516" t="str">
        <f>IF($H516=$I516,"Green","Red")</f>
        <v>Red</v>
      </c>
      <c r="W516" t="str">
        <f>IF($H516&lt;$I516,"Green","Red")</f>
        <v>Green</v>
      </c>
      <c r="X516" t="str">
        <f>IF($H516+$I516&gt;0,"Green","Red")</f>
        <v>Green</v>
      </c>
      <c r="Y516" t="str">
        <f>IF($J516+$K516&gt;1.5,"Green","Red")</f>
        <v>Green</v>
      </c>
      <c r="Z516" t="str">
        <f>IF($J516+$K516&gt;2.5,"Green","Red")</f>
        <v>Red</v>
      </c>
      <c r="AA516" t="str">
        <f>IF($J516+$K516&lt;2.5,"Green","Red")</f>
        <v>Green</v>
      </c>
      <c r="AB516" t="str">
        <f>IF($J516+$K516&lt;3.5,"Green","Red")</f>
        <v>Green</v>
      </c>
      <c r="AC516" t="str">
        <f>IF(AND($J516&gt;0,$K516&gt;0),"Green","Red")</f>
        <v>Green</v>
      </c>
      <c r="AD516" t="str">
        <f>IF(OR($J516=0,$K516=0),"Green","Red")</f>
        <v>Red</v>
      </c>
    </row>
    <row r="517" spans="1:30" x14ac:dyDescent="0.2">
      <c r="A517" t="str">
        <f>L517&amp;F517&amp;G517</f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>DAY(D517)&amp;"/"&amp;"07"&amp;"/"&amp;YEAR(D517)</f>
        <v>23/07/2026</v>
      </c>
      <c r="M517" s="23">
        <f>E517-TIME(3,0,0)</f>
        <v>0.58333333333333337</v>
      </c>
      <c r="N517" t="str">
        <f>J517&amp;" - "&amp;K517</f>
        <v>0 - 1</v>
      </c>
      <c r="O517" t="str">
        <f>IF($J517&gt;$K517,"Green","Red")</f>
        <v>Red</v>
      </c>
      <c r="P517" t="str">
        <f>IF($J517=$K517,"Green","Red")</f>
        <v>Red</v>
      </c>
      <c r="Q517" t="str">
        <f>IF($J517&lt;$K517,"Green","Red")</f>
        <v>Green</v>
      </c>
      <c r="R517" t="str">
        <f>IF($J517&gt;=$K517,"Green","Red")</f>
        <v>Red</v>
      </c>
      <c r="S517" t="str">
        <f>IF($J517&lt;=$K517,"Green","Red")</f>
        <v>Green</v>
      </c>
      <c r="T517" t="str">
        <f>IF(OR($J517&gt;$K517,$J517&lt;$K517),"Green","Red")</f>
        <v>Green</v>
      </c>
      <c r="U517" t="str">
        <f>IF($H517&gt;$I517,"Green","Red")</f>
        <v>Red</v>
      </c>
      <c r="V517" t="str">
        <f>IF($H517=$I517,"Green","Red")</f>
        <v>Green</v>
      </c>
      <c r="W517" t="str">
        <f>IF($H517&lt;$I517,"Green","Red")</f>
        <v>Red</v>
      </c>
      <c r="X517" t="str">
        <f>IF($H517+$I517&gt;0,"Green","Red")</f>
        <v>Red</v>
      </c>
      <c r="Y517" t="str">
        <f>IF($J517+$K517&gt;1.5,"Green","Red")</f>
        <v>Red</v>
      </c>
      <c r="Z517" t="str">
        <f>IF($J517+$K517&gt;2.5,"Green","Red")</f>
        <v>Red</v>
      </c>
      <c r="AA517" t="str">
        <f>IF($J517+$K517&lt;2.5,"Green","Red")</f>
        <v>Green</v>
      </c>
      <c r="AB517" t="str">
        <f>IF($J517+$K517&lt;3.5,"Green","Red")</f>
        <v>Green</v>
      </c>
      <c r="AC517" t="str">
        <f>IF(AND($J517&gt;0,$K517&gt;0),"Green","Red")</f>
        <v>Red</v>
      </c>
      <c r="AD517" t="str">
        <f>IF(OR($J517=0,$K517=0),"Green","Red")</f>
        <v>Green</v>
      </c>
    </row>
    <row r="518" spans="1:30" x14ac:dyDescent="0.2">
      <c r="A518" t="str">
        <f>L518&amp;F518&amp;G518</f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>DAY(D518)&amp;"/"&amp;"07"&amp;"/"&amp;YEAR(D518)</f>
        <v>23/07/2026</v>
      </c>
      <c r="M518" s="23">
        <f>E518-TIME(3,0,0)</f>
        <v>0.58333333333333337</v>
      </c>
      <c r="N518" t="str">
        <f>J518&amp;" - "&amp;K518</f>
        <v>1 - 1</v>
      </c>
      <c r="O518" t="str">
        <f>IF($J518&gt;$K518,"Green","Red")</f>
        <v>Red</v>
      </c>
      <c r="P518" t="str">
        <f>IF($J518=$K518,"Green","Red")</f>
        <v>Green</v>
      </c>
      <c r="Q518" t="str">
        <f>IF($J518&lt;$K518,"Green","Red")</f>
        <v>Red</v>
      </c>
      <c r="R518" t="str">
        <f>IF($J518&gt;=$K518,"Green","Red")</f>
        <v>Green</v>
      </c>
      <c r="S518" t="str">
        <f>IF($J518&lt;=$K518,"Green","Red")</f>
        <v>Green</v>
      </c>
      <c r="T518" t="str">
        <f>IF(OR($J518&gt;$K518,$J518&lt;$K518),"Green","Red")</f>
        <v>Red</v>
      </c>
      <c r="U518" t="str">
        <f>IF($H518&gt;$I518,"Green","Red")</f>
        <v>Red</v>
      </c>
      <c r="V518" t="str">
        <f>IF($H518=$I518,"Green","Red")</f>
        <v>Green</v>
      </c>
      <c r="W518" t="str">
        <f>IF($H518&lt;$I518,"Green","Red")</f>
        <v>Red</v>
      </c>
      <c r="X518" t="str">
        <f>IF($H518+$I518&gt;0,"Green","Red")</f>
        <v>Green</v>
      </c>
      <c r="Y518" t="str">
        <f>IF($J518+$K518&gt;1.5,"Green","Red")</f>
        <v>Green</v>
      </c>
      <c r="Z518" t="str">
        <f>IF($J518+$K518&gt;2.5,"Green","Red")</f>
        <v>Red</v>
      </c>
      <c r="AA518" t="str">
        <f>IF($J518+$K518&lt;2.5,"Green","Red")</f>
        <v>Green</v>
      </c>
      <c r="AB518" t="str">
        <f>IF($J518+$K518&lt;3.5,"Green","Red")</f>
        <v>Green</v>
      </c>
      <c r="AC518" t="str">
        <f>IF(AND($J518&gt;0,$K518&gt;0),"Green","Red")</f>
        <v>Green</v>
      </c>
      <c r="AD518" t="str">
        <f>IF(OR($J518=0,$K518=0),"Green","Red")</f>
        <v>Red</v>
      </c>
    </row>
    <row r="519" spans="1:30" x14ac:dyDescent="0.2">
      <c r="A519" t="str">
        <f>L519&amp;F519&amp;G519</f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>DAY(D519)&amp;"/"&amp;"07"&amp;"/"&amp;YEAR(D519)</f>
        <v>23/07/2026</v>
      </c>
      <c r="M519" s="23">
        <f>E519-TIME(3,0,0)</f>
        <v>0.58333333333333337</v>
      </c>
      <c r="N519" t="str">
        <f>J519&amp;" - "&amp;K519</f>
        <v>3 - 0</v>
      </c>
      <c r="O519" t="str">
        <f>IF($J519&gt;$K519,"Green","Red")</f>
        <v>Green</v>
      </c>
      <c r="P519" t="str">
        <f>IF($J519=$K519,"Green","Red")</f>
        <v>Red</v>
      </c>
      <c r="Q519" t="str">
        <f>IF($J519&lt;$K519,"Green","Red")</f>
        <v>Red</v>
      </c>
      <c r="R519" t="str">
        <f>IF($J519&gt;=$K519,"Green","Red")</f>
        <v>Green</v>
      </c>
      <c r="S519" t="str">
        <f>IF($J519&lt;=$K519,"Green","Red")</f>
        <v>Red</v>
      </c>
      <c r="T519" t="str">
        <f>IF(OR($J519&gt;$K519,$J519&lt;$K519),"Green","Red")</f>
        <v>Green</v>
      </c>
      <c r="U519" t="str">
        <f>IF($H519&gt;$I519,"Green","Red")</f>
        <v>Green</v>
      </c>
      <c r="V519" t="str">
        <f>IF($H519=$I519,"Green","Red")</f>
        <v>Red</v>
      </c>
      <c r="W519" t="str">
        <f>IF($H519&lt;$I519,"Green","Red")</f>
        <v>Red</v>
      </c>
      <c r="X519" t="str">
        <f>IF($H519+$I519&gt;0,"Green","Red")</f>
        <v>Green</v>
      </c>
      <c r="Y519" t="str">
        <f>IF($J519+$K519&gt;1.5,"Green","Red")</f>
        <v>Green</v>
      </c>
      <c r="Z519" t="str">
        <f>IF($J519+$K519&gt;2.5,"Green","Red")</f>
        <v>Green</v>
      </c>
      <c r="AA519" t="str">
        <f>IF($J519+$K519&lt;2.5,"Green","Red")</f>
        <v>Red</v>
      </c>
      <c r="AB519" t="str">
        <f>IF($J519+$K519&lt;3.5,"Green","Red")</f>
        <v>Green</v>
      </c>
      <c r="AC519" t="str">
        <f>IF(AND($J519&gt;0,$K519&gt;0),"Green","Red")</f>
        <v>Red</v>
      </c>
      <c r="AD519" t="str">
        <f>IF(OR($J519=0,$K519=0),"Green","Red")</f>
        <v>Green</v>
      </c>
    </row>
    <row r="520" spans="1:30" x14ac:dyDescent="0.2">
      <c r="A520" t="str">
        <f>L520&amp;F520&amp;G520</f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>DAY(D520)&amp;"/"&amp;"07"&amp;"/"&amp;YEAR(D520)</f>
        <v>23/07/2026</v>
      </c>
      <c r="M520" s="23">
        <f>E520-TIME(3,0,0)</f>
        <v>0.58333333333333337</v>
      </c>
      <c r="N520" t="str">
        <f>J520&amp;" - "&amp;K520</f>
        <v>1 - 3</v>
      </c>
      <c r="O520" t="str">
        <f>IF($J520&gt;$K520,"Green","Red")</f>
        <v>Red</v>
      </c>
      <c r="P520" t="str">
        <f>IF($J520=$K520,"Green","Red")</f>
        <v>Red</v>
      </c>
      <c r="Q520" t="str">
        <f>IF($J520&lt;$K520,"Green","Red")</f>
        <v>Green</v>
      </c>
      <c r="R520" t="str">
        <f>IF($J520&gt;=$K520,"Green","Red")</f>
        <v>Red</v>
      </c>
      <c r="S520" t="str">
        <f>IF($J520&lt;=$K520,"Green","Red")</f>
        <v>Green</v>
      </c>
      <c r="T520" t="str">
        <f>IF(OR($J520&gt;$K520,$J520&lt;$K520),"Green","Red")</f>
        <v>Green</v>
      </c>
      <c r="U520" t="str">
        <f>IF($H520&gt;$I520,"Green","Red")</f>
        <v>Red</v>
      </c>
      <c r="V520" t="str">
        <f>IF($H520=$I520,"Green","Red")</f>
        <v>Green</v>
      </c>
      <c r="W520" t="str">
        <f>IF($H520&lt;$I520,"Green","Red")</f>
        <v>Red</v>
      </c>
      <c r="X520" t="str">
        <f>IF($H520+$I520&gt;0,"Green","Red")</f>
        <v>Red</v>
      </c>
      <c r="Y520" t="str">
        <f>IF($J520+$K520&gt;1.5,"Green","Red")</f>
        <v>Green</v>
      </c>
      <c r="Z520" t="str">
        <f>IF($J520+$K520&gt;2.5,"Green","Red")</f>
        <v>Green</v>
      </c>
      <c r="AA520" t="str">
        <f>IF($J520+$K520&lt;2.5,"Green","Red")</f>
        <v>Red</v>
      </c>
      <c r="AB520" t="str">
        <f>IF($J520+$K520&lt;3.5,"Green","Red")</f>
        <v>Red</v>
      </c>
      <c r="AC520" t="str">
        <f>IF(AND($J520&gt;0,$K520&gt;0),"Green","Red")</f>
        <v>Green</v>
      </c>
      <c r="AD520" t="str">
        <f>IF(OR($J520=0,$K520=0),"Green","Red")</f>
        <v>Red</v>
      </c>
    </row>
    <row r="521" spans="1:30" x14ac:dyDescent="0.2">
      <c r="A521" t="str">
        <f>L521&amp;F521&amp;G521</f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>DAY(D521)&amp;"/"&amp;"07"&amp;"/"&amp;YEAR(D521)</f>
        <v>23/07/2026</v>
      </c>
      <c r="M521" s="23">
        <f>E521-TIME(3,0,0)</f>
        <v>0.58333333333333337</v>
      </c>
      <c r="N521" t="str">
        <f>J521&amp;" - "&amp;K521</f>
        <v>1 - 1</v>
      </c>
      <c r="O521" t="str">
        <f>IF($J521&gt;$K521,"Green","Red")</f>
        <v>Red</v>
      </c>
      <c r="P521" t="str">
        <f>IF($J521=$K521,"Green","Red")</f>
        <v>Green</v>
      </c>
      <c r="Q521" t="str">
        <f>IF($J521&lt;$K521,"Green","Red")</f>
        <v>Red</v>
      </c>
      <c r="R521" t="str">
        <f>IF($J521&gt;=$K521,"Green","Red")</f>
        <v>Green</v>
      </c>
      <c r="S521" t="str">
        <f>IF($J521&lt;=$K521,"Green","Red")</f>
        <v>Green</v>
      </c>
      <c r="T521" t="str">
        <f>IF(OR($J521&gt;$K521,$J521&lt;$K521),"Green","Red")</f>
        <v>Red</v>
      </c>
      <c r="U521" t="str">
        <f>IF($H521&gt;$I521,"Green","Red")</f>
        <v>Green</v>
      </c>
      <c r="V521" t="str">
        <f>IF($H521=$I521,"Green","Red")</f>
        <v>Red</v>
      </c>
      <c r="W521" t="str">
        <f>IF($H521&lt;$I521,"Green","Red")</f>
        <v>Red</v>
      </c>
      <c r="X521" t="str">
        <f>IF($H521+$I521&gt;0,"Green","Red")</f>
        <v>Green</v>
      </c>
      <c r="Y521" t="str">
        <f>IF($J521+$K521&gt;1.5,"Green","Red")</f>
        <v>Green</v>
      </c>
      <c r="Z521" t="str">
        <f>IF($J521+$K521&gt;2.5,"Green","Red")</f>
        <v>Red</v>
      </c>
      <c r="AA521" t="str">
        <f>IF($J521+$K521&lt;2.5,"Green","Red")</f>
        <v>Green</v>
      </c>
      <c r="AB521" t="str">
        <f>IF($J521+$K521&lt;3.5,"Green","Red")</f>
        <v>Green</v>
      </c>
      <c r="AC521" t="str">
        <f>IF(AND($J521&gt;0,$K521&gt;0),"Green","Red")</f>
        <v>Green</v>
      </c>
      <c r="AD521" t="str">
        <f>IF(OR($J521=0,$K521=0),"Green","Red")</f>
        <v>Red</v>
      </c>
    </row>
    <row r="522" spans="1:30" x14ac:dyDescent="0.2">
      <c r="A522" t="str">
        <f>L522&amp;F522&amp;G522</f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>DAY(D522)&amp;"/"&amp;"07"&amp;"/"&amp;YEAR(D522)</f>
        <v>23/07/2026</v>
      </c>
      <c r="M522" s="23">
        <f>E522-TIME(3,0,0)</f>
        <v>0.58333333333333337</v>
      </c>
      <c r="N522" t="str">
        <f>J522&amp;" - "&amp;K522</f>
        <v>1 - 0</v>
      </c>
      <c r="O522" t="str">
        <f>IF($J522&gt;$K522,"Green","Red")</f>
        <v>Green</v>
      </c>
      <c r="P522" t="str">
        <f>IF($J522=$K522,"Green","Red")</f>
        <v>Red</v>
      </c>
      <c r="Q522" t="str">
        <f>IF($J522&lt;$K522,"Green","Red")</f>
        <v>Red</v>
      </c>
      <c r="R522" t="str">
        <f>IF($J522&gt;=$K522,"Green","Red")</f>
        <v>Green</v>
      </c>
      <c r="S522" t="str">
        <f>IF($J522&lt;=$K522,"Green","Red")</f>
        <v>Red</v>
      </c>
      <c r="T522" t="str">
        <f>IF(OR($J522&gt;$K522,$J522&lt;$K522),"Green","Red")</f>
        <v>Green</v>
      </c>
      <c r="U522" t="str">
        <f>IF($H522&gt;$I522,"Green","Red")</f>
        <v>Green</v>
      </c>
      <c r="V522" t="str">
        <f>IF($H522=$I522,"Green","Red")</f>
        <v>Red</v>
      </c>
      <c r="W522" t="str">
        <f>IF($H522&lt;$I522,"Green","Red")</f>
        <v>Red</v>
      </c>
      <c r="X522" t="str">
        <f>IF($H522+$I522&gt;0,"Green","Red")</f>
        <v>Green</v>
      </c>
      <c r="Y522" t="str">
        <f>IF($J522+$K522&gt;1.5,"Green","Red")</f>
        <v>Red</v>
      </c>
      <c r="Z522" t="str">
        <f>IF($J522+$K522&gt;2.5,"Green","Red")</f>
        <v>Red</v>
      </c>
      <c r="AA522" t="str">
        <f>IF($J522+$K522&lt;2.5,"Green","Red")</f>
        <v>Green</v>
      </c>
      <c r="AB522" t="str">
        <f>IF($J522+$K522&lt;3.5,"Green","Red")</f>
        <v>Green</v>
      </c>
      <c r="AC522" t="str">
        <f>IF(AND($J522&gt;0,$K522&gt;0),"Green","Red")</f>
        <v>Red</v>
      </c>
      <c r="AD522" t="str">
        <f>IF(OR($J522=0,$K522=0),"Green","Red")</f>
        <v>Green</v>
      </c>
    </row>
    <row r="523" spans="1:30" x14ac:dyDescent="0.2">
      <c r="A523" t="str">
        <f>L523&amp;F523&amp;G523</f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>DAY(D523)&amp;"/"&amp;"07"&amp;"/"&amp;YEAR(D523)</f>
        <v>23/07/2026</v>
      </c>
      <c r="M523" s="23">
        <f>E523-TIME(3,0,0)</f>
        <v>0.58333333333333337</v>
      </c>
      <c r="N523" t="str">
        <f>J523&amp;" - "&amp;K523</f>
        <v>3 - 0</v>
      </c>
      <c r="O523" t="str">
        <f>IF($J523&gt;$K523,"Green","Red")</f>
        <v>Green</v>
      </c>
      <c r="P523" t="str">
        <f>IF($J523=$K523,"Green","Red")</f>
        <v>Red</v>
      </c>
      <c r="Q523" t="str">
        <f>IF($J523&lt;$K523,"Green","Red")</f>
        <v>Red</v>
      </c>
      <c r="R523" t="str">
        <f>IF($J523&gt;=$K523,"Green","Red")</f>
        <v>Green</v>
      </c>
      <c r="S523" t="str">
        <f>IF($J523&lt;=$K523,"Green","Red")</f>
        <v>Red</v>
      </c>
      <c r="T523" t="str">
        <f>IF(OR($J523&gt;$K523,$J523&lt;$K523),"Green","Red")</f>
        <v>Green</v>
      </c>
      <c r="U523" t="str">
        <f>IF($H523&gt;$I523,"Green","Red")</f>
        <v>Green</v>
      </c>
      <c r="V523" t="str">
        <f>IF($H523=$I523,"Green","Red")</f>
        <v>Red</v>
      </c>
      <c r="W523" t="str">
        <f>IF($H523&lt;$I523,"Green","Red")</f>
        <v>Red</v>
      </c>
      <c r="X523" t="str">
        <f>IF($H523+$I523&gt;0,"Green","Red")</f>
        <v>Green</v>
      </c>
      <c r="Y523" t="str">
        <f>IF($J523+$K523&gt;1.5,"Green","Red")</f>
        <v>Green</v>
      </c>
      <c r="Z523" t="str">
        <f>IF($J523+$K523&gt;2.5,"Green","Red")</f>
        <v>Green</v>
      </c>
      <c r="AA523" t="str">
        <f>IF($J523+$K523&lt;2.5,"Green","Red")</f>
        <v>Red</v>
      </c>
      <c r="AB523" t="str">
        <f>IF($J523+$K523&lt;3.5,"Green","Red")</f>
        <v>Green</v>
      </c>
      <c r="AC523" t="str">
        <f>IF(AND($J523&gt;0,$K523&gt;0),"Green","Red")</f>
        <v>Red</v>
      </c>
      <c r="AD523" t="str">
        <f>IF(OR($J523=0,$K523=0),"Green","Red")</f>
        <v>Green</v>
      </c>
    </row>
    <row r="524" spans="1:30" x14ac:dyDescent="0.2">
      <c r="A524" t="str">
        <f>L524&amp;F524&amp;G524</f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>DAY(D524)&amp;"/"&amp;"07"&amp;"/"&amp;YEAR(D524)</f>
        <v>23/07/2026</v>
      </c>
      <c r="M524" s="23">
        <f>E524-TIME(3,0,0)</f>
        <v>0.58333333333333337</v>
      </c>
      <c r="N524" t="str">
        <f>J524&amp;" - "&amp;K524</f>
        <v>2 - 2</v>
      </c>
      <c r="O524" t="str">
        <f>IF($J524&gt;$K524,"Green","Red")</f>
        <v>Red</v>
      </c>
      <c r="P524" t="str">
        <f>IF($J524=$K524,"Green","Red")</f>
        <v>Green</v>
      </c>
      <c r="Q524" t="str">
        <f>IF($J524&lt;$K524,"Green","Red")</f>
        <v>Red</v>
      </c>
      <c r="R524" t="str">
        <f>IF($J524&gt;=$K524,"Green","Red")</f>
        <v>Green</v>
      </c>
      <c r="S524" t="str">
        <f>IF($J524&lt;=$K524,"Green","Red")</f>
        <v>Green</v>
      </c>
      <c r="T524" t="str">
        <f>IF(OR($J524&gt;$K524,$J524&lt;$K524),"Green","Red")</f>
        <v>Red</v>
      </c>
      <c r="U524" t="str">
        <f>IF($H524&gt;$I524,"Green","Red")</f>
        <v>Red</v>
      </c>
      <c r="V524" t="str">
        <f>IF($H524=$I524,"Green","Red")</f>
        <v>Red</v>
      </c>
      <c r="W524" t="str">
        <f>IF($H524&lt;$I524,"Green","Red")</f>
        <v>Green</v>
      </c>
      <c r="X524" t="str">
        <f>IF($H524+$I524&gt;0,"Green","Red")</f>
        <v>Green</v>
      </c>
      <c r="Y524" t="str">
        <f>IF($J524+$K524&gt;1.5,"Green","Red")</f>
        <v>Green</v>
      </c>
      <c r="Z524" t="str">
        <f>IF($J524+$K524&gt;2.5,"Green","Red")</f>
        <v>Green</v>
      </c>
      <c r="AA524" t="str">
        <f>IF($J524+$K524&lt;2.5,"Green","Red")</f>
        <v>Red</v>
      </c>
      <c r="AB524" t="str">
        <f>IF($J524+$K524&lt;3.5,"Green","Red")</f>
        <v>Red</v>
      </c>
      <c r="AC524" t="str">
        <f>IF(AND($J524&gt;0,$K524&gt;0),"Green","Red")</f>
        <v>Green</v>
      </c>
      <c r="AD524" t="str">
        <f>IF(OR($J524=0,$K524=0),"Green","Red")</f>
        <v>Red</v>
      </c>
    </row>
    <row r="525" spans="1:30" x14ac:dyDescent="0.2">
      <c r="A525" t="str">
        <f>L525&amp;F525&amp;G525</f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>DAY(D525)&amp;"/"&amp;"07"&amp;"/"&amp;YEAR(D525)</f>
        <v>23/07/2026</v>
      </c>
      <c r="M525" s="23">
        <f>E525-TIME(3,0,0)</f>
        <v>0.58333333333333337</v>
      </c>
      <c r="N525" t="str">
        <f>J525&amp;" - "&amp;K525</f>
        <v>5 - 2</v>
      </c>
      <c r="O525" t="str">
        <f>IF($J525&gt;$K525,"Green","Red")</f>
        <v>Green</v>
      </c>
      <c r="P525" t="str">
        <f>IF($J525=$K525,"Green","Red")</f>
        <v>Red</v>
      </c>
      <c r="Q525" t="str">
        <f>IF($J525&lt;$K525,"Green","Red")</f>
        <v>Red</v>
      </c>
      <c r="R525" t="str">
        <f>IF($J525&gt;=$K525,"Green","Red")</f>
        <v>Green</v>
      </c>
      <c r="S525" t="str">
        <f>IF($J525&lt;=$K525,"Green","Red")</f>
        <v>Red</v>
      </c>
      <c r="T525" t="str">
        <f>IF(OR($J525&gt;$K525,$J525&lt;$K525),"Green","Red")</f>
        <v>Green</v>
      </c>
      <c r="U525" t="str">
        <f>IF($H525&gt;$I525,"Green","Red")</f>
        <v>Red</v>
      </c>
      <c r="V525" t="str">
        <f>IF($H525=$I525,"Green","Red")</f>
        <v>Green</v>
      </c>
      <c r="W525" t="str">
        <f>IF($H525&lt;$I525,"Green","Red")</f>
        <v>Red</v>
      </c>
      <c r="X525" t="str">
        <f>IF($H525+$I525&gt;0,"Green","Red")</f>
        <v>Red</v>
      </c>
      <c r="Y525" t="str">
        <f>IF($J525+$K525&gt;1.5,"Green","Red")</f>
        <v>Green</v>
      </c>
      <c r="Z525" t="str">
        <f>IF($J525+$K525&gt;2.5,"Green","Red")</f>
        <v>Green</v>
      </c>
      <c r="AA525" t="str">
        <f>IF($J525+$K525&lt;2.5,"Green","Red")</f>
        <v>Red</v>
      </c>
      <c r="AB525" t="str">
        <f>IF($J525+$K525&lt;3.5,"Green","Red")</f>
        <v>Red</v>
      </c>
      <c r="AC525" t="str">
        <f>IF(AND($J525&gt;0,$K525&gt;0),"Green","Red")</f>
        <v>Green</v>
      </c>
      <c r="AD525" t="str">
        <f>IF(OR($J525=0,$K525=0),"Green","Red")</f>
        <v>Red</v>
      </c>
    </row>
    <row r="526" spans="1:30" x14ac:dyDescent="0.2">
      <c r="A526" t="str">
        <f>L526&amp;F526&amp;G526</f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>DAY(D526)&amp;"/"&amp;"07"&amp;"/"&amp;YEAR(D526)</f>
        <v>23/07/2026</v>
      </c>
      <c r="M526" s="23">
        <f>E526-TIME(3,0,0)</f>
        <v>0.58333333333333337</v>
      </c>
      <c r="N526" t="str">
        <f>J526&amp;" - "&amp;K526</f>
        <v>0 - 2</v>
      </c>
      <c r="O526" t="str">
        <f>IF($J526&gt;$K526,"Green","Red")</f>
        <v>Red</v>
      </c>
      <c r="P526" t="str">
        <f>IF($J526=$K526,"Green","Red")</f>
        <v>Red</v>
      </c>
      <c r="Q526" t="str">
        <f>IF($J526&lt;$K526,"Green","Red")</f>
        <v>Green</v>
      </c>
      <c r="R526" t="str">
        <f>IF($J526&gt;=$K526,"Green","Red")</f>
        <v>Red</v>
      </c>
      <c r="S526" t="str">
        <f>IF($J526&lt;=$K526,"Green","Red")</f>
        <v>Green</v>
      </c>
      <c r="T526" t="str">
        <f>IF(OR($J526&gt;$K526,$J526&lt;$K526),"Green","Red")</f>
        <v>Green</v>
      </c>
      <c r="U526" t="str">
        <f>IF($H526&gt;$I526,"Green","Red")</f>
        <v>Red</v>
      </c>
      <c r="V526" t="str">
        <f>IF($H526=$I526,"Green","Red")</f>
        <v>Green</v>
      </c>
      <c r="W526" t="str">
        <f>IF($H526&lt;$I526,"Green","Red")</f>
        <v>Red</v>
      </c>
      <c r="X526" t="str">
        <f>IF($H526+$I526&gt;0,"Green","Red")</f>
        <v>Red</v>
      </c>
      <c r="Y526" t="str">
        <f>IF($J526+$K526&gt;1.5,"Green","Red")</f>
        <v>Green</v>
      </c>
      <c r="Z526" t="str">
        <f>IF($J526+$K526&gt;2.5,"Green","Red")</f>
        <v>Red</v>
      </c>
      <c r="AA526" t="str">
        <f>IF($J526+$K526&lt;2.5,"Green","Red")</f>
        <v>Green</v>
      </c>
      <c r="AB526" t="str">
        <f>IF($J526+$K526&lt;3.5,"Green","Red")</f>
        <v>Green</v>
      </c>
      <c r="AC526" t="str">
        <f>IF(AND($J526&gt;0,$K526&gt;0),"Green","Red")</f>
        <v>Red</v>
      </c>
      <c r="AD526" t="str">
        <f>IF(OR($J526=0,$K526=0),"Green","Red")</f>
        <v>Green</v>
      </c>
    </row>
    <row r="527" spans="1:30" x14ac:dyDescent="0.2">
      <c r="A527" t="str">
        <f>L527&amp;F527&amp;G527</f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>DAY(D527)&amp;"/"&amp;"07"&amp;"/"&amp;YEAR(D527)</f>
        <v>23/07/2026</v>
      </c>
      <c r="M527" s="23">
        <f>E527-TIME(3,0,0)</f>
        <v>0.58333333333333337</v>
      </c>
      <c r="N527" t="str">
        <f>J527&amp;" - "&amp;K527</f>
        <v>7 - 2</v>
      </c>
      <c r="O527" t="str">
        <f>IF($J527&gt;$K527,"Green","Red")</f>
        <v>Green</v>
      </c>
      <c r="P527" t="str">
        <f>IF($J527=$K527,"Green","Red")</f>
        <v>Red</v>
      </c>
      <c r="Q527" t="str">
        <f>IF($J527&lt;$K527,"Green","Red")</f>
        <v>Red</v>
      </c>
      <c r="R527" t="str">
        <f>IF($J527&gt;=$K527,"Green","Red")</f>
        <v>Green</v>
      </c>
      <c r="S527" t="str">
        <f>IF($J527&lt;=$K527,"Green","Red")</f>
        <v>Red</v>
      </c>
      <c r="T527" t="str">
        <f>IF(OR($J527&gt;$K527,$J527&lt;$K527),"Green","Red")</f>
        <v>Green</v>
      </c>
      <c r="U527" t="str">
        <f>IF($H527&gt;$I527,"Green","Red")</f>
        <v>Green</v>
      </c>
      <c r="V527" t="str">
        <f>IF($H527=$I527,"Green","Red")</f>
        <v>Red</v>
      </c>
      <c r="W527" t="str">
        <f>IF($H527&lt;$I527,"Green","Red")</f>
        <v>Red</v>
      </c>
      <c r="X527" t="str">
        <f>IF($H527+$I527&gt;0,"Green","Red")</f>
        <v>Green</v>
      </c>
      <c r="Y527" t="str">
        <f>IF($J527+$K527&gt;1.5,"Green","Red")</f>
        <v>Green</v>
      </c>
      <c r="Z527" t="str">
        <f>IF($J527+$K527&gt;2.5,"Green","Red")</f>
        <v>Green</v>
      </c>
      <c r="AA527" t="str">
        <f>IF($J527+$K527&lt;2.5,"Green","Red")</f>
        <v>Red</v>
      </c>
      <c r="AB527" t="str">
        <f>IF($J527+$K527&lt;3.5,"Green","Red")</f>
        <v>Red</v>
      </c>
      <c r="AC527" t="str">
        <f>IF(AND($J527&gt;0,$K527&gt;0),"Green","Red")</f>
        <v>Green</v>
      </c>
      <c r="AD527" t="str">
        <f>IF(OR($J527=0,$K527=0),"Green","Red")</f>
        <v>Red</v>
      </c>
    </row>
    <row r="528" spans="1:30" x14ac:dyDescent="0.2">
      <c r="A528" t="str">
        <f>L528&amp;F528&amp;G528</f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>DAY(D528)&amp;"/"&amp;"07"&amp;"/"&amp;YEAR(D528)</f>
        <v>23/07/2026</v>
      </c>
      <c r="M528" s="23">
        <f>E528-TIME(3,0,0)</f>
        <v>0.59375</v>
      </c>
      <c r="N528" t="str">
        <f>J528&amp;" - "&amp;K528</f>
        <v>1 - 2</v>
      </c>
      <c r="O528" t="str">
        <f>IF($J528&gt;$K528,"Green","Red")</f>
        <v>Red</v>
      </c>
      <c r="P528" t="str">
        <f>IF($J528=$K528,"Green","Red")</f>
        <v>Red</v>
      </c>
      <c r="Q528" t="str">
        <f>IF($J528&lt;$K528,"Green","Red")</f>
        <v>Green</v>
      </c>
      <c r="R528" t="str">
        <f>IF($J528&gt;=$K528,"Green","Red")</f>
        <v>Red</v>
      </c>
      <c r="S528" t="str">
        <f>IF($J528&lt;=$K528,"Green","Red")</f>
        <v>Green</v>
      </c>
      <c r="T528" t="str">
        <f>IF(OR($J528&gt;$K528,$J528&lt;$K528),"Green","Red")</f>
        <v>Green</v>
      </c>
      <c r="U528" t="str">
        <f>IF($H528&gt;$I528,"Green","Red")</f>
        <v>Red</v>
      </c>
      <c r="V528" t="str">
        <f>IF($H528=$I528,"Green","Red")</f>
        <v>Green</v>
      </c>
      <c r="W528" t="str">
        <f>IF($H528&lt;$I528,"Green","Red")</f>
        <v>Red</v>
      </c>
      <c r="X528" t="str">
        <f>IF($H528+$I528&gt;0,"Green","Red")</f>
        <v>Red</v>
      </c>
      <c r="Y528" t="str">
        <f>IF($J528+$K528&gt;1.5,"Green","Red")</f>
        <v>Green</v>
      </c>
      <c r="Z528" t="str">
        <f>IF($J528+$K528&gt;2.5,"Green","Red")</f>
        <v>Green</v>
      </c>
      <c r="AA528" t="str">
        <f>IF($J528+$K528&lt;2.5,"Green","Red")</f>
        <v>Red</v>
      </c>
      <c r="AB528" t="str">
        <f>IF($J528+$K528&lt;3.5,"Green","Red")</f>
        <v>Green</v>
      </c>
      <c r="AC528" t="str">
        <f>IF(AND($J528&gt;0,$K528&gt;0),"Green","Red")</f>
        <v>Green</v>
      </c>
      <c r="AD528" t="str">
        <f>IF(OR($J528=0,$K528=0),"Green","Red")</f>
        <v>Red</v>
      </c>
    </row>
    <row r="529" spans="1:30" x14ac:dyDescent="0.2">
      <c r="A529" t="str">
        <f>L529&amp;F529&amp;G529</f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>DAY(D529)&amp;"/"&amp;"07"&amp;"/"&amp;YEAR(D529)</f>
        <v>23/07/2026</v>
      </c>
      <c r="M529" s="23">
        <f>E529-TIME(3,0,0)</f>
        <v>0.60416666666666663</v>
      </c>
      <c r="N529" t="str">
        <f>J529&amp;" - "&amp;K529</f>
        <v>4 - 0</v>
      </c>
      <c r="O529" t="str">
        <f>IF($J529&gt;$K529,"Green","Red")</f>
        <v>Green</v>
      </c>
      <c r="P529" t="str">
        <f>IF($J529=$K529,"Green","Red")</f>
        <v>Red</v>
      </c>
      <c r="Q529" t="str">
        <f>IF($J529&lt;$K529,"Green","Red")</f>
        <v>Red</v>
      </c>
      <c r="R529" t="str">
        <f>IF($J529&gt;=$K529,"Green","Red")</f>
        <v>Green</v>
      </c>
      <c r="S529" t="str">
        <f>IF($J529&lt;=$K529,"Green","Red")</f>
        <v>Red</v>
      </c>
      <c r="T529" t="str">
        <f>IF(OR($J529&gt;$K529,$J529&lt;$K529),"Green","Red")</f>
        <v>Green</v>
      </c>
      <c r="U529" t="str">
        <f>IF($H529&gt;$I529,"Green","Red")</f>
        <v>Green</v>
      </c>
      <c r="V529" t="str">
        <f>IF($H529=$I529,"Green","Red")</f>
        <v>Red</v>
      </c>
      <c r="W529" t="str">
        <f>IF($H529&lt;$I529,"Green","Red")</f>
        <v>Red</v>
      </c>
      <c r="X529" t="str">
        <f>IF($H529+$I529&gt;0,"Green","Red")</f>
        <v>Green</v>
      </c>
      <c r="Y529" t="str">
        <f>IF($J529+$K529&gt;1.5,"Green","Red")</f>
        <v>Green</v>
      </c>
      <c r="Z529" t="str">
        <f>IF($J529+$K529&gt;2.5,"Green","Red")</f>
        <v>Green</v>
      </c>
      <c r="AA529" t="str">
        <f>IF($J529+$K529&lt;2.5,"Green","Red")</f>
        <v>Red</v>
      </c>
      <c r="AB529" t="str">
        <f>IF($J529+$K529&lt;3.5,"Green","Red")</f>
        <v>Red</v>
      </c>
      <c r="AC529" t="str">
        <f>IF(AND($J529&gt;0,$K529&gt;0),"Green","Red")</f>
        <v>Red</v>
      </c>
      <c r="AD529" t="str">
        <f>IF(OR($J529=0,$K529=0),"Green","Red")</f>
        <v>Green</v>
      </c>
    </row>
    <row r="530" spans="1:30" x14ac:dyDescent="0.2">
      <c r="A530" t="str">
        <f>L530&amp;F530&amp;G530</f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>DAY(D530)&amp;"/"&amp;"07"&amp;"/"&amp;YEAR(D530)</f>
        <v>23/07/2026</v>
      </c>
      <c r="M530" s="23">
        <f>E530-TIME(3,0,0)</f>
        <v>0.61458333333333337</v>
      </c>
      <c r="N530" t="str">
        <f>J530&amp;" - "&amp;K530</f>
        <v>2 - 3</v>
      </c>
      <c r="O530" t="str">
        <f>IF($J530&gt;$K530,"Green","Red")</f>
        <v>Red</v>
      </c>
      <c r="P530" t="str">
        <f>IF($J530=$K530,"Green","Red")</f>
        <v>Red</v>
      </c>
      <c r="Q530" t="str">
        <f>IF($J530&lt;$K530,"Green","Red")</f>
        <v>Green</v>
      </c>
      <c r="R530" t="str">
        <f>IF($J530&gt;=$K530,"Green","Red")</f>
        <v>Red</v>
      </c>
      <c r="S530" t="str">
        <f>IF($J530&lt;=$K530,"Green","Red")</f>
        <v>Green</v>
      </c>
      <c r="T530" t="str">
        <f>IF(OR($J530&gt;$K530,$J530&lt;$K530),"Green","Red")</f>
        <v>Green</v>
      </c>
      <c r="U530" t="str">
        <f>IF($H530&gt;$I530,"Green","Red")</f>
        <v>Red</v>
      </c>
      <c r="V530" t="str">
        <f>IF($H530=$I530,"Green","Red")</f>
        <v>Red</v>
      </c>
      <c r="W530" t="str">
        <f>IF($H530&lt;$I530,"Green","Red")</f>
        <v>Green</v>
      </c>
      <c r="X530" t="str">
        <f>IF($H530+$I530&gt;0,"Green","Red")</f>
        <v>Green</v>
      </c>
      <c r="Y530" t="str">
        <f>IF($J530+$K530&gt;1.5,"Green","Red")</f>
        <v>Green</v>
      </c>
      <c r="Z530" t="str">
        <f>IF($J530+$K530&gt;2.5,"Green","Red")</f>
        <v>Green</v>
      </c>
      <c r="AA530" t="str">
        <f>IF($J530+$K530&lt;2.5,"Green","Red")</f>
        <v>Red</v>
      </c>
      <c r="AB530" t="str">
        <f>IF($J530+$K530&lt;3.5,"Green","Red")</f>
        <v>Red</v>
      </c>
      <c r="AC530" t="str">
        <f>IF(AND($J530&gt;0,$K530&gt;0),"Green","Red")</f>
        <v>Green</v>
      </c>
      <c r="AD530" t="str">
        <f>IF(OR($J530=0,$K530=0),"Green","Red")</f>
        <v>Red</v>
      </c>
    </row>
    <row r="531" spans="1:30" x14ac:dyDescent="0.2">
      <c r="A531" t="str">
        <f>L531&amp;F531&amp;G531</f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>DAY(D531)&amp;"/"&amp;"07"&amp;"/"&amp;YEAR(D531)</f>
        <v>23/07/2026</v>
      </c>
      <c r="M531" s="23">
        <f>E531-TIME(3,0,0)</f>
        <v>0.625</v>
      </c>
      <c r="N531" t="str">
        <f>J531&amp;" - "&amp;K531</f>
        <v>1 - 0</v>
      </c>
      <c r="O531" t="str">
        <f>IF($J531&gt;$K531,"Green","Red")</f>
        <v>Green</v>
      </c>
      <c r="P531" t="str">
        <f>IF($J531=$K531,"Green","Red")</f>
        <v>Red</v>
      </c>
      <c r="Q531" t="str">
        <f>IF($J531&lt;$K531,"Green","Red")</f>
        <v>Red</v>
      </c>
      <c r="R531" t="str">
        <f>IF($J531&gt;=$K531,"Green","Red")</f>
        <v>Green</v>
      </c>
      <c r="S531" t="str">
        <f>IF($J531&lt;=$K531,"Green","Red")</f>
        <v>Red</v>
      </c>
      <c r="T531" t="str">
        <f>IF(OR($J531&gt;$K531,$J531&lt;$K531),"Green","Red")</f>
        <v>Green</v>
      </c>
      <c r="U531" t="str">
        <f>IF($H531&gt;$I531,"Green","Red")</f>
        <v>Green</v>
      </c>
      <c r="V531" t="str">
        <f>IF($H531=$I531,"Green","Red")</f>
        <v>Red</v>
      </c>
      <c r="W531" t="str">
        <f>IF($H531&lt;$I531,"Green","Red")</f>
        <v>Red</v>
      </c>
      <c r="X531" t="str">
        <f>IF($H531+$I531&gt;0,"Green","Red")</f>
        <v>Green</v>
      </c>
      <c r="Y531" t="str">
        <f>IF($J531+$K531&gt;1.5,"Green","Red")</f>
        <v>Red</v>
      </c>
      <c r="Z531" t="str">
        <f>IF($J531+$K531&gt;2.5,"Green","Red")</f>
        <v>Red</v>
      </c>
      <c r="AA531" t="str">
        <f>IF($J531+$K531&lt;2.5,"Green","Red")</f>
        <v>Green</v>
      </c>
      <c r="AB531" t="str">
        <f>IF($J531+$K531&lt;3.5,"Green","Red")</f>
        <v>Green</v>
      </c>
      <c r="AC531" t="str">
        <f>IF(AND($J531&gt;0,$K531&gt;0),"Green","Red")</f>
        <v>Red</v>
      </c>
      <c r="AD531" t="str">
        <f>IF(OR($J531=0,$K531=0),"Green","Red")</f>
        <v>Green</v>
      </c>
    </row>
    <row r="532" spans="1:30" x14ac:dyDescent="0.2">
      <c r="A532" t="str">
        <f>L532&amp;F532&amp;G532</f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>DAY(D532)&amp;"/"&amp;"07"&amp;"/"&amp;YEAR(D532)</f>
        <v>23/07/2026</v>
      </c>
      <c r="M532" s="23">
        <f>E532-TIME(3,0,0)</f>
        <v>0.625</v>
      </c>
      <c r="N532" t="str">
        <f>J532&amp;" - "&amp;K532</f>
        <v>2 - 1</v>
      </c>
      <c r="O532" t="str">
        <f>IF($J532&gt;$K532,"Green","Red")</f>
        <v>Green</v>
      </c>
      <c r="P532" t="str">
        <f>IF($J532=$K532,"Green","Red")</f>
        <v>Red</v>
      </c>
      <c r="Q532" t="str">
        <f>IF($J532&lt;$K532,"Green","Red")</f>
        <v>Red</v>
      </c>
      <c r="R532" t="str">
        <f>IF($J532&gt;=$K532,"Green","Red")</f>
        <v>Green</v>
      </c>
      <c r="S532" t="str">
        <f>IF($J532&lt;=$K532,"Green","Red")</f>
        <v>Red</v>
      </c>
      <c r="T532" t="str">
        <f>IF(OR($J532&gt;$K532,$J532&lt;$K532),"Green","Red")</f>
        <v>Green</v>
      </c>
      <c r="U532" t="str">
        <f>IF($H532&gt;$I532,"Green","Red")</f>
        <v>Red</v>
      </c>
      <c r="V532" t="str">
        <f>IF($H532=$I532,"Green","Red")</f>
        <v>Green</v>
      </c>
      <c r="W532" t="str">
        <f>IF($H532&lt;$I532,"Green","Red")</f>
        <v>Red</v>
      </c>
      <c r="X532" t="str">
        <f>IF($H532+$I532&gt;0,"Green","Red")</f>
        <v>Green</v>
      </c>
      <c r="Y532" t="str">
        <f>IF($J532+$K532&gt;1.5,"Green","Red")</f>
        <v>Green</v>
      </c>
      <c r="Z532" t="str">
        <f>IF($J532+$K532&gt;2.5,"Green","Red")</f>
        <v>Green</v>
      </c>
      <c r="AA532" t="str">
        <f>IF($J532+$K532&lt;2.5,"Green","Red")</f>
        <v>Red</v>
      </c>
      <c r="AB532" t="str">
        <f>IF($J532+$K532&lt;3.5,"Green","Red")</f>
        <v>Green</v>
      </c>
      <c r="AC532" t="str">
        <f>IF(AND($J532&gt;0,$K532&gt;0),"Green","Red")</f>
        <v>Green</v>
      </c>
      <c r="AD532" t="str">
        <f>IF(OR($J532=0,$K532=0),"Green","Red")</f>
        <v>Red</v>
      </c>
    </row>
    <row r="533" spans="1:30" x14ac:dyDescent="0.2">
      <c r="A533" t="str">
        <f>L533&amp;F533&amp;G533</f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>DAY(D533)&amp;"/"&amp;"07"&amp;"/"&amp;YEAR(D533)</f>
        <v>23/07/2026</v>
      </c>
      <c r="M533" s="23">
        <f>E533-TIME(3,0,0)</f>
        <v>0.625</v>
      </c>
      <c r="N533" t="str">
        <f>J533&amp;" - "&amp;K533</f>
        <v>1 - 2</v>
      </c>
      <c r="O533" t="str">
        <f>IF($J533&gt;$K533,"Green","Red")</f>
        <v>Red</v>
      </c>
      <c r="P533" t="str">
        <f>IF($J533=$K533,"Green","Red")</f>
        <v>Red</v>
      </c>
      <c r="Q533" t="str">
        <f>IF($J533&lt;$K533,"Green","Red")</f>
        <v>Green</v>
      </c>
      <c r="R533" t="str">
        <f>IF($J533&gt;=$K533,"Green","Red")</f>
        <v>Red</v>
      </c>
      <c r="S533" t="str">
        <f>IF($J533&lt;=$K533,"Green","Red")</f>
        <v>Green</v>
      </c>
      <c r="T533" t="str">
        <f>IF(OR($J533&gt;$K533,$J533&lt;$K533),"Green","Red")</f>
        <v>Green</v>
      </c>
      <c r="U533" t="str">
        <f>IF($H533&gt;$I533,"Green","Red")</f>
        <v>Red</v>
      </c>
      <c r="V533" t="str">
        <f>IF($H533=$I533,"Green","Red")</f>
        <v>Green</v>
      </c>
      <c r="W533" t="str">
        <f>IF($H533&lt;$I533,"Green","Red")</f>
        <v>Red</v>
      </c>
      <c r="X533" t="str">
        <f>IF($H533+$I533&gt;0,"Green","Red")</f>
        <v>Green</v>
      </c>
      <c r="Y533" t="str">
        <f>IF($J533+$K533&gt;1.5,"Green","Red")</f>
        <v>Green</v>
      </c>
      <c r="Z533" t="str">
        <f>IF($J533+$K533&gt;2.5,"Green","Red")</f>
        <v>Green</v>
      </c>
      <c r="AA533" t="str">
        <f>IF($J533+$K533&lt;2.5,"Green","Red")</f>
        <v>Red</v>
      </c>
      <c r="AB533" t="str">
        <f>IF($J533+$K533&lt;3.5,"Green","Red")</f>
        <v>Green</v>
      </c>
      <c r="AC533" t="str">
        <f>IF(AND($J533&gt;0,$K533&gt;0),"Green","Red")</f>
        <v>Green</v>
      </c>
      <c r="AD533" t="str">
        <f>IF(OR($J533=0,$K533=0),"Green","Red")</f>
        <v>Red</v>
      </c>
    </row>
    <row r="534" spans="1:30" x14ac:dyDescent="0.2">
      <c r="A534" t="str">
        <f>L534&amp;F534&amp;G534</f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>DAY(D534)&amp;"/"&amp;"07"&amp;"/"&amp;YEAR(D534)</f>
        <v>23/07/2026</v>
      </c>
      <c r="M534" s="23">
        <f>E534-TIME(3,0,0)</f>
        <v>0.625</v>
      </c>
      <c r="N534" t="str">
        <f>J534&amp;" - "&amp;K534</f>
        <v>3 - 3</v>
      </c>
      <c r="O534" t="str">
        <f>IF($J534&gt;$K534,"Green","Red")</f>
        <v>Red</v>
      </c>
      <c r="P534" t="str">
        <f>IF($J534=$K534,"Green","Red")</f>
        <v>Green</v>
      </c>
      <c r="Q534" t="str">
        <f>IF($J534&lt;$K534,"Green","Red")</f>
        <v>Red</v>
      </c>
      <c r="R534" t="str">
        <f>IF($J534&gt;=$K534,"Green","Red")</f>
        <v>Green</v>
      </c>
      <c r="S534" t="str">
        <f>IF($J534&lt;=$K534,"Green","Red")</f>
        <v>Green</v>
      </c>
      <c r="T534" t="str">
        <f>IF(OR($J534&gt;$K534,$J534&lt;$K534),"Green","Red")</f>
        <v>Red</v>
      </c>
      <c r="U534" t="str">
        <f>IF($H534&gt;$I534,"Green","Red")</f>
        <v>Green</v>
      </c>
      <c r="V534" t="str">
        <f>IF($H534=$I534,"Green","Red")</f>
        <v>Red</v>
      </c>
      <c r="W534" t="str">
        <f>IF($H534&lt;$I534,"Green","Red")</f>
        <v>Red</v>
      </c>
      <c r="X534" t="str">
        <f>IF($H534+$I534&gt;0,"Green","Red")</f>
        <v>Green</v>
      </c>
      <c r="Y534" t="str">
        <f>IF($J534+$K534&gt;1.5,"Green","Red")</f>
        <v>Green</v>
      </c>
      <c r="Z534" t="str">
        <f>IF($J534+$K534&gt;2.5,"Green","Red")</f>
        <v>Green</v>
      </c>
      <c r="AA534" t="str">
        <f>IF($J534+$K534&lt;2.5,"Green","Red")</f>
        <v>Red</v>
      </c>
      <c r="AB534" t="str">
        <f>IF($J534+$K534&lt;3.5,"Green","Red")</f>
        <v>Red</v>
      </c>
      <c r="AC534" t="str">
        <f>IF(AND($J534&gt;0,$K534&gt;0),"Green","Red")</f>
        <v>Green</v>
      </c>
      <c r="AD534" t="str">
        <f>IF(OR($J534=0,$K534=0),"Green","Red")</f>
        <v>Red</v>
      </c>
    </row>
    <row r="535" spans="1:30" x14ac:dyDescent="0.2">
      <c r="A535" t="str">
        <f>L535&amp;F535&amp;G535</f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>DAY(D535)&amp;"/"&amp;"07"&amp;"/"&amp;YEAR(D535)</f>
        <v>23/07/2026</v>
      </c>
      <c r="M535" s="23">
        <f>E535-TIME(3,0,0)</f>
        <v>0.625</v>
      </c>
      <c r="N535" t="str">
        <f>J535&amp;" - "&amp;K535</f>
        <v>1 - 1</v>
      </c>
      <c r="O535" t="str">
        <f>IF($J535&gt;$K535,"Green","Red")</f>
        <v>Red</v>
      </c>
      <c r="P535" t="str">
        <f>IF($J535=$K535,"Green","Red")</f>
        <v>Green</v>
      </c>
      <c r="Q535" t="str">
        <f>IF($J535&lt;$K535,"Green","Red")</f>
        <v>Red</v>
      </c>
      <c r="R535" t="str">
        <f>IF($J535&gt;=$K535,"Green","Red")</f>
        <v>Green</v>
      </c>
      <c r="S535" t="str">
        <f>IF($J535&lt;=$K535,"Green","Red")</f>
        <v>Green</v>
      </c>
      <c r="T535" t="str">
        <f>IF(OR($J535&gt;$K535,$J535&lt;$K535),"Green","Red")</f>
        <v>Red</v>
      </c>
      <c r="U535" t="str">
        <f>IF($H535&gt;$I535,"Green","Red")</f>
        <v>Red</v>
      </c>
      <c r="V535" t="str">
        <f>IF($H535=$I535,"Green","Red")</f>
        <v>Red</v>
      </c>
      <c r="W535" t="str">
        <f>IF($H535&lt;$I535,"Green","Red")</f>
        <v>Green</v>
      </c>
      <c r="X535" t="str">
        <f>IF($H535+$I535&gt;0,"Green","Red")</f>
        <v>Green</v>
      </c>
      <c r="Y535" t="str">
        <f>IF($J535+$K535&gt;1.5,"Green","Red")</f>
        <v>Green</v>
      </c>
      <c r="Z535" t="str">
        <f>IF($J535+$K535&gt;2.5,"Green","Red")</f>
        <v>Red</v>
      </c>
      <c r="AA535" t="str">
        <f>IF($J535+$K535&lt;2.5,"Green","Red")</f>
        <v>Green</v>
      </c>
      <c r="AB535" t="str">
        <f>IF($J535+$K535&lt;3.5,"Green","Red")</f>
        <v>Green</v>
      </c>
      <c r="AC535" t="str">
        <f>IF(AND($J535&gt;0,$K535&gt;0),"Green","Red")</f>
        <v>Green</v>
      </c>
      <c r="AD535" t="str">
        <f>IF(OR($J535=0,$K535=0),"Green","Red")</f>
        <v>Red</v>
      </c>
    </row>
    <row r="536" spans="1:30" x14ac:dyDescent="0.2">
      <c r="A536" t="str">
        <f>L536&amp;F536&amp;G536</f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>DAY(D536)&amp;"/"&amp;"07"&amp;"/"&amp;YEAR(D536)</f>
        <v>23/07/2026</v>
      </c>
      <c r="M536" s="23">
        <f>E536-TIME(3,0,0)</f>
        <v>0.625</v>
      </c>
      <c r="N536" t="str">
        <f>J536&amp;" - "&amp;K536</f>
        <v>3 - 2</v>
      </c>
      <c r="O536" t="str">
        <f>IF($J536&gt;$K536,"Green","Red")</f>
        <v>Green</v>
      </c>
      <c r="P536" t="str">
        <f>IF($J536=$K536,"Green","Red")</f>
        <v>Red</v>
      </c>
      <c r="Q536" t="str">
        <f>IF($J536&lt;$K536,"Green","Red")</f>
        <v>Red</v>
      </c>
      <c r="R536" t="str">
        <f>IF($J536&gt;=$K536,"Green","Red")</f>
        <v>Green</v>
      </c>
      <c r="S536" t="str">
        <f>IF($J536&lt;=$K536,"Green","Red")</f>
        <v>Red</v>
      </c>
      <c r="T536" t="str">
        <f>IF(OR($J536&gt;$K536,$J536&lt;$K536),"Green","Red")</f>
        <v>Green</v>
      </c>
      <c r="U536" t="str">
        <f>IF($H536&gt;$I536,"Green","Red")</f>
        <v>Red</v>
      </c>
      <c r="V536" t="str">
        <f>IF($H536=$I536,"Green","Red")</f>
        <v>Green</v>
      </c>
      <c r="W536" t="str">
        <f>IF($H536&lt;$I536,"Green","Red")</f>
        <v>Red</v>
      </c>
      <c r="X536" t="str">
        <f>IF($H536+$I536&gt;0,"Green","Red")</f>
        <v>Green</v>
      </c>
      <c r="Y536" t="str">
        <f>IF($J536+$K536&gt;1.5,"Green","Red")</f>
        <v>Green</v>
      </c>
      <c r="Z536" t="str">
        <f>IF($J536+$K536&gt;2.5,"Green","Red")</f>
        <v>Green</v>
      </c>
      <c r="AA536" t="str">
        <f>IF($J536+$K536&lt;2.5,"Green","Red")</f>
        <v>Red</v>
      </c>
      <c r="AB536" t="str">
        <f>IF($J536+$K536&lt;3.5,"Green","Red")</f>
        <v>Red</v>
      </c>
      <c r="AC536" t="str">
        <f>IF(AND($J536&gt;0,$K536&gt;0),"Green","Red")</f>
        <v>Green</v>
      </c>
      <c r="AD536" t="str">
        <f>IF(OR($J536=0,$K536=0),"Green","Red")</f>
        <v>Red</v>
      </c>
    </row>
    <row r="537" spans="1:30" x14ac:dyDescent="0.2">
      <c r="A537" t="str">
        <f>L537&amp;F537&amp;G537</f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>DAY(D537)&amp;"/"&amp;"07"&amp;"/"&amp;YEAR(D537)</f>
        <v>23/07/2026</v>
      </c>
      <c r="M537" s="23">
        <f>E537-TIME(3,0,0)</f>
        <v>0.625</v>
      </c>
      <c r="N537" t="str">
        <f>J537&amp;" - "&amp;K537</f>
        <v>1 - 2</v>
      </c>
      <c r="O537" t="str">
        <f>IF($J537&gt;$K537,"Green","Red")</f>
        <v>Red</v>
      </c>
      <c r="P537" t="str">
        <f>IF($J537=$K537,"Green","Red")</f>
        <v>Red</v>
      </c>
      <c r="Q537" t="str">
        <f>IF($J537&lt;$K537,"Green","Red")</f>
        <v>Green</v>
      </c>
      <c r="R537" t="str">
        <f>IF($J537&gt;=$K537,"Green","Red")</f>
        <v>Red</v>
      </c>
      <c r="S537" t="str">
        <f>IF($J537&lt;=$K537,"Green","Red")</f>
        <v>Green</v>
      </c>
      <c r="T537" t="str">
        <f>IF(OR($J537&gt;$K537,$J537&lt;$K537),"Green","Red")</f>
        <v>Green</v>
      </c>
      <c r="U537" t="str">
        <f>IF($H537&gt;$I537,"Green","Red")</f>
        <v>Red</v>
      </c>
      <c r="V537" t="str">
        <f>IF($H537=$I537,"Green","Red")</f>
        <v>Red</v>
      </c>
      <c r="W537" t="str">
        <f>IF($H537&lt;$I537,"Green","Red")</f>
        <v>Green</v>
      </c>
      <c r="X537" t="str">
        <f>IF($H537+$I537&gt;0,"Green","Red")</f>
        <v>Green</v>
      </c>
      <c r="Y537" t="str">
        <f>IF($J537+$K537&gt;1.5,"Green","Red")</f>
        <v>Green</v>
      </c>
      <c r="Z537" t="str">
        <f>IF($J537+$K537&gt;2.5,"Green","Red")</f>
        <v>Green</v>
      </c>
      <c r="AA537" t="str">
        <f>IF($J537+$K537&lt;2.5,"Green","Red")</f>
        <v>Red</v>
      </c>
      <c r="AB537" t="str">
        <f>IF($J537+$K537&lt;3.5,"Green","Red")</f>
        <v>Green</v>
      </c>
      <c r="AC537" t="str">
        <f>IF(AND($J537&gt;0,$K537&gt;0),"Green","Red")</f>
        <v>Green</v>
      </c>
      <c r="AD537" t="str">
        <f>IF(OR($J537=0,$K537=0),"Green","Red")</f>
        <v>Red</v>
      </c>
    </row>
    <row r="538" spans="1:30" x14ac:dyDescent="0.2">
      <c r="A538" t="str">
        <f>L538&amp;F538&amp;G538</f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>DAY(D538)&amp;"/"&amp;"07"&amp;"/"&amp;YEAR(D538)</f>
        <v>23/07/2026</v>
      </c>
      <c r="M538" s="23">
        <f>E538-TIME(3,0,0)</f>
        <v>0.625</v>
      </c>
      <c r="N538" t="str">
        <f>J538&amp;" - "&amp;K538</f>
        <v>1 - 4</v>
      </c>
      <c r="O538" t="str">
        <f>IF($J538&gt;$K538,"Green","Red")</f>
        <v>Red</v>
      </c>
      <c r="P538" t="str">
        <f>IF($J538=$K538,"Green","Red")</f>
        <v>Red</v>
      </c>
      <c r="Q538" t="str">
        <f>IF($J538&lt;$K538,"Green","Red")</f>
        <v>Green</v>
      </c>
      <c r="R538" t="str">
        <f>IF($J538&gt;=$K538,"Green","Red")</f>
        <v>Red</v>
      </c>
      <c r="S538" t="str">
        <f>IF($J538&lt;=$K538,"Green","Red")</f>
        <v>Green</v>
      </c>
      <c r="T538" t="str">
        <f>IF(OR($J538&gt;$K538,$J538&lt;$K538),"Green","Red")</f>
        <v>Green</v>
      </c>
      <c r="U538" t="str">
        <f>IF($H538&gt;$I538,"Green","Red")</f>
        <v>Red</v>
      </c>
      <c r="V538" t="str">
        <f>IF($H538=$I538,"Green","Red")</f>
        <v>Red</v>
      </c>
      <c r="W538" t="str">
        <f>IF($H538&lt;$I538,"Green","Red")</f>
        <v>Green</v>
      </c>
      <c r="X538" t="str">
        <f>IF($H538+$I538&gt;0,"Green","Red")</f>
        <v>Green</v>
      </c>
      <c r="Y538" t="str">
        <f>IF($J538+$K538&gt;1.5,"Green","Red")</f>
        <v>Green</v>
      </c>
      <c r="Z538" t="str">
        <f>IF($J538+$K538&gt;2.5,"Green","Red")</f>
        <v>Green</v>
      </c>
      <c r="AA538" t="str">
        <f>IF($J538+$K538&lt;2.5,"Green","Red")</f>
        <v>Red</v>
      </c>
      <c r="AB538" t="str">
        <f>IF($J538+$K538&lt;3.5,"Green","Red")</f>
        <v>Red</v>
      </c>
      <c r="AC538" t="str">
        <f>IF(AND($J538&gt;0,$K538&gt;0),"Green","Red")</f>
        <v>Green</v>
      </c>
      <c r="AD538" t="str">
        <f>IF(OR($J538=0,$K538=0),"Green","Red")</f>
        <v>Red</v>
      </c>
    </row>
    <row r="539" spans="1:30" x14ac:dyDescent="0.2">
      <c r="A539" t="str">
        <f>L539&amp;F539&amp;G539</f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>DAY(D539)&amp;"/"&amp;"07"&amp;"/"&amp;YEAR(D539)</f>
        <v>23/07/2026</v>
      </c>
      <c r="M539" s="23">
        <f>E539-TIME(3,0,0)</f>
        <v>0.625</v>
      </c>
      <c r="N539" t="str">
        <f>J539&amp;" - "&amp;K539</f>
        <v>0 - 0</v>
      </c>
      <c r="O539" t="str">
        <f>IF($J539&gt;$K539,"Green","Red")</f>
        <v>Red</v>
      </c>
      <c r="P539" t="str">
        <f>IF($J539=$K539,"Green","Red")</f>
        <v>Green</v>
      </c>
      <c r="Q539" t="str">
        <f>IF($J539&lt;$K539,"Green","Red")</f>
        <v>Red</v>
      </c>
      <c r="R539" t="str">
        <f>IF($J539&gt;=$K539,"Green","Red")</f>
        <v>Green</v>
      </c>
      <c r="S539" t="str">
        <f>IF($J539&lt;=$K539,"Green","Red")</f>
        <v>Green</v>
      </c>
      <c r="T539" t="str">
        <f>IF(OR($J539&gt;$K539,$J539&lt;$K539),"Green","Red")</f>
        <v>Red</v>
      </c>
      <c r="U539" t="str">
        <f>IF($H539&gt;$I539,"Green","Red")</f>
        <v>Red</v>
      </c>
      <c r="V539" t="str">
        <f>IF($H539=$I539,"Green","Red")</f>
        <v>Green</v>
      </c>
      <c r="W539" t="str">
        <f>IF($H539&lt;$I539,"Green","Red")</f>
        <v>Red</v>
      </c>
      <c r="X539" t="str">
        <f>IF($H539+$I539&gt;0,"Green","Red")</f>
        <v>Red</v>
      </c>
      <c r="Y539" t="str">
        <f>IF($J539+$K539&gt;1.5,"Green","Red")</f>
        <v>Red</v>
      </c>
      <c r="Z539" t="str">
        <f>IF($J539+$K539&gt;2.5,"Green","Red")</f>
        <v>Red</v>
      </c>
      <c r="AA539" t="str">
        <f>IF($J539+$K539&lt;2.5,"Green","Red")</f>
        <v>Green</v>
      </c>
      <c r="AB539" t="str">
        <f>IF($J539+$K539&lt;3.5,"Green","Red")</f>
        <v>Green</v>
      </c>
      <c r="AC539" t="str">
        <f>IF(AND($J539&gt;0,$K539&gt;0),"Green","Red")</f>
        <v>Red</v>
      </c>
      <c r="AD539" t="str">
        <f>IF(OR($J539=0,$K539=0),"Green","Red")</f>
        <v>Green</v>
      </c>
    </row>
    <row r="540" spans="1:30" x14ac:dyDescent="0.2">
      <c r="A540" t="str">
        <f>L540&amp;F540&amp;G540</f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>DAY(D540)&amp;"/"&amp;"07"&amp;"/"&amp;YEAR(D540)</f>
        <v>23/07/2026</v>
      </c>
      <c r="M540" s="23">
        <f>E540-TIME(3,0,0)</f>
        <v>0.625</v>
      </c>
      <c r="N540" t="str">
        <f>J540&amp;" - "&amp;K540</f>
        <v>0 - 0</v>
      </c>
      <c r="O540" t="str">
        <f>IF($J540&gt;$K540,"Green","Red")</f>
        <v>Red</v>
      </c>
      <c r="P540" t="str">
        <f>IF($J540=$K540,"Green","Red")</f>
        <v>Green</v>
      </c>
      <c r="Q540" t="str">
        <f>IF($J540&lt;$K540,"Green","Red")</f>
        <v>Red</v>
      </c>
      <c r="R540" t="str">
        <f>IF($J540&gt;=$K540,"Green","Red")</f>
        <v>Green</v>
      </c>
      <c r="S540" t="str">
        <f>IF($J540&lt;=$K540,"Green","Red")</f>
        <v>Green</v>
      </c>
      <c r="T540" t="str">
        <f>IF(OR($J540&gt;$K540,$J540&lt;$K540),"Green","Red")</f>
        <v>Red</v>
      </c>
      <c r="U540" t="str">
        <f>IF($H540&gt;$I540,"Green","Red")</f>
        <v>Red</v>
      </c>
      <c r="V540" t="str">
        <f>IF($H540=$I540,"Green","Red")</f>
        <v>Green</v>
      </c>
      <c r="W540" t="str">
        <f>IF($H540&lt;$I540,"Green","Red")</f>
        <v>Red</v>
      </c>
      <c r="X540" t="str">
        <f>IF($H540+$I540&gt;0,"Green","Red")</f>
        <v>Red</v>
      </c>
      <c r="Y540" t="str">
        <f>IF($J540+$K540&gt;1.5,"Green","Red")</f>
        <v>Red</v>
      </c>
      <c r="Z540" t="str">
        <f>IF($J540+$K540&gt;2.5,"Green","Red")</f>
        <v>Red</v>
      </c>
      <c r="AA540" t="str">
        <f>IF($J540+$K540&lt;2.5,"Green","Red")</f>
        <v>Green</v>
      </c>
      <c r="AB540" t="str">
        <f>IF($J540+$K540&lt;3.5,"Green","Red")</f>
        <v>Green</v>
      </c>
      <c r="AC540" t="str">
        <f>IF(AND($J540&gt;0,$K540&gt;0),"Green","Red")</f>
        <v>Red</v>
      </c>
      <c r="AD540" t="str">
        <f>IF(OR($J540=0,$K540=0),"Green","Red")</f>
        <v>Green</v>
      </c>
    </row>
    <row r="541" spans="1:30" x14ac:dyDescent="0.2">
      <c r="A541" t="str">
        <f>L541&amp;F541&amp;G541</f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>DAY(D541)&amp;"/"&amp;"07"&amp;"/"&amp;YEAR(D541)</f>
        <v>23/07/2026</v>
      </c>
      <c r="M541" s="23">
        <f>E541-TIME(3,0,0)</f>
        <v>0.625</v>
      </c>
      <c r="N541" t="str">
        <f>J541&amp;" - "&amp;K541</f>
        <v>2 - 1</v>
      </c>
      <c r="O541" t="str">
        <f>IF($J541&gt;$K541,"Green","Red")</f>
        <v>Green</v>
      </c>
      <c r="P541" t="str">
        <f>IF($J541=$K541,"Green","Red")</f>
        <v>Red</v>
      </c>
      <c r="Q541" t="str">
        <f>IF($J541&lt;$K541,"Green","Red")</f>
        <v>Red</v>
      </c>
      <c r="R541" t="str">
        <f>IF($J541&gt;=$K541,"Green","Red")</f>
        <v>Green</v>
      </c>
      <c r="S541" t="str">
        <f>IF($J541&lt;=$K541,"Green","Red")</f>
        <v>Red</v>
      </c>
      <c r="T541" t="str">
        <f>IF(OR($J541&gt;$K541,$J541&lt;$K541),"Green","Red")</f>
        <v>Green</v>
      </c>
      <c r="U541" t="str">
        <f>IF($H541&gt;$I541,"Green","Red")</f>
        <v>Red</v>
      </c>
      <c r="V541" t="str">
        <f>IF($H541=$I541,"Green","Red")</f>
        <v>Green</v>
      </c>
      <c r="W541" t="str">
        <f>IF($H541&lt;$I541,"Green","Red")</f>
        <v>Red</v>
      </c>
      <c r="X541" t="str">
        <f>IF($H541+$I541&gt;0,"Green","Red")</f>
        <v>Red</v>
      </c>
      <c r="Y541" t="str">
        <f>IF($J541+$K541&gt;1.5,"Green","Red")</f>
        <v>Green</v>
      </c>
      <c r="Z541" t="str">
        <f>IF($J541+$K541&gt;2.5,"Green","Red")</f>
        <v>Green</v>
      </c>
      <c r="AA541" t="str">
        <f>IF($J541+$K541&lt;2.5,"Green","Red")</f>
        <v>Red</v>
      </c>
      <c r="AB541" t="str">
        <f>IF($J541+$K541&lt;3.5,"Green","Red")</f>
        <v>Green</v>
      </c>
      <c r="AC541" t="str">
        <f>IF(AND($J541&gt;0,$K541&gt;0),"Green","Red")</f>
        <v>Green</v>
      </c>
      <c r="AD541" t="str">
        <f>IF(OR($J541=0,$K541=0),"Green","Red")</f>
        <v>Red</v>
      </c>
    </row>
    <row r="542" spans="1:30" x14ac:dyDescent="0.2">
      <c r="A542" t="str">
        <f>L542&amp;F542&amp;G542</f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>DAY(D542)&amp;"/"&amp;"07"&amp;"/"&amp;YEAR(D542)</f>
        <v>23/07/2026</v>
      </c>
      <c r="M542" s="23">
        <f>E542-TIME(3,0,0)</f>
        <v>0.64583333333333337</v>
      </c>
      <c r="N542" t="str">
        <f>J542&amp;" - "&amp;K542</f>
        <v>3 - 0</v>
      </c>
      <c r="O542" t="str">
        <f>IF($J542&gt;$K542,"Green","Red")</f>
        <v>Green</v>
      </c>
      <c r="P542" t="str">
        <f>IF($J542=$K542,"Green","Red")</f>
        <v>Red</v>
      </c>
      <c r="Q542" t="str">
        <f>IF($J542&lt;$K542,"Green","Red")</f>
        <v>Red</v>
      </c>
      <c r="R542" t="str">
        <f>IF($J542&gt;=$K542,"Green","Red")</f>
        <v>Green</v>
      </c>
      <c r="S542" t="str">
        <f>IF($J542&lt;=$K542,"Green","Red")</f>
        <v>Red</v>
      </c>
      <c r="T542" t="str">
        <f>IF(OR($J542&gt;$K542,$J542&lt;$K542),"Green","Red")</f>
        <v>Green</v>
      </c>
      <c r="U542" t="str">
        <f>IF($H542&gt;$I542,"Green","Red")</f>
        <v>Green</v>
      </c>
      <c r="V542" t="str">
        <f>IF($H542=$I542,"Green","Red")</f>
        <v>Red</v>
      </c>
      <c r="W542" t="str">
        <f>IF($H542&lt;$I542,"Green","Red")</f>
        <v>Red</v>
      </c>
      <c r="X542" t="str">
        <f>IF($H542+$I542&gt;0,"Green","Red")</f>
        <v>Green</v>
      </c>
      <c r="Y542" t="str">
        <f>IF($J542+$K542&gt;1.5,"Green","Red")</f>
        <v>Green</v>
      </c>
      <c r="Z542" t="str">
        <f>IF($J542+$K542&gt;2.5,"Green","Red")</f>
        <v>Green</v>
      </c>
      <c r="AA542" t="str">
        <f>IF($J542+$K542&lt;2.5,"Green","Red")</f>
        <v>Red</v>
      </c>
      <c r="AB542" t="str">
        <f>IF($J542+$K542&lt;3.5,"Green","Red")</f>
        <v>Green</v>
      </c>
      <c r="AC542" t="str">
        <f>IF(AND($J542&gt;0,$K542&gt;0),"Green","Red")</f>
        <v>Red</v>
      </c>
      <c r="AD542" t="str">
        <f>IF(OR($J542=0,$K542=0),"Green","Red")</f>
        <v>Green</v>
      </c>
    </row>
    <row r="543" spans="1:30" x14ac:dyDescent="0.2">
      <c r="A543" t="str">
        <f>L543&amp;F543&amp;G543</f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>DAY(D543)&amp;"/"&amp;"07"&amp;"/"&amp;YEAR(D543)</f>
        <v>23/07/2026</v>
      </c>
      <c r="M543" s="23">
        <f>E543-TIME(3,0,0)</f>
        <v>0.64583333333333337</v>
      </c>
      <c r="N543" t="str">
        <f>J543&amp;" - "&amp;K543</f>
        <v>2 - 0</v>
      </c>
      <c r="O543" t="str">
        <f>IF($J543&gt;$K543,"Green","Red")</f>
        <v>Green</v>
      </c>
      <c r="P543" t="str">
        <f>IF($J543=$K543,"Green","Red")</f>
        <v>Red</v>
      </c>
      <c r="Q543" t="str">
        <f>IF($J543&lt;$K543,"Green","Red")</f>
        <v>Red</v>
      </c>
      <c r="R543" t="str">
        <f>IF($J543&gt;=$K543,"Green","Red")</f>
        <v>Green</v>
      </c>
      <c r="S543" t="str">
        <f>IF($J543&lt;=$K543,"Green","Red")</f>
        <v>Red</v>
      </c>
      <c r="T543" t="str">
        <f>IF(OR($J543&gt;$K543,$J543&lt;$K543),"Green","Red")</f>
        <v>Green</v>
      </c>
      <c r="U543" t="str">
        <f>IF($H543&gt;$I543,"Green","Red")</f>
        <v>Green</v>
      </c>
      <c r="V543" t="str">
        <f>IF($H543=$I543,"Green","Red")</f>
        <v>Red</v>
      </c>
      <c r="W543" t="str">
        <f>IF($H543&lt;$I543,"Green","Red")</f>
        <v>Red</v>
      </c>
      <c r="X543" t="str">
        <f>IF($H543+$I543&gt;0,"Green","Red")</f>
        <v>Green</v>
      </c>
      <c r="Y543" t="str">
        <f>IF($J543+$K543&gt;1.5,"Green","Red")</f>
        <v>Green</v>
      </c>
      <c r="Z543" t="str">
        <f>IF($J543+$K543&gt;2.5,"Green","Red")</f>
        <v>Red</v>
      </c>
      <c r="AA543" t="str">
        <f>IF($J543+$K543&lt;2.5,"Green","Red")</f>
        <v>Green</v>
      </c>
      <c r="AB543" t="str">
        <f>IF($J543+$K543&lt;3.5,"Green","Red")</f>
        <v>Green</v>
      </c>
      <c r="AC543" t="str">
        <f>IF(AND($J543&gt;0,$K543&gt;0),"Green","Red")</f>
        <v>Red</v>
      </c>
      <c r="AD543" t="str">
        <f>IF(OR($J543=0,$K543=0),"Green","Red")</f>
        <v>Green</v>
      </c>
    </row>
    <row r="544" spans="1:30" x14ac:dyDescent="0.2">
      <c r="A544" t="str">
        <f>L544&amp;F544&amp;G544</f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>DAY(D544)&amp;"/"&amp;"07"&amp;"/"&amp;YEAR(D544)</f>
        <v>23/07/2026</v>
      </c>
      <c r="M544" s="23">
        <f>E544-TIME(3,0,0)</f>
        <v>0.64583333333333337</v>
      </c>
      <c r="N544" t="str">
        <f>J544&amp;" - "&amp;K544</f>
        <v>0 - 0</v>
      </c>
      <c r="O544" t="str">
        <f>IF($J544&gt;$K544,"Green","Red")</f>
        <v>Red</v>
      </c>
      <c r="P544" t="str">
        <f>IF($J544=$K544,"Green","Red")</f>
        <v>Green</v>
      </c>
      <c r="Q544" t="str">
        <f>IF($J544&lt;$K544,"Green","Red")</f>
        <v>Red</v>
      </c>
      <c r="R544" t="str">
        <f>IF($J544&gt;=$K544,"Green","Red")</f>
        <v>Green</v>
      </c>
      <c r="S544" t="str">
        <f>IF($J544&lt;=$K544,"Green","Red")</f>
        <v>Green</v>
      </c>
      <c r="T544" t="str">
        <f>IF(OR($J544&gt;$K544,$J544&lt;$K544),"Green","Red")</f>
        <v>Red</v>
      </c>
      <c r="U544" t="str">
        <f>IF($H544&gt;$I544,"Green","Red")</f>
        <v>Red</v>
      </c>
      <c r="V544" t="str">
        <f>IF($H544=$I544,"Green","Red")</f>
        <v>Green</v>
      </c>
      <c r="W544" t="str">
        <f>IF($H544&lt;$I544,"Green","Red")</f>
        <v>Red</v>
      </c>
      <c r="X544" t="str">
        <f>IF($H544+$I544&gt;0,"Green","Red")</f>
        <v>Red</v>
      </c>
      <c r="Y544" t="str">
        <f>IF($J544+$K544&gt;1.5,"Green","Red")</f>
        <v>Red</v>
      </c>
      <c r="Z544" t="str">
        <f>IF($J544+$K544&gt;2.5,"Green","Red")</f>
        <v>Red</v>
      </c>
      <c r="AA544" t="str">
        <f>IF($J544+$K544&lt;2.5,"Green","Red")</f>
        <v>Green</v>
      </c>
      <c r="AB544" t="str">
        <f>IF($J544+$K544&lt;3.5,"Green","Red")</f>
        <v>Green</v>
      </c>
      <c r="AC544" t="str">
        <f>IF(AND($J544&gt;0,$K544&gt;0),"Green","Red")</f>
        <v>Red</v>
      </c>
      <c r="AD544" t="str">
        <f>IF(OR($J544=0,$K544=0),"Green","Red")</f>
        <v>Green</v>
      </c>
    </row>
    <row r="545" spans="1:30" x14ac:dyDescent="0.2">
      <c r="A545" t="str">
        <f>L545&amp;F545&amp;G545</f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>DAY(D545)&amp;"/"&amp;"07"&amp;"/"&amp;YEAR(D545)</f>
        <v>23/07/2026</v>
      </c>
      <c r="M545" s="23">
        <f>E545-TIME(3,0,0)</f>
        <v>0.64583333333333337</v>
      </c>
      <c r="N545" t="str">
        <f>J545&amp;" - "&amp;K545</f>
        <v>1 - 0</v>
      </c>
      <c r="O545" t="str">
        <f>IF($J545&gt;$K545,"Green","Red")</f>
        <v>Green</v>
      </c>
      <c r="P545" t="str">
        <f>IF($J545=$K545,"Green","Red")</f>
        <v>Red</v>
      </c>
      <c r="Q545" t="str">
        <f>IF($J545&lt;$K545,"Green","Red")</f>
        <v>Red</v>
      </c>
      <c r="R545" t="str">
        <f>IF($J545&gt;=$K545,"Green","Red")</f>
        <v>Green</v>
      </c>
      <c r="S545" t="str">
        <f>IF($J545&lt;=$K545,"Green","Red")</f>
        <v>Red</v>
      </c>
      <c r="T545" t="str">
        <f>IF(OR($J545&gt;$K545,$J545&lt;$K545),"Green","Red")</f>
        <v>Green</v>
      </c>
      <c r="U545" t="str">
        <f>IF($H545&gt;$I545,"Green","Red")</f>
        <v>Green</v>
      </c>
      <c r="V545" t="str">
        <f>IF($H545=$I545,"Green","Red")</f>
        <v>Red</v>
      </c>
      <c r="W545" t="str">
        <f>IF($H545&lt;$I545,"Green","Red")</f>
        <v>Red</v>
      </c>
      <c r="X545" t="str">
        <f>IF($H545+$I545&gt;0,"Green","Red")</f>
        <v>Green</v>
      </c>
      <c r="Y545" t="str">
        <f>IF($J545+$K545&gt;1.5,"Green","Red")</f>
        <v>Red</v>
      </c>
      <c r="Z545" t="str">
        <f>IF($J545+$K545&gt;2.5,"Green","Red")</f>
        <v>Red</v>
      </c>
      <c r="AA545" t="str">
        <f>IF($J545+$K545&lt;2.5,"Green","Red")</f>
        <v>Green</v>
      </c>
      <c r="AB545" t="str">
        <f>IF($J545+$K545&lt;3.5,"Green","Red")</f>
        <v>Green</v>
      </c>
      <c r="AC545" t="str">
        <f>IF(AND($J545&gt;0,$K545&gt;0),"Green","Red")</f>
        <v>Red</v>
      </c>
      <c r="AD545" t="str">
        <f>IF(OR($J545=0,$K545=0),"Green","Red")</f>
        <v>Green</v>
      </c>
    </row>
    <row r="546" spans="1:30" x14ac:dyDescent="0.2">
      <c r="A546" t="str">
        <f>L546&amp;F546&amp;G546</f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>DAY(D546)&amp;"/"&amp;"07"&amp;"/"&amp;YEAR(D546)</f>
        <v>23/07/2026</v>
      </c>
      <c r="M546" s="23">
        <f>E546-TIME(3,0,0)</f>
        <v>0.64583333333333337</v>
      </c>
      <c r="N546" t="str">
        <f>J546&amp;" - "&amp;K546</f>
        <v>2 - 1</v>
      </c>
      <c r="O546" t="str">
        <f>IF($J546&gt;$K546,"Green","Red")</f>
        <v>Green</v>
      </c>
      <c r="P546" t="str">
        <f>IF($J546=$K546,"Green","Red")</f>
        <v>Red</v>
      </c>
      <c r="Q546" t="str">
        <f>IF($J546&lt;$K546,"Green","Red")</f>
        <v>Red</v>
      </c>
      <c r="R546" t="str">
        <f>IF($J546&gt;=$K546,"Green","Red")</f>
        <v>Green</v>
      </c>
      <c r="S546" t="str">
        <f>IF($J546&lt;=$K546,"Green","Red")</f>
        <v>Red</v>
      </c>
      <c r="T546" t="str">
        <f>IF(OR($J546&gt;$K546,$J546&lt;$K546),"Green","Red")</f>
        <v>Green</v>
      </c>
      <c r="U546" t="str">
        <f>IF($H546&gt;$I546,"Green","Red")</f>
        <v>Red</v>
      </c>
      <c r="V546" t="str">
        <f>IF($H546=$I546,"Green","Red")</f>
        <v>Green</v>
      </c>
      <c r="W546" t="str">
        <f>IF($H546&lt;$I546,"Green","Red")</f>
        <v>Red</v>
      </c>
      <c r="X546" t="str">
        <f>IF($H546+$I546&gt;0,"Green","Red")</f>
        <v>Green</v>
      </c>
      <c r="Y546" t="str">
        <f>IF($J546+$K546&gt;1.5,"Green","Red")</f>
        <v>Green</v>
      </c>
      <c r="Z546" t="str">
        <f>IF($J546+$K546&gt;2.5,"Green","Red")</f>
        <v>Green</v>
      </c>
      <c r="AA546" t="str">
        <f>IF($J546+$K546&lt;2.5,"Green","Red")</f>
        <v>Red</v>
      </c>
      <c r="AB546" t="str">
        <f>IF($J546+$K546&lt;3.5,"Green","Red")</f>
        <v>Green</v>
      </c>
      <c r="AC546" t="str">
        <f>IF(AND($J546&gt;0,$K546&gt;0),"Green","Red")</f>
        <v>Green</v>
      </c>
      <c r="AD546" t="str">
        <f>IF(OR($J546=0,$K546=0),"Green","Red")</f>
        <v>Red</v>
      </c>
    </row>
    <row r="547" spans="1:30" x14ac:dyDescent="0.2">
      <c r="A547" t="str">
        <f>L547&amp;F547&amp;G547</f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>DAY(D547)&amp;"/"&amp;"07"&amp;"/"&amp;YEAR(D547)</f>
        <v>23/07/2026</v>
      </c>
      <c r="M547" s="23">
        <f>E547-TIME(3,0,0)</f>
        <v>0.64583333333333337</v>
      </c>
      <c r="N547" t="str">
        <f>J547&amp;" - "&amp;K547</f>
        <v>3 - 2</v>
      </c>
      <c r="O547" t="str">
        <f>IF($J547&gt;$K547,"Green","Red")</f>
        <v>Green</v>
      </c>
      <c r="P547" t="str">
        <f>IF($J547=$K547,"Green","Red")</f>
        <v>Red</v>
      </c>
      <c r="Q547" t="str">
        <f>IF($J547&lt;$K547,"Green","Red")</f>
        <v>Red</v>
      </c>
      <c r="R547" t="str">
        <f>IF($J547&gt;=$K547,"Green","Red")</f>
        <v>Green</v>
      </c>
      <c r="S547" t="str">
        <f>IF($J547&lt;=$K547,"Green","Red")</f>
        <v>Red</v>
      </c>
      <c r="T547" t="str">
        <f>IF(OR($J547&gt;$K547,$J547&lt;$K547),"Green","Red")</f>
        <v>Green</v>
      </c>
      <c r="U547" t="str">
        <f>IF($H547&gt;$I547,"Green","Red")</f>
        <v>Green</v>
      </c>
      <c r="V547" t="str">
        <f>IF($H547=$I547,"Green","Red")</f>
        <v>Red</v>
      </c>
      <c r="W547" t="str">
        <f>IF($H547&lt;$I547,"Green","Red")</f>
        <v>Red</v>
      </c>
      <c r="X547" t="str">
        <f>IF($H547+$I547&gt;0,"Green","Red")</f>
        <v>Green</v>
      </c>
      <c r="Y547" t="str">
        <f>IF($J547+$K547&gt;1.5,"Green","Red")</f>
        <v>Green</v>
      </c>
      <c r="Z547" t="str">
        <f>IF($J547+$K547&gt;2.5,"Green","Red")</f>
        <v>Green</v>
      </c>
      <c r="AA547" t="str">
        <f>IF($J547+$K547&lt;2.5,"Green","Red")</f>
        <v>Red</v>
      </c>
      <c r="AB547" t="str">
        <f>IF($J547+$K547&lt;3.5,"Green","Red")</f>
        <v>Red</v>
      </c>
      <c r="AC547" t="str">
        <f>IF(AND($J547&gt;0,$K547&gt;0),"Green","Red")</f>
        <v>Green</v>
      </c>
      <c r="AD547" t="str">
        <f>IF(OR($J547=0,$K547=0),"Green","Red")</f>
        <v>Red</v>
      </c>
    </row>
    <row r="548" spans="1:30" x14ac:dyDescent="0.2">
      <c r="A548" t="str">
        <f>L548&amp;F548&amp;G548</f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>DAY(D548)&amp;"/"&amp;"07"&amp;"/"&amp;YEAR(D548)</f>
        <v>23/07/2026</v>
      </c>
      <c r="M548" s="23">
        <f>E548-TIME(3,0,0)</f>
        <v>0.65625</v>
      </c>
      <c r="N548" t="str">
        <f>J548&amp;" - "&amp;K548</f>
        <v>1 - 0</v>
      </c>
      <c r="O548" t="str">
        <f>IF($J548&gt;$K548,"Green","Red")</f>
        <v>Green</v>
      </c>
      <c r="P548" t="str">
        <f>IF($J548=$K548,"Green","Red")</f>
        <v>Red</v>
      </c>
      <c r="Q548" t="str">
        <f>IF($J548&lt;$K548,"Green","Red")</f>
        <v>Red</v>
      </c>
      <c r="R548" t="str">
        <f>IF($J548&gt;=$K548,"Green","Red")</f>
        <v>Green</v>
      </c>
      <c r="S548" t="str">
        <f>IF($J548&lt;=$K548,"Green","Red")</f>
        <v>Red</v>
      </c>
      <c r="T548" t="str">
        <f>IF(OR($J548&gt;$K548,$J548&lt;$K548),"Green","Red")</f>
        <v>Green</v>
      </c>
      <c r="U548" t="str">
        <f>IF($H548&gt;$I548,"Green","Red")</f>
        <v>Red</v>
      </c>
      <c r="V548" t="str">
        <f>IF($H548=$I548,"Green","Red")</f>
        <v>Green</v>
      </c>
      <c r="W548" t="str">
        <f>IF($H548&lt;$I548,"Green","Red")</f>
        <v>Red</v>
      </c>
      <c r="X548" t="str">
        <f>IF($H548+$I548&gt;0,"Green","Red")</f>
        <v>Red</v>
      </c>
      <c r="Y548" t="str">
        <f>IF($J548+$K548&gt;1.5,"Green","Red")</f>
        <v>Red</v>
      </c>
      <c r="Z548" t="str">
        <f>IF($J548+$K548&gt;2.5,"Green","Red")</f>
        <v>Red</v>
      </c>
      <c r="AA548" t="str">
        <f>IF($J548+$K548&lt;2.5,"Green","Red")</f>
        <v>Green</v>
      </c>
      <c r="AB548" t="str">
        <f>IF($J548+$K548&lt;3.5,"Green","Red")</f>
        <v>Green</v>
      </c>
      <c r="AC548" t="str">
        <f>IF(AND($J548&gt;0,$K548&gt;0),"Green","Red")</f>
        <v>Red</v>
      </c>
      <c r="AD548" t="str">
        <f>IF(OR($J548=0,$K548=0),"Green","Red")</f>
        <v>Green</v>
      </c>
    </row>
    <row r="549" spans="1:30" x14ac:dyDescent="0.2">
      <c r="A549" t="str">
        <f>L549&amp;F549&amp;G549</f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>DAY(D549)&amp;"/"&amp;"07"&amp;"/"&amp;YEAR(D549)</f>
        <v>23/07/2026</v>
      </c>
      <c r="M549" s="23">
        <f>E549-TIME(3,0,0)</f>
        <v>0.65625</v>
      </c>
      <c r="N549" t="str">
        <f>J549&amp;" - "&amp;K549</f>
        <v>2 - 0</v>
      </c>
      <c r="O549" t="str">
        <f>IF($J549&gt;$K549,"Green","Red")</f>
        <v>Green</v>
      </c>
      <c r="P549" t="str">
        <f>IF($J549=$K549,"Green","Red")</f>
        <v>Red</v>
      </c>
      <c r="Q549" t="str">
        <f>IF($J549&lt;$K549,"Green","Red")</f>
        <v>Red</v>
      </c>
      <c r="R549" t="str">
        <f>IF($J549&gt;=$K549,"Green","Red")</f>
        <v>Green</v>
      </c>
      <c r="S549" t="str">
        <f>IF($J549&lt;=$K549,"Green","Red")</f>
        <v>Red</v>
      </c>
      <c r="T549" t="str">
        <f>IF(OR($J549&gt;$K549,$J549&lt;$K549),"Green","Red")</f>
        <v>Green</v>
      </c>
      <c r="U549" t="str">
        <f>IF($H549&gt;$I549,"Green","Red")</f>
        <v>Green</v>
      </c>
      <c r="V549" t="str">
        <f>IF($H549=$I549,"Green","Red")</f>
        <v>Red</v>
      </c>
      <c r="W549" t="str">
        <f>IF($H549&lt;$I549,"Green","Red")</f>
        <v>Red</v>
      </c>
      <c r="X549" t="str">
        <f>IF($H549+$I549&gt;0,"Green","Red")</f>
        <v>Green</v>
      </c>
      <c r="Y549" t="str">
        <f>IF($J549+$K549&gt;1.5,"Green","Red")</f>
        <v>Green</v>
      </c>
      <c r="Z549" t="str">
        <f>IF($J549+$K549&gt;2.5,"Green","Red")</f>
        <v>Red</v>
      </c>
      <c r="AA549" t="str">
        <f>IF($J549+$K549&lt;2.5,"Green","Red")</f>
        <v>Green</v>
      </c>
      <c r="AB549" t="str">
        <f>IF($J549+$K549&lt;3.5,"Green","Red")</f>
        <v>Green</v>
      </c>
      <c r="AC549" t="str">
        <f>IF(AND($J549&gt;0,$K549&gt;0),"Green","Red")</f>
        <v>Red</v>
      </c>
      <c r="AD549" t="str">
        <f>IF(OR($J549=0,$K549=0),"Green","Red")</f>
        <v>Green</v>
      </c>
    </row>
    <row r="550" spans="1:30" x14ac:dyDescent="0.2">
      <c r="A550" t="str">
        <f>L550&amp;F550&amp;G550</f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>DAY(D550)&amp;"/"&amp;"07"&amp;"/"&amp;YEAR(D550)</f>
        <v>23/07/2026</v>
      </c>
      <c r="M550" s="23">
        <f>E550-TIME(3,0,0)</f>
        <v>0.65625</v>
      </c>
      <c r="N550" t="str">
        <f>J550&amp;" - "&amp;K550</f>
        <v>2 - 1</v>
      </c>
      <c r="O550" t="str">
        <f>IF($J550&gt;$K550,"Green","Red")</f>
        <v>Green</v>
      </c>
      <c r="P550" t="str">
        <f>IF($J550=$K550,"Green","Red")</f>
        <v>Red</v>
      </c>
      <c r="Q550" t="str">
        <f>IF($J550&lt;$K550,"Green","Red")</f>
        <v>Red</v>
      </c>
      <c r="R550" t="str">
        <f>IF($J550&gt;=$K550,"Green","Red")</f>
        <v>Green</v>
      </c>
      <c r="S550" t="str">
        <f>IF($J550&lt;=$K550,"Green","Red")</f>
        <v>Red</v>
      </c>
      <c r="T550" t="str">
        <f>IF(OR($J550&gt;$K550,$J550&lt;$K550),"Green","Red")</f>
        <v>Green</v>
      </c>
      <c r="U550" t="str">
        <f>IF($H550&gt;$I550,"Green","Red")</f>
        <v>Red</v>
      </c>
      <c r="V550" t="str">
        <f>IF($H550=$I550,"Green","Red")</f>
        <v>Green</v>
      </c>
      <c r="W550" t="str">
        <f>IF($H550&lt;$I550,"Green","Red")</f>
        <v>Red</v>
      </c>
      <c r="X550" t="str">
        <f>IF($H550+$I550&gt;0,"Green","Red")</f>
        <v>Green</v>
      </c>
      <c r="Y550" t="str">
        <f>IF($J550+$K550&gt;1.5,"Green","Red")</f>
        <v>Green</v>
      </c>
      <c r="Z550" t="str">
        <f>IF($J550+$K550&gt;2.5,"Green","Red")</f>
        <v>Green</v>
      </c>
      <c r="AA550" t="str">
        <f>IF($J550+$K550&lt;2.5,"Green","Red")</f>
        <v>Red</v>
      </c>
      <c r="AB550" t="str">
        <f>IF($J550+$K550&lt;3.5,"Green","Red")</f>
        <v>Green</v>
      </c>
      <c r="AC550" t="str">
        <f>IF(AND($J550&gt;0,$K550&gt;0),"Green","Red")</f>
        <v>Green</v>
      </c>
      <c r="AD550" t="str">
        <f>IF(OR($J550=0,$K550=0),"Green","Red")</f>
        <v>Red</v>
      </c>
    </row>
    <row r="551" spans="1:30" x14ac:dyDescent="0.2">
      <c r="A551" t="str">
        <f>L551&amp;F551&amp;G551</f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>DAY(D551)&amp;"/"&amp;"07"&amp;"/"&amp;YEAR(D551)</f>
        <v>23/07/2026</v>
      </c>
      <c r="M551" s="23">
        <f>E551-TIME(3,0,0)</f>
        <v>0.65625</v>
      </c>
      <c r="N551" t="str">
        <f>J551&amp;" - "&amp;K551</f>
        <v>0 - 2</v>
      </c>
      <c r="O551" t="str">
        <f>IF($J551&gt;$K551,"Green","Red")</f>
        <v>Red</v>
      </c>
      <c r="P551" t="str">
        <f>IF($J551=$K551,"Green","Red")</f>
        <v>Red</v>
      </c>
      <c r="Q551" t="str">
        <f>IF($J551&lt;$K551,"Green","Red")</f>
        <v>Green</v>
      </c>
      <c r="R551" t="str">
        <f>IF($J551&gt;=$K551,"Green","Red")</f>
        <v>Red</v>
      </c>
      <c r="S551" t="str">
        <f>IF($J551&lt;=$K551,"Green","Red")</f>
        <v>Green</v>
      </c>
      <c r="T551" t="str">
        <f>IF(OR($J551&gt;$K551,$J551&lt;$K551),"Green","Red")</f>
        <v>Green</v>
      </c>
      <c r="U551" t="str">
        <f>IF($H551&gt;$I551,"Green","Red")</f>
        <v>Red</v>
      </c>
      <c r="V551" t="str">
        <f>IF($H551=$I551,"Green","Red")</f>
        <v>Green</v>
      </c>
      <c r="W551" t="str">
        <f>IF($H551&lt;$I551,"Green","Red")</f>
        <v>Red</v>
      </c>
      <c r="X551" t="str">
        <f>IF($H551+$I551&gt;0,"Green","Red")</f>
        <v>Red</v>
      </c>
      <c r="Y551" t="str">
        <f>IF($J551+$K551&gt;1.5,"Green","Red")</f>
        <v>Green</v>
      </c>
      <c r="Z551" t="str">
        <f>IF($J551+$K551&gt;2.5,"Green","Red")</f>
        <v>Red</v>
      </c>
      <c r="AA551" t="str">
        <f>IF($J551+$K551&lt;2.5,"Green","Red")</f>
        <v>Green</v>
      </c>
      <c r="AB551" t="str">
        <f>IF($J551+$K551&lt;3.5,"Green","Red")</f>
        <v>Green</v>
      </c>
      <c r="AC551" t="str">
        <f>IF(AND($J551&gt;0,$K551&gt;0),"Green","Red")</f>
        <v>Red</v>
      </c>
      <c r="AD551" t="str">
        <f>IF(OR($J551=0,$K551=0),"Green","Red")</f>
        <v>Green</v>
      </c>
    </row>
    <row r="552" spans="1:30" x14ac:dyDescent="0.2">
      <c r="A552" t="str">
        <f>L552&amp;F552&amp;G552</f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>DAY(D552)&amp;"/"&amp;"07"&amp;"/"&amp;YEAR(D552)</f>
        <v>23/07/2026</v>
      </c>
      <c r="M552" s="23">
        <f>E552-TIME(3,0,0)</f>
        <v>0.65625</v>
      </c>
      <c r="N552" t="str">
        <f>J552&amp;" - "&amp;K552</f>
        <v>5 - 2</v>
      </c>
      <c r="O552" t="str">
        <f>IF($J552&gt;$K552,"Green","Red")</f>
        <v>Green</v>
      </c>
      <c r="P552" t="str">
        <f>IF($J552=$K552,"Green","Red")</f>
        <v>Red</v>
      </c>
      <c r="Q552" t="str">
        <f>IF($J552&lt;$K552,"Green","Red")</f>
        <v>Red</v>
      </c>
      <c r="R552" t="str">
        <f>IF($J552&gt;=$K552,"Green","Red")</f>
        <v>Green</v>
      </c>
      <c r="S552" t="str">
        <f>IF($J552&lt;=$K552,"Green","Red")</f>
        <v>Red</v>
      </c>
      <c r="T552" t="str">
        <f>IF(OR($J552&gt;$K552,$J552&lt;$K552),"Green","Red")</f>
        <v>Green</v>
      </c>
      <c r="U552" t="str">
        <f>IF($H552&gt;$I552,"Green","Red")</f>
        <v>Green</v>
      </c>
      <c r="V552" t="str">
        <f>IF($H552=$I552,"Green","Red")</f>
        <v>Red</v>
      </c>
      <c r="W552" t="str">
        <f>IF($H552&lt;$I552,"Green","Red")</f>
        <v>Red</v>
      </c>
      <c r="X552" t="str">
        <f>IF($H552+$I552&gt;0,"Green","Red")</f>
        <v>Green</v>
      </c>
      <c r="Y552" t="str">
        <f>IF($J552+$K552&gt;1.5,"Green","Red")</f>
        <v>Green</v>
      </c>
      <c r="Z552" t="str">
        <f>IF($J552+$K552&gt;2.5,"Green","Red")</f>
        <v>Green</v>
      </c>
      <c r="AA552" t="str">
        <f>IF($J552+$K552&lt;2.5,"Green","Red")</f>
        <v>Red</v>
      </c>
      <c r="AB552" t="str">
        <f>IF($J552+$K552&lt;3.5,"Green","Red")</f>
        <v>Red</v>
      </c>
      <c r="AC552" t="str">
        <f>IF(AND($J552&gt;0,$K552&gt;0),"Green","Red")</f>
        <v>Green</v>
      </c>
      <c r="AD552" t="str">
        <f>IF(OR($J552=0,$K552=0),"Green","Red")</f>
        <v>Red</v>
      </c>
    </row>
    <row r="553" spans="1:30" x14ac:dyDescent="0.2">
      <c r="A553" t="str">
        <f>L553&amp;F553&amp;G553</f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>DAY(D553)&amp;"/"&amp;"07"&amp;"/"&amp;YEAR(D553)</f>
        <v>23/07/2026</v>
      </c>
      <c r="M553" s="23">
        <f>E553-TIME(3,0,0)</f>
        <v>0.65625</v>
      </c>
      <c r="N553" t="str">
        <f>J553&amp;" - "&amp;K553</f>
        <v>1 - 1</v>
      </c>
      <c r="O553" t="str">
        <f>IF($J553&gt;$K553,"Green","Red")</f>
        <v>Red</v>
      </c>
      <c r="P553" t="str">
        <f>IF($J553=$K553,"Green","Red")</f>
        <v>Green</v>
      </c>
      <c r="Q553" t="str">
        <f>IF($J553&lt;$K553,"Green","Red")</f>
        <v>Red</v>
      </c>
      <c r="R553" t="str">
        <f>IF($J553&gt;=$K553,"Green","Red")</f>
        <v>Green</v>
      </c>
      <c r="S553" t="str">
        <f>IF($J553&lt;=$K553,"Green","Red")</f>
        <v>Green</v>
      </c>
      <c r="T553" t="str">
        <f>IF(OR($J553&gt;$K553,$J553&lt;$K553),"Green","Red")</f>
        <v>Red</v>
      </c>
      <c r="U553" t="str">
        <f>IF($H553&gt;$I553,"Green","Red")</f>
        <v>Green</v>
      </c>
      <c r="V553" t="str">
        <f>IF($H553=$I553,"Green","Red")</f>
        <v>Red</v>
      </c>
      <c r="W553" t="str">
        <f>IF($H553&lt;$I553,"Green","Red")</f>
        <v>Red</v>
      </c>
      <c r="X553" t="str">
        <f>IF($H553+$I553&gt;0,"Green","Red")</f>
        <v>Green</v>
      </c>
      <c r="Y553" t="str">
        <f>IF($J553+$K553&gt;1.5,"Green","Red")</f>
        <v>Green</v>
      </c>
      <c r="Z553" t="str">
        <f>IF($J553+$K553&gt;2.5,"Green","Red")</f>
        <v>Red</v>
      </c>
      <c r="AA553" t="str">
        <f>IF($J553+$K553&lt;2.5,"Green","Red")</f>
        <v>Green</v>
      </c>
      <c r="AB553" t="str">
        <f>IF($J553+$K553&lt;3.5,"Green","Red")</f>
        <v>Green</v>
      </c>
      <c r="AC553" t="str">
        <f>IF(AND($J553&gt;0,$K553&gt;0),"Green","Red")</f>
        <v>Green</v>
      </c>
      <c r="AD553" t="str">
        <f>IF(OR($J553=0,$K553=0),"Green","Red")</f>
        <v>Red</v>
      </c>
    </row>
    <row r="554" spans="1:30" x14ac:dyDescent="0.2">
      <c r="A554" t="str">
        <f>L554&amp;F554&amp;G554</f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>DAY(D554)&amp;"/"&amp;"07"&amp;"/"&amp;YEAR(D554)</f>
        <v>23/07/2026</v>
      </c>
      <c r="M554" s="23">
        <f>E554-TIME(3,0,0)</f>
        <v>0.66666666666666663</v>
      </c>
      <c r="N554" t="str">
        <f>J554&amp;" - "&amp;K554</f>
        <v>2 - 0</v>
      </c>
      <c r="O554" t="str">
        <f>IF($J554&gt;$K554,"Green","Red")</f>
        <v>Green</v>
      </c>
      <c r="P554" t="str">
        <f>IF($J554=$K554,"Green","Red")</f>
        <v>Red</v>
      </c>
      <c r="Q554" t="str">
        <f>IF($J554&lt;$K554,"Green","Red")</f>
        <v>Red</v>
      </c>
      <c r="R554" t="str">
        <f>IF($J554&gt;=$K554,"Green","Red")</f>
        <v>Green</v>
      </c>
      <c r="S554" t="str">
        <f>IF($J554&lt;=$K554,"Green","Red")</f>
        <v>Red</v>
      </c>
      <c r="T554" t="str">
        <f>IF(OR($J554&gt;$K554,$J554&lt;$K554),"Green","Red")</f>
        <v>Green</v>
      </c>
      <c r="U554" t="str">
        <f>IF($H554&gt;$I554,"Green","Red")</f>
        <v>Red</v>
      </c>
      <c r="V554" t="str">
        <f>IF($H554=$I554,"Green","Red")</f>
        <v>Green</v>
      </c>
      <c r="W554" t="str">
        <f>IF($H554&lt;$I554,"Green","Red")</f>
        <v>Red</v>
      </c>
      <c r="X554" t="str">
        <f>IF($H554+$I554&gt;0,"Green","Red")</f>
        <v>Red</v>
      </c>
      <c r="Y554" t="str">
        <f>IF($J554+$K554&gt;1.5,"Green","Red")</f>
        <v>Green</v>
      </c>
      <c r="Z554" t="str">
        <f>IF($J554+$K554&gt;2.5,"Green","Red")</f>
        <v>Red</v>
      </c>
      <c r="AA554" t="str">
        <f>IF($J554+$K554&lt;2.5,"Green","Red")</f>
        <v>Green</v>
      </c>
      <c r="AB554" t="str">
        <f>IF($J554+$K554&lt;3.5,"Green","Red")</f>
        <v>Green</v>
      </c>
      <c r="AC554" t="str">
        <f>IF(AND($J554&gt;0,$K554&gt;0),"Green","Red")</f>
        <v>Red</v>
      </c>
      <c r="AD554" t="str">
        <f>IF(OR($J554=0,$K554=0),"Green","Red")</f>
        <v>Green</v>
      </c>
    </row>
    <row r="555" spans="1:30" x14ac:dyDescent="0.2">
      <c r="A555" t="str">
        <f>L555&amp;F555&amp;G555</f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>DAY(D555)&amp;"/"&amp;"07"&amp;"/"&amp;YEAR(D555)</f>
        <v>23/07/2026</v>
      </c>
      <c r="M555" s="23">
        <f>E555-TIME(3,0,0)</f>
        <v>0.66666666666666663</v>
      </c>
      <c r="N555" t="str">
        <f>J555&amp;" - "&amp;K555</f>
        <v>4 - 0</v>
      </c>
      <c r="O555" t="str">
        <f>IF($J555&gt;$K555,"Green","Red")</f>
        <v>Green</v>
      </c>
      <c r="P555" t="str">
        <f>IF($J555=$K555,"Green","Red")</f>
        <v>Red</v>
      </c>
      <c r="Q555" t="str">
        <f>IF($J555&lt;$K555,"Green","Red")</f>
        <v>Red</v>
      </c>
      <c r="R555" t="str">
        <f>IF($J555&gt;=$K555,"Green","Red")</f>
        <v>Green</v>
      </c>
      <c r="S555" t="str">
        <f>IF($J555&lt;=$K555,"Green","Red")</f>
        <v>Red</v>
      </c>
      <c r="T555" t="str">
        <f>IF(OR($J555&gt;$K555,$J555&lt;$K555),"Green","Red")</f>
        <v>Green</v>
      </c>
      <c r="U555" t="str">
        <f>IF($H555&gt;$I555,"Green","Red")</f>
        <v>Green</v>
      </c>
      <c r="V555" t="str">
        <f>IF($H555=$I555,"Green","Red")</f>
        <v>Red</v>
      </c>
      <c r="W555" t="str">
        <f>IF($H555&lt;$I555,"Green","Red")</f>
        <v>Red</v>
      </c>
      <c r="X555" t="str">
        <f>IF($H555+$I555&gt;0,"Green","Red")</f>
        <v>Green</v>
      </c>
      <c r="Y555" t="str">
        <f>IF($J555+$K555&gt;1.5,"Green","Red")</f>
        <v>Green</v>
      </c>
      <c r="Z555" t="str">
        <f>IF($J555+$K555&gt;2.5,"Green","Red")</f>
        <v>Green</v>
      </c>
      <c r="AA555" t="str">
        <f>IF($J555+$K555&lt;2.5,"Green","Red")</f>
        <v>Red</v>
      </c>
      <c r="AB555" t="str">
        <f>IF($J555+$K555&lt;3.5,"Green","Red")</f>
        <v>Red</v>
      </c>
      <c r="AC555" t="str">
        <f>IF(AND($J555&gt;0,$K555&gt;0),"Green","Red")</f>
        <v>Red</v>
      </c>
      <c r="AD555" t="str">
        <f>IF(OR($J555=0,$K555=0),"Green","Red")</f>
        <v>Green</v>
      </c>
    </row>
    <row r="556" spans="1:30" x14ac:dyDescent="0.2">
      <c r="A556" t="str">
        <f>L556&amp;F556&amp;G556</f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>DAY(D556)&amp;"/"&amp;"07"&amp;"/"&amp;YEAR(D556)</f>
        <v>23/07/2026</v>
      </c>
      <c r="M556" s="23">
        <f>E556-TIME(3,0,0)</f>
        <v>0.66666666666666663</v>
      </c>
      <c r="N556" t="str">
        <f>J556&amp;" - "&amp;K556</f>
        <v>1 - 0</v>
      </c>
      <c r="O556" t="str">
        <f>IF($J556&gt;$K556,"Green","Red")</f>
        <v>Green</v>
      </c>
      <c r="P556" t="str">
        <f>IF($J556=$K556,"Green","Red")</f>
        <v>Red</v>
      </c>
      <c r="Q556" t="str">
        <f>IF($J556&lt;$K556,"Green","Red")</f>
        <v>Red</v>
      </c>
      <c r="R556" t="str">
        <f>IF($J556&gt;=$K556,"Green","Red")</f>
        <v>Green</v>
      </c>
      <c r="S556" t="str">
        <f>IF($J556&lt;=$K556,"Green","Red")</f>
        <v>Red</v>
      </c>
      <c r="T556" t="str">
        <f>IF(OR($J556&gt;$K556,$J556&lt;$K556),"Green","Red")</f>
        <v>Green</v>
      </c>
      <c r="U556" t="str">
        <f>IF($H556&gt;$I556,"Green","Red")</f>
        <v>Red</v>
      </c>
      <c r="V556" t="str">
        <f>IF($H556=$I556,"Green","Red")</f>
        <v>Green</v>
      </c>
      <c r="W556" t="str">
        <f>IF($H556&lt;$I556,"Green","Red")</f>
        <v>Red</v>
      </c>
      <c r="X556" t="str">
        <f>IF($H556+$I556&gt;0,"Green","Red")</f>
        <v>Red</v>
      </c>
      <c r="Y556" t="str">
        <f>IF($J556+$K556&gt;1.5,"Green","Red")</f>
        <v>Red</v>
      </c>
      <c r="Z556" t="str">
        <f>IF($J556+$K556&gt;2.5,"Green","Red")</f>
        <v>Red</v>
      </c>
      <c r="AA556" t="str">
        <f>IF($J556+$K556&lt;2.5,"Green","Red")</f>
        <v>Green</v>
      </c>
      <c r="AB556" t="str">
        <f>IF($J556+$K556&lt;3.5,"Green","Red")</f>
        <v>Green</v>
      </c>
      <c r="AC556" t="str">
        <f>IF(AND($J556&gt;0,$K556&gt;0),"Green","Red")</f>
        <v>Red</v>
      </c>
      <c r="AD556" t="str">
        <f>IF(OR($J556=0,$K556=0),"Green","Red")</f>
        <v>Green</v>
      </c>
    </row>
    <row r="557" spans="1:30" x14ac:dyDescent="0.2">
      <c r="A557" t="str">
        <f>L557&amp;F557&amp;G557</f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>DAY(D557)&amp;"/"&amp;"07"&amp;"/"&amp;YEAR(D557)</f>
        <v>23/07/2026</v>
      </c>
      <c r="M557" s="23">
        <f>E557-TIME(3,0,0)</f>
        <v>0.66666666666666663</v>
      </c>
      <c r="N557" t="str">
        <f>J557&amp;" - "&amp;K557</f>
        <v>3 - 3</v>
      </c>
      <c r="O557" t="str">
        <f>IF($J557&gt;$K557,"Green","Red")</f>
        <v>Red</v>
      </c>
      <c r="P557" t="str">
        <f>IF($J557=$K557,"Green","Red")</f>
        <v>Green</v>
      </c>
      <c r="Q557" t="str">
        <f>IF($J557&lt;$K557,"Green","Red")</f>
        <v>Red</v>
      </c>
      <c r="R557" t="str">
        <f>IF($J557&gt;=$K557,"Green","Red")</f>
        <v>Green</v>
      </c>
      <c r="S557" t="str">
        <f>IF($J557&lt;=$K557,"Green","Red")</f>
        <v>Green</v>
      </c>
      <c r="T557" t="str">
        <f>IF(OR($J557&gt;$K557,$J557&lt;$K557),"Green","Red")</f>
        <v>Red</v>
      </c>
      <c r="U557" t="str">
        <f>IF($H557&gt;$I557,"Green","Red")</f>
        <v>Red</v>
      </c>
      <c r="V557" t="str">
        <f>IF($H557=$I557,"Green","Red")</f>
        <v>Green</v>
      </c>
      <c r="W557" t="str">
        <f>IF($H557&lt;$I557,"Green","Red")</f>
        <v>Red</v>
      </c>
      <c r="X557" t="str">
        <f>IF($H557+$I557&gt;0,"Green","Red")</f>
        <v>Green</v>
      </c>
      <c r="Y557" t="str">
        <f>IF($J557+$K557&gt;1.5,"Green","Red")</f>
        <v>Green</v>
      </c>
      <c r="Z557" t="str">
        <f>IF($J557+$K557&gt;2.5,"Green","Red")</f>
        <v>Green</v>
      </c>
      <c r="AA557" t="str">
        <f>IF($J557+$K557&lt;2.5,"Green","Red")</f>
        <v>Red</v>
      </c>
      <c r="AB557" t="str">
        <f>IF($J557+$K557&lt;3.5,"Green","Red")</f>
        <v>Red</v>
      </c>
      <c r="AC557" t="str">
        <f>IF(AND($J557&gt;0,$K557&gt;0),"Green","Red")</f>
        <v>Green</v>
      </c>
      <c r="AD557" t="str">
        <f>IF(OR($J557=0,$K557=0),"Green","Red")</f>
        <v>Red</v>
      </c>
    </row>
    <row r="558" spans="1:30" x14ac:dyDescent="0.2">
      <c r="A558" t="str">
        <f>L558&amp;F558&amp;G558</f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>DAY(D558)&amp;"/"&amp;"07"&amp;"/"&amp;YEAR(D558)</f>
        <v>23/07/2026</v>
      </c>
      <c r="M558" s="23">
        <f>E558-TIME(3,0,0)</f>
        <v>0.66666666666666663</v>
      </c>
      <c r="N558" t="str">
        <f>J558&amp;" - "&amp;K558</f>
        <v>0 - 0</v>
      </c>
      <c r="O558" t="str">
        <f>IF($J558&gt;$K558,"Green","Red")</f>
        <v>Red</v>
      </c>
      <c r="P558" t="str">
        <f>IF($J558=$K558,"Green","Red")</f>
        <v>Green</v>
      </c>
      <c r="Q558" t="str">
        <f>IF($J558&lt;$K558,"Green","Red")</f>
        <v>Red</v>
      </c>
      <c r="R558" t="str">
        <f>IF($J558&gt;=$K558,"Green","Red")</f>
        <v>Green</v>
      </c>
      <c r="S558" t="str">
        <f>IF($J558&lt;=$K558,"Green","Red")</f>
        <v>Green</v>
      </c>
      <c r="T558" t="str">
        <f>IF(OR($J558&gt;$K558,$J558&lt;$K558),"Green","Red")</f>
        <v>Red</v>
      </c>
      <c r="U558" t="str">
        <f>IF($H558&gt;$I558,"Green","Red")</f>
        <v>Red</v>
      </c>
      <c r="V558" t="str">
        <f>IF($H558=$I558,"Green","Red")</f>
        <v>Green</v>
      </c>
      <c r="W558" t="str">
        <f>IF($H558&lt;$I558,"Green","Red")</f>
        <v>Red</v>
      </c>
      <c r="X558" t="str">
        <f>IF($H558+$I558&gt;0,"Green","Red")</f>
        <v>Red</v>
      </c>
      <c r="Y558" t="str">
        <f>IF($J558+$K558&gt;1.5,"Green","Red")</f>
        <v>Red</v>
      </c>
      <c r="Z558" t="str">
        <f>IF($J558+$K558&gt;2.5,"Green","Red")</f>
        <v>Red</v>
      </c>
      <c r="AA558" t="str">
        <f>IF($J558+$K558&lt;2.5,"Green","Red")</f>
        <v>Green</v>
      </c>
      <c r="AB558" t="str">
        <f>IF($J558+$K558&lt;3.5,"Green","Red")</f>
        <v>Green</v>
      </c>
      <c r="AC558" t="str">
        <f>IF(AND($J558&gt;0,$K558&gt;0),"Green","Red")</f>
        <v>Red</v>
      </c>
      <c r="AD558" t="str">
        <f>IF(OR($J558=0,$K558=0),"Green","Red")</f>
        <v>Green</v>
      </c>
    </row>
    <row r="559" spans="1:30" x14ac:dyDescent="0.2">
      <c r="A559" t="str">
        <f>L559&amp;F559&amp;G559</f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>DAY(D559)&amp;"/"&amp;"07"&amp;"/"&amp;YEAR(D559)</f>
        <v>23/07/2026</v>
      </c>
      <c r="M559" s="23">
        <f>E559-TIME(3,0,0)</f>
        <v>0.67361111111111116</v>
      </c>
      <c r="N559" t="str">
        <f>J559&amp;" - "&amp;K559</f>
        <v>3 - 3</v>
      </c>
      <c r="O559" t="str">
        <f>IF($J559&gt;$K559,"Green","Red")</f>
        <v>Red</v>
      </c>
      <c r="P559" t="str">
        <f>IF($J559=$K559,"Green","Red")</f>
        <v>Green</v>
      </c>
      <c r="Q559" t="str">
        <f>IF($J559&lt;$K559,"Green","Red")</f>
        <v>Red</v>
      </c>
      <c r="R559" t="str">
        <f>IF($J559&gt;=$K559,"Green","Red")</f>
        <v>Green</v>
      </c>
      <c r="S559" t="str">
        <f>IF($J559&lt;=$K559,"Green","Red")</f>
        <v>Green</v>
      </c>
      <c r="T559" t="str">
        <f>IF(OR($J559&gt;$K559,$J559&lt;$K559),"Green","Red")</f>
        <v>Red</v>
      </c>
      <c r="U559" t="str">
        <f>IF($H559&gt;$I559,"Green","Red")</f>
        <v>Red</v>
      </c>
      <c r="V559" t="str">
        <f>IF($H559=$I559,"Green","Red")</f>
        <v>Green</v>
      </c>
      <c r="W559" t="str">
        <f>IF($H559&lt;$I559,"Green","Red")</f>
        <v>Red</v>
      </c>
      <c r="X559" t="str">
        <f>IF($H559+$I559&gt;0,"Green","Red")</f>
        <v>Green</v>
      </c>
      <c r="Y559" t="str">
        <f>IF($J559+$K559&gt;1.5,"Green","Red")</f>
        <v>Green</v>
      </c>
      <c r="Z559" t="str">
        <f>IF($J559+$K559&gt;2.5,"Green","Red")</f>
        <v>Green</v>
      </c>
      <c r="AA559" t="str">
        <f>IF($J559+$K559&lt;2.5,"Green","Red")</f>
        <v>Red</v>
      </c>
      <c r="AB559" t="str">
        <f>IF($J559+$K559&lt;3.5,"Green","Red")</f>
        <v>Red</v>
      </c>
      <c r="AC559" t="str">
        <f>IF(AND($J559&gt;0,$K559&gt;0),"Green","Red")</f>
        <v>Green</v>
      </c>
      <c r="AD559" t="str">
        <f>IF(OR($J559=0,$K559=0),"Green","Red")</f>
        <v>Red</v>
      </c>
    </row>
    <row r="560" spans="1:30" x14ac:dyDescent="0.2">
      <c r="A560" t="str">
        <f>L560&amp;F560&amp;G560</f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>DAY(D560)&amp;"/"&amp;"07"&amp;"/"&amp;YEAR(D560)</f>
        <v>23/07/2026</v>
      </c>
      <c r="M560" s="23">
        <f>E560-TIME(3,0,0)</f>
        <v>0.67708333333333337</v>
      </c>
      <c r="N560" t="str">
        <f>J560&amp;" - "&amp;K560</f>
        <v>1 - 0</v>
      </c>
      <c r="O560" t="str">
        <f>IF($J560&gt;$K560,"Green","Red")</f>
        <v>Green</v>
      </c>
      <c r="P560" t="str">
        <f>IF($J560=$K560,"Green","Red")</f>
        <v>Red</v>
      </c>
      <c r="Q560" t="str">
        <f>IF($J560&lt;$K560,"Green","Red")</f>
        <v>Red</v>
      </c>
      <c r="R560" t="str">
        <f>IF($J560&gt;=$K560,"Green","Red")</f>
        <v>Green</v>
      </c>
      <c r="S560" t="str">
        <f>IF($J560&lt;=$K560,"Green","Red")</f>
        <v>Red</v>
      </c>
      <c r="T560" t="str">
        <f>IF(OR($J560&gt;$K560,$J560&lt;$K560),"Green","Red")</f>
        <v>Green</v>
      </c>
      <c r="U560" t="str">
        <f>IF($H560&gt;$I560,"Green","Red")</f>
        <v>Red</v>
      </c>
      <c r="V560" t="str">
        <f>IF($H560=$I560,"Green","Red")</f>
        <v>Green</v>
      </c>
      <c r="W560" t="str">
        <f>IF($H560&lt;$I560,"Green","Red")</f>
        <v>Red</v>
      </c>
      <c r="X560" t="str">
        <f>IF($H560+$I560&gt;0,"Green","Red")</f>
        <v>Red</v>
      </c>
      <c r="Y560" t="str">
        <f>IF($J560+$K560&gt;1.5,"Green","Red")</f>
        <v>Red</v>
      </c>
      <c r="Z560" t="str">
        <f>IF($J560+$K560&gt;2.5,"Green","Red")</f>
        <v>Red</v>
      </c>
      <c r="AA560" t="str">
        <f>IF($J560+$K560&lt;2.5,"Green","Red")</f>
        <v>Green</v>
      </c>
      <c r="AB560" t="str">
        <f>IF($J560+$K560&lt;3.5,"Green","Red")</f>
        <v>Green</v>
      </c>
      <c r="AC560" t="str">
        <f>IF(AND($J560&gt;0,$K560&gt;0),"Green","Red")</f>
        <v>Red</v>
      </c>
      <c r="AD560" t="str">
        <f>IF(OR($J560=0,$K560=0),"Green","Red")</f>
        <v>Green</v>
      </c>
    </row>
    <row r="561" spans="1:30" x14ac:dyDescent="0.2">
      <c r="A561" t="str">
        <f>L561&amp;F561&amp;G561</f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>DAY(D561)&amp;"/"&amp;"07"&amp;"/"&amp;YEAR(D561)</f>
        <v>23/07/2026</v>
      </c>
      <c r="M561" s="23">
        <f>E561-TIME(3,0,0)</f>
        <v>0.67708333333333337</v>
      </c>
      <c r="N561" t="str">
        <f>J561&amp;" - "&amp;K561</f>
        <v>1 - 5</v>
      </c>
      <c r="O561" t="str">
        <f>IF($J561&gt;$K561,"Green","Red")</f>
        <v>Red</v>
      </c>
      <c r="P561" t="str">
        <f>IF($J561=$K561,"Green","Red")</f>
        <v>Red</v>
      </c>
      <c r="Q561" t="str">
        <f>IF($J561&lt;$K561,"Green","Red")</f>
        <v>Green</v>
      </c>
      <c r="R561" t="str">
        <f>IF($J561&gt;=$K561,"Green","Red")</f>
        <v>Red</v>
      </c>
      <c r="S561" t="str">
        <f>IF($J561&lt;=$K561,"Green","Red")</f>
        <v>Green</v>
      </c>
      <c r="T561" t="str">
        <f>IF(OR($J561&gt;$K561,$J561&lt;$K561),"Green","Red")</f>
        <v>Green</v>
      </c>
      <c r="U561" t="str">
        <f>IF($H561&gt;$I561,"Green","Red")</f>
        <v>Red</v>
      </c>
      <c r="V561" t="str">
        <f>IF($H561=$I561,"Green","Red")</f>
        <v>Red</v>
      </c>
      <c r="W561" t="str">
        <f>IF($H561&lt;$I561,"Green","Red")</f>
        <v>Green</v>
      </c>
      <c r="X561" t="str">
        <f>IF($H561+$I561&gt;0,"Green","Red")</f>
        <v>Green</v>
      </c>
      <c r="Y561" t="str">
        <f>IF($J561+$K561&gt;1.5,"Green","Red")</f>
        <v>Green</v>
      </c>
      <c r="Z561" t="str">
        <f>IF($J561+$K561&gt;2.5,"Green","Red")</f>
        <v>Green</v>
      </c>
      <c r="AA561" t="str">
        <f>IF($J561+$K561&lt;2.5,"Green","Red")</f>
        <v>Red</v>
      </c>
      <c r="AB561" t="str">
        <f>IF($J561+$K561&lt;3.5,"Green","Red")</f>
        <v>Red</v>
      </c>
      <c r="AC561" t="str">
        <f>IF(AND($J561&gt;0,$K561&gt;0),"Green","Red")</f>
        <v>Green</v>
      </c>
      <c r="AD561" t="str">
        <f>IF(OR($J561=0,$K561=0),"Green","Red")</f>
        <v>Red</v>
      </c>
    </row>
    <row r="562" spans="1:30" x14ac:dyDescent="0.2">
      <c r="A562" t="str">
        <f>L562&amp;F562&amp;G562</f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>DAY(D562)&amp;"/"&amp;"07"&amp;"/"&amp;YEAR(D562)</f>
        <v>23/07/2026</v>
      </c>
      <c r="M562" s="23">
        <f>E562-TIME(3,0,0)</f>
        <v>0.67708333333333337</v>
      </c>
      <c r="N562" t="str">
        <f>J562&amp;" - "&amp;K562</f>
        <v>3 - 2</v>
      </c>
      <c r="O562" t="str">
        <f>IF($J562&gt;$K562,"Green","Red")</f>
        <v>Green</v>
      </c>
      <c r="P562" t="str">
        <f>IF($J562=$K562,"Green","Red")</f>
        <v>Red</v>
      </c>
      <c r="Q562" t="str">
        <f>IF($J562&lt;$K562,"Green","Red")</f>
        <v>Red</v>
      </c>
      <c r="R562" t="str">
        <f>IF($J562&gt;=$K562,"Green","Red")</f>
        <v>Green</v>
      </c>
      <c r="S562" t="str">
        <f>IF($J562&lt;=$K562,"Green","Red")</f>
        <v>Red</v>
      </c>
      <c r="T562" t="str">
        <f>IF(OR($J562&gt;$K562,$J562&lt;$K562),"Green","Red")</f>
        <v>Green</v>
      </c>
      <c r="U562" t="str">
        <f>IF($H562&gt;$I562,"Green","Red")</f>
        <v>Green</v>
      </c>
      <c r="V562" t="str">
        <f>IF($H562=$I562,"Green","Red")</f>
        <v>Red</v>
      </c>
      <c r="W562" t="str">
        <f>IF($H562&lt;$I562,"Green","Red")</f>
        <v>Red</v>
      </c>
      <c r="X562" t="str">
        <f>IF($H562+$I562&gt;0,"Green","Red")</f>
        <v>Green</v>
      </c>
      <c r="Y562" t="str">
        <f>IF($J562+$K562&gt;1.5,"Green","Red")</f>
        <v>Green</v>
      </c>
      <c r="Z562" t="str">
        <f>IF($J562+$K562&gt;2.5,"Green","Red")</f>
        <v>Green</v>
      </c>
      <c r="AA562" t="str">
        <f>IF($J562+$K562&lt;2.5,"Green","Red")</f>
        <v>Red</v>
      </c>
      <c r="AB562" t="str">
        <f>IF($J562+$K562&lt;3.5,"Green","Red")</f>
        <v>Red</v>
      </c>
      <c r="AC562" t="str">
        <f>IF(AND($J562&gt;0,$K562&gt;0),"Green","Red")</f>
        <v>Green</v>
      </c>
      <c r="AD562" t="str">
        <f>IF(OR($J562=0,$K562=0),"Green","Red")</f>
        <v>Red</v>
      </c>
    </row>
    <row r="563" spans="1:30" x14ac:dyDescent="0.2">
      <c r="A563" t="str">
        <f>L563&amp;F563&amp;G563</f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>DAY(D563)&amp;"/"&amp;"07"&amp;"/"&amp;YEAR(D563)</f>
        <v>23/07/2026</v>
      </c>
      <c r="M563" s="23">
        <f>E563-TIME(3,0,0)</f>
        <v>0.67708333333333337</v>
      </c>
      <c r="N563" t="str">
        <f>J563&amp;" - "&amp;K563</f>
        <v>5 - 0</v>
      </c>
      <c r="O563" t="str">
        <f>IF($J563&gt;$K563,"Green","Red")</f>
        <v>Green</v>
      </c>
      <c r="P563" t="str">
        <f>IF($J563=$K563,"Green","Red")</f>
        <v>Red</v>
      </c>
      <c r="Q563" t="str">
        <f>IF($J563&lt;$K563,"Green","Red")</f>
        <v>Red</v>
      </c>
      <c r="R563" t="str">
        <f>IF($J563&gt;=$K563,"Green","Red")</f>
        <v>Green</v>
      </c>
      <c r="S563" t="str">
        <f>IF($J563&lt;=$K563,"Green","Red")</f>
        <v>Red</v>
      </c>
      <c r="T563" t="str">
        <f>IF(OR($J563&gt;$K563,$J563&lt;$K563),"Green","Red")</f>
        <v>Green</v>
      </c>
      <c r="U563" t="str">
        <f>IF($H563&gt;$I563,"Green","Red")</f>
        <v>Green</v>
      </c>
      <c r="V563" t="str">
        <f>IF($H563=$I563,"Green","Red")</f>
        <v>Red</v>
      </c>
      <c r="W563" t="str">
        <f>IF($H563&lt;$I563,"Green","Red")</f>
        <v>Red</v>
      </c>
      <c r="X563" t="str">
        <f>IF($H563+$I563&gt;0,"Green","Red")</f>
        <v>Green</v>
      </c>
      <c r="Y563" t="str">
        <f>IF($J563+$K563&gt;1.5,"Green","Red")</f>
        <v>Green</v>
      </c>
      <c r="Z563" t="str">
        <f>IF($J563+$K563&gt;2.5,"Green","Red")</f>
        <v>Green</v>
      </c>
      <c r="AA563" t="str">
        <f>IF($J563+$K563&lt;2.5,"Green","Red")</f>
        <v>Red</v>
      </c>
      <c r="AB563" t="str">
        <f>IF($J563+$K563&lt;3.5,"Green","Red")</f>
        <v>Red</v>
      </c>
      <c r="AC563" t="str">
        <f>IF(AND($J563&gt;0,$K563&gt;0),"Green","Red")</f>
        <v>Red</v>
      </c>
      <c r="AD563" t="str">
        <f>IF(OR($J563=0,$K563=0),"Green","Red")</f>
        <v>Green</v>
      </c>
    </row>
    <row r="564" spans="1:30" x14ac:dyDescent="0.2">
      <c r="A564" t="str">
        <f>L564&amp;F564&amp;G564</f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>DAY(D564)&amp;"/"&amp;"07"&amp;"/"&amp;YEAR(D564)</f>
        <v>23/07/2026</v>
      </c>
      <c r="M564" s="23">
        <f>E564-TIME(3,0,0)</f>
        <v>0.67708333333333337</v>
      </c>
      <c r="N564" t="str">
        <f>J564&amp;" - "&amp;K564</f>
        <v>7 - 2</v>
      </c>
      <c r="O564" t="str">
        <f>IF($J564&gt;$K564,"Green","Red")</f>
        <v>Green</v>
      </c>
      <c r="P564" t="str">
        <f>IF($J564=$K564,"Green","Red")</f>
        <v>Red</v>
      </c>
      <c r="Q564" t="str">
        <f>IF($J564&lt;$K564,"Green","Red")</f>
        <v>Red</v>
      </c>
      <c r="R564" t="str">
        <f>IF($J564&gt;=$K564,"Green","Red")</f>
        <v>Green</v>
      </c>
      <c r="S564" t="str">
        <f>IF($J564&lt;=$K564,"Green","Red")</f>
        <v>Red</v>
      </c>
      <c r="T564" t="str">
        <f>IF(OR($J564&gt;$K564,$J564&lt;$K564),"Green","Red")</f>
        <v>Green</v>
      </c>
      <c r="U564" t="str">
        <f>IF($H564&gt;$I564,"Green","Red")</f>
        <v>Green</v>
      </c>
      <c r="V564" t="str">
        <f>IF($H564=$I564,"Green","Red")</f>
        <v>Red</v>
      </c>
      <c r="W564" t="str">
        <f>IF($H564&lt;$I564,"Green","Red")</f>
        <v>Red</v>
      </c>
      <c r="X564" t="str">
        <f>IF($H564+$I564&gt;0,"Green","Red")</f>
        <v>Green</v>
      </c>
      <c r="Y564" t="str">
        <f>IF($J564+$K564&gt;1.5,"Green","Red")</f>
        <v>Green</v>
      </c>
      <c r="Z564" t="str">
        <f>IF($J564+$K564&gt;2.5,"Green","Red")</f>
        <v>Green</v>
      </c>
      <c r="AA564" t="str">
        <f>IF($J564+$K564&lt;2.5,"Green","Red")</f>
        <v>Red</v>
      </c>
      <c r="AB564" t="str">
        <f>IF($J564+$K564&lt;3.5,"Green","Red")</f>
        <v>Red</v>
      </c>
      <c r="AC564" t="str">
        <f>IF(AND($J564&gt;0,$K564&gt;0),"Green","Red")</f>
        <v>Green</v>
      </c>
      <c r="AD564" t="str">
        <f>IF(OR($J564=0,$K564=0),"Green","Red")</f>
        <v>Red</v>
      </c>
    </row>
    <row r="565" spans="1:30" x14ac:dyDescent="0.2">
      <c r="A565" t="str">
        <f>L565&amp;F565&amp;G565</f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>DAY(D565)&amp;"/"&amp;"07"&amp;"/"&amp;YEAR(D565)</f>
        <v>23/07/2026</v>
      </c>
      <c r="M565" s="23">
        <f>E565-TIME(3,0,0)</f>
        <v>0.67708333333333337</v>
      </c>
      <c r="N565" t="str">
        <f>J565&amp;" - "&amp;K565</f>
        <v>5 - 2</v>
      </c>
      <c r="O565" t="str">
        <f>IF($J565&gt;$K565,"Green","Red")</f>
        <v>Green</v>
      </c>
      <c r="P565" t="str">
        <f>IF($J565=$K565,"Green","Red")</f>
        <v>Red</v>
      </c>
      <c r="Q565" t="str">
        <f>IF($J565&lt;$K565,"Green","Red")</f>
        <v>Red</v>
      </c>
      <c r="R565" t="str">
        <f>IF($J565&gt;=$K565,"Green","Red")</f>
        <v>Green</v>
      </c>
      <c r="S565" t="str">
        <f>IF($J565&lt;=$K565,"Green","Red")</f>
        <v>Red</v>
      </c>
      <c r="T565" t="str">
        <f>IF(OR($J565&gt;$K565,$J565&lt;$K565),"Green","Red")</f>
        <v>Green</v>
      </c>
      <c r="U565" t="str">
        <f>IF($H565&gt;$I565,"Green","Red")</f>
        <v>Red</v>
      </c>
      <c r="V565" t="str">
        <f>IF($H565=$I565,"Green","Red")</f>
        <v>Green</v>
      </c>
      <c r="W565" t="str">
        <f>IF($H565&lt;$I565,"Green","Red")</f>
        <v>Red</v>
      </c>
      <c r="X565" t="str">
        <f>IF($H565+$I565&gt;0,"Green","Red")</f>
        <v>Green</v>
      </c>
      <c r="Y565" t="str">
        <f>IF($J565+$K565&gt;1.5,"Green","Red")</f>
        <v>Green</v>
      </c>
      <c r="Z565" t="str">
        <f>IF($J565+$K565&gt;2.5,"Green","Red")</f>
        <v>Green</v>
      </c>
      <c r="AA565" t="str">
        <f>IF($J565+$K565&lt;2.5,"Green","Red")</f>
        <v>Red</v>
      </c>
      <c r="AB565" t="str">
        <f>IF($J565+$K565&lt;3.5,"Green","Red")</f>
        <v>Red</v>
      </c>
      <c r="AC565" t="str">
        <f>IF(AND($J565&gt;0,$K565&gt;0),"Green","Red")</f>
        <v>Green</v>
      </c>
      <c r="AD565" t="str">
        <f>IF(OR($J565=0,$K565=0),"Green","Red")</f>
        <v>Red</v>
      </c>
    </row>
    <row r="566" spans="1:30" x14ac:dyDescent="0.2">
      <c r="A566" t="str">
        <f>L566&amp;F566&amp;G566</f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>DAY(D566)&amp;"/"&amp;"07"&amp;"/"&amp;YEAR(D566)</f>
        <v>23/07/2026</v>
      </c>
      <c r="M566" s="23">
        <f>E566-TIME(3,0,0)</f>
        <v>0.67708333333333337</v>
      </c>
      <c r="N566" t="str">
        <f>J566&amp;" - "&amp;K566</f>
        <v>3 - 2</v>
      </c>
      <c r="O566" t="str">
        <f>IF($J566&gt;$K566,"Green","Red")</f>
        <v>Green</v>
      </c>
      <c r="P566" t="str">
        <f>IF($J566=$K566,"Green","Red")</f>
        <v>Red</v>
      </c>
      <c r="Q566" t="str">
        <f>IF($J566&lt;$K566,"Green","Red")</f>
        <v>Red</v>
      </c>
      <c r="R566" t="str">
        <f>IF($J566&gt;=$K566,"Green","Red")</f>
        <v>Green</v>
      </c>
      <c r="S566" t="str">
        <f>IF($J566&lt;=$K566,"Green","Red")</f>
        <v>Red</v>
      </c>
      <c r="T566" t="str">
        <f>IF(OR($J566&gt;$K566,$J566&lt;$K566),"Green","Red")</f>
        <v>Green</v>
      </c>
      <c r="U566" t="str">
        <f>IF($H566&gt;$I566,"Green","Red")</f>
        <v>Green</v>
      </c>
      <c r="V566" t="str">
        <f>IF($H566=$I566,"Green","Red")</f>
        <v>Red</v>
      </c>
      <c r="W566" t="str">
        <f>IF($H566&lt;$I566,"Green","Red")</f>
        <v>Red</v>
      </c>
      <c r="X566" t="str">
        <f>IF($H566+$I566&gt;0,"Green","Red")</f>
        <v>Green</v>
      </c>
      <c r="Y566" t="str">
        <f>IF($J566+$K566&gt;1.5,"Green","Red")</f>
        <v>Green</v>
      </c>
      <c r="Z566" t="str">
        <f>IF($J566+$K566&gt;2.5,"Green","Red")</f>
        <v>Green</v>
      </c>
      <c r="AA566" t="str">
        <f>IF($J566+$K566&lt;2.5,"Green","Red")</f>
        <v>Red</v>
      </c>
      <c r="AB566" t="str">
        <f>IF($J566+$K566&lt;3.5,"Green","Red")</f>
        <v>Red</v>
      </c>
      <c r="AC566" t="str">
        <f>IF(AND($J566&gt;0,$K566&gt;0),"Green","Red")</f>
        <v>Green</v>
      </c>
      <c r="AD566" t="str">
        <f>IF(OR($J566=0,$K566=0),"Green","Red")</f>
        <v>Red</v>
      </c>
    </row>
    <row r="567" spans="1:30" x14ac:dyDescent="0.2">
      <c r="A567" t="str">
        <f>L567&amp;F567&amp;G567</f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>DAY(D567)&amp;"/"&amp;"07"&amp;"/"&amp;YEAR(D567)</f>
        <v>23/07/2026</v>
      </c>
      <c r="M567" s="23">
        <f>E567-TIME(3,0,0)</f>
        <v>0.67708333333333337</v>
      </c>
      <c r="N567" t="str">
        <f>J567&amp;" - "&amp;K567</f>
        <v>0 - 1</v>
      </c>
      <c r="O567" t="str">
        <f>IF($J567&gt;$K567,"Green","Red")</f>
        <v>Red</v>
      </c>
      <c r="P567" t="str">
        <f>IF($J567=$K567,"Green","Red")</f>
        <v>Red</v>
      </c>
      <c r="Q567" t="str">
        <f>IF($J567&lt;$K567,"Green","Red")</f>
        <v>Green</v>
      </c>
      <c r="R567" t="str">
        <f>IF($J567&gt;=$K567,"Green","Red")</f>
        <v>Red</v>
      </c>
      <c r="S567" t="str">
        <f>IF($J567&lt;=$K567,"Green","Red")</f>
        <v>Green</v>
      </c>
      <c r="T567" t="str">
        <f>IF(OR($J567&gt;$K567,$J567&lt;$K567),"Green","Red")</f>
        <v>Green</v>
      </c>
      <c r="U567" t="str">
        <f>IF($H567&gt;$I567,"Green","Red")</f>
        <v>Red</v>
      </c>
      <c r="V567" t="str">
        <f>IF($H567=$I567,"Green","Red")</f>
        <v>Red</v>
      </c>
      <c r="W567" t="str">
        <f>IF($H567&lt;$I567,"Green","Red")</f>
        <v>Green</v>
      </c>
      <c r="X567" t="str">
        <f>IF($H567+$I567&gt;0,"Green","Red")</f>
        <v>Green</v>
      </c>
      <c r="Y567" t="str">
        <f>IF($J567+$K567&gt;1.5,"Green","Red")</f>
        <v>Red</v>
      </c>
      <c r="Z567" t="str">
        <f>IF($J567+$K567&gt;2.5,"Green","Red")</f>
        <v>Red</v>
      </c>
      <c r="AA567" t="str">
        <f>IF($J567+$K567&lt;2.5,"Green","Red")</f>
        <v>Green</v>
      </c>
      <c r="AB567" t="str">
        <f>IF($J567+$K567&lt;3.5,"Green","Red")</f>
        <v>Green</v>
      </c>
      <c r="AC567" t="str">
        <f>IF(AND($J567&gt;0,$K567&gt;0),"Green","Red")</f>
        <v>Red</v>
      </c>
      <c r="AD567" t="str">
        <f>IF(OR($J567=0,$K567=0),"Green","Red")</f>
        <v>Green</v>
      </c>
    </row>
    <row r="568" spans="1:30" x14ac:dyDescent="0.2">
      <c r="A568" t="str">
        <f>L568&amp;F568&amp;G568</f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>DAY(D568)&amp;"/"&amp;"07"&amp;"/"&amp;YEAR(D568)</f>
        <v>23/07/2026</v>
      </c>
      <c r="M568" s="23">
        <f>E568-TIME(3,0,0)</f>
        <v>0.67708333333333337</v>
      </c>
      <c r="N568" t="str">
        <f>J568&amp;" - "&amp;K568</f>
        <v>3 - 0</v>
      </c>
      <c r="O568" t="str">
        <f>IF($J568&gt;$K568,"Green","Red")</f>
        <v>Green</v>
      </c>
      <c r="P568" t="str">
        <f>IF($J568=$K568,"Green","Red")</f>
        <v>Red</v>
      </c>
      <c r="Q568" t="str">
        <f>IF($J568&lt;$K568,"Green","Red")</f>
        <v>Red</v>
      </c>
      <c r="R568" t="str">
        <f>IF($J568&gt;=$K568,"Green","Red")</f>
        <v>Green</v>
      </c>
      <c r="S568" t="str">
        <f>IF($J568&lt;=$K568,"Green","Red")</f>
        <v>Red</v>
      </c>
      <c r="T568" t="str">
        <f>IF(OR($J568&gt;$K568,$J568&lt;$K568),"Green","Red")</f>
        <v>Green</v>
      </c>
      <c r="U568" t="str">
        <f>IF($H568&gt;$I568,"Green","Red")</f>
        <v>Green</v>
      </c>
      <c r="V568" t="str">
        <f>IF($H568=$I568,"Green","Red")</f>
        <v>Red</v>
      </c>
      <c r="W568" t="str">
        <f>IF($H568&lt;$I568,"Green","Red")</f>
        <v>Red</v>
      </c>
      <c r="X568" t="str">
        <f>IF($H568+$I568&gt;0,"Green","Red")</f>
        <v>Green</v>
      </c>
      <c r="Y568" t="str">
        <f>IF($J568+$K568&gt;1.5,"Green","Red")</f>
        <v>Green</v>
      </c>
      <c r="Z568" t="str">
        <f>IF($J568+$K568&gt;2.5,"Green","Red")</f>
        <v>Green</v>
      </c>
      <c r="AA568" t="str">
        <f>IF($J568+$K568&lt;2.5,"Green","Red")</f>
        <v>Red</v>
      </c>
      <c r="AB568" t="str">
        <f>IF($J568+$K568&lt;3.5,"Green","Red")</f>
        <v>Green</v>
      </c>
      <c r="AC568" t="str">
        <f>IF(AND($J568&gt;0,$K568&gt;0),"Green","Red")</f>
        <v>Red</v>
      </c>
      <c r="AD568" t="str">
        <f>IF(OR($J568=0,$K568=0),"Green","Red")</f>
        <v>Green</v>
      </c>
    </row>
    <row r="569" spans="1:30" x14ac:dyDescent="0.2">
      <c r="A569" t="str">
        <f>L569&amp;F569&amp;G569</f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>DAY(D569)&amp;"/"&amp;"07"&amp;"/"&amp;YEAR(D569)</f>
        <v>23/07/2026</v>
      </c>
      <c r="M569" s="23">
        <f>E569-TIME(3,0,0)</f>
        <v>0.72916666666666663</v>
      </c>
      <c r="N569" t="str">
        <f>J569&amp;" - "&amp;K569</f>
        <v>2 - 0</v>
      </c>
      <c r="O569" t="str">
        <f>IF($J569&gt;$K569,"Green","Red")</f>
        <v>Green</v>
      </c>
      <c r="P569" t="str">
        <f>IF($J569=$K569,"Green","Red")</f>
        <v>Red</v>
      </c>
      <c r="Q569" t="str">
        <f>IF($J569&lt;$K569,"Green","Red")</f>
        <v>Red</v>
      </c>
      <c r="R569" t="str">
        <f>IF($J569&gt;=$K569,"Green","Red")</f>
        <v>Green</v>
      </c>
      <c r="S569" t="str">
        <f>IF($J569&lt;=$K569,"Green","Red")</f>
        <v>Red</v>
      </c>
      <c r="T569" t="str">
        <f>IF(OR($J569&gt;$K569,$J569&lt;$K569),"Green","Red")</f>
        <v>Green</v>
      </c>
      <c r="U569" t="str">
        <f>IF($H569&gt;$I569,"Green","Red")</f>
        <v>Red</v>
      </c>
      <c r="V569" t="str">
        <f>IF($H569=$I569,"Green","Red")</f>
        <v>Green</v>
      </c>
      <c r="W569" t="str">
        <f>IF($H569&lt;$I569,"Green","Red")</f>
        <v>Red</v>
      </c>
      <c r="X569" t="str">
        <f>IF($H569+$I569&gt;0,"Green","Red")</f>
        <v>Red</v>
      </c>
      <c r="Y569" t="str">
        <f>IF($J569+$K569&gt;1.5,"Green","Red")</f>
        <v>Green</v>
      </c>
      <c r="Z569" t="str">
        <f>IF($J569+$K569&gt;2.5,"Green","Red")</f>
        <v>Red</v>
      </c>
      <c r="AA569" t="str">
        <f>IF($J569+$K569&lt;2.5,"Green","Red")</f>
        <v>Green</v>
      </c>
      <c r="AB569" t="str">
        <f>IF($J569+$K569&lt;3.5,"Green","Red")</f>
        <v>Green</v>
      </c>
      <c r="AC569" t="str">
        <f>IF(AND($J569&gt;0,$K569&gt;0),"Green","Red")</f>
        <v>Red</v>
      </c>
      <c r="AD569" t="str">
        <f>IF(OR($J569=0,$K569=0),"Green","Red")</f>
        <v>Green</v>
      </c>
    </row>
    <row r="570" spans="1:30" x14ac:dyDescent="0.2">
      <c r="A570" t="str">
        <f>L570&amp;F570&amp;G570</f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>DAY(D570)&amp;"/"&amp;"07"&amp;"/"&amp;YEAR(D570)</f>
        <v>23/07/2026</v>
      </c>
      <c r="M570" s="23">
        <f>E570-TIME(3,0,0)</f>
        <v>0.75</v>
      </c>
      <c r="N570" t="str">
        <f>J570&amp;" - "&amp;K570</f>
        <v>0 - 10</v>
      </c>
      <c r="O570" t="str">
        <f>IF($J570&gt;$K570,"Green","Red")</f>
        <v>Red</v>
      </c>
      <c r="P570" t="str">
        <f>IF($J570=$K570,"Green","Red")</f>
        <v>Red</v>
      </c>
      <c r="Q570" t="str">
        <f>IF($J570&lt;$K570,"Green","Red")</f>
        <v>Green</v>
      </c>
      <c r="R570" t="str">
        <f>IF($J570&gt;=$K570,"Green","Red")</f>
        <v>Red</v>
      </c>
      <c r="S570" t="str">
        <f>IF($J570&lt;=$K570,"Green","Red")</f>
        <v>Green</v>
      </c>
      <c r="T570" t="str">
        <f>IF(OR($J570&gt;$K570,$J570&lt;$K570),"Green","Red")</f>
        <v>Green</v>
      </c>
      <c r="U570" t="str">
        <f>IF($H570&gt;$I570,"Green","Red")</f>
        <v>Red</v>
      </c>
      <c r="V570" t="str">
        <f>IF($H570=$I570,"Green","Red")</f>
        <v>Red</v>
      </c>
      <c r="W570" t="str">
        <f>IF($H570&lt;$I570,"Green","Red")</f>
        <v>Green</v>
      </c>
      <c r="X570" t="str">
        <f>IF($H570+$I570&gt;0,"Green","Red")</f>
        <v>Green</v>
      </c>
      <c r="Y570" t="str">
        <f>IF($J570+$K570&gt;1.5,"Green","Red")</f>
        <v>Green</v>
      </c>
      <c r="Z570" t="str">
        <f>IF($J570+$K570&gt;2.5,"Green","Red")</f>
        <v>Green</v>
      </c>
      <c r="AA570" t="str">
        <f>IF($J570+$K570&lt;2.5,"Green","Red")</f>
        <v>Red</v>
      </c>
      <c r="AB570" t="str">
        <f>IF($J570+$K570&lt;3.5,"Green","Red")</f>
        <v>Red</v>
      </c>
      <c r="AC570" t="str">
        <f>IF(AND($J570&gt;0,$K570&gt;0),"Green","Red")</f>
        <v>Red</v>
      </c>
      <c r="AD570" t="str">
        <f>IF(OR($J570=0,$K570=0),"Green","Red")</f>
        <v>Green</v>
      </c>
    </row>
    <row r="571" spans="1:30" x14ac:dyDescent="0.2">
      <c r="A571" t="str">
        <f>L571&amp;F571&amp;G571</f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>DAY(D571)&amp;"/"&amp;"07"&amp;"/"&amp;YEAR(D571)</f>
        <v>23/07/2026</v>
      </c>
      <c r="M571" s="23">
        <f>E571-TIME(3,0,0)</f>
        <v>0.77083333333333337</v>
      </c>
      <c r="N571" t="str">
        <f>J571&amp;" - "&amp;K571</f>
        <v>1 - 1</v>
      </c>
      <c r="O571" t="str">
        <f>IF($J571&gt;$K571,"Green","Red")</f>
        <v>Red</v>
      </c>
      <c r="P571" t="str">
        <f>IF($J571=$K571,"Green","Red")</f>
        <v>Green</v>
      </c>
      <c r="Q571" t="str">
        <f>IF($J571&lt;$K571,"Green","Red")</f>
        <v>Red</v>
      </c>
      <c r="R571" t="str">
        <f>IF($J571&gt;=$K571,"Green","Red")</f>
        <v>Green</v>
      </c>
      <c r="S571" t="str">
        <f>IF($J571&lt;=$K571,"Green","Red")</f>
        <v>Green</v>
      </c>
      <c r="T571" t="str">
        <f>IF(OR($J571&gt;$K571,$J571&lt;$K571),"Green","Red")</f>
        <v>Red</v>
      </c>
      <c r="U571" t="str">
        <f>IF($H571&gt;$I571,"Green","Red")</f>
        <v>Red</v>
      </c>
      <c r="V571" t="str">
        <f>IF($H571=$I571,"Green","Red")</f>
        <v>Red</v>
      </c>
      <c r="W571" t="str">
        <f>IF($H571&lt;$I571,"Green","Red")</f>
        <v>Green</v>
      </c>
      <c r="X571" t="str">
        <f>IF($H571+$I571&gt;0,"Green","Red")</f>
        <v>Green</v>
      </c>
      <c r="Y571" t="str">
        <f>IF($J571+$K571&gt;1.5,"Green","Red")</f>
        <v>Green</v>
      </c>
      <c r="Z571" t="str">
        <f>IF($J571+$K571&gt;2.5,"Green","Red")</f>
        <v>Red</v>
      </c>
      <c r="AA571" t="str">
        <f>IF($J571+$K571&lt;2.5,"Green","Red")</f>
        <v>Green</v>
      </c>
      <c r="AB571" t="str">
        <f>IF($J571+$K571&lt;3.5,"Green","Red")</f>
        <v>Green</v>
      </c>
      <c r="AC571" t="str">
        <f>IF(AND($J571&gt;0,$K571&gt;0),"Green","Red")</f>
        <v>Green</v>
      </c>
      <c r="AD571" t="str">
        <f>IF(OR($J571=0,$K571=0),"Green","Red")</f>
        <v>Red</v>
      </c>
    </row>
    <row r="572" spans="1:30" x14ac:dyDescent="0.2">
      <c r="A572" t="str">
        <f>L572&amp;F572&amp;G572</f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>DAY(D572)&amp;"/"&amp;"07"&amp;"/"&amp;YEAR(D572)</f>
        <v>23/07/2026</v>
      </c>
      <c r="M572" s="23">
        <f>E572-TIME(3,0,0)</f>
        <v>0.77083333333333337</v>
      </c>
      <c r="N572" t="str">
        <f>J572&amp;" - "&amp;K572</f>
        <v>2 - 1</v>
      </c>
      <c r="O572" t="str">
        <f>IF($J572&gt;$K572,"Green","Red")</f>
        <v>Green</v>
      </c>
      <c r="P572" t="str">
        <f>IF($J572=$K572,"Green","Red")</f>
        <v>Red</v>
      </c>
      <c r="Q572" t="str">
        <f>IF($J572&lt;$K572,"Green","Red")</f>
        <v>Red</v>
      </c>
      <c r="R572" t="str">
        <f>IF($J572&gt;=$K572,"Green","Red")</f>
        <v>Green</v>
      </c>
      <c r="S572" t="str">
        <f>IF($J572&lt;=$K572,"Green","Red")</f>
        <v>Red</v>
      </c>
      <c r="T572" t="str">
        <f>IF(OR($J572&gt;$K572,$J572&lt;$K572),"Green","Red")</f>
        <v>Green</v>
      </c>
      <c r="U572" t="str">
        <f>IF($H572&gt;$I572,"Green","Red")</f>
        <v>Red</v>
      </c>
      <c r="V572" t="str">
        <f>IF($H572=$I572,"Green","Red")</f>
        <v>Green</v>
      </c>
      <c r="W572" t="str">
        <f>IF($H572&lt;$I572,"Green","Red")</f>
        <v>Red</v>
      </c>
      <c r="X572" t="str">
        <f>IF($H572+$I572&gt;0,"Green","Red")</f>
        <v>Green</v>
      </c>
      <c r="Y572" t="str">
        <f>IF($J572+$K572&gt;1.5,"Green","Red")</f>
        <v>Green</v>
      </c>
      <c r="Z572" t="str">
        <f>IF($J572+$K572&gt;2.5,"Green","Red")</f>
        <v>Green</v>
      </c>
      <c r="AA572" t="str">
        <f>IF($J572+$K572&lt;2.5,"Green","Red")</f>
        <v>Red</v>
      </c>
      <c r="AB572" t="str">
        <f>IF($J572+$K572&lt;3.5,"Green","Red")</f>
        <v>Green</v>
      </c>
      <c r="AC572" t="str">
        <f>IF(AND($J572&gt;0,$K572&gt;0),"Green","Red")</f>
        <v>Green</v>
      </c>
      <c r="AD572" t="str">
        <f>IF(OR($J572=0,$K572=0),"Green","Red")</f>
        <v>Red</v>
      </c>
    </row>
    <row r="573" spans="1:30" x14ac:dyDescent="0.2">
      <c r="A573" t="str">
        <f>L573&amp;F573&amp;G573</f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>DAY(D573)&amp;"/"&amp;"07"&amp;"/"&amp;YEAR(D573)</f>
        <v>23/07/2026</v>
      </c>
      <c r="M573" s="23">
        <f>E573-TIME(3,0,0)</f>
        <v>0.79166666666666663</v>
      </c>
      <c r="N573" t="str">
        <f>J573&amp;" - "&amp;K573</f>
        <v>3 - 2</v>
      </c>
      <c r="O573" t="str">
        <f>IF($J573&gt;$K573,"Green","Red")</f>
        <v>Green</v>
      </c>
      <c r="P573" t="str">
        <f>IF($J573=$K573,"Green","Red")</f>
        <v>Red</v>
      </c>
      <c r="Q573" t="str">
        <f>IF($J573&lt;$K573,"Green","Red")</f>
        <v>Red</v>
      </c>
      <c r="R573" t="str">
        <f>IF($J573&gt;=$K573,"Green","Red")</f>
        <v>Green</v>
      </c>
      <c r="S573" t="str">
        <f>IF($J573&lt;=$K573,"Green","Red")</f>
        <v>Red</v>
      </c>
      <c r="T573" t="str">
        <f>IF(OR($J573&gt;$K573,$J573&lt;$K573),"Green","Red")</f>
        <v>Green</v>
      </c>
      <c r="U573" t="str">
        <f>IF($H573&gt;$I573,"Green","Red")</f>
        <v>Red</v>
      </c>
      <c r="V573" t="str">
        <f>IF($H573=$I573,"Green","Red")</f>
        <v>Green</v>
      </c>
      <c r="W573" t="str">
        <f>IF($H573&lt;$I573,"Green","Red")</f>
        <v>Red</v>
      </c>
      <c r="X573" t="str">
        <f>IF($H573+$I573&gt;0,"Green","Red")</f>
        <v>Green</v>
      </c>
      <c r="Y573" t="str">
        <f>IF($J573+$K573&gt;1.5,"Green","Red")</f>
        <v>Green</v>
      </c>
      <c r="Z573" t="str">
        <f>IF($J573+$K573&gt;2.5,"Green","Red")</f>
        <v>Green</v>
      </c>
      <c r="AA573" t="str">
        <f>IF($J573+$K573&lt;2.5,"Green","Red")</f>
        <v>Red</v>
      </c>
      <c r="AB573" t="str">
        <f>IF($J573+$K573&lt;3.5,"Green","Red")</f>
        <v>Red</v>
      </c>
      <c r="AC573" t="str">
        <f>IF(AND($J573&gt;0,$K573&gt;0),"Green","Red")</f>
        <v>Green</v>
      </c>
      <c r="AD573" t="str">
        <f>IF(OR($J573=0,$K573=0),"Green","Red")</f>
        <v>Red</v>
      </c>
    </row>
    <row r="574" spans="1:30" x14ac:dyDescent="0.2">
      <c r="A574" t="str">
        <f>L574&amp;F574&amp;G574</f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>DAY(D574)&amp;"/"&amp;"07"&amp;"/"&amp;YEAR(D574)</f>
        <v>23/07/2026</v>
      </c>
      <c r="M574" s="23">
        <f>E574-TIME(3,0,0)</f>
        <v>0.8125</v>
      </c>
      <c r="N574" t="str">
        <f>J574&amp;" - "&amp;K574</f>
        <v>3 - 0</v>
      </c>
      <c r="O574" t="str">
        <f>IF($J574&gt;$K574,"Green","Red")</f>
        <v>Green</v>
      </c>
      <c r="P574" t="str">
        <f>IF($J574=$K574,"Green","Red")</f>
        <v>Red</v>
      </c>
      <c r="Q574" t="str">
        <f>IF($J574&lt;$K574,"Green","Red")</f>
        <v>Red</v>
      </c>
      <c r="R574" t="str">
        <f>IF($J574&gt;=$K574,"Green","Red")</f>
        <v>Green</v>
      </c>
      <c r="S574" t="str">
        <f>IF($J574&lt;=$K574,"Green","Red")</f>
        <v>Red</v>
      </c>
      <c r="T574" t="str">
        <f>IF(OR($J574&gt;$K574,$J574&lt;$K574),"Green","Red")</f>
        <v>Green</v>
      </c>
      <c r="U574" t="str">
        <f>IF($H574&gt;$I574,"Green","Red")</f>
        <v>Green</v>
      </c>
      <c r="V574" t="str">
        <f>IF($H574=$I574,"Green","Red")</f>
        <v>Red</v>
      </c>
      <c r="W574" t="str">
        <f>IF($H574&lt;$I574,"Green","Red")</f>
        <v>Red</v>
      </c>
      <c r="X574" t="str">
        <f>IF($H574+$I574&gt;0,"Green","Red")</f>
        <v>Green</v>
      </c>
      <c r="Y574" t="str">
        <f>IF($J574+$K574&gt;1.5,"Green","Red")</f>
        <v>Green</v>
      </c>
      <c r="Z574" t="str">
        <f>IF($J574+$K574&gt;2.5,"Green","Red")</f>
        <v>Green</v>
      </c>
      <c r="AA574" t="str">
        <f>IF($J574+$K574&lt;2.5,"Green","Red")</f>
        <v>Red</v>
      </c>
      <c r="AB574" t="str">
        <f>IF($J574+$K574&lt;3.5,"Green","Red")</f>
        <v>Green</v>
      </c>
      <c r="AC574" t="str">
        <f>IF(AND($J574&gt;0,$K574&gt;0),"Green","Red")</f>
        <v>Red</v>
      </c>
      <c r="AD574" t="str">
        <f>IF(OR($J574=0,$K574=0),"Green","Red")</f>
        <v>Green</v>
      </c>
    </row>
    <row r="575" spans="1:30" x14ac:dyDescent="0.2">
      <c r="A575" t="str">
        <f>L575&amp;F575&amp;G575</f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>DAY(D575)&amp;"/"&amp;"07"&amp;"/"&amp;YEAR(D575)</f>
        <v>23/07/2026</v>
      </c>
      <c r="M575" s="23">
        <f>E575-TIME(3,0,0)</f>
        <v>0.8125</v>
      </c>
      <c r="N575" t="str">
        <f>J575&amp;" - "&amp;K575</f>
        <v>0 - 0</v>
      </c>
      <c r="O575" t="str">
        <f>IF($J575&gt;$K575,"Green","Red")</f>
        <v>Red</v>
      </c>
      <c r="P575" t="str">
        <f>IF($J575=$K575,"Green","Red")</f>
        <v>Green</v>
      </c>
      <c r="Q575" t="str">
        <f>IF($J575&lt;$K575,"Green","Red")</f>
        <v>Red</v>
      </c>
      <c r="R575" t="str">
        <f>IF($J575&gt;=$K575,"Green","Red")</f>
        <v>Green</v>
      </c>
      <c r="S575" t="str">
        <f>IF($J575&lt;=$K575,"Green","Red")</f>
        <v>Green</v>
      </c>
      <c r="T575" t="str">
        <f>IF(OR($J575&gt;$K575,$J575&lt;$K575),"Green","Red")</f>
        <v>Red</v>
      </c>
      <c r="U575" t="str">
        <f>IF($H575&gt;$I575,"Green","Red")</f>
        <v>Red</v>
      </c>
      <c r="V575" t="str">
        <f>IF($H575=$I575,"Green","Red")</f>
        <v>Green</v>
      </c>
      <c r="W575" t="str">
        <f>IF($H575&lt;$I575,"Green","Red")</f>
        <v>Red</v>
      </c>
      <c r="X575" t="str">
        <f>IF($H575+$I575&gt;0,"Green","Red")</f>
        <v>Red</v>
      </c>
      <c r="Y575" t="str">
        <f>IF($J575+$K575&gt;1.5,"Green","Red")</f>
        <v>Red</v>
      </c>
      <c r="Z575" t="str">
        <f>IF($J575+$K575&gt;2.5,"Green","Red")</f>
        <v>Red</v>
      </c>
      <c r="AA575" t="str">
        <f>IF($J575+$K575&lt;2.5,"Green","Red")</f>
        <v>Green</v>
      </c>
      <c r="AB575" t="str">
        <f>IF($J575+$K575&lt;3.5,"Green","Red")</f>
        <v>Green</v>
      </c>
      <c r="AC575" t="str">
        <f>IF(AND($J575&gt;0,$K575&gt;0),"Green","Red")</f>
        <v>Red</v>
      </c>
      <c r="AD575" t="str">
        <f>IF(OR($J575=0,$K575=0),"Green","Red")</f>
        <v>Green</v>
      </c>
    </row>
    <row r="576" spans="1:30" x14ac:dyDescent="0.2">
      <c r="A576" t="str">
        <f>L576&amp;F576&amp;G576</f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>DAY(D576)&amp;"/"&amp;"07"&amp;"/"&amp;YEAR(D576)</f>
        <v>23/07/2026</v>
      </c>
      <c r="M576" s="23">
        <f>E576-TIME(3,0,0)</f>
        <v>0.8125</v>
      </c>
      <c r="N576" t="str">
        <f>J576&amp;" - "&amp;K576</f>
        <v>2 - 1</v>
      </c>
      <c r="O576" t="str">
        <f>IF($J576&gt;$K576,"Green","Red")</f>
        <v>Green</v>
      </c>
      <c r="P576" t="str">
        <f>IF($J576=$K576,"Green","Red")</f>
        <v>Red</v>
      </c>
      <c r="Q576" t="str">
        <f>IF($J576&lt;$K576,"Green","Red")</f>
        <v>Red</v>
      </c>
      <c r="R576" t="str">
        <f>IF($J576&gt;=$K576,"Green","Red")</f>
        <v>Green</v>
      </c>
      <c r="S576" t="str">
        <f>IF($J576&lt;=$K576,"Green","Red")</f>
        <v>Red</v>
      </c>
      <c r="T576" t="str">
        <f>IF(OR($J576&gt;$K576,$J576&lt;$K576),"Green","Red")</f>
        <v>Green</v>
      </c>
      <c r="U576" t="str">
        <f>IF($H576&gt;$I576,"Green","Red")</f>
        <v>Green</v>
      </c>
      <c r="V576" t="str">
        <f>IF($H576=$I576,"Green","Red")</f>
        <v>Red</v>
      </c>
      <c r="W576" t="str">
        <f>IF($H576&lt;$I576,"Green","Red")</f>
        <v>Red</v>
      </c>
      <c r="X576" t="str">
        <f>IF($H576+$I576&gt;0,"Green","Red")</f>
        <v>Green</v>
      </c>
      <c r="Y576" t="str">
        <f>IF($J576+$K576&gt;1.5,"Green","Red")</f>
        <v>Green</v>
      </c>
      <c r="Z576" t="str">
        <f>IF($J576+$K576&gt;2.5,"Green","Red")</f>
        <v>Green</v>
      </c>
      <c r="AA576" t="str">
        <f>IF($J576+$K576&lt;2.5,"Green","Red")</f>
        <v>Red</v>
      </c>
      <c r="AB576" t="str">
        <f>IF($J576+$K576&lt;3.5,"Green","Red")</f>
        <v>Green</v>
      </c>
      <c r="AC576" t="str">
        <f>IF(AND($J576&gt;0,$K576&gt;0),"Green","Red")</f>
        <v>Green</v>
      </c>
      <c r="AD576" t="str">
        <f>IF(OR($J576=0,$K576=0),"Green","Red")</f>
        <v>Red</v>
      </c>
    </row>
    <row r="577" spans="1:30" x14ac:dyDescent="0.2">
      <c r="A577" t="str">
        <f>L577&amp;F577&amp;G577</f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>DAY(D577)&amp;"/"&amp;"07"&amp;"/"&amp;YEAR(D577)</f>
        <v>23/07/2026</v>
      </c>
      <c r="M577" s="23">
        <f>E577-TIME(3,0,0)</f>
        <v>0.8125</v>
      </c>
      <c r="N577" t="str">
        <f>J577&amp;" - "&amp;K577</f>
        <v>2 - 3</v>
      </c>
      <c r="O577" t="str">
        <f>IF($J577&gt;$K577,"Green","Red")</f>
        <v>Red</v>
      </c>
      <c r="P577" t="str">
        <f>IF($J577=$K577,"Green","Red")</f>
        <v>Red</v>
      </c>
      <c r="Q577" t="str">
        <f>IF($J577&lt;$K577,"Green","Red")</f>
        <v>Green</v>
      </c>
      <c r="R577" t="str">
        <f>IF($J577&gt;=$K577,"Green","Red")</f>
        <v>Red</v>
      </c>
      <c r="S577" t="str">
        <f>IF($J577&lt;=$K577,"Green","Red")</f>
        <v>Green</v>
      </c>
      <c r="T577" t="str">
        <f>IF(OR($J577&gt;$K577,$J577&lt;$K577),"Green","Red")</f>
        <v>Green</v>
      </c>
      <c r="U577" t="str">
        <f>IF($H577&gt;$I577,"Green","Red")</f>
        <v>Green</v>
      </c>
      <c r="V577" t="str">
        <f>IF($H577=$I577,"Green","Red")</f>
        <v>Red</v>
      </c>
      <c r="W577" t="str">
        <f>IF($H577&lt;$I577,"Green","Red")</f>
        <v>Red</v>
      </c>
      <c r="X577" t="str">
        <f>IF($H577+$I577&gt;0,"Green","Red")</f>
        <v>Green</v>
      </c>
      <c r="Y577" t="str">
        <f>IF($J577+$K577&gt;1.5,"Green","Red")</f>
        <v>Green</v>
      </c>
      <c r="Z577" t="str">
        <f>IF($J577+$K577&gt;2.5,"Green","Red")</f>
        <v>Green</v>
      </c>
      <c r="AA577" t="str">
        <f>IF($J577+$K577&lt;2.5,"Green","Red")</f>
        <v>Red</v>
      </c>
      <c r="AB577" t="str">
        <f>IF($J577+$K577&lt;3.5,"Green","Red")</f>
        <v>Red</v>
      </c>
      <c r="AC577" t="str">
        <f>IF(AND($J577&gt;0,$K577&gt;0),"Green","Red")</f>
        <v>Green</v>
      </c>
      <c r="AD577" t="str">
        <f>IF(OR($J577=0,$K577=0),"Green","Red")</f>
        <v>Red</v>
      </c>
    </row>
    <row r="578" spans="1:30" x14ac:dyDescent="0.2">
      <c r="A578" t="str">
        <f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>DAY(D578)&amp;"/"&amp;"07"&amp;"/"&amp;YEAR(D578)</f>
        <v>23/07/2026</v>
      </c>
      <c r="M578" s="23">
        <f>E578-TIME(3,0,0)</f>
        <v>0.8125</v>
      </c>
      <c r="N578" t="str">
        <f>J578&amp;" - "&amp;K578</f>
        <v>2 - 1</v>
      </c>
      <c r="O578" t="str">
        <f>IF($J578&gt;$K578,"Green","Red")</f>
        <v>Green</v>
      </c>
      <c r="P578" t="str">
        <f>IF($J578=$K578,"Green","Red")</f>
        <v>Red</v>
      </c>
      <c r="Q578" t="str">
        <f>IF($J578&lt;$K578,"Green","Red")</f>
        <v>Red</v>
      </c>
      <c r="R578" t="str">
        <f>IF($J578&gt;=$K578,"Green","Red")</f>
        <v>Green</v>
      </c>
      <c r="S578" t="str">
        <f>IF($J578&lt;=$K578,"Green","Red")</f>
        <v>Red</v>
      </c>
      <c r="T578" t="str">
        <f>IF(OR($J578&gt;$K578,$J578&lt;$K578),"Green","Red")</f>
        <v>Green</v>
      </c>
      <c r="U578" t="str">
        <f>IF($H578&gt;$I578,"Green","Red")</f>
        <v>Red</v>
      </c>
      <c r="V578" t="str">
        <f>IF($H578=$I578,"Green","Red")</f>
        <v>Green</v>
      </c>
      <c r="W578" t="str">
        <f>IF($H578&lt;$I578,"Green","Red")</f>
        <v>Red</v>
      </c>
      <c r="X578" t="str">
        <f>IF($H578+$I578&gt;0,"Green","Red")</f>
        <v>Green</v>
      </c>
      <c r="Y578" t="str">
        <f>IF($J578+$K578&gt;1.5,"Green","Red")</f>
        <v>Green</v>
      </c>
      <c r="Z578" t="str">
        <f>IF($J578+$K578&gt;2.5,"Green","Red")</f>
        <v>Green</v>
      </c>
      <c r="AA578" t="str">
        <f>IF($J578+$K578&lt;2.5,"Green","Red")</f>
        <v>Red</v>
      </c>
      <c r="AB578" t="str">
        <f>IF($J578+$K578&lt;3.5,"Green","Red")</f>
        <v>Green</v>
      </c>
      <c r="AC578" t="str">
        <f>IF(AND($J578&gt;0,$K578&gt;0),"Green","Red")</f>
        <v>Green</v>
      </c>
      <c r="AD578" t="str">
        <f>IF(OR($J578=0,$K578=0),"Green","Red")</f>
        <v>Red</v>
      </c>
    </row>
    <row r="579" spans="1:30" x14ac:dyDescent="0.2">
      <c r="A579" t="str">
        <f>L579&amp;F579&amp;G579</f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>DAY(D579)&amp;"/"&amp;"07"&amp;"/"&amp;YEAR(D579)</f>
        <v>23/07/2026</v>
      </c>
      <c r="M579" s="23">
        <f>E579-TIME(3,0,0)</f>
        <v>0.83333333333333337</v>
      </c>
      <c r="N579" t="str">
        <f>J579&amp;" - "&amp;K579</f>
        <v>2 - 1</v>
      </c>
      <c r="O579" t="str">
        <f>IF($J579&gt;$K579,"Green","Red")</f>
        <v>Green</v>
      </c>
      <c r="P579" t="str">
        <f>IF($J579=$K579,"Green","Red")</f>
        <v>Red</v>
      </c>
      <c r="Q579" t="str">
        <f>IF($J579&lt;$K579,"Green","Red")</f>
        <v>Red</v>
      </c>
      <c r="R579" t="str">
        <f>IF($J579&gt;=$K579,"Green","Red")</f>
        <v>Green</v>
      </c>
      <c r="S579" t="str">
        <f>IF($J579&lt;=$K579,"Green","Red")</f>
        <v>Red</v>
      </c>
      <c r="T579" t="str">
        <f>IF(OR($J579&gt;$K579,$J579&lt;$K579),"Green","Red")</f>
        <v>Green</v>
      </c>
      <c r="U579" t="str">
        <f>IF($H579&gt;$I579,"Green","Red")</f>
        <v>Green</v>
      </c>
      <c r="V579" t="str">
        <f>IF($H579=$I579,"Green","Red")</f>
        <v>Red</v>
      </c>
      <c r="W579" t="str">
        <f>IF($H579&lt;$I579,"Green","Red")</f>
        <v>Red</v>
      </c>
      <c r="X579" t="str">
        <f>IF($H579+$I579&gt;0,"Green","Red")</f>
        <v>Green</v>
      </c>
      <c r="Y579" t="str">
        <f>IF($J579+$K579&gt;1.5,"Green","Red")</f>
        <v>Green</v>
      </c>
      <c r="Z579" t="str">
        <f>IF($J579+$K579&gt;2.5,"Green","Red")</f>
        <v>Green</v>
      </c>
      <c r="AA579" t="str">
        <f>IF($J579+$K579&lt;2.5,"Green","Red")</f>
        <v>Red</v>
      </c>
      <c r="AB579" t="str">
        <f>IF($J579+$K579&lt;3.5,"Green","Red")</f>
        <v>Green</v>
      </c>
      <c r="AC579" t="str">
        <f>IF(AND($J579&gt;0,$K579&gt;0),"Green","Red")</f>
        <v>Green</v>
      </c>
      <c r="AD579" t="str">
        <f>IF(OR($J579=0,$K579=0),"Green","Red")</f>
        <v>Red</v>
      </c>
    </row>
    <row r="580" spans="1:30" x14ac:dyDescent="0.2">
      <c r="A580" t="str">
        <f>L580&amp;F580&amp;G580</f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>DAY(D580)&amp;"/"&amp;"07"&amp;"/"&amp;YEAR(D580)</f>
        <v>23/07/2026</v>
      </c>
      <c r="M580" s="23">
        <f>E580-TIME(3,0,0)</f>
        <v>0.83333333333333337</v>
      </c>
      <c r="N580" t="str">
        <f>J580&amp;" - "&amp;K580</f>
        <v>1 - 1</v>
      </c>
      <c r="O580" t="str">
        <f>IF($J580&gt;$K580,"Green","Red")</f>
        <v>Red</v>
      </c>
      <c r="P580" t="str">
        <f>IF($J580=$K580,"Green","Red")</f>
        <v>Green</v>
      </c>
      <c r="Q580" t="str">
        <f>IF($J580&lt;$K580,"Green","Red")</f>
        <v>Red</v>
      </c>
      <c r="R580" t="str">
        <f>IF($J580&gt;=$K580,"Green","Red")</f>
        <v>Green</v>
      </c>
      <c r="S580" t="str">
        <f>IF($J580&lt;=$K580,"Green","Red")</f>
        <v>Green</v>
      </c>
      <c r="T580" t="str">
        <f>IF(OR($J580&gt;$K580,$J580&lt;$K580),"Green","Red")</f>
        <v>Red</v>
      </c>
      <c r="U580" t="str">
        <f>IF($H580&gt;$I580,"Green","Red")</f>
        <v>Red</v>
      </c>
      <c r="V580" t="str">
        <f>IF($H580=$I580,"Green","Red")</f>
        <v>Green</v>
      </c>
      <c r="W580" t="str">
        <f>IF($H580&lt;$I580,"Green","Red")</f>
        <v>Red</v>
      </c>
      <c r="X580" t="str">
        <f>IF($H580+$I580&gt;0,"Green","Red")</f>
        <v>Red</v>
      </c>
      <c r="Y580" t="str">
        <f>IF($J580+$K580&gt;1.5,"Green","Red")</f>
        <v>Green</v>
      </c>
      <c r="Z580" t="str">
        <f>IF($J580+$K580&gt;2.5,"Green","Red")</f>
        <v>Red</v>
      </c>
      <c r="AA580" t="str">
        <f>IF($J580+$K580&lt;2.5,"Green","Red")</f>
        <v>Green</v>
      </c>
      <c r="AB580" t="str">
        <f>IF($J580+$K580&lt;3.5,"Green","Red")</f>
        <v>Green</v>
      </c>
      <c r="AC580" t="str">
        <f>IF(AND($J580&gt;0,$K580&gt;0),"Green","Red")</f>
        <v>Green</v>
      </c>
      <c r="AD580" t="str">
        <f>IF(OR($J580=0,$K580=0),"Green","Red")</f>
        <v>Red</v>
      </c>
    </row>
    <row r="581" spans="1:30" x14ac:dyDescent="0.2">
      <c r="A581" t="str">
        <f>L581&amp;F581&amp;G581</f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>DAY(D581)&amp;"/"&amp;"07"&amp;"/"&amp;YEAR(D581)</f>
        <v>23/07/2026</v>
      </c>
      <c r="M581" s="23">
        <f>E581-TIME(3,0,0)</f>
        <v>0.85416666666666663</v>
      </c>
      <c r="N581" t="str">
        <f>J581&amp;" - "&amp;K581</f>
        <v>0 - 1</v>
      </c>
      <c r="O581" t="str">
        <f>IF($J581&gt;$K581,"Green","Red")</f>
        <v>Red</v>
      </c>
      <c r="P581" t="str">
        <f>IF($J581=$K581,"Green","Red")</f>
        <v>Red</v>
      </c>
      <c r="Q581" t="str">
        <f>IF($J581&lt;$K581,"Green","Red")</f>
        <v>Green</v>
      </c>
      <c r="R581" t="str">
        <f>IF($J581&gt;=$K581,"Green","Red")</f>
        <v>Red</v>
      </c>
      <c r="S581" t="str">
        <f>IF($J581&lt;=$K581,"Green","Red")</f>
        <v>Green</v>
      </c>
      <c r="T581" t="str">
        <f>IF(OR($J581&gt;$K581,$J581&lt;$K581),"Green","Red")</f>
        <v>Green</v>
      </c>
      <c r="U581" t="str">
        <f>IF($H581&gt;$I581,"Green","Red")</f>
        <v>Red</v>
      </c>
      <c r="V581" t="str">
        <f>IF($H581=$I581,"Green","Red")</f>
        <v>Green</v>
      </c>
      <c r="W581" t="str">
        <f>IF($H581&lt;$I581,"Green","Red")</f>
        <v>Red</v>
      </c>
      <c r="X581" t="str">
        <f>IF($H581+$I581&gt;0,"Green","Red")</f>
        <v>Red</v>
      </c>
      <c r="Y581" t="str">
        <f>IF($J581+$K581&gt;1.5,"Green","Red")</f>
        <v>Red</v>
      </c>
      <c r="Z581" t="str">
        <f>IF($J581+$K581&gt;2.5,"Green","Red")</f>
        <v>Red</v>
      </c>
      <c r="AA581" t="str">
        <f>IF($J581+$K581&lt;2.5,"Green","Red")</f>
        <v>Green</v>
      </c>
      <c r="AB581" t="str">
        <f>IF($J581+$K581&lt;3.5,"Green","Red")</f>
        <v>Green</v>
      </c>
      <c r="AC581" t="str">
        <f>IF(AND($J581&gt;0,$K581&gt;0),"Green","Red")</f>
        <v>Red</v>
      </c>
      <c r="AD581" t="str">
        <f>IF(OR($J581=0,$K581=0),"Green","Red")</f>
        <v>Green</v>
      </c>
    </row>
    <row r="582" spans="1:30" x14ac:dyDescent="0.2">
      <c r="A582" t="str">
        <f>L582&amp;F582&amp;G582</f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>J582&amp;" - "&amp;K582</f>
        <v>1 - 0</v>
      </c>
      <c r="O582" t="str">
        <f>IF($J582&gt;$K582,"Green","Red")</f>
        <v>Green</v>
      </c>
      <c r="P582" t="str">
        <f>IF($J582=$K582,"Green","Red")</f>
        <v>Red</v>
      </c>
      <c r="Q582" t="str">
        <f>IF($J582&lt;$K582,"Green","Red")</f>
        <v>Red</v>
      </c>
      <c r="R582" t="str">
        <f>IF($J582&gt;=$K582,"Green","Red")</f>
        <v>Green</v>
      </c>
      <c r="S582" t="str">
        <f>IF($J582&lt;=$K582,"Green","Red")</f>
        <v>Red</v>
      </c>
      <c r="T582" t="str">
        <f>IF(OR($J582&gt;$K582,$J582&lt;$K582),"Green","Red")</f>
        <v>Green</v>
      </c>
      <c r="U582" t="str">
        <f>IF($H582&gt;$I582,"Green","Red")</f>
        <v>Red</v>
      </c>
      <c r="V582" t="str">
        <f>IF($H582=$I582,"Green","Red")</f>
        <v>Green</v>
      </c>
      <c r="W582" t="str">
        <f>IF($H582&lt;$I582,"Green","Red")</f>
        <v>Red</v>
      </c>
      <c r="X582" t="str">
        <f>IF($H582+$I582&gt;0,"Green","Red")</f>
        <v>Red</v>
      </c>
      <c r="Y582" t="str">
        <f>IF($J582+$K582&gt;1.5,"Green","Red")</f>
        <v>Red</v>
      </c>
      <c r="Z582" t="str">
        <f>IF($J582+$K582&gt;2.5,"Green","Red")</f>
        <v>Red</v>
      </c>
      <c r="AA582" t="str">
        <f>IF($J582+$K582&lt;2.5,"Green","Red")</f>
        <v>Green</v>
      </c>
      <c r="AB582" t="str">
        <f>IF($J582+$K582&lt;3.5,"Green","Red")</f>
        <v>Green</v>
      </c>
      <c r="AC582" t="str">
        <f>IF(AND($J582&gt;0,$K582&gt;0),"Green","Red")</f>
        <v>Red</v>
      </c>
      <c r="AD582" t="str">
        <f>IF(OR($J582=0,$K582=0),"Green","Red")</f>
        <v>Green</v>
      </c>
    </row>
    <row r="583" spans="1:30" x14ac:dyDescent="0.2">
      <c r="A583" t="str">
        <f>L583&amp;F583&amp;G583</f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>J583&amp;" - "&amp;K583</f>
        <v>1 - 1</v>
      </c>
      <c r="O583" t="str">
        <f>IF($J583&gt;$K583,"Green","Red")</f>
        <v>Red</v>
      </c>
      <c r="P583" t="str">
        <f>IF($J583=$K583,"Green","Red")</f>
        <v>Green</v>
      </c>
      <c r="Q583" t="str">
        <f>IF($J583&lt;$K583,"Green","Red")</f>
        <v>Red</v>
      </c>
      <c r="R583" t="str">
        <f>IF($J583&gt;=$K583,"Green","Red")</f>
        <v>Green</v>
      </c>
      <c r="S583" t="str">
        <f>IF($J583&lt;=$K583,"Green","Red")</f>
        <v>Green</v>
      </c>
      <c r="T583" t="str">
        <f>IF(OR($J583&gt;$K583,$J583&lt;$K583),"Green","Red")</f>
        <v>Red</v>
      </c>
      <c r="U583" t="str">
        <f>IF($H583&gt;$I583,"Green","Red")</f>
        <v>Green</v>
      </c>
      <c r="V583" t="str">
        <f>IF($H583=$I583,"Green","Red")</f>
        <v>Red</v>
      </c>
      <c r="W583" t="str">
        <f>IF($H583&lt;$I583,"Green","Red")</f>
        <v>Red</v>
      </c>
      <c r="X583" t="str">
        <f>IF($H583+$I583&gt;0,"Green","Red")</f>
        <v>Green</v>
      </c>
      <c r="Y583" t="str">
        <f>IF($J583+$K583&gt;1.5,"Green","Red")</f>
        <v>Green</v>
      </c>
      <c r="Z583" t="str">
        <f>IF($J583+$K583&gt;2.5,"Green","Red")</f>
        <v>Red</v>
      </c>
      <c r="AA583" t="str">
        <f>IF($J583+$K583&lt;2.5,"Green","Red")</f>
        <v>Green</v>
      </c>
      <c r="AB583" t="str">
        <f>IF($J583+$K583&lt;3.5,"Green","Red")</f>
        <v>Green</v>
      </c>
      <c r="AC583" t="str">
        <f>IF(AND($J583&gt;0,$K583&gt;0),"Green","Red")</f>
        <v>Green</v>
      </c>
      <c r="AD583" t="str">
        <f>IF(OR($J583=0,$K583=0),"Green","Red")</f>
        <v>Red</v>
      </c>
    </row>
    <row r="584" spans="1:30" x14ac:dyDescent="0.2">
      <c r="A584" t="str">
        <f>L584&amp;F584&amp;G584</f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>J584&amp;" - "&amp;K584</f>
        <v>1 - 0</v>
      </c>
      <c r="O584" t="str">
        <f>IF($J584&gt;$K584,"Green","Red")</f>
        <v>Green</v>
      </c>
      <c r="P584" t="str">
        <f>IF($J584=$K584,"Green","Red")</f>
        <v>Red</v>
      </c>
      <c r="Q584" t="str">
        <f>IF($J584&lt;$K584,"Green","Red")</f>
        <v>Red</v>
      </c>
      <c r="R584" t="str">
        <f>IF($J584&gt;=$K584,"Green","Red")</f>
        <v>Green</v>
      </c>
      <c r="S584" t="str">
        <f>IF($J584&lt;=$K584,"Green","Red")</f>
        <v>Red</v>
      </c>
      <c r="T584" t="str">
        <f>IF(OR($J584&gt;$K584,$J584&lt;$K584),"Green","Red")</f>
        <v>Green</v>
      </c>
      <c r="U584" t="str">
        <f>IF($H584&gt;$I584,"Green","Red")</f>
        <v>Green</v>
      </c>
      <c r="V584" t="str">
        <f>IF($H584=$I584,"Green","Red")</f>
        <v>Red</v>
      </c>
      <c r="W584" t="str">
        <f>IF($H584&lt;$I584,"Green","Red")</f>
        <v>Red</v>
      </c>
      <c r="X584" t="str">
        <f>IF($H584+$I584&gt;0,"Green","Red")</f>
        <v>Green</v>
      </c>
      <c r="Y584" t="str">
        <f>IF($J584+$K584&gt;1.5,"Green","Red")</f>
        <v>Red</v>
      </c>
      <c r="Z584" t="str">
        <f>IF($J584+$K584&gt;2.5,"Green","Red")</f>
        <v>Red</v>
      </c>
      <c r="AA584" t="str">
        <f>IF($J584+$K584&lt;2.5,"Green","Red")</f>
        <v>Green</v>
      </c>
      <c r="AB584" t="str">
        <f>IF($J584+$K584&lt;3.5,"Green","Red")</f>
        <v>Green</v>
      </c>
      <c r="AC584" t="str">
        <f>IF(AND($J584&gt;0,$K584&gt;0),"Green","Red")</f>
        <v>Red</v>
      </c>
      <c r="AD584" t="str">
        <f>IF(OR($J584=0,$K584=0),"Green","Red")</f>
        <v>Green</v>
      </c>
    </row>
    <row r="585" spans="1:30" x14ac:dyDescent="0.2">
      <c r="A585" t="str">
        <f>L585&amp;F585&amp;G585</f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>J585&amp;" - "&amp;K585</f>
        <v>2 - 0</v>
      </c>
      <c r="O585" t="str">
        <f>IF($J585&gt;$K585,"Green","Red")</f>
        <v>Green</v>
      </c>
      <c r="P585" t="str">
        <f>IF($J585=$K585,"Green","Red")</f>
        <v>Red</v>
      </c>
      <c r="Q585" t="str">
        <f>IF($J585&lt;$K585,"Green","Red")</f>
        <v>Red</v>
      </c>
      <c r="R585" t="str">
        <f>IF($J585&gt;=$K585,"Green","Red")</f>
        <v>Green</v>
      </c>
      <c r="S585" t="str">
        <f>IF($J585&lt;=$K585,"Green","Red")</f>
        <v>Red</v>
      </c>
      <c r="T585" t="str">
        <f>IF(OR($J585&gt;$K585,$J585&lt;$K585),"Green","Red")</f>
        <v>Green</v>
      </c>
      <c r="U585" t="str">
        <f>IF($H585&gt;$I585,"Green","Red")</f>
        <v>Green</v>
      </c>
      <c r="V585" t="str">
        <f>IF($H585=$I585,"Green","Red")</f>
        <v>Red</v>
      </c>
      <c r="W585" t="str">
        <f>IF($H585&lt;$I585,"Green","Red")</f>
        <v>Red</v>
      </c>
      <c r="X585" t="str">
        <f>IF($H585+$I585&gt;0,"Green","Red")</f>
        <v>Green</v>
      </c>
      <c r="Y585" t="str">
        <f>IF($J585+$K585&gt;1.5,"Green","Red")</f>
        <v>Green</v>
      </c>
      <c r="Z585" t="str">
        <f>IF($J585+$K585&gt;2.5,"Green","Red")</f>
        <v>Red</v>
      </c>
      <c r="AA585" t="str">
        <f>IF($J585+$K585&lt;2.5,"Green","Red")</f>
        <v>Green</v>
      </c>
      <c r="AB585" t="str">
        <f>IF($J585+$K585&lt;3.5,"Green","Red")</f>
        <v>Green</v>
      </c>
      <c r="AC585" t="str">
        <f>IF(AND($J585&gt;0,$K585&gt;0),"Green","Red")</f>
        <v>Red</v>
      </c>
      <c r="AD585" t="str">
        <f>IF(OR($J585=0,$K585=0),"Green","Red")</f>
        <v>Green</v>
      </c>
    </row>
    <row r="586" spans="1:30" x14ac:dyDescent="0.2">
      <c r="A586" t="str">
        <f>L586&amp;F586&amp;G586</f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>J586&amp;" - "&amp;K586</f>
        <v>4 - 2</v>
      </c>
      <c r="O586" t="str">
        <f>IF($J586&gt;$K586,"Green","Red")</f>
        <v>Green</v>
      </c>
      <c r="P586" t="str">
        <f>IF($J586=$K586,"Green","Red")</f>
        <v>Red</v>
      </c>
      <c r="Q586" t="str">
        <f>IF($J586&lt;$K586,"Green","Red")</f>
        <v>Red</v>
      </c>
      <c r="R586" t="str">
        <f>IF($J586&gt;=$K586,"Green","Red")</f>
        <v>Green</v>
      </c>
      <c r="S586" t="str">
        <f>IF($J586&lt;=$K586,"Green","Red")</f>
        <v>Red</v>
      </c>
      <c r="T586" t="str">
        <f>IF(OR($J586&gt;$K586,$J586&lt;$K586),"Green","Red")</f>
        <v>Green</v>
      </c>
      <c r="U586" t="str">
        <f>IF($H586&gt;$I586,"Green","Red")</f>
        <v>Green</v>
      </c>
      <c r="V586" t="str">
        <f>IF($H586=$I586,"Green","Red")</f>
        <v>Red</v>
      </c>
      <c r="W586" t="str">
        <f>IF($H586&lt;$I586,"Green","Red")</f>
        <v>Red</v>
      </c>
      <c r="X586" t="str">
        <f>IF($H586+$I586&gt;0,"Green","Red")</f>
        <v>Green</v>
      </c>
      <c r="Y586" t="str">
        <f>IF($J586+$K586&gt;1.5,"Green","Red")</f>
        <v>Green</v>
      </c>
      <c r="Z586" t="str">
        <f>IF($J586+$K586&gt;2.5,"Green","Red")</f>
        <v>Green</v>
      </c>
      <c r="AA586" t="str">
        <f>IF($J586+$K586&lt;2.5,"Green","Red")</f>
        <v>Red</v>
      </c>
      <c r="AB586" t="str">
        <f>IF($J586+$K586&lt;3.5,"Green","Red")</f>
        <v>Red</v>
      </c>
      <c r="AC586" t="str">
        <f>IF(AND($J586&gt;0,$K586&gt;0),"Green","Red")</f>
        <v>Green</v>
      </c>
      <c r="AD586" t="str">
        <f>IF(OR($J586=0,$K586=0),"Green","Red")</f>
        <v>Red</v>
      </c>
    </row>
    <row r="587" spans="1:30" x14ac:dyDescent="0.2">
      <c r="A587" t="str">
        <f>L587&amp;F587&amp;G587</f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>J587&amp;" - "&amp;K587</f>
        <v>1 - 1</v>
      </c>
      <c r="O587" t="str">
        <f>IF($J587&gt;$K587,"Green","Red")</f>
        <v>Red</v>
      </c>
      <c r="P587" t="str">
        <f>IF($J587=$K587,"Green","Red")</f>
        <v>Green</v>
      </c>
      <c r="Q587" t="str">
        <f>IF($J587&lt;$K587,"Green","Red")</f>
        <v>Red</v>
      </c>
      <c r="R587" t="str">
        <f>IF($J587&gt;=$K587,"Green","Red")</f>
        <v>Green</v>
      </c>
      <c r="S587" t="str">
        <f>IF($J587&lt;=$K587,"Green","Red")</f>
        <v>Green</v>
      </c>
      <c r="T587" t="str">
        <f>IF(OR($J587&gt;$K587,$J587&lt;$K587),"Green","Red")</f>
        <v>Red</v>
      </c>
      <c r="U587" t="str">
        <f>IF($H587&gt;$I587,"Green","Red")</f>
        <v>Red</v>
      </c>
      <c r="V587" t="str">
        <f>IF($H587=$I587,"Green","Red")</f>
        <v>Green</v>
      </c>
      <c r="W587" t="str">
        <f>IF($H587&lt;$I587,"Green","Red")</f>
        <v>Red</v>
      </c>
      <c r="X587" t="str">
        <f>IF($H587+$I587&gt;0,"Green","Red")</f>
        <v>Green</v>
      </c>
      <c r="Y587" t="str">
        <f>IF($J587+$K587&gt;1.5,"Green","Red")</f>
        <v>Green</v>
      </c>
      <c r="Z587" t="str">
        <f>IF($J587+$K587&gt;2.5,"Green","Red")</f>
        <v>Red</v>
      </c>
      <c r="AA587" t="str">
        <f>IF($J587+$K587&lt;2.5,"Green","Red")</f>
        <v>Green</v>
      </c>
      <c r="AB587" t="str">
        <f>IF($J587+$K587&lt;3.5,"Green","Red")</f>
        <v>Green</v>
      </c>
      <c r="AC587" t="str">
        <f>IF(AND($J587&gt;0,$K587&gt;0),"Green","Red")</f>
        <v>Green</v>
      </c>
      <c r="AD587" t="str">
        <f>IF(OR($J587=0,$K587=0),"Green","Red")</f>
        <v>Red</v>
      </c>
    </row>
    <row r="588" spans="1:30" x14ac:dyDescent="0.2">
      <c r="A588" t="str">
        <f>L588&amp;F588&amp;G588</f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>J588&amp;" - "&amp;K588</f>
        <v>1 - 1</v>
      </c>
      <c r="O588" t="str">
        <f>IF($J588&gt;$K588,"Green","Red")</f>
        <v>Red</v>
      </c>
      <c r="P588" t="str">
        <f>IF($J588=$K588,"Green","Red")</f>
        <v>Green</v>
      </c>
      <c r="Q588" t="str">
        <f>IF($J588&lt;$K588,"Green","Red")</f>
        <v>Red</v>
      </c>
      <c r="R588" t="str">
        <f>IF($J588&gt;=$K588,"Green","Red")</f>
        <v>Green</v>
      </c>
      <c r="S588" t="str">
        <f>IF($J588&lt;=$K588,"Green","Red")</f>
        <v>Green</v>
      </c>
      <c r="T588" t="str">
        <f>IF(OR($J588&gt;$K588,$J588&lt;$K588),"Green","Red")</f>
        <v>Red</v>
      </c>
      <c r="U588" t="str">
        <f>IF($H588&gt;$I588,"Green","Red")</f>
        <v>Red</v>
      </c>
      <c r="V588" t="str">
        <f>IF($H588=$I588,"Green","Red")</f>
        <v>Green</v>
      </c>
      <c r="W588" t="str">
        <f>IF($H588&lt;$I588,"Green","Red")</f>
        <v>Red</v>
      </c>
      <c r="X588" t="str">
        <f>IF($H588+$I588&gt;0,"Green","Red")</f>
        <v>Green</v>
      </c>
      <c r="Y588" t="str">
        <f>IF($J588+$K588&gt;1.5,"Green","Red")</f>
        <v>Green</v>
      </c>
      <c r="Z588" t="str">
        <f>IF($J588+$K588&gt;2.5,"Green","Red")</f>
        <v>Red</v>
      </c>
      <c r="AA588" t="str">
        <f>IF($J588+$K588&lt;2.5,"Green","Red")</f>
        <v>Green</v>
      </c>
      <c r="AB588" t="str">
        <f>IF($J588+$K588&lt;3.5,"Green","Red")</f>
        <v>Green</v>
      </c>
      <c r="AC588" t="str">
        <f>IF(AND($J588&gt;0,$K588&gt;0),"Green","Red")</f>
        <v>Green</v>
      </c>
      <c r="AD588" t="str">
        <f>IF(OR($J588=0,$K588=0),"Green","Red")</f>
        <v>Red</v>
      </c>
    </row>
    <row r="589" spans="1:30" x14ac:dyDescent="0.2">
      <c r="A589" t="str">
        <f>L589&amp;F589&amp;G589</f>
        <v>24/07/2026Yenisey Krasnoyarsk IITorpedo Vladimir</v>
      </c>
      <c r="D589" s="2">
        <v>46227</v>
      </c>
      <c r="E589" s="3">
        <v>0.20833333333333334</v>
      </c>
      <c r="F589" t="s">
        <v>2573</v>
      </c>
      <c r="G589" t="s">
        <v>2574</v>
      </c>
      <c r="L589" s="22" t="str">
        <f>DAY(D589)&amp;"/"&amp;"07"&amp;"/"&amp;YEAR(D589)</f>
        <v>24/07/2026</v>
      </c>
      <c r="M589" s="23">
        <f>E589-TIME(3,0,0)</f>
        <v>8.3333333333333343E-2</v>
      </c>
      <c r="N589" t="str">
        <f>J589&amp;" - "&amp;K589</f>
        <v xml:space="preserve"> - </v>
      </c>
      <c r="O589" t="str">
        <f>IF($J589&gt;$K589,"Green","Red")</f>
        <v>Red</v>
      </c>
      <c r="P589" t="str">
        <f>IF($J589=$K589,"Green","Red")</f>
        <v>Green</v>
      </c>
      <c r="Q589" t="str">
        <f>IF($J589&lt;$K589,"Green","Red")</f>
        <v>Red</v>
      </c>
      <c r="R589" t="str">
        <f>IF($J589&gt;=$K589,"Green","Red")</f>
        <v>Green</v>
      </c>
      <c r="S589" t="str">
        <f>IF($J589&lt;=$K589,"Green","Red")</f>
        <v>Green</v>
      </c>
      <c r="T589" t="str">
        <f>IF(OR($J589&gt;$K589,$J589&lt;$K589),"Green","Red")</f>
        <v>Red</v>
      </c>
      <c r="U589" t="str">
        <f>IF($H589&gt;$I589,"Green","Red")</f>
        <v>Red</v>
      </c>
      <c r="V589" t="str">
        <f>IF($H589=$I589,"Green","Red")</f>
        <v>Green</v>
      </c>
      <c r="W589" t="str">
        <f>IF($H589&lt;$I589,"Green","Red")</f>
        <v>Red</v>
      </c>
      <c r="X589" t="str">
        <f>IF($H589+$I589&gt;0,"Green","Red")</f>
        <v>Red</v>
      </c>
      <c r="Y589" t="str">
        <f>IF($J589+$K589&gt;1.5,"Green","Red")</f>
        <v>Red</v>
      </c>
      <c r="Z589" t="str">
        <f>IF($J589+$K589&gt;2.5,"Green","Red")</f>
        <v>Red</v>
      </c>
      <c r="AA589" t="str">
        <f>IF($J589+$K589&lt;2.5,"Green","Red")</f>
        <v>Green</v>
      </c>
      <c r="AB589" t="str">
        <f>IF($J589+$K589&lt;3.5,"Green","Red")</f>
        <v>Green</v>
      </c>
      <c r="AC589" t="str">
        <f>IF(AND($J589&gt;0,$K589&gt;0),"Green","Red")</f>
        <v>Red</v>
      </c>
      <c r="AD589" t="str">
        <f>IF(OR($J589=0,$K589=0),"Green","Red")</f>
        <v>Green</v>
      </c>
    </row>
    <row r="590" spans="1:30" x14ac:dyDescent="0.2">
      <c r="A590" t="str">
        <f>L590&amp;F590&amp;G590</f>
        <v>24/07/2026CSM Flacara MoreniChindia Targoviste</v>
      </c>
      <c r="D590" s="2">
        <v>46227</v>
      </c>
      <c r="E590" s="3">
        <v>0.29166666666666669</v>
      </c>
      <c r="F590" t="s">
        <v>2640</v>
      </c>
      <c r="G590" t="s">
        <v>2641</v>
      </c>
      <c r="H590">
        <v>0</v>
      </c>
      <c r="I590">
        <v>0</v>
      </c>
      <c r="J590">
        <v>6</v>
      </c>
      <c r="K590">
        <v>0</v>
      </c>
      <c r="L590" s="22" t="str">
        <f>DAY(D590)&amp;"/"&amp;"07"&amp;"/"&amp;YEAR(D590)</f>
        <v>24/07/2026</v>
      </c>
      <c r="M590" s="23">
        <f>E590-TIME(3,0,0)</f>
        <v>0.16666666666666669</v>
      </c>
      <c r="N590" t="str">
        <f>J590&amp;" - "&amp;K590</f>
        <v>6 - 0</v>
      </c>
      <c r="O590" t="str">
        <f>IF($J590&gt;$K590,"Green","Red")</f>
        <v>Green</v>
      </c>
      <c r="P590" t="str">
        <f>IF($J590=$K590,"Green","Red")</f>
        <v>Red</v>
      </c>
      <c r="Q590" t="str">
        <f>IF($J590&lt;$K590,"Green","Red")</f>
        <v>Red</v>
      </c>
      <c r="R590" t="str">
        <f>IF($J590&gt;=$K590,"Green","Red")</f>
        <v>Green</v>
      </c>
      <c r="S590" t="str">
        <f>IF($J590&lt;=$K590,"Green","Red")</f>
        <v>Red</v>
      </c>
      <c r="T590" t="str">
        <f>IF(OR($J590&gt;$K590,$J590&lt;$K590),"Green","Red")</f>
        <v>Green</v>
      </c>
      <c r="U590" t="str">
        <f>IF($H590&gt;$I590,"Green","Red")</f>
        <v>Red</v>
      </c>
      <c r="V590" t="str">
        <f>IF($H590=$I590,"Green","Red")</f>
        <v>Green</v>
      </c>
      <c r="W590" t="str">
        <f>IF($H590&lt;$I590,"Green","Red")</f>
        <v>Red</v>
      </c>
      <c r="X590" t="str">
        <f>IF($H590+$I590&gt;0,"Green","Red")</f>
        <v>Red</v>
      </c>
      <c r="Y590" t="str">
        <f>IF($J590+$K590&gt;1.5,"Green","Red")</f>
        <v>Green</v>
      </c>
      <c r="Z590" t="str">
        <f>IF($J590+$K590&gt;2.5,"Green","Red")</f>
        <v>Green</v>
      </c>
      <c r="AA590" t="str">
        <f>IF($J590+$K590&lt;2.5,"Green","Red")</f>
        <v>Red</v>
      </c>
      <c r="AB590" t="str">
        <f>IF($J590+$K590&lt;3.5,"Green","Red")</f>
        <v>Red</v>
      </c>
      <c r="AC590" t="str">
        <f>IF(AND($J590&gt;0,$K590&gt;0),"Green","Red")</f>
        <v>Red</v>
      </c>
      <c r="AD590" t="str">
        <f>IF(OR($J590=0,$K590=0),"Green","Red")</f>
        <v>Green</v>
      </c>
    </row>
    <row r="591" spans="1:30" x14ac:dyDescent="0.2">
      <c r="A591" t="str">
        <f>L591&amp;F591&amp;G591</f>
        <v>24/07/2026Manly United U20Sydney Olympic U20</v>
      </c>
      <c r="B591" t="s">
        <v>810</v>
      </c>
      <c r="C591" t="s">
        <v>2325</v>
      </c>
      <c r="D591" s="2">
        <v>46227</v>
      </c>
      <c r="E591" s="3">
        <v>0.3125</v>
      </c>
      <c r="F591" t="s">
        <v>2326</v>
      </c>
      <c r="G591" t="s">
        <v>2327</v>
      </c>
      <c r="H591">
        <v>1</v>
      </c>
      <c r="I591">
        <v>0</v>
      </c>
      <c r="J591">
        <v>6</v>
      </c>
      <c r="K591">
        <v>0</v>
      </c>
      <c r="L591" s="22" t="str">
        <f>DAY(D591)&amp;"/"&amp;"07"&amp;"/"&amp;YEAR(D591)</f>
        <v>24/07/2026</v>
      </c>
      <c r="M591" s="23">
        <f>E591-TIME(3,0,0)</f>
        <v>0.1875</v>
      </c>
      <c r="N591" t="str">
        <f>J591&amp;" - "&amp;K591</f>
        <v>6 - 0</v>
      </c>
      <c r="O591" t="str">
        <f>IF($J591&gt;$K591,"Green","Red")</f>
        <v>Green</v>
      </c>
      <c r="P591" t="str">
        <f>IF($J591=$K591,"Green","Red")</f>
        <v>Red</v>
      </c>
      <c r="Q591" t="str">
        <f>IF($J591&lt;$K591,"Green","Red")</f>
        <v>Red</v>
      </c>
      <c r="R591" t="str">
        <f>IF($J591&gt;=$K591,"Green","Red")</f>
        <v>Green</v>
      </c>
      <c r="S591" t="str">
        <f>IF($J591&lt;=$K591,"Green","Red")</f>
        <v>Red</v>
      </c>
      <c r="T591" t="str">
        <f>IF(OR($J591&gt;$K591,$J591&lt;$K591),"Green","Red")</f>
        <v>Green</v>
      </c>
      <c r="U591" t="str">
        <f>IF($H591&gt;$I591,"Green","Red")</f>
        <v>Green</v>
      </c>
      <c r="V591" t="str">
        <f>IF($H591=$I591,"Green","Red")</f>
        <v>Red</v>
      </c>
      <c r="W591" t="str">
        <f>IF($H591&lt;$I591,"Green","Red")</f>
        <v>Red</v>
      </c>
      <c r="X591" t="str">
        <f>IF($H591+$I591&gt;0,"Green","Red")</f>
        <v>Green</v>
      </c>
      <c r="Y591" t="str">
        <f>IF($J591+$K591&gt;1.5,"Green","Red")</f>
        <v>Green</v>
      </c>
      <c r="Z591" t="str">
        <f>IF($J591+$K591&gt;2.5,"Green","Red")</f>
        <v>Green</v>
      </c>
      <c r="AA591" t="str">
        <f>IF($J591+$K591&lt;2.5,"Green","Red")</f>
        <v>Red</v>
      </c>
      <c r="AB591" t="str">
        <f>IF($J591+$K591&lt;3.5,"Green","Red")</f>
        <v>Red</v>
      </c>
      <c r="AC591" t="str">
        <f>IF(AND($J591&gt;0,$K591&gt;0),"Green","Red")</f>
        <v>Red</v>
      </c>
      <c r="AD591" t="str">
        <f>IF(OR($J591=0,$K591=0),"Green","Red")</f>
        <v>Green</v>
      </c>
    </row>
    <row r="592" spans="1:30" x14ac:dyDescent="0.2">
      <c r="A592" t="str">
        <f>L592&amp;F592&amp;G592</f>
        <v>24/07/2026Preston Lions WomenKeilor Park Women</v>
      </c>
      <c r="B592" t="s">
        <v>810</v>
      </c>
      <c r="C592" t="s">
        <v>2299</v>
      </c>
      <c r="D592" s="2">
        <v>46227</v>
      </c>
      <c r="E592" s="3">
        <v>0.34375</v>
      </c>
      <c r="F592" t="s">
        <v>2300</v>
      </c>
      <c r="G592" t="s">
        <v>2301</v>
      </c>
      <c r="H592">
        <v>1</v>
      </c>
      <c r="I592">
        <v>0</v>
      </c>
      <c r="J592">
        <v>1</v>
      </c>
      <c r="K592">
        <v>0</v>
      </c>
      <c r="L592" s="22" t="str">
        <f>DAY(D592)&amp;"/"&amp;"07"&amp;"/"&amp;YEAR(D592)</f>
        <v>24/07/2026</v>
      </c>
      <c r="M592" s="23">
        <f>E592-TIME(3,0,0)</f>
        <v>0.21875</v>
      </c>
      <c r="N592" t="str">
        <f>J592&amp;" - "&amp;K592</f>
        <v>1 - 0</v>
      </c>
      <c r="O592" t="str">
        <f>IF($J592&gt;$K592,"Green","Red")</f>
        <v>Green</v>
      </c>
      <c r="P592" t="str">
        <f>IF($J592=$K592,"Green","Red")</f>
        <v>Red</v>
      </c>
      <c r="Q592" t="str">
        <f>IF($J592&lt;$K592,"Green","Red")</f>
        <v>Red</v>
      </c>
      <c r="R592" t="str">
        <f>IF($J592&gt;=$K592,"Green","Red")</f>
        <v>Green</v>
      </c>
      <c r="S592" t="str">
        <f>IF($J592&lt;=$K592,"Green","Red")</f>
        <v>Red</v>
      </c>
      <c r="T592" t="str">
        <f>IF(OR($J592&gt;$K592,$J592&lt;$K592),"Green","Red")</f>
        <v>Green</v>
      </c>
      <c r="U592" t="str">
        <f>IF($H592&gt;$I592,"Green","Red")</f>
        <v>Green</v>
      </c>
      <c r="V592" t="str">
        <f>IF($H592=$I592,"Green","Red")</f>
        <v>Red</v>
      </c>
      <c r="W592" t="str">
        <f>IF($H592&lt;$I592,"Green","Red")</f>
        <v>Red</v>
      </c>
      <c r="X592" t="str">
        <f>IF($H592+$I592&gt;0,"Green","Red")</f>
        <v>Green</v>
      </c>
      <c r="Y592" t="str">
        <f>IF($J592+$K592&gt;1.5,"Green","Red")</f>
        <v>Red</v>
      </c>
      <c r="Z592" t="str">
        <f>IF($J592+$K592&gt;2.5,"Green","Red")</f>
        <v>Red</v>
      </c>
      <c r="AA592" t="str">
        <f>IF($J592+$K592&lt;2.5,"Green","Red")</f>
        <v>Green</v>
      </c>
      <c r="AB592" t="str">
        <f>IF($J592+$K592&lt;3.5,"Green","Red")</f>
        <v>Green</v>
      </c>
      <c r="AC592" t="str">
        <f>IF(AND($J592&gt;0,$K592&gt;0),"Green","Red")</f>
        <v>Red</v>
      </c>
      <c r="AD592" t="str">
        <f>IF(OR($J592=0,$K592=0),"Green","Red")</f>
        <v>Green</v>
      </c>
    </row>
    <row r="593" spans="1:30" x14ac:dyDescent="0.2">
      <c r="A593" t="str">
        <f>L593&amp;F593&amp;G593</f>
        <v>24/07/2026Oakleigh Cannons U23South Melbourne U23</v>
      </c>
      <c r="B593" t="s">
        <v>810</v>
      </c>
      <c r="C593" t="s">
        <v>2316</v>
      </c>
      <c r="D593" s="2">
        <v>46227</v>
      </c>
      <c r="E593" s="3">
        <v>0.34375</v>
      </c>
      <c r="F593" t="s">
        <v>2317</v>
      </c>
      <c r="G593" t="s">
        <v>2318</v>
      </c>
      <c r="H593">
        <v>0</v>
      </c>
      <c r="I593">
        <v>4</v>
      </c>
      <c r="J593">
        <v>0</v>
      </c>
      <c r="K593">
        <v>5</v>
      </c>
      <c r="L593" s="22" t="str">
        <f>DAY(D593)&amp;"/"&amp;"07"&amp;"/"&amp;YEAR(D593)</f>
        <v>24/07/2026</v>
      </c>
      <c r="M593" s="23">
        <f>E593-TIME(3,0,0)</f>
        <v>0.21875</v>
      </c>
      <c r="N593" t="str">
        <f>J593&amp;" - "&amp;K593</f>
        <v>0 - 5</v>
      </c>
      <c r="O593" t="str">
        <f>IF($J593&gt;$K593,"Green","Red")</f>
        <v>Red</v>
      </c>
      <c r="P593" t="str">
        <f>IF($J593=$K593,"Green","Red")</f>
        <v>Red</v>
      </c>
      <c r="Q593" t="str">
        <f>IF($J593&lt;$K593,"Green","Red")</f>
        <v>Green</v>
      </c>
      <c r="R593" t="str">
        <f>IF($J593&gt;=$K593,"Green","Red")</f>
        <v>Red</v>
      </c>
      <c r="S593" t="str">
        <f>IF($J593&lt;=$K593,"Green","Red")</f>
        <v>Green</v>
      </c>
      <c r="T593" t="str">
        <f>IF(OR($J593&gt;$K593,$J593&lt;$K593),"Green","Red")</f>
        <v>Green</v>
      </c>
      <c r="U593" t="str">
        <f>IF($H593&gt;$I593,"Green","Red")</f>
        <v>Red</v>
      </c>
      <c r="V593" t="str">
        <f>IF($H593=$I593,"Green","Red")</f>
        <v>Red</v>
      </c>
      <c r="W593" t="str">
        <f>IF($H593&lt;$I593,"Green","Red")</f>
        <v>Green</v>
      </c>
      <c r="X593" t="str">
        <f>IF($H593+$I593&gt;0,"Green","Red")</f>
        <v>Green</v>
      </c>
      <c r="Y593" t="str">
        <f>IF($J593+$K593&gt;1.5,"Green","Red")</f>
        <v>Green</v>
      </c>
      <c r="Z593" t="str">
        <f>IF($J593+$K593&gt;2.5,"Green","Red")</f>
        <v>Green</v>
      </c>
      <c r="AA593" t="str">
        <f>IF($J593+$K593&lt;2.5,"Green","Red")</f>
        <v>Red</v>
      </c>
      <c r="AB593" t="str">
        <f>IF($J593+$K593&lt;3.5,"Green","Red")</f>
        <v>Red</v>
      </c>
      <c r="AC593" t="str">
        <f>IF(AND($J593&gt;0,$K593&gt;0),"Green","Red")</f>
        <v>Red</v>
      </c>
      <c r="AD593" t="str">
        <f>IF(OR($J593=0,$K593=0),"Green","Red")</f>
        <v>Green</v>
      </c>
    </row>
    <row r="594" spans="1:30" x14ac:dyDescent="0.2">
      <c r="A594" t="str">
        <f>L594&amp;F594&amp;G594</f>
        <v>24/07/2026ComoParis FC</v>
      </c>
      <c r="D594" s="2">
        <v>46227</v>
      </c>
      <c r="E594" s="3">
        <v>0.35416666666666669</v>
      </c>
      <c r="F594" t="s">
        <v>2642</v>
      </c>
      <c r="G594" t="s">
        <v>2643</v>
      </c>
      <c r="H594">
        <v>1</v>
      </c>
      <c r="I594">
        <v>2</v>
      </c>
      <c r="J594">
        <v>2</v>
      </c>
      <c r="K594">
        <v>2</v>
      </c>
      <c r="L594" s="22" t="str">
        <f>DAY(D594)&amp;"/"&amp;"07"&amp;"/"&amp;YEAR(D594)</f>
        <v>24/07/2026</v>
      </c>
      <c r="M594" s="23">
        <f>E594-TIME(3,0,0)</f>
        <v>0.22916666666666669</v>
      </c>
      <c r="N594" t="str">
        <f>J594&amp;" - "&amp;K594</f>
        <v>2 - 2</v>
      </c>
      <c r="O594" t="str">
        <f>IF($J594&gt;$K594,"Green","Red")</f>
        <v>Red</v>
      </c>
      <c r="P594" t="str">
        <f>IF($J594=$K594,"Green","Red")</f>
        <v>Green</v>
      </c>
      <c r="Q594" t="str">
        <f>IF($J594&lt;$K594,"Green","Red")</f>
        <v>Red</v>
      </c>
      <c r="R594" t="str">
        <f>IF($J594&gt;=$K594,"Green","Red")</f>
        <v>Green</v>
      </c>
      <c r="S594" t="str">
        <f>IF($J594&lt;=$K594,"Green","Red")</f>
        <v>Green</v>
      </c>
      <c r="T594" t="str">
        <f>IF(OR($J594&gt;$K594,$J594&lt;$K594),"Green","Red")</f>
        <v>Red</v>
      </c>
      <c r="U594" t="str">
        <f>IF($H594&gt;$I594,"Green","Red")</f>
        <v>Red</v>
      </c>
      <c r="V594" t="str">
        <f>IF($H594=$I594,"Green","Red")</f>
        <v>Red</v>
      </c>
      <c r="W594" t="str">
        <f>IF($H594&lt;$I594,"Green","Red")</f>
        <v>Green</v>
      </c>
      <c r="X594" t="str">
        <f>IF($H594+$I594&gt;0,"Green","Red")</f>
        <v>Green</v>
      </c>
      <c r="Y594" t="str">
        <f>IF($J594+$K594&gt;1.5,"Green","Red")</f>
        <v>Green</v>
      </c>
      <c r="Z594" t="str">
        <f>IF($J594+$K594&gt;2.5,"Green","Red")</f>
        <v>Green</v>
      </c>
      <c r="AA594" t="str">
        <f>IF($J594+$K594&lt;2.5,"Green","Red")</f>
        <v>Red</v>
      </c>
      <c r="AB594" t="str">
        <f>IF($J594+$K594&lt;3.5,"Green","Red")</f>
        <v>Red</v>
      </c>
      <c r="AC594" t="str">
        <f>IF(AND($J594&gt;0,$K594&gt;0),"Green","Red")</f>
        <v>Green</v>
      </c>
      <c r="AD594" t="str">
        <f>IF(OR($J594=0,$K594=0),"Green","Red")</f>
        <v>Red</v>
      </c>
    </row>
    <row r="595" spans="1:30" x14ac:dyDescent="0.2">
      <c r="A595" t="str">
        <f>L595&amp;F595&amp;G595</f>
        <v>24/07/2026Salisbury Inter WomenFFSA NTC Women</v>
      </c>
      <c r="B595" t="s">
        <v>810</v>
      </c>
      <c r="C595" t="s">
        <v>2304</v>
      </c>
      <c r="D595" s="2">
        <v>46227</v>
      </c>
      <c r="E595" s="3">
        <v>0.36458333333333331</v>
      </c>
      <c r="F595" t="s">
        <v>2305</v>
      </c>
      <c r="G595" t="s">
        <v>2306</v>
      </c>
      <c r="H595">
        <v>1</v>
      </c>
      <c r="I595">
        <v>1</v>
      </c>
      <c r="J595">
        <v>3</v>
      </c>
      <c r="K595">
        <v>1</v>
      </c>
      <c r="L595" s="22" t="str">
        <f>DAY(D595)&amp;"/"&amp;"07"&amp;"/"&amp;YEAR(D595)</f>
        <v>24/07/2026</v>
      </c>
      <c r="M595" s="23">
        <f>E595-TIME(3,0,0)</f>
        <v>0.23958333333333331</v>
      </c>
      <c r="N595" t="str">
        <f>J595&amp;" - "&amp;K595</f>
        <v>3 - 1</v>
      </c>
      <c r="O595" t="str">
        <f>IF($J595&gt;$K595,"Green","Red")</f>
        <v>Green</v>
      </c>
      <c r="P595" t="str">
        <f>IF($J595=$K595,"Green","Red")</f>
        <v>Red</v>
      </c>
      <c r="Q595" t="str">
        <f>IF($J595&lt;$K595,"Green","Red")</f>
        <v>Red</v>
      </c>
      <c r="R595" t="str">
        <f>IF($J595&gt;=$K595,"Green","Red")</f>
        <v>Green</v>
      </c>
      <c r="S595" t="str">
        <f>IF($J595&lt;=$K595,"Green","Red")</f>
        <v>Red</v>
      </c>
      <c r="T595" t="str">
        <f>IF(OR($J595&gt;$K595,$J595&lt;$K595),"Green","Red")</f>
        <v>Green</v>
      </c>
      <c r="U595" t="str">
        <f>IF($H595&gt;$I595,"Green","Red")</f>
        <v>Red</v>
      </c>
      <c r="V595" t="str">
        <f>IF($H595=$I595,"Green","Red")</f>
        <v>Green</v>
      </c>
      <c r="W595" t="str">
        <f>IF($H595&lt;$I595,"Green","Red")</f>
        <v>Red</v>
      </c>
      <c r="X595" t="str">
        <f>IF($H595+$I595&gt;0,"Green","Red")</f>
        <v>Green</v>
      </c>
      <c r="Y595" t="str">
        <f>IF($J595+$K595&gt;1.5,"Green","Red")</f>
        <v>Green</v>
      </c>
      <c r="Z595" t="str">
        <f>IF($J595+$K595&gt;2.5,"Green","Red")</f>
        <v>Green</v>
      </c>
      <c r="AA595" t="str">
        <f>IF($J595+$K595&lt;2.5,"Green","Red")</f>
        <v>Red</v>
      </c>
      <c r="AB595" t="str">
        <f>IF($J595+$K595&lt;3.5,"Green","Red")</f>
        <v>Red</v>
      </c>
      <c r="AC595" t="str">
        <f>IF(AND($J595&gt;0,$K595&gt;0),"Green","Red")</f>
        <v>Green</v>
      </c>
      <c r="AD595" t="str">
        <f>IF(OR($J595=0,$K595=0),"Green","Red")</f>
        <v>Red</v>
      </c>
    </row>
    <row r="596" spans="1:30" x14ac:dyDescent="0.2">
      <c r="A596" t="str">
        <f>L596&amp;F596&amp;G596</f>
        <v>24/07/2026AmiensBoulogne</v>
      </c>
      <c r="D596" s="2">
        <v>46227</v>
      </c>
      <c r="E596" s="3">
        <v>0.375</v>
      </c>
      <c r="F596" t="s">
        <v>1622</v>
      </c>
      <c r="G596" t="s">
        <v>2644</v>
      </c>
      <c r="H596">
        <v>0</v>
      </c>
      <c r="I596">
        <v>0</v>
      </c>
      <c r="J596">
        <v>0</v>
      </c>
      <c r="K596">
        <v>1</v>
      </c>
      <c r="L596" s="22" t="str">
        <f>DAY(D596)&amp;"/"&amp;"07"&amp;"/"&amp;YEAR(D596)</f>
        <v>24/07/2026</v>
      </c>
      <c r="M596" s="23">
        <f>E596-TIME(3,0,0)</f>
        <v>0.25</v>
      </c>
      <c r="N596" t="str">
        <f>J596&amp;" - "&amp;K596</f>
        <v>0 - 1</v>
      </c>
      <c r="O596" t="str">
        <f>IF($J596&gt;$K596,"Green","Red")</f>
        <v>Red</v>
      </c>
      <c r="P596" t="str">
        <f>IF($J596=$K596,"Green","Red")</f>
        <v>Red</v>
      </c>
      <c r="Q596" t="str">
        <f>IF($J596&lt;$K596,"Green","Red")</f>
        <v>Green</v>
      </c>
      <c r="R596" t="str">
        <f>IF($J596&gt;=$K596,"Green","Red")</f>
        <v>Red</v>
      </c>
      <c r="S596" t="str">
        <f>IF($J596&lt;=$K596,"Green","Red")</f>
        <v>Green</v>
      </c>
      <c r="T596" t="str">
        <f>IF(OR($J596&gt;$K596,$J596&lt;$K596),"Green","Red")</f>
        <v>Green</v>
      </c>
      <c r="U596" t="str">
        <f>IF($H596&gt;$I596,"Green","Red")</f>
        <v>Red</v>
      </c>
      <c r="V596" t="str">
        <f>IF($H596=$I596,"Green","Red")</f>
        <v>Green</v>
      </c>
      <c r="W596" t="str">
        <f>IF($H596&lt;$I596,"Green","Red")</f>
        <v>Red</v>
      </c>
      <c r="X596" t="str">
        <f>IF($H596+$I596&gt;0,"Green","Red")</f>
        <v>Red</v>
      </c>
      <c r="Y596" t="str">
        <f>IF($J596+$K596&gt;1.5,"Green","Red")</f>
        <v>Red</v>
      </c>
      <c r="Z596" t="str">
        <f>IF($J596+$K596&gt;2.5,"Green","Red")</f>
        <v>Red</v>
      </c>
      <c r="AA596" t="str">
        <f>IF($J596+$K596&lt;2.5,"Green","Red")</f>
        <v>Green</v>
      </c>
      <c r="AB596" t="str">
        <f>IF($J596+$K596&lt;3.5,"Green","Red")</f>
        <v>Green</v>
      </c>
      <c r="AC596" t="str">
        <f>IF(AND($J596&gt;0,$K596&gt;0),"Green","Red")</f>
        <v>Red</v>
      </c>
      <c r="AD596" t="str">
        <f>IF(OR($J596=0,$K596=0),"Green","Red")</f>
        <v>Green</v>
      </c>
    </row>
    <row r="597" spans="1:30" x14ac:dyDescent="0.2">
      <c r="A597" t="str">
        <f>L597&amp;F597&amp;G597</f>
        <v>24/07/2026Preston North EndCambridge United</v>
      </c>
      <c r="D597" s="2">
        <v>46227</v>
      </c>
      <c r="E597" s="3">
        <v>0.375</v>
      </c>
      <c r="F597" t="s">
        <v>2645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>DAY(D597)&amp;"/"&amp;"07"&amp;"/"&amp;YEAR(D597)</f>
        <v>24/07/2026</v>
      </c>
      <c r="M597" s="23">
        <f>E597-TIME(3,0,0)</f>
        <v>0.25</v>
      </c>
      <c r="N597" t="str">
        <f>J597&amp;" - "&amp;K597</f>
        <v>0 - 1</v>
      </c>
      <c r="O597" t="str">
        <f>IF($J597&gt;$K597,"Green","Red")</f>
        <v>Red</v>
      </c>
      <c r="P597" t="str">
        <f>IF($J597=$K597,"Green","Red")</f>
        <v>Red</v>
      </c>
      <c r="Q597" t="str">
        <f>IF($J597&lt;$K597,"Green","Red")</f>
        <v>Green</v>
      </c>
      <c r="R597" t="str">
        <f>IF($J597&gt;=$K597,"Green","Red")</f>
        <v>Red</v>
      </c>
      <c r="S597" t="str">
        <f>IF($J597&lt;=$K597,"Green","Red")</f>
        <v>Green</v>
      </c>
      <c r="T597" t="str">
        <f>IF(OR($J597&gt;$K597,$J597&lt;$K597),"Green","Red")</f>
        <v>Green</v>
      </c>
      <c r="U597" t="str">
        <f>IF($H597&gt;$I597,"Green","Red")</f>
        <v>Red</v>
      </c>
      <c r="V597" t="str">
        <f>IF($H597=$I597,"Green","Red")</f>
        <v>Red</v>
      </c>
      <c r="W597" t="str">
        <f>IF($H597&lt;$I597,"Green","Red")</f>
        <v>Green</v>
      </c>
      <c r="X597" t="str">
        <f>IF($H597+$I597&gt;0,"Green","Red")</f>
        <v>Green</v>
      </c>
      <c r="Y597" t="str">
        <f>IF($J597+$K597&gt;1.5,"Green","Red")</f>
        <v>Red</v>
      </c>
      <c r="Z597" t="str">
        <f>IF($J597+$K597&gt;2.5,"Green","Red")</f>
        <v>Red</v>
      </c>
      <c r="AA597" t="str">
        <f>IF($J597+$K597&lt;2.5,"Green","Red")</f>
        <v>Green</v>
      </c>
      <c r="AB597" t="str">
        <f>IF($J597+$K597&lt;3.5,"Green","Red")</f>
        <v>Green</v>
      </c>
      <c r="AC597" t="str">
        <f>IF(AND($J597&gt;0,$K597&gt;0),"Green","Red")</f>
        <v>Red</v>
      </c>
      <c r="AD597" t="str">
        <f>IF(OR($J597=0,$K597=0),"Green","Red")</f>
        <v>Green</v>
      </c>
    </row>
    <row r="598" spans="1:30" x14ac:dyDescent="0.2">
      <c r="A598" t="str">
        <f>L598&amp;F598&amp;G598</f>
        <v>24/07/2026Manly UnitedSydney Olympic</v>
      </c>
      <c r="B598" t="s">
        <v>810</v>
      </c>
      <c r="C598" t="s">
        <v>2254</v>
      </c>
      <c r="D598" s="2">
        <v>46227</v>
      </c>
      <c r="E598" s="3">
        <v>0.39583333333333331</v>
      </c>
      <c r="F598" t="s">
        <v>2255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>DAY(D598)&amp;"/"&amp;"07"&amp;"/"&amp;YEAR(D598)</f>
        <v>24/07/2026</v>
      </c>
      <c r="M598" s="23">
        <f>E598-TIME(3,0,0)</f>
        <v>0.27083333333333331</v>
      </c>
      <c r="N598" t="str">
        <f>J598&amp;" - "&amp;K598</f>
        <v>4 - 0</v>
      </c>
      <c r="O598" t="str">
        <f>IF($J598&gt;$K598,"Green","Red")</f>
        <v>Green</v>
      </c>
      <c r="P598" t="str">
        <f>IF($J598=$K598,"Green","Red")</f>
        <v>Red</v>
      </c>
      <c r="Q598" t="str">
        <f>IF($J598&lt;$K598,"Green","Red")</f>
        <v>Red</v>
      </c>
      <c r="R598" t="str">
        <f>IF($J598&gt;=$K598,"Green","Red")</f>
        <v>Green</v>
      </c>
      <c r="S598" t="str">
        <f>IF($J598&lt;=$K598,"Green","Red")</f>
        <v>Red</v>
      </c>
      <c r="T598" t="str">
        <f>IF(OR($J598&gt;$K598,$J598&lt;$K598),"Green","Red")</f>
        <v>Green</v>
      </c>
      <c r="U598" t="str">
        <f>IF($H598&gt;$I598,"Green","Red")</f>
        <v>Green</v>
      </c>
      <c r="V598" t="str">
        <f>IF($H598=$I598,"Green","Red")</f>
        <v>Red</v>
      </c>
      <c r="W598" t="str">
        <f>IF($H598&lt;$I598,"Green","Red")</f>
        <v>Red</v>
      </c>
      <c r="X598" t="str">
        <f>IF($H598+$I598&gt;0,"Green","Red")</f>
        <v>Green</v>
      </c>
      <c r="Y598" t="str">
        <f>IF($J598+$K598&gt;1.5,"Green","Red")</f>
        <v>Green</v>
      </c>
      <c r="Z598" t="str">
        <f>IF($J598+$K598&gt;2.5,"Green","Red")</f>
        <v>Green</v>
      </c>
      <c r="AA598" t="str">
        <f>IF($J598+$K598&lt;2.5,"Green","Red")</f>
        <v>Red</v>
      </c>
      <c r="AB598" t="str">
        <f>IF($J598+$K598&lt;3.5,"Green","Red")</f>
        <v>Red</v>
      </c>
      <c r="AC598" t="str">
        <f>IF(AND($J598&gt;0,$K598&gt;0),"Green","Red")</f>
        <v>Red</v>
      </c>
      <c r="AD598" t="str">
        <f>IF(OR($J598=0,$K598=0),"Green","Red")</f>
        <v>Green</v>
      </c>
    </row>
    <row r="599" spans="1:30" x14ac:dyDescent="0.2">
      <c r="A599" t="str">
        <f>L599&amp;F599&amp;G599</f>
        <v>24/07/2026Green Gully SCDandenong City</v>
      </c>
      <c r="B599" t="s">
        <v>810</v>
      </c>
      <c r="C599" t="s">
        <v>2256</v>
      </c>
      <c r="D599" s="2">
        <v>46227</v>
      </c>
      <c r="E599" s="3">
        <v>0.39583333333333331</v>
      </c>
      <c r="F599" t="s">
        <v>2257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>DAY(D599)&amp;"/"&amp;"07"&amp;"/"&amp;YEAR(D599)</f>
        <v>24/07/2026</v>
      </c>
      <c r="M599" s="23">
        <f>E599-TIME(3,0,0)</f>
        <v>0.27083333333333331</v>
      </c>
      <c r="N599" t="str">
        <f>J599&amp;" - "&amp;K599</f>
        <v>0 - 0</v>
      </c>
      <c r="O599" t="str">
        <f>IF($J599&gt;$K599,"Green","Red")</f>
        <v>Red</v>
      </c>
      <c r="P599" t="str">
        <f>IF($J599=$K599,"Green","Red")</f>
        <v>Green</v>
      </c>
      <c r="Q599" t="str">
        <f>IF($J599&lt;$K599,"Green","Red")</f>
        <v>Red</v>
      </c>
      <c r="R599" t="str">
        <f>IF($J599&gt;=$K599,"Green","Red")</f>
        <v>Green</v>
      </c>
      <c r="S599" t="str">
        <f>IF($J599&lt;=$K599,"Green","Red")</f>
        <v>Green</v>
      </c>
      <c r="T599" t="str">
        <f>IF(OR($J599&gt;$K599,$J599&lt;$K599),"Green","Red")</f>
        <v>Red</v>
      </c>
      <c r="U599" t="str">
        <f>IF($H599&gt;$I599,"Green","Red")</f>
        <v>Red</v>
      </c>
      <c r="V599" t="str">
        <f>IF($H599=$I599,"Green","Red")</f>
        <v>Green</v>
      </c>
      <c r="W599" t="str">
        <f>IF($H599&lt;$I599,"Green","Red")</f>
        <v>Red</v>
      </c>
      <c r="X599" t="str">
        <f>IF($H599+$I599&gt;0,"Green","Red")</f>
        <v>Red</v>
      </c>
      <c r="Y599" t="str">
        <f>IF($J599+$K599&gt;1.5,"Green","Red")</f>
        <v>Red</v>
      </c>
      <c r="Z599" t="str">
        <f>IF($J599+$K599&gt;2.5,"Green","Red")</f>
        <v>Red</v>
      </c>
      <c r="AA599" t="str">
        <f>IF($J599+$K599&lt;2.5,"Green","Red")</f>
        <v>Green</v>
      </c>
      <c r="AB599" t="str">
        <f>IF($J599+$K599&lt;3.5,"Green","Red")</f>
        <v>Green</v>
      </c>
      <c r="AC599" t="str">
        <f>IF(AND($J599&gt;0,$K599&gt;0),"Green","Red")</f>
        <v>Red</v>
      </c>
      <c r="AD599" t="str">
        <f>IF(OR($J599=0,$K599=0),"Green","Red")</f>
        <v>Green</v>
      </c>
    </row>
    <row r="600" spans="1:30" x14ac:dyDescent="0.2">
      <c r="A600" t="str">
        <f>L600&amp;F600&amp;G600</f>
        <v>24/07/2026Heidelberg UnitedSunshine George Cross</v>
      </c>
      <c r="B600" t="s">
        <v>810</v>
      </c>
      <c r="C600" t="s">
        <v>2256</v>
      </c>
      <c r="D600" s="2">
        <v>46227</v>
      </c>
      <c r="E600" s="3">
        <v>0.39583333333333331</v>
      </c>
      <c r="F600" t="s">
        <v>392</v>
      </c>
      <c r="G600" t="s">
        <v>2258</v>
      </c>
      <c r="H600">
        <v>0</v>
      </c>
      <c r="I600">
        <v>0</v>
      </c>
      <c r="J600">
        <v>0</v>
      </c>
      <c r="K600">
        <v>0</v>
      </c>
      <c r="L600" s="22" t="str">
        <f>DAY(D600)&amp;"/"&amp;"07"&amp;"/"&amp;YEAR(D600)</f>
        <v>24/07/2026</v>
      </c>
      <c r="M600" s="23">
        <f>E600-TIME(3,0,0)</f>
        <v>0.27083333333333331</v>
      </c>
      <c r="N600" t="str">
        <f>J600&amp;" - "&amp;K600</f>
        <v>0 - 0</v>
      </c>
      <c r="O600" t="str">
        <f>IF($J600&gt;$K600,"Green","Red")</f>
        <v>Red</v>
      </c>
      <c r="P600" t="str">
        <f>IF($J600=$K600,"Green","Red")</f>
        <v>Green</v>
      </c>
      <c r="Q600" t="str">
        <f>IF($J600&lt;$K600,"Green","Red")</f>
        <v>Red</v>
      </c>
      <c r="R600" t="str">
        <f>IF($J600&gt;=$K600,"Green","Red")</f>
        <v>Green</v>
      </c>
      <c r="S600" t="str">
        <f>IF($J600&lt;=$K600,"Green","Red")</f>
        <v>Green</v>
      </c>
      <c r="T600" t="str">
        <f>IF(OR($J600&gt;$K600,$J600&lt;$K600),"Green","Red")</f>
        <v>Red</v>
      </c>
      <c r="U600" t="str">
        <f>IF($H600&gt;$I600,"Green","Red")</f>
        <v>Red</v>
      </c>
      <c r="V600" t="str">
        <f>IF($H600=$I600,"Green","Red")</f>
        <v>Green</v>
      </c>
      <c r="W600" t="str">
        <f>IF($H600&lt;$I600,"Green","Red")</f>
        <v>Red</v>
      </c>
      <c r="X600" t="str">
        <f>IF($H600+$I600&gt;0,"Green","Red")</f>
        <v>Red</v>
      </c>
      <c r="Y600" t="str">
        <f>IF($J600+$K600&gt;1.5,"Green","Red")</f>
        <v>Red</v>
      </c>
      <c r="Z600" t="str">
        <f>IF($J600+$K600&gt;2.5,"Green","Red")</f>
        <v>Red</v>
      </c>
      <c r="AA600" t="str">
        <f>IF($J600+$K600&lt;2.5,"Green","Red")</f>
        <v>Green</v>
      </c>
      <c r="AB600" t="str">
        <f>IF($J600+$K600&lt;3.5,"Green","Red")</f>
        <v>Green</v>
      </c>
      <c r="AC600" t="str">
        <f>IF(AND($J600&gt;0,$K600&gt;0),"Green","Red")</f>
        <v>Red</v>
      </c>
      <c r="AD600" t="str">
        <f>IF(OR($J600=0,$K600=0),"Green","Red")</f>
        <v>Green</v>
      </c>
    </row>
    <row r="601" spans="1:30" x14ac:dyDescent="0.2">
      <c r="A601" t="str">
        <f>L601&amp;F601&amp;G601</f>
        <v>24/07/2026St Albans SaintsHume City</v>
      </c>
      <c r="B601" t="s">
        <v>810</v>
      </c>
      <c r="C601" t="s">
        <v>2256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>DAY(D601)&amp;"/"&amp;"07"&amp;"/"&amp;YEAR(D601)</f>
        <v>24/07/2026</v>
      </c>
      <c r="M601" s="23">
        <f>E601-TIME(3,0,0)</f>
        <v>0.27083333333333331</v>
      </c>
      <c r="N601" t="str">
        <f>J601&amp;" - "&amp;K601</f>
        <v>3 - 2</v>
      </c>
      <c r="O601" t="str">
        <f>IF($J601&gt;$K601,"Green","Red")</f>
        <v>Green</v>
      </c>
      <c r="P601" t="str">
        <f>IF($J601=$K601,"Green","Red")</f>
        <v>Red</v>
      </c>
      <c r="Q601" t="str">
        <f>IF($J601&lt;$K601,"Green","Red")</f>
        <v>Red</v>
      </c>
      <c r="R601" t="str">
        <f>IF($J601&gt;=$K601,"Green","Red")</f>
        <v>Green</v>
      </c>
      <c r="S601" t="str">
        <f>IF($J601&lt;=$K601,"Green","Red")</f>
        <v>Red</v>
      </c>
      <c r="T601" t="str">
        <f>IF(OR($J601&gt;$K601,$J601&lt;$K601),"Green","Red")</f>
        <v>Green</v>
      </c>
      <c r="U601" t="str">
        <f>IF($H601&gt;$I601,"Green","Red")</f>
        <v>Green</v>
      </c>
      <c r="V601" t="str">
        <f>IF($H601=$I601,"Green","Red")</f>
        <v>Red</v>
      </c>
      <c r="W601" t="str">
        <f>IF($H601&lt;$I601,"Green","Red")</f>
        <v>Red</v>
      </c>
      <c r="X601" t="str">
        <f>IF($H601+$I601&gt;0,"Green","Red")</f>
        <v>Green</v>
      </c>
      <c r="Y601" t="str">
        <f>IF($J601+$K601&gt;1.5,"Green","Red")</f>
        <v>Green</v>
      </c>
      <c r="Z601" t="str">
        <f>IF($J601+$K601&gt;2.5,"Green","Red")</f>
        <v>Green</v>
      </c>
      <c r="AA601" t="str">
        <f>IF($J601+$K601&lt;2.5,"Green","Red")</f>
        <v>Red</v>
      </c>
      <c r="AB601" t="str">
        <f>IF($J601+$K601&lt;3.5,"Green","Red")</f>
        <v>Red</v>
      </c>
      <c r="AC601" t="str">
        <f>IF(AND($J601&gt;0,$K601&gt;0),"Green","Red")</f>
        <v>Green</v>
      </c>
      <c r="AD601" t="str">
        <f>IF(OR($J601=0,$K601=0),"Green","Red")</f>
        <v>Red</v>
      </c>
    </row>
    <row r="602" spans="1:30" x14ac:dyDescent="0.2">
      <c r="A602" t="str">
        <f>L602&amp;F602&amp;G602</f>
        <v>24/07/2026Keilor ParkBayside Argonauts</v>
      </c>
      <c r="B602" t="s">
        <v>810</v>
      </c>
      <c r="C602" t="s">
        <v>2265</v>
      </c>
      <c r="D602" s="2">
        <v>46227</v>
      </c>
      <c r="E602" s="3">
        <v>0.39583333333333331</v>
      </c>
      <c r="F602" t="s">
        <v>2266</v>
      </c>
      <c r="G602" t="s">
        <v>2267</v>
      </c>
      <c r="H602">
        <v>0</v>
      </c>
      <c r="I602">
        <v>0</v>
      </c>
      <c r="J602">
        <v>0</v>
      </c>
      <c r="K602">
        <v>1</v>
      </c>
      <c r="L602" s="22" t="str">
        <f>DAY(D602)&amp;"/"&amp;"07"&amp;"/"&amp;YEAR(D602)</f>
        <v>24/07/2026</v>
      </c>
      <c r="M602" s="23">
        <f>E602-TIME(3,0,0)</f>
        <v>0.27083333333333331</v>
      </c>
      <c r="N602" t="str">
        <f>J602&amp;" - "&amp;K602</f>
        <v>0 - 1</v>
      </c>
      <c r="O602" t="str">
        <f>IF($J602&gt;$K602,"Green","Red")</f>
        <v>Red</v>
      </c>
      <c r="P602" t="str">
        <f>IF($J602=$K602,"Green","Red")</f>
        <v>Red</v>
      </c>
      <c r="Q602" t="str">
        <f>IF($J602&lt;$K602,"Green","Red")</f>
        <v>Green</v>
      </c>
      <c r="R602" t="str">
        <f>IF($J602&gt;=$K602,"Green","Red")</f>
        <v>Red</v>
      </c>
      <c r="S602" t="str">
        <f>IF($J602&lt;=$K602,"Green","Red")</f>
        <v>Green</v>
      </c>
      <c r="T602" t="str">
        <f>IF(OR($J602&gt;$K602,$J602&lt;$K602),"Green","Red")</f>
        <v>Green</v>
      </c>
      <c r="U602" t="str">
        <f>IF($H602&gt;$I602,"Green","Red")</f>
        <v>Red</v>
      </c>
      <c r="V602" t="str">
        <f>IF($H602=$I602,"Green","Red")</f>
        <v>Green</v>
      </c>
      <c r="W602" t="str">
        <f>IF($H602&lt;$I602,"Green","Red")</f>
        <v>Red</v>
      </c>
      <c r="X602" t="str">
        <f>IF($H602+$I602&gt;0,"Green","Red")</f>
        <v>Red</v>
      </c>
      <c r="Y602" t="str">
        <f>IF($J602+$K602&gt;1.5,"Green","Red")</f>
        <v>Red</v>
      </c>
      <c r="Z602" t="str">
        <f>IF($J602+$K602&gt;2.5,"Green","Red")</f>
        <v>Red</v>
      </c>
      <c r="AA602" t="str">
        <f>IF($J602+$K602&lt;2.5,"Green","Red")</f>
        <v>Green</v>
      </c>
      <c r="AB602" t="str">
        <f>IF($J602+$K602&lt;3.5,"Green","Red")</f>
        <v>Green</v>
      </c>
      <c r="AC602" t="str">
        <f>IF(AND($J602&gt;0,$K602&gt;0),"Green","Red")</f>
        <v>Red</v>
      </c>
      <c r="AD602" t="str">
        <f>IF(OR($J602=0,$K602=0),"Green","Red")</f>
        <v>Green</v>
      </c>
    </row>
    <row r="603" spans="1:30" x14ac:dyDescent="0.2">
      <c r="A603" t="str">
        <f>L603&amp;F603&amp;G603</f>
        <v>24/07/2026Nunawading CityMalvern City</v>
      </c>
      <c r="B603" t="s">
        <v>810</v>
      </c>
      <c r="C603" t="s">
        <v>2265</v>
      </c>
      <c r="D603" s="2">
        <v>46227</v>
      </c>
      <c r="E603" s="3">
        <v>0.39583333333333331</v>
      </c>
      <c r="F603" t="s">
        <v>2268</v>
      </c>
      <c r="G603" t="s">
        <v>2269</v>
      </c>
      <c r="H603">
        <v>0</v>
      </c>
      <c r="I603">
        <v>1</v>
      </c>
      <c r="J603">
        <v>1</v>
      </c>
      <c r="K603">
        <v>4</v>
      </c>
      <c r="L603" s="22" t="str">
        <f>DAY(D603)&amp;"/"&amp;"07"&amp;"/"&amp;YEAR(D603)</f>
        <v>24/07/2026</v>
      </c>
      <c r="M603" s="23">
        <f>E603-TIME(3,0,0)</f>
        <v>0.27083333333333331</v>
      </c>
      <c r="N603" t="str">
        <f>J603&amp;" - "&amp;K603</f>
        <v>1 - 4</v>
      </c>
      <c r="O603" t="str">
        <f>IF($J603&gt;$K603,"Green","Red")</f>
        <v>Red</v>
      </c>
      <c r="P603" t="str">
        <f>IF($J603=$K603,"Green","Red")</f>
        <v>Red</v>
      </c>
      <c r="Q603" t="str">
        <f>IF($J603&lt;$K603,"Green","Red")</f>
        <v>Green</v>
      </c>
      <c r="R603" t="str">
        <f>IF($J603&gt;=$K603,"Green","Red")</f>
        <v>Red</v>
      </c>
      <c r="S603" t="str">
        <f>IF($J603&lt;=$K603,"Green","Red")</f>
        <v>Green</v>
      </c>
      <c r="T603" t="str">
        <f>IF(OR($J603&gt;$K603,$J603&lt;$K603),"Green","Red")</f>
        <v>Green</v>
      </c>
      <c r="U603" t="str">
        <f>IF($H603&gt;$I603,"Green","Red")</f>
        <v>Red</v>
      </c>
      <c r="V603" t="str">
        <f>IF($H603=$I603,"Green","Red")</f>
        <v>Red</v>
      </c>
      <c r="W603" t="str">
        <f>IF($H603&lt;$I603,"Green","Red")</f>
        <v>Green</v>
      </c>
      <c r="X603" t="str">
        <f>IF($H603+$I603&gt;0,"Green","Red")</f>
        <v>Green</v>
      </c>
      <c r="Y603" t="str">
        <f>IF($J603+$K603&gt;1.5,"Green","Red")</f>
        <v>Green</v>
      </c>
      <c r="Z603" t="str">
        <f>IF($J603+$K603&gt;2.5,"Green","Red")</f>
        <v>Green</v>
      </c>
      <c r="AA603" t="str">
        <f>IF($J603+$K603&lt;2.5,"Green","Red")</f>
        <v>Red</v>
      </c>
      <c r="AB603" t="str">
        <f>IF($J603+$K603&lt;3.5,"Green","Red")</f>
        <v>Red</v>
      </c>
      <c r="AC603" t="str">
        <f>IF(AND($J603&gt;0,$K603&gt;0),"Green","Red")</f>
        <v>Green</v>
      </c>
      <c r="AD603" t="str">
        <f>IF(OR($J603=0,$K603=0),"Green","Red")</f>
        <v>Red</v>
      </c>
    </row>
    <row r="604" spans="1:30" x14ac:dyDescent="0.2">
      <c r="A604" t="str">
        <f>L604&amp;F604&amp;G604</f>
        <v>24/07/2026Olympic FC WomenBrisbane City Women</v>
      </c>
      <c r="B604" t="s">
        <v>810</v>
      </c>
      <c r="C604" t="s">
        <v>2294</v>
      </c>
      <c r="D604" s="2">
        <v>46227</v>
      </c>
      <c r="E604" s="3">
        <v>0.39583333333333331</v>
      </c>
      <c r="F604" t="s">
        <v>2295</v>
      </c>
      <c r="G604" t="s">
        <v>2296</v>
      </c>
      <c r="H604">
        <v>0</v>
      </c>
      <c r="I604">
        <v>1</v>
      </c>
      <c r="J604">
        <v>0</v>
      </c>
      <c r="K604">
        <v>3</v>
      </c>
      <c r="L604" s="22" t="str">
        <f>DAY(D604)&amp;"/"&amp;"07"&amp;"/"&amp;YEAR(D604)</f>
        <v>24/07/2026</v>
      </c>
      <c r="M604" s="23">
        <f>E604-TIME(3,0,0)</f>
        <v>0.27083333333333331</v>
      </c>
      <c r="N604" t="str">
        <f>J604&amp;" - "&amp;K604</f>
        <v>0 - 3</v>
      </c>
      <c r="O604" t="str">
        <f>IF($J604&gt;$K604,"Green","Red")</f>
        <v>Red</v>
      </c>
      <c r="P604" t="str">
        <f>IF($J604=$K604,"Green","Red")</f>
        <v>Red</v>
      </c>
      <c r="Q604" t="str">
        <f>IF($J604&lt;$K604,"Green","Red")</f>
        <v>Green</v>
      </c>
      <c r="R604" t="str">
        <f>IF($J604&gt;=$K604,"Green","Red")</f>
        <v>Red</v>
      </c>
      <c r="S604" t="str">
        <f>IF($J604&lt;=$K604,"Green","Red")</f>
        <v>Green</v>
      </c>
      <c r="T604" t="str">
        <f>IF(OR($J604&gt;$K604,$J604&lt;$K604),"Green","Red")</f>
        <v>Green</v>
      </c>
      <c r="U604" t="str">
        <f>IF($H604&gt;$I604,"Green","Red")</f>
        <v>Red</v>
      </c>
      <c r="V604" t="str">
        <f>IF($H604=$I604,"Green","Red")</f>
        <v>Red</v>
      </c>
      <c r="W604" t="str">
        <f>IF($H604&lt;$I604,"Green","Red")</f>
        <v>Green</v>
      </c>
      <c r="X604" t="str">
        <f>IF($H604+$I604&gt;0,"Green","Red")</f>
        <v>Green</v>
      </c>
      <c r="Y604" t="str">
        <f>IF($J604+$K604&gt;1.5,"Green","Red")</f>
        <v>Green</v>
      </c>
      <c r="Z604" t="str">
        <f>IF($J604+$K604&gt;2.5,"Green","Red")</f>
        <v>Green</v>
      </c>
      <c r="AA604" t="str">
        <f>IF($J604+$K604&lt;2.5,"Green","Red")</f>
        <v>Red</v>
      </c>
      <c r="AB604" t="str">
        <f>IF($J604+$K604&lt;3.5,"Green","Red")</f>
        <v>Green</v>
      </c>
      <c r="AC604" t="str">
        <f>IF(AND($J604&gt;0,$K604&gt;0),"Green","Red")</f>
        <v>Red</v>
      </c>
      <c r="AD604" t="str">
        <f>IF(OR($J604=0,$K604=0),"Green","Red")</f>
        <v>Green</v>
      </c>
    </row>
    <row r="605" spans="1:30" x14ac:dyDescent="0.2">
      <c r="A605" t="str">
        <f>L605&amp;F605&amp;G605</f>
        <v>24/07/2026Box Hill United WomenAlamein Women</v>
      </c>
      <c r="B605" t="s">
        <v>810</v>
      </c>
      <c r="C605" t="s">
        <v>2299</v>
      </c>
      <c r="D605" s="2">
        <v>46227</v>
      </c>
      <c r="E605" s="3">
        <v>0.39583333333333331</v>
      </c>
      <c r="F605" t="s">
        <v>2302</v>
      </c>
      <c r="G605" t="s">
        <v>2303</v>
      </c>
      <c r="H605">
        <v>1</v>
      </c>
      <c r="I605">
        <v>0</v>
      </c>
      <c r="J605">
        <v>2</v>
      </c>
      <c r="K605">
        <v>0</v>
      </c>
      <c r="L605" s="22" t="str">
        <f>DAY(D605)&amp;"/"&amp;"07"&amp;"/"&amp;YEAR(D605)</f>
        <v>24/07/2026</v>
      </c>
      <c r="M605" s="23">
        <f>E605-TIME(3,0,0)</f>
        <v>0.27083333333333331</v>
      </c>
      <c r="N605" t="str">
        <f>J605&amp;" - "&amp;K605</f>
        <v>2 - 0</v>
      </c>
      <c r="O605" t="str">
        <f>IF($J605&gt;$K605,"Green","Red")</f>
        <v>Green</v>
      </c>
      <c r="P605" t="str">
        <f>IF($J605=$K605,"Green","Red")</f>
        <v>Red</v>
      </c>
      <c r="Q605" t="str">
        <f>IF($J605&lt;$K605,"Green","Red")</f>
        <v>Red</v>
      </c>
      <c r="R605" t="str">
        <f>IF($J605&gt;=$K605,"Green","Red")</f>
        <v>Green</v>
      </c>
      <c r="S605" t="str">
        <f>IF($J605&lt;=$K605,"Green","Red")</f>
        <v>Red</v>
      </c>
      <c r="T605" t="str">
        <f>IF(OR($J605&gt;$K605,$J605&lt;$K605),"Green","Red")</f>
        <v>Green</v>
      </c>
      <c r="U605" t="str">
        <f>IF($H605&gt;$I605,"Green","Red")</f>
        <v>Green</v>
      </c>
      <c r="V605" t="str">
        <f>IF($H605=$I605,"Green","Red")</f>
        <v>Red</v>
      </c>
      <c r="W605" t="str">
        <f>IF($H605&lt;$I605,"Green","Red")</f>
        <v>Red</v>
      </c>
      <c r="X605" t="str">
        <f>IF($H605+$I605&gt;0,"Green","Red")</f>
        <v>Green</v>
      </c>
      <c r="Y605" t="str">
        <f>IF($J605+$K605&gt;1.5,"Green","Red")</f>
        <v>Green</v>
      </c>
      <c r="Z605" t="str">
        <f>IF($J605+$K605&gt;2.5,"Green","Red")</f>
        <v>Red</v>
      </c>
      <c r="AA605" t="str">
        <f>IF($J605+$K605&lt;2.5,"Green","Red")</f>
        <v>Green</v>
      </c>
      <c r="AB605" t="str">
        <f>IF($J605+$K605&lt;3.5,"Green","Red")</f>
        <v>Green</v>
      </c>
      <c r="AC605" t="str">
        <f>IF(AND($J605&gt;0,$K605&gt;0),"Green","Red")</f>
        <v>Red</v>
      </c>
      <c r="AD605" t="str">
        <f>IF(OR($J605=0,$K605=0),"Green","Red")</f>
        <v>Green</v>
      </c>
    </row>
    <row r="606" spans="1:30" x14ac:dyDescent="0.2">
      <c r="A606" t="str">
        <f>L606&amp;F606&amp;G606</f>
        <v>24/07/2026Eastern LionsBox Hill United</v>
      </c>
      <c r="B606" t="s">
        <v>810</v>
      </c>
      <c r="C606" t="s">
        <v>2265</v>
      </c>
      <c r="D606" s="2">
        <v>46227</v>
      </c>
      <c r="E606" s="3">
        <v>0.40625</v>
      </c>
      <c r="F606" t="s">
        <v>2270</v>
      </c>
      <c r="G606" t="s">
        <v>2271</v>
      </c>
      <c r="H606">
        <v>1</v>
      </c>
      <c r="I606">
        <v>0</v>
      </c>
      <c r="J606">
        <v>1</v>
      </c>
      <c r="K606">
        <v>1</v>
      </c>
      <c r="L606" s="22" t="str">
        <f>DAY(D606)&amp;"/"&amp;"07"&amp;"/"&amp;YEAR(D606)</f>
        <v>24/07/2026</v>
      </c>
      <c r="M606" s="23">
        <f>E606-TIME(3,0,0)</f>
        <v>0.28125</v>
      </c>
      <c r="N606" t="str">
        <f>J606&amp;" - "&amp;K606</f>
        <v>1 - 1</v>
      </c>
      <c r="O606" t="str">
        <f>IF($J606&gt;$K606,"Green","Red")</f>
        <v>Red</v>
      </c>
      <c r="P606" t="str">
        <f>IF($J606=$K606,"Green","Red")</f>
        <v>Green</v>
      </c>
      <c r="Q606" t="str">
        <f>IF($J606&lt;$K606,"Green","Red")</f>
        <v>Red</v>
      </c>
      <c r="R606" t="str">
        <f>IF($J606&gt;=$K606,"Green","Red")</f>
        <v>Green</v>
      </c>
      <c r="S606" t="str">
        <f>IF($J606&lt;=$K606,"Green","Red")</f>
        <v>Green</v>
      </c>
      <c r="T606" t="str">
        <f>IF(OR($J606&gt;$K606,$J606&lt;$K606),"Green","Red")</f>
        <v>Red</v>
      </c>
      <c r="U606" t="str">
        <f>IF($H606&gt;$I606,"Green","Red")</f>
        <v>Green</v>
      </c>
      <c r="V606" t="str">
        <f>IF($H606=$I606,"Green","Red")</f>
        <v>Red</v>
      </c>
      <c r="W606" t="str">
        <f>IF($H606&lt;$I606,"Green","Red")</f>
        <v>Red</v>
      </c>
      <c r="X606" t="str">
        <f>IF($H606+$I606&gt;0,"Green","Red")</f>
        <v>Green</v>
      </c>
      <c r="Y606" t="str">
        <f>IF($J606+$K606&gt;1.5,"Green","Red")</f>
        <v>Green</v>
      </c>
      <c r="Z606" t="str">
        <f>IF($J606+$K606&gt;2.5,"Green","Red")</f>
        <v>Red</v>
      </c>
      <c r="AA606" t="str">
        <f>IF($J606+$K606&lt;2.5,"Green","Red")</f>
        <v>Green</v>
      </c>
      <c r="AB606" t="str">
        <f>IF($J606+$K606&lt;3.5,"Green","Red")</f>
        <v>Green</v>
      </c>
      <c r="AC606" t="str">
        <f>IF(AND($J606&gt;0,$K606&gt;0),"Green","Red")</f>
        <v>Green</v>
      </c>
      <c r="AD606" t="str">
        <f>IF(OR($J606=0,$K606=0),"Green","Red")</f>
        <v>Red</v>
      </c>
    </row>
    <row r="607" spans="1:30" x14ac:dyDescent="0.2">
      <c r="A607" t="str">
        <f>L607&amp;F607&amp;G607</f>
        <v>24/07/2026MitcheltonSouths United</v>
      </c>
      <c r="B607" t="s">
        <v>810</v>
      </c>
      <c r="C607" t="s">
        <v>2274</v>
      </c>
      <c r="D607" s="2">
        <v>46227</v>
      </c>
      <c r="E607" s="3">
        <v>0.41666666666666669</v>
      </c>
      <c r="F607" t="s">
        <v>2275</v>
      </c>
      <c r="G607" t="s">
        <v>2276</v>
      </c>
      <c r="H607">
        <v>0</v>
      </c>
      <c r="I607">
        <v>1</v>
      </c>
      <c r="J607">
        <v>1</v>
      </c>
      <c r="K607">
        <v>2</v>
      </c>
      <c r="L607" s="22" t="str">
        <f>DAY(D607)&amp;"/"&amp;"07"&amp;"/"&amp;YEAR(D607)</f>
        <v>24/07/2026</v>
      </c>
      <c r="M607" s="23">
        <f>E607-TIME(3,0,0)</f>
        <v>0.29166666666666669</v>
      </c>
      <c r="N607" t="str">
        <f>J607&amp;" - "&amp;K607</f>
        <v>1 - 2</v>
      </c>
      <c r="O607" t="str">
        <f>IF($J607&gt;$K607,"Green","Red")</f>
        <v>Red</v>
      </c>
      <c r="P607" t="str">
        <f>IF($J607=$K607,"Green","Red")</f>
        <v>Red</v>
      </c>
      <c r="Q607" t="str">
        <f>IF($J607&lt;$K607,"Green","Red")</f>
        <v>Green</v>
      </c>
      <c r="R607" t="str">
        <f>IF($J607&gt;=$K607,"Green","Red")</f>
        <v>Red</v>
      </c>
      <c r="S607" t="str">
        <f>IF($J607&lt;=$K607,"Green","Red")</f>
        <v>Green</v>
      </c>
      <c r="T607" t="str">
        <f>IF(OR($J607&gt;$K607,$J607&lt;$K607),"Green","Red")</f>
        <v>Green</v>
      </c>
      <c r="U607" t="str">
        <f>IF($H607&gt;$I607,"Green","Red")</f>
        <v>Red</v>
      </c>
      <c r="V607" t="str">
        <f>IF($H607=$I607,"Green","Red")</f>
        <v>Red</v>
      </c>
      <c r="W607" t="str">
        <f>IF($H607&lt;$I607,"Green","Red")</f>
        <v>Green</v>
      </c>
      <c r="X607" t="str">
        <f>IF($H607+$I607&gt;0,"Green","Red")</f>
        <v>Green</v>
      </c>
      <c r="Y607" t="str">
        <f>IF($J607+$K607&gt;1.5,"Green","Red")</f>
        <v>Green</v>
      </c>
      <c r="Z607" t="str">
        <f>IF($J607+$K607&gt;2.5,"Green","Red")</f>
        <v>Green</v>
      </c>
      <c r="AA607" t="str">
        <f>IF($J607+$K607&lt;2.5,"Green","Red")</f>
        <v>Red</v>
      </c>
      <c r="AB607" t="str">
        <f>IF($J607+$K607&lt;3.5,"Green","Red")</f>
        <v>Green</v>
      </c>
      <c r="AC607" t="str">
        <f>IF(AND($J607&gt;0,$K607&gt;0),"Green","Red")</f>
        <v>Green</v>
      </c>
      <c r="AD607" t="str">
        <f>IF(OR($J607=0,$K607=0),"Green","Red")</f>
        <v>Red</v>
      </c>
    </row>
    <row r="608" spans="1:30" x14ac:dyDescent="0.2">
      <c r="A608" t="str">
        <f>L608&amp;F608&amp;G608</f>
        <v>24/07/2026Adelaide OlympicSouth Adelaide Panthers</v>
      </c>
      <c r="B608" t="s">
        <v>810</v>
      </c>
      <c r="C608" t="s">
        <v>2277</v>
      </c>
      <c r="D608" s="2">
        <v>46227</v>
      </c>
      <c r="E608" s="3">
        <v>0.41666666666666669</v>
      </c>
      <c r="F608" t="s">
        <v>2278</v>
      </c>
      <c r="G608" t="s">
        <v>2279</v>
      </c>
      <c r="H608">
        <v>2</v>
      </c>
      <c r="I608">
        <v>0</v>
      </c>
      <c r="J608">
        <v>5</v>
      </c>
      <c r="K608">
        <v>1</v>
      </c>
      <c r="L608" s="22" t="str">
        <f>DAY(D608)&amp;"/"&amp;"07"&amp;"/"&amp;YEAR(D608)</f>
        <v>24/07/2026</v>
      </c>
      <c r="M608" s="23">
        <f>E608-TIME(3,0,0)</f>
        <v>0.29166666666666669</v>
      </c>
      <c r="N608" t="str">
        <f>J608&amp;" - "&amp;K608</f>
        <v>5 - 1</v>
      </c>
      <c r="O608" t="str">
        <f>IF($J608&gt;$K608,"Green","Red")</f>
        <v>Green</v>
      </c>
      <c r="P608" t="str">
        <f>IF($J608=$K608,"Green","Red")</f>
        <v>Red</v>
      </c>
      <c r="Q608" t="str">
        <f>IF($J608&lt;$K608,"Green","Red")</f>
        <v>Red</v>
      </c>
      <c r="R608" t="str">
        <f>IF($J608&gt;=$K608,"Green","Red")</f>
        <v>Green</v>
      </c>
      <c r="S608" t="str">
        <f>IF($J608&lt;=$K608,"Green","Red")</f>
        <v>Red</v>
      </c>
      <c r="T608" t="str">
        <f>IF(OR($J608&gt;$K608,$J608&lt;$K608),"Green","Red")</f>
        <v>Green</v>
      </c>
      <c r="U608" t="str">
        <f>IF($H608&gt;$I608,"Green","Red")</f>
        <v>Green</v>
      </c>
      <c r="V608" t="str">
        <f>IF($H608=$I608,"Green","Red")</f>
        <v>Red</v>
      </c>
      <c r="W608" t="str">
        <f>IF($H608&lt;$I608,"Green","Red")</f>
        <v>Red</v>
      </c>
      <c r="X608" t="str">
        <f>IF($H608+$I608&gt;0,"Green","Red")</f>
        <v>Green</v>
      </c>
      <c r="Y608" t="str">
        <f>IF($J608+$K608&gt;1.5,"Green","Red")</f>
        <v>Green</v>
      </c>
      <c r="Z608" t="str">
        <f>IF($J608+$K608&gt;2.5,"Green","Red")</f>
        <v>Green</v>
      </c>
      <c r="AA608" t="str">
        <f>IF($J608+$K608&lt;2.5,"Green","Red")</f>
        <v>Red</v>
      </c>
      <c r="AB608" t="str">
        <f>IF($J608+$K608&lt;3.5,"Green","Red")</f>
        <v>Red</v>
      </c>
      <c r="AC608" t="str">
        <f>IF(AND($J608&gt;0,$K608&gt;0),"Green","Red")</f>
        <v>Green</v>
      </c>
      <c r="AD608" t="str">
        <f>IF(OR($J608=0,$K608=0),"Green","Red")</f>
        <v>Red</v>
      </c>
    </row>
    <row r="609" spans="1:30" x14ac:dyDescent="0.2">
      <c r="A609" t="str">
        <f>L609&amp;F609&amp;G609</f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2282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>DAY(D609)&amp;"/"&amp;"07"&amp;"/"&amp;YEAR(D609)</f>
        <v>24/07/2026</v>
      </c>
      <c r="M609" s="23">
        <f>E609-TIME(3,0,0)</f>
        <v>0.29166666666666669</v>
      </c>
      <c r="N609" t="str">
        <f>J609&amp;" - "&amp;K609</f>
        <v>2 - 1</v>
      </c>
      <c r="O609" t="str">
        <f>IF($J609&gt;$K609,"Green","Red")</f>
        <v>Green</v>
      </c>
      <c r="P609" t="str">
        <f>IF($J609=$K609,"Green","Red")</f>
        <v>Red</v>
      </c>
      <c r="Q609" t="str">
        <f>IF($J609&lt;$K609,"Green","Red")</f>
        <v>Red</v>
      </c>
      <c r="R609" t="str">
        <f>IF($J609&gt;=$K609,"Green","Red")</f>
        <v>Green</v>
      </c>
      <c r="S609" t="str">
        <f>IF($J609&lt;=$K609,"Green","Red")</f>
        <v>Red</v>
      </c>
      <c r="T609" t="str">
        <f>IF(OR($J609&gt;$K609,$J609&lt;$K609),"Green","Red")</f>
        <v>Green</v>
      </c>
      <c r="U609" t="str">
        <f>IF($H609&gt;$I609,"Green","Red")</f>
        <v>Green</v>
      </c>
      <c r="V609" t="str">
        <f>IF($H609=$I609,"Green","Red")</f>
        <v>Red</v>
      </c>
      <c r="W609" t="str">
        <f>IF($H609&lt;$I609,"Green","Red")</f>
        <v>Red</v>
      </c>
      <c r="X609" t="str">
        <f>IF($H609+$I609&gt;0,"Green","Red")</f>
        <v>Green</v>
      </c>
      <c r="Y609" t="str">
        <f>IF($J609+$K609&gt;1.5,"Green","Red")</f>
        <v>Green</v>
      </c>
      <c r="Z609" t="str">
        <f>IF($J609+$K609&gt;2.5,"Green","Red")</f>
        <v>Green</v>
      </c>
      <c r="AA609" t="str">
        <f>IF($J609+$K609&lt;2.5,"Green","Red")</f>
        <v>Red</v>
      </c>
      <c r="AB609" t="str">
        <f>IF($J609+$K609&lt;3.5,"Green","Red")</f>
        <v>Green</v>
      </c>
      <c r="AC609" t="str">
        <f>IF(AND($J609&gt;0,$K609&gt;0),"Green","Red")</f>
        <v>Green</v>
      </c>
      <c r="AD609" t="str">
        <f>IF(OR($J609=0,$K609=0),"Green","Red")</f>
        <v>Red</v>
      </c>
    </row>
    <row r="610" spans="1:30" x14ac:dyDescent="0.2">
      <c r="A610" t="str">
        <f>L610&amp;F610&amp;G610</f>
        <v>24/07/2026Fraser ParkGladesville Ryde Magic</v>
      </c>
      <c r="B610" t="s">
        <v>810</v>
      </c>
      <c r="C610" t="s">
        <v>2289</v>
      </c>
      <c r="D610" s="2">
        <v>46227</v>
      </c>
      <c r="E610" s="3">
        <v>0.41666666666666669</v>
      </c>
      <c r="F610" t="s">
        <v>2290</v>
      </c>
      <c r="G610" t="s">
        <v>2291</v>
      </c>
      <c r="H610">
        <v>1</v>
      </c>
      <c r="I610">
        <v>1</v>
      </c>
      <c r="J610">
        <v>2</v>
      </c>
      <c r="K610">
        <v>1</v>
      </c>
      <c r="L610" s="22" t="str">
        <f>DAY(D610)&amp;"/"&amp;"07"&amp;"/"&amp;YEAR(D610)</f>
        <v>24/07/2026</v>
      </c>
      <c r="M610" s="23">
        <f>E610-TIME(3,0,0)</f>
        <v>0.29166666666666669</v>
      </c>
      <c r="N610" t="str">
        <f>J610&amp;" - "&amp;K610</f>
        <v>2 - 1</v>
      </c>
      <c r="O610" t="str">
        <f>IF($J610&gt;$K610,"Green","Red")</f>
        <v>Green</v>
      </c>
      <c r="P610" t="str">
        <f>IF($J610=$K610,"Green","Red")</f>
        <v>Red</v>
      </c>
      <c r="Q610" t="str">
        <f>IF($J610&lt;$K610,"Green","Red")</f>
        <v>Red</v>
      </c>
      <c r="R610" t="str">
        <f>IF($J610&gt;=$K610,"Green","Red")</f>
        <v>Green</v>
      </c>
      <c r="S610" t="str">
        <f>IF($J610&lt;=$K610,"Green","Red")</f>
        <v>Red</v>
      </c>
      <c r="T610" t="str">
        <f>IF(OR($J610&gt;$K610,$J610&lt;$K610),"Green","Red")</f>
        <v>Green</v>
      </c>
      <c r="U610" t="str">
        <f>IF($H610&gt;$I610,"Green","Red")</f>
        <v>Red</v>
      </c>
      <c r="V610" t="str">
        <f>IF($H610=$I610,"Green","Red")</f>
        <v>Green</v>
      </c>
      <c r="W610" t="str">
        <f>IF($H610&lt;$I610,"Green","Red")</f>
        <v>Red</v>
      </c>
      <c r="X610" t="str">
        <f>IF($H610+$I610&gt;0,"Green","Red")</f>
        <v>Green</v>
      </c>
      <c r="Y610" t="str">
        <f>IF($J610+$K610&gt;1.5,"Green","Red")</f>
        <v>Green</v>
      </c>
      <c r="Z610" t="str">
        <f>IF($J610+$K610&gt;2.5,"Green","Red")</f>
        <v>Green</v>
      </c>
      <c r="AA610" t="str">
        <f>IF($J610+$K610&lt;2.5,"Green","Red")</f>
        <v>Red</v>
      </c>
      <c r="AB610" t="str">
        <f>IF($J610+$K610&lt;3.5,"Green","Red")</f>
        <v>Green</v>
      </c>
      <c r="AC610" t="str">
        <f>IF(AND($J610&gt;0,$K610&gt;0),"Green","Red")</f>
        <v>Green</v>
      </c>
      <c r="AD610" t="str">
        <f>IF(OR($J610=0,$K610=0),"Green","Red")</f>
        <v>Red</v>
      </c>
    </row>
    <row r="611" spans="1:30" x14ac:dyDescent="0.2">
      <c r="A611" t="str">
        <f>L611&amp;F611&amp;G611</f>
        <v>24/07/2026Sydney UniversityMounties Wanderers</v>
      </c>
      <c r="B611" t="s">
        <v>810</v>
      </c>
      <c r="C611" t="s">
        <v>2289</v>
      </c>
      <c r="D611" s="2">
        <v>46227</v>
      </c>
      <c r="E611" s="3">
        <v>0.41666666666666669</v>
      </c>
      <c r="F611" t="s">
        <v>2292</v>
      </c>
      <c r="G611" t="s">
        <v>2293</v>
      </c>
      <c r="H611">
        <v>1</v>
      </c>
      <c r="I611">
        <v>2</v>
      </c>
      <c r="J611">
        <v>2</v>
      </c>
      <c r="K611">
        <v>4</v>
      </c>
      <c r="L611" s="22" t="str">
        <f>DAY(D611)&amp;"/"&amp;"07"&amp;"/"&amp;YEAR(D611)</f>
        <v>24/07/2026</v>
      </c>
      <c r="M611" s="23">
        <f>E611-TIME(3,0,0)</f>
        <v>0.29166666666666669</v>
      </c>
      <c r="N611" t="str">
        <f>J611&amp;" - "&amp;K611</f>
        <v>2 - 4</v>
      </c>
      <c r="O611" t="str">
        <f>IF($J611&gt;$K611,"Green","Red")</f>
        <v>Red</v>
      </c>
      <c r="P611" t="str">
        <f>IF($J611=$K611,"Green","Red")</f>
        <v>Red</v>
      </c>
      <c r="Q611" t="str">
        <f>IF($J611&lt;$K611,"Green","Red")</f>
        <v>Green</v>
      </c>
      <c r="R611" t="str">
        <f>IF($J611&gt;=$K611,"Green","Red")</f>
        <v>Red</v>
      </c>
      <c r="S611" t="str">
        <f>IF($J611&lt;=$K611,"Green","Red")</f>
        <v>Green</v>
      </c>
      <c r="T611" t="str">
        <f>IF(OR($J611&gt;$K611,$J611&lt;$K611),"Green","Red")</f>
        <v>Green</v>
      </c>
      <c r="U611" t="str">
        <f>IF($H611&gt;$I611,"Green","Red")</f>
        <v>Red</v>
      </c>
      <c r="V611" t="str">
        <f>IF($H611=$I611,"Green","Red")</f>
        <v>Red</v>
      </c>
      <c r="W611" t="str">
        <f>IF($H611&lt;$I611,"Green","Red")</f>
        <v>Green</v>
      </c>
      <c r="X611" t="str">
        <f>IF($H611+$I611&gt;0,"Green","Red")</f>
        <v>Green</v>
      </c>
      <c r="Y611" t="str">
        <f>IF($J611+$K611&gt;1.5,"Green","Red")</f>
        <v>Green</v>
      </c>
      <c r="Z611" t="str">
        <f>IF($J611+$K611&gt;2.5,"Green","Red")</f>
        <v>Green</v>
      </c>
      <c r="AA611" t="str">
        <f>IF($J611+$K611&lt;2.5,"Green","Red")</f>
        <v>Red</v>
      </c>
      <c r="AB611" t="str">
        <f>IF($J611+$K611&lt;3.5,"Green","Red")</f>
        <v>Red</v>
      </c>
      <c r="AC611" t="str">
        <f>IF(AND($J611&gt;0,$K611&gt;0),"Green","Red")</f>
        <v>Green</v>
      </c>
      <c r="AD611" t="str">
        <f>IF(OR($J611=0,$K611=0),"Green","Red")</f>
        <v>Red</v>
      </c>
    </row>
    <row r="612" spans="1:30" x14ac:dyDescent="0.2">
      <c r="A612" t="str">
        <f>L612&amp;F612&amp;G612</f>
        <v>24/07/2026Campbelltown City WomenAdelaide Comets Women</v>
      </c>
      <c r="B612" t="s">
        <v>810</v>
      </c>
      <c r="C612" t="s">
        <v>2304</v>
      </c>
      <c r="D612" s="2">
        <v>46227</v>
      </c>
      <c r="E612" s="3">
        <v>0.41666666666666669</v>
      </c>
      <c r="F612" t="s">
        <v>2307</v>
      </c>
      <c r="G612" t="s">
        <v>2308</v>
      </c>
      <c r="H612">
        <v>1</v>
      </c>
      <c r="I612">
        <v>1</v>
      </c>
      <c r="J612">
        <v>2</v>
      </c>
      <c r="K612">
        <v>2</v>
      </c>
      <c r="L612" s="22" t="str">
        <f>DAY(D612)&amp;"/"&amp;"07"&amp;"/"&amp;YEAR(D612)</f>
        <v>24/07/2026</v>
      </c>
      <c r="M612" s="23">
        <f>E612-TIME(3,0,0)</f>
        <v>0.29166666666666669</v>
      </c>
      <c r="N612" t="str">
        <f>J612&amp;" - "&amp;K612</f>
        <v>2 - 2</v>
      </c>
      <c r="O612" t="str">
        <f>IF($J612&gt;$K612,"Green","Red")</f>
        <v>Red</v>
      </c>
      <c r="P612" t="str">
        <f>IF($J612=$K612,"Green","Red")</f>
        <v>Green</v>
      </c>
      <c r="Q612" t="str">
        <f>IF($J612&lt;$K612,"Green","Red")</f>
        <v>Red</v>
      </c>
      <c r="R612" t="str">
        <f>IF($J612&gt;=$K612,"Green","Red")</f>
        <v>Green</v>
      </c>
      <c r="S612" t="str">
        <f>IF($J612&lt;=$K612,"Green","Red")</f>
        <v>Green</v>
      </c>
      <c r="T612" t="str">
        <f>IF(OR($J612&gt;$K612,$J612&lt;$K612),"Green","Red")</f>
        <v>Red</v>
      </c>
      <c r="U612" t="str">
        <f>IF($H612&gt;$I612,"Green","Red")</f>
        <v>Red</v>
      </c>
      <c r="V612" t="str">
        <f>IF($H612=$I612,"Green","Red")</f>
        <v>Green</v>
      </c>
      <c r="W612" t="str">
        <f>IF($H612&lt;$I612,"Green","Red")</f>
        <v>Red</v>
      </c>
      <c r="X612" t="str">
        <f>IF($H612+$I612&gt;0,"Green","Red")</f>
        <v>Green</v>
      </c>
      <c r="Y612" t="str">
        <f>IF($J612+$K612&gt;1.5,"Green","Red")</f>
        <v>Green</v>
      </c>
      <c r="Z612" t="str">
        <f>IF($J612+$K612&gt;2.5,"Green","Red")</f>
        <v>Green</v>
      </c>
      <c r="AA612" t="str">
        <f>IF($J612+$K612&lt;2.5,"Green","Red")</f>
        <v>Red</v>
      </c>
      <c r="AB612" t="str">
        <f>IF($J612+$K612&lt;3.5,"Green","Red")</f>
        <v>Red</v>
      </c>
      <c r="AC612" t="str">
        <f>IF(AND($J612&gt;0,$K612&gt;0),"Green","Red")</f>
        <v>Green</v>
      </c>
      <c r="AD612" t="str">
        <f>IF(OR($J612=0,$K612=0),"Green","Red")</f>
        <v>Red</v>
      </c>
    </row>
    <row r="613" spans="1:30" x14ac:dyDescent="0.2">
      <c r="A613" t="str">
        <f>L613&amp;F613&amp;G613</f>
        <v>24/07/2026Almaz Antey YouthLokomotiv Moscow Youth</v>
      </c>
      <c r="D613" s="2">
        <v>46227</v>
      </c>
      <c r="E613" s="3">
        <v>0.41666666666666669</v>
      </c>
      <c r="F613" t="s">
        <v>2575</v>
      </c>
      <c r="G613" t="s">
        <v>2576</v>
      </c>
      <c r="H613">
        <v>2</v>
      </c>
      <c r="I613">
        <v>0</v>
      </c>
      <c r="J613">
        <v>2</v>
      </c>
      <c r="K613">
        <v>1</v>
      </c>
      <c r="L613" s="22" t="str">
        <f>DAY(D613)&amp;"/"&amp;"07"&amp;"/"&amp;YEAR(D613)</f>
        <v>24/07/2026</v>
      </c>
      <c r="M613" s="23">
        <f>E613-TIME(3,0,0)</f>
        <v>0.29166666666666669</v>
      </c>
      <c r="N613" t="str">
        <f>J613&amp;" - "&amp;K613</f>
        <v>2 - 1</v>
      </c>
      <c r="O613" t="str">
        <f>IF($J613&gt;$K613,"Green","Red")</f>
        <v>Green</v>
      </c>
      <c r="P613" t="str">
        <f>IF($J613=$K613,"Green","Red")</f>
        <v>Red</v>
      </c>
      <c r="Q613" t="str">
        <f>IF($J613&lt;$K613,"Green","Red")</f>
        <v>Red</v>
      </c>
      <c r="R613" t="str">
        <f>IF($J613&gt;=$K613,"Green","Red")</f>
        <v>Green</v>
      </c>
      <c r="S613" t="str">
        <f>IF($J613&lt;=$K613,"Green","Red")</f>
        <v>Red</v>
      </c>
      <c r="T613" t="str">
        <f>IF(OR($J613&gt;$K613,$J613&lt;$K613),"Green","Red")</f>
        <v>Green</v>
      </c>
      <c r="U613" t="str">
        <f>IF($H613&gt;$I613,"Green","Red")</f>
        <v>Green</v>
      </c>
      <c r="V613" t="str">
        <f>IF($H613=$I613,"Green","Red")</f>
        <v>Red</v>
      </c>
      <c r="W613" t="str">
        <f>IF($H613&lt;$I613,"Green","Red")</f>
        <v>Red</v>
      </c>
      <c r="X613" t="str">
        <f>IF($H613+$I613&gt;0,"Green","Red")</f>
        <v>Green</v>
      </c>
      <c r="Y613" t="str">
        <f>IF($J613+$K613&gt;1.5,"Green","Red")</f>
        <v>Green</v>
      </c>
      <c r="Z613" t="str">
        <f>IF($J613+$K613&gt;2.5,"Green","Red")</f>
        <v>Green</v>
      </c>
      <c r="AA613" t="str">
        <f>IF($J613+$K613&lt;2.5,"Green","Red")</f>
        <v>Red</v>
      </c>
      <c r="AB613" t="str">
        <f>IF($J613+$K613&lt;3.5,"Green","Red")</f>
        <v>Green</v>
      </c>
      <c r="AC613" t="str">
        <f>IF(AND($J613&gt;0,$K613&gt;0),"Green","Red")</f>
        <v>Green</v>
      </c>
      <c r="AD613" t="str">
        <f>IF(OR($J613=0,$K613=0),"Green","Red")</f>
        <v>Red</v>
      </c>
    </row>
    <row r="614" spans="1:30" x14ac:dyDescent="0.2">
      <c r="A614" t="str">
        <f>L614&amp;F614&amp;G614</f>
        <v>24/07/2026Gyeongju KHNP WomenChangnyeong Women</v>
      </c>
      <c r="D614" s="2">
        <v>46227</v>
      </c>
      <c r="E614" s="3">
        <v>0.41666666666666669</v>
      </c>
      <c r="F614" t="s">
        <v>2595</v>
      </c>
      <c r="G614" t="s">
        <v>2596</v>
      </c>
      <c r="H614">
        <v>3</v>
      </c>
      <c r="I614">
        <v>0</v>
      </c>
      <c r="J614">
        <v>6</v>
      </c>
      <c r="K614">
        <v>1</v>
      </c>
      <c r="L614" s="22" t="str">
        <f>DAY(D614)&amp;"/"&amp;"07"&amp;"/"&amp;YEAR(D614)</f>
        <v>24/07/2026</v>
      </c>
      <c r="M614" s="23">
        <f>E614-TIME(3,0,0)</f>
        <v>0.29166666666666669</v>
      </c>
      <c r="N614" t="str">
        <f>J614&amp;" - "&amp;K614</f>
        <v>6 - 1</v>
      </c>
      <c r="O614" t="str">
        <f>IF($J614&gt;$K614,"Green","Red")</f>
        <v>Green</v>
      </c>
      <c r="P614" t="str">
        <f>IF($J614=$K614,"Green","Red")</f>
        <v>Red</v>
      </c>
      <c r="Q614" t="str">
        <f>IF($J614&lt;$K614,"Green","Red")</f>
        <v>Red</v>
      </c>
      <c r="R614" t="str">
        <f>IF($J614&gt;=$K614,"Green","Red")</f>
        <v>Green</v>
      </c>
      <c r="S614" t="str">
        <f>IF($J614&lt;=$K614,"Green","Red")</f>
        <v>Red</v>
      </c>
      <c r="T614" t="str">
        <f>IF(OR($J614&gt;$K614,$J614&lt;$K614),"Green","Red")</f>
        <v>Green</v>
      </c>
      <c r="U614" t="str">
        <f>IF($H614&gt;$I614,"Green","Red")</f>
        <v>Green</v>
      </c>
      <c r="V614" t="str">
        <f>IF($H614=$I614,"Green","Red")</f>
        <v>Red</v>
      </c>
      <c r="W614" t="str">
        <f>IF($H614&lt;$I614,"Green","Red")</f>
        <v>Red</v>
      </c>
      <c r="X614" t="str">
        <f>IF($H614+$I614&gt;0,"Green","Red")</f>
        <v>Green</v>
      </c>
      <c r="Y614" t="str">
        <f>IF($J614+$K614&gt;1.5,"Green","Red")</f>
        <v>Green</v>
      </c>
      <c r="Z614" t="str">
        <f>IF($J614+$K614&gt;2.5,"Green","Red")</f>
        <v>Green</v>
      </c>
      <c r="AA614" t="str">
        <f>IF($J614+$K614&lt;2.5,"Green","Red")</f>
        <v>Red</v>
      </c>
      <c r="AB614" t="str">
        <f>IF($J614+$K614&lt;3.5,"Green","Red")</f>
        <v>Red</v>
      </c>
      <c r="AC614" t="str">
        <f>IF(AND($J614&gt;0,$K614&gt;0),"Green","Red")</f>
        <v>Green</v>
      </c>
      <c r="AD614" t="str">
        <f>IF(OR($J614=0,$K614=0),"Green","Red")</f>
        <v>Red</v>
      </c>
    </row>
    <row r="615" spans="1:30" x14ac:dyDescent="0.2">
      <c r="A615" t="str">
        <f>L615&amp;F615&amp;G615</f>
        <v>24/07/2026Hwacheon KSPO WomenBusan Sangmu Women</v>
      </c>
      <c r="D615" s="2">
        <v>46227</v>
      </c>
      <c r="E615" s="3">
        <v>0.41666666666666669</v>
      </c>
      <c r="F615" t="s">
        <v>2597</v>
      </c>
      <c r="G615" t="s">
        <v>2598</v>
      </c>
      <c r="H615">
        <v>2</v>
      </c>
      <c r="I615">
        <v>0</v>
      </c>
      <c r="J615">
        <v>2</v>
      </c>
      <c r="K615">
        <v>0</v>
      </c>
      <c r="L615" s="22" t="str">
        <f>DAY(D615)&amp;"/"&amp;"07"&amp;"/"&amp;YEAR(D615)</f>
        <v>24/07/2026</v>
      </c>
      <c r="M615" s="23">
        <f>E615-TIME(3,0,0)</f>
        <v>0.29166666666666669</v>
      </c>
      <c r="N615" t="str">
        <f>J615&amp;" - "&amp;K615</f>
        <v>2 - 0</v>
      </c>
      <c r="O615" t="str">
        <f>IF($J615&gt;$K615,"Green","Red")</f>
        <v>Green</v>
      </c>
      <c r="P615" t="str">
        <f>IF($J615=$K615,"Green","Red")</f>
        <v>Red</v>
      </c>
      <c r="Q615" t="str">
        <f>IF($J615&lt;$K615,"Green","Red")</f>
        <v>Red</v>
      </c>
      <c r="R615" t="str">
        <f>IF($J615&gt;=$K615,"Green","Red")</f>
        <v>Green</v>
      </c>
      <c r="S615" t="str">
        <f>IF($J615&lt;=$K615,"Green","Red")</f>
        <v>Red</v>
      </c>
      <c r="T615" t="str">
        <f>IF(OR($J615&gt;$K615,$J615&lt;$K615),"Green","Red")</f>
        <v>Green</v>
      </c>
      <c r="U615" t="str">
        <f>IF($H615&gt;$I615,"Green","Red")</f>
        <v>Green</v>
      </c>
      <c r="V615" t="str">
        <f>IF($H615=$I615,"Green","Red")</f>
        <v>Red</v>
      </c>
      <c r="W615" t="str">
        <f>IF($H615&lt;$I615,"Green","Red")</f>
        <v>Red</v>
      </c>
      <c r="X615" t="str">
        <f>IF($H615+$I615&gt;0,"Green","Red")</f>
        <v>Green</v>
      </c>
      <c r="Y615" t="str">
        <f>IF($J615+$K615&gt;1.5,"Green","Red")</f>
        <v>Green</v>
      </c>
      <c r="Z615" t="str">
        <f>IF($J615+$K615&gt;2.5,"Green","Red")</f>
        <v>Red</v>
      </c>
      <c r="AA615" t="str">
        <f>IF($J615+$K615&lt;2.5,"Green","Red")</f>
        <v>Green</v>
      </c>
      <c r="AB615" t="str">
        <f>IF($J615+$K615&lt;3.5,"Green","Red")</f>
        <v>Green</v>
      </c>
      <c r="AC615" t="str">
        <f>IF(AND($J615&gt;0,$K615&gt;0),"Green","Red")</f>
        <v>Red</v>
      </c>
      <c r="AD615" t="str">
        <f>IF(OR($J615=0,$K615=0),"Green","Red")</f>
        <v>Green</v>
      </c>
    </row>
    <row r="616" spans="1:30" x14ac:dyDescent="0.2">
      <c r="A616" t="str">
        <f>L616&amp;F616&amp;G616</f>
        <v>24/07/2026Seoul Amazones WomenGumi Sportstoto Women</v>
      </c>
      <c r="D616" s="2">
        <v>46227</v>
      </c>
      <c r="E616" s="3">
        <v>0.41666666666666669</v>
      </c>
      <c r="F616" t="s">
        <v>2599</v>
      </c>
      <c r="G616" t="s">
        <v>2600</v>
      </c>
      <c r="H616">
        <v>0</v>
      </c>
      <c r="I616">
        <v>1</v>
      </c>
      <c r="J616">
        <v>0</v>
      </c>
      <c r="K616">
        <v>3</v>
      </c>
      <c r="L616" s="22" t="str">
        <f>DAY(D616)&amp;"/"&amp;"07"&amp;"/"&amp;YEAR(D616)</f>
        <v>24/07/2026</v>
      </c>
      <c r="M616" s="23">
        <f>E616-TIME(3,0,0)</f>
        <v>0.29166666666666669</v>
      </c>
      <c r="N616" t="str">
        <f>J616&amp;" - "&amp;K616</f>
        <v>0 - 3</v>
      </c>
      <c r="O616" t="str">
        <f>IF($J616&gt;$K616,"Green","Red")</f>
        <v>Red</v>
      </c>
      <c r="P616" t="str">
        <f>IF($J616=$K616,"Green","Red")</f>
        <v>Red</v>
      </c>
      <c r="Q616" t="str">
        <f>IF($J616&lt;$K616,"Green","Red")</f>
        <v>Green</v>
      </c>
      <c r="R616" t="str">
        <f>IF($J616&gt;=$K616,"Green","Red")</f>
        <v>Red</v>
      </c>
      <c r="S616" t="str">
        <f>IF($J616&lt;=$K616,"Green","Red")</f>
        <v>Green</v>
      </c>
      <c r="T616" t="str">
        <f>IF(OR($J616&gt;$K616,$J616&lt;$K616),"Green","Red")</f>
        <v>Green</v>
      </c>
      <c r="U616" t="str">
        <f>IF($H616&gt;$I616,"Green","Red")</f>
        <v>Red</v>
      </c>
      <c r="V616" t="str">
        <f>IF($H616=$I616,"Green","Red")</f>
        <v>Red</v>
      </c>
      <c r="W616" t="str">
        <f>IF($H616&lt;$I616,"Green","Red")</f>
        <v>Green</v>
      </c>
      <c r="X616" t="str">
        <f>IF($H616+$I616&gt;0,"Green","Red")</f>
        <v>Green</v>
      </c>
      <c r="Y616" t="str">
        <f>IF($J616+$K616&gt;1.5,"Green","Red")</f>
        <v>Green</v>
      </c>
      <c r="Z616" t="str">
        <f>IF($J616+$K616&gt;2.5,"Green","Red")</f>
        <v>Green</v>
      </c>
      <c r="AA616" t="str">
        <f>IF($J616+$K616&lt;2.5,"Green","Red")</f>
        <v>Red</v>
      </c>
      <c r="AB616" t="str">
        <f>IF($J616+$K616&lt;3.5,"Green","Red")</f>
        <v>Green</v>
      </c>
      <c r="AC616" t="str">
        <f>IF(AND($J616&gt;0,$K616&gt;0),"Green","Red")</f>
        <v>Red</v>
      </c>
      <c r="AD616" t="str">
        <f>IF(OR($J616=0,$K616=0),"Green","Red")</f>
        <v>Green</v>
      </c>
    </row>
    <row r="617" spans="1:30" x14ac:dyDescent="0.2">
      <c r="A617" t="str">
        <f>L617&amp;F617&amp;G617</f>
        <v>24/07/2026Suwon WFCHyundai Steel Red Angels Women</v>
      </c>
      <c r="D617" s="2">
        <v>46227</v>
      </c>
      <c r="E617" s="3">
        <v>0.41666666666666669</v>
      </c>
      <c r="F617" t="s">
        <v>2601</v>
      </c>
      <c r="G617" t="s">
        <v>2602</v>
      </c>
      <c r="H617">
        <v>2</v>
      </c>
      <c r="I617">
        <v>0</v>
      </c>
      <c r="J617">
        <v>4</v>
      </c>
      <c r="K617">
        <v>0</v>
      </c>
      <c r="L617" s="22" t="str">
        <f>DAY(D617)&amp;"/"&amp;"07"&amp;"/"&amp;YEAR(D617)</f>
        <v>24/07/2026</v>
      </c>
      <c r="M617" s="23">
        <f>E617-TIME(3,0,0)</f>
        <v>0.29166666666666669</v>
      </c>
      <c r="N617" t="str">
        <f>J617&amp;" - "&amp;K617</f>
        <v>4 - 0</v>
      </c>
      <c r="O617" t="str">
        <f>IF($J617&gt;$K617,"Green","Red")</f>
        <v>Green</v>
      </c>
      <c r="P617" t="str">
        <f>IF($J617=$K617,"Green","Red")</f>
        <v>Red</v>
      </c>
      <c r="Q617" t="str">
        <f>IF($J617&lt;$K617,"Green","Red")</f>
        <v>Red</v>
      </c>
      <c r="R617" t="str">
        <f>IF($J617&gt;=$K617,"Green","Red")</f>
        <v>Green</v>
      </c>
      <c r="S617" t="str">
        <f>IF($J617&lt;=$K617,"Green","Red")</f>
        <v>Red</v>
      </c>
      <c r="T617" t="str">
        <f>IF(OR($J617&gt;$K617,$J617&lt;$K617),"Green","Red")</f>
        <v>Green</v>
      </c>
      <c r="U617" t="str">
        <f>IF($H617&gt;$I617,"Green","Red")</f>
        <v>Green</v>
      </c>
      <c r="V617" t="str">
        <f>IF($H617=$I617,"Green","Red")</f>
        <v>Red</v>
      </c>
      <c r="W617" t="str">
        <f>IF($H617&lt;$I617,"Green","Red")</f>
        <v>Red</v>
      </c>
      <c r="X617" t="str">
        <f>IF($H617+$I617&gt;0,"Green","Red")</f>
        <v>Green</v>
      </c>
      <c r="Y617" t="str">
        <f>IF($J617+$K617&gt;1.5,"Green","Red")</f>
        <v>Green</v>
      </c>
      <c r="Z617" t="str">
        <f>IF($J617+$K617&gt;2.5,"Green","Red")</f>
        <v>Green</v>
      </c>
      <c r="AA617" t="str">
        <f>IF($J617+$K617&lt;2.5,"Green","Red")</f>
        <v>Red</v>
      </c>
      <c r="AB617" t="str">
        <f>IF($J617+$K617&lt;3.5,"Green","Red")</f>
        <v>Red</v>
      </c>
      <c r="AC617" t="str">
        <f>IF(AND($J617&gt;0,$K617&gt;0),"Green","Red")</f>
        <v>Red</v>
      </c>
      <c r="AD617" t="str">
        <f>IF(OR($J617=0,$K617=0),"Green","Red")</f>
        <v>Green</v>
      </c>
    </row>
    <row r="618" spans="1:30" x14ac:dyDescent="0.2">
      <c r="A618" t="str">
        <f>L618&amp;F618&amp;G618</f>
        <v>24/07/2026Oakleigh CannonsSouth Melbourne FC</v>
      </c>
      <c r="B618" t="s">
        <v>810</v>
      </c>
      <c r="C618" t="s">
        <v>2256</v>
      </c>
      <c r="D618" s="2">
        <v>46227</v>
      </c>
      <c r="E618" s="3">
        <v>0.42708333333333331</v>
      </c>
      <c r="F618" t="s">
        <v>131</v>
      </c>
      <c r="G618" t="s">
        <v>2259</v>
      </c>
      <c r="H618">
        <v>0</v>
      </c>
      <c r="I618">
        <v>0</v>
      </c>
      <c r="J618">
        <v>1</v>
      </c>
      <c r="K618">
        <v>2</v>
      </c>
      <c r="L618" s="22" t="str">
        <f>DAY(D618)&amp;"/"&amp;"07"&amp;"/"&amp;YEAR(D618)</f>
        <v>24/07/2026</v>
      </c>
      <c r="M618" s="23">
        <f>E618-TIME(3,0,0)</f>
        <v>0.30208333333333331</v>
      </c>
      <c r="N618" t="str">
        <f>J618&amp;" - "&amp;K618</f>
        <v>1 - 2</v>
      </c>
      <c r="O618" t="str">
        <f>IF($J618&gt;$K618,"Green","Red")</f>
        <v>Red</v>
      </c>
      <c r="P618" t="str">
        <f>IF($J618=$K618,"Green","Red")</f>
        <v>Red</v>
      </c>
      <c r="Q618" t="str">
        <f>IF($J618&lt;$K618,"Green","Red")</f>
        <v>Green</v>
      </c>
      <c r="R618" t="str">
        <f>IF($J618&gt;=$K618,"Green","Red")</f>
        <v>Red</v>
      </c>
      <c r="S618" t="str">
        <f>IF($J618&lt;=$K618,"Green","Red")</f>
        <v>Green</v>
      </c>
      <c r="T618" t="str">
        <f>IF(OR($J618&gt;$K618,$J618&lt;$K618),"Green","Red")</f>
        <v>Green</v>
      </c>
      <c r="U618" t="str">
        <f>IF($H618&gt;$I618,"Green","Red")</f>
        <v>Red</v>
      </c>
      <c r="V618" t="str">
        <f>IF($H618=$I618,"Green","Red")</f>
        <v>Green</v>
      </c>
      <c r="W618" t="str">
        <f>IF($H618&lt;$I618,"Green","Red")</f>
        <v>Red</v>
      </c>
      <c r="X618" t="str">
        <f>IF($H618+$I618&gt;0,"Green","Red")</f>
        <v>Red</v>
      </c>
      <c r="Y618" t="str">
        <f>IF($J618+$K618&gt;1.5,"Green","Red")</f>
        <v>Green</v>
      </c>
      <c r="Z618" t="str">
        <f>IF($J618+$K618&gt;2.5,"Green","Red")</f>
        <v>Green</v>
      </c>
      <c r="AA618" t="str">
        <f>IF($J618+$K618&lt;2.5,"Green","Red")</f>
        <v>Red</v>
      </c>
      <c r="AB618" t="str">
        <f>IF($J618+$K618&lt;3.5,"Green","Red")</f>
        <v>Green</v>
      </c>
      <c r="AC618" t="str">
        <f>IF(AND($J618&gt;0,$K618&gt;0),"Green","Red")</f>
        <v>Green</v>
      </c>
      <c r="AD618" t="str">
        <f>IF(OR($J618=0,$K618=0),"Green","Red")</f>
        <v>Red</v>
      </c>
    </row>
    <row r="619" spans="1:30" x14ac:dyDescent="0.2">
      <c r="A619" t="str">
        <f>L619&amp;F619&amp;G619</f>
        <v>24/07/2026Eastern UnitedSalisbury United</v>
      </c>
      <c r="B619" t="s">
        <v>810</v>
      </c>
      <c r="C619" t="s">
        <v>2277</v>
      </c>
      <c r="D619" s="2">
        <v>46227</v>
      </c>
      <c r="E619" s="3">
        <v>0.42708333333333331</v>
      </c>
      <c r="F619" t="s">
        <v>2280</v>
      </c>
      <c r="G619" t="s">
        <v>2281</v>
      </c>
      <c r="H619">
        <v>0</v>
      </c>
      <c r="I619">
        <v>2</v>
      </c>
      <c r="J619">
        <v>0</v>
      </c>
      <c r="K619">
        <v>3</v>
      </c>
      <c r="L619" s="22" t="str">
        <f>DAY(D619)&amp;"/"&amp;"07"&amp;"/"&amp;YEAR(D619)</f>
        <v>24/07/2026</v>
      </c>
      <c r="M619" s="23">
        <f>E619-TIME(3,0,0)</f>
        <v>0.30208333333333331</v>
      </c>
      <c r="N619" t="str">
        <f>J619&amp;" - "&amp;K619</f>
        <v>0 - 3</v>
      </c>
      <c r="O619" t="str">
        <f>IF($J619&gt;$K619,"Green","Red")</f>
        <v>Red</v>
      </c>
      <c r="P619" t="str">
        <f>IF($J619=$K619,"Green","Red")</f>
        <v>Red</v>
      </c>
      <c r="Q619" t="str">
        <f>IF($J619&lt;$K619,"Green","Red")</f>
        <v>Green</v>
      </c>
      <c r="R619" t="str">
        <f>IF($J619&gt;=$K619,"Green","Red")</f>
        <v>Red</v>
      </c>
      <c r="S619" t="str">
        <f>IF($J619&lt;=$K619,"Green","Red")</f>
        <v>Green</v>
      </c>
      <c r="T619" t="str">
        <f>IF(OR($J619&gt;$K619,$J619&lt;$K619),"Green","Red")</f>
        <v>Green</v>
      </c>
      <c r="U619" t="str">
        <f>IF($H619&gt;$I619,"Green","Red")</f>
        <v>Red</v>
      </c>
      <c r="V619" t="str">
        <f>IF($H619=$I619,"Green","Red")</f>
        <v>Red</v>
      </c>
      <c r="W619" t="str">
        <f>IF($H619&lt;$I619,"Green","Red")</f>
        <v>Green</v>
      </c>
      <c r="X619" t="str">
        <f>IF($H619+$I619&gt;0,"Green","Red")</f>
        <v>Green</v>
      </c>
      <c r="Y619" t="str">
        <f>IF($J619+$K619&gt;1.5,"Green","Red")</f>
        <v>Green</v>
      </c>
      <c r="Z619" t="str">
        <f>IF($J619+$K619&gt;2.5,"Green","Red")</f>
        <v>Green</v>
      </c>
      <c r="AA619" t="str">
        <f>IF($J619+$K619&lt;2.5,"Green","Red")</f>
        <v>Red</v>
      </c>
      <c r="AB619" t="str">
        <f>IF($J619+$K619&lt;3.5,"Green","Red")</f>
        <v>Green</v>
      </c>
      <c r="AC619" t="str">
        <f>IF(AND($J619&gt;0,$K619&gt;0),"Green","Red")</f>
        <v>Red</v>
      </c>
      <c r="AD619" t="str">
        <f>IF(OR($J619=0,$K619=0),"Green","Red")</f>
        <v>Green</v>
      </c>
    </row>
    <row r="620" spans="1:30" x14ac:dyDescent="0.2">
      <c r="A620" t="str">
        <f>L620&amp;F620&amp;G620</f>
        <v>24/07/2026Preston LionsBentleigh Greens</v>
      </c>
      <c r="B620" t="s">
        <v>810</v>
      </c>
      <c r="C620" t="s">
        <v>2256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>DAY(D620)&amp;"/"&amp;"07"&amp;"/"&amp;YEAR(D620)</f>
        <v>24/07/2026</v>
      </c>
      <c r="M620" s="23">
        <f>E620-TIME(3,0,0)</f>
        <v>0.3125</v>
      </c>
      <c r="N620" t="str">
        <f>J620&amp;" - "&amp;K620</f>
        <v>1 - 0</v>
      </c>
      <c r="O620" t="str">
        <f>IF($J620&gt;$K620,"Green","Red")</f>
        <v>Green</v>
      </c>
      <c r="P620" t="str">
        <f>IF($J620=$K620,"Green","Red")</f>
        <v>Red</v>
      </c>
      <c r="Q620" t="str">
        <f>IF($J620&lt;$K620,"Green","Red")</f>
        <v>Red</v>
      </c>
      <c r="R620" t="str">
        <f>IF($J620&gt;=$K620,"Green","Red")</f>
        <v>Green</v>
      </c>
      <c r="S620" t="str">
        <f>IF($J620&lt;=$K620,"Green","Red")</f>
        <v>Red</v>
      </c>
      <c r="T620" t="str">
        <f>IF(OR($J620&gt;$K620,$J620&lt;$K620),"Green","Red")</f>
        <v>Green</v>
      </c>
      <c r="U620" t="str">
        <f>IF($H620&gt;$I620,"Green","Red")</f>
        <v>Green</v>
      </c>
      <c r="V620" t="str">
        <f>IF($H620=$I620,"Green","Red")</f>
        <v>Red</v>
      </c>
      <c r="W620" t="str">
        <f>IF($H620&lt;$I620,"Green","Red")</f>
        <v>Red</v>
      </c>
      <c r="X620" t="str">
        <f>IF($H620+$I620&gt;0,"Green","Red")</f>
        <v>Green</v>
      </c>
      <c r="Y620" t="str">
        <f>IF($J620+$K620&gt;1.5,"Green","Red")</f>
        <v>Red</v>
      </c>
      <c r="Z620" t="str">
        <f>IF($J620+$K620&gt;2.5,"Green","Red")</f>
        <v>Red</v>
      </c>
      <c r="AA620" t="str">
        <f>IF($J620+$K620&lt;2.5,"Green","Red")</f>
        <v>Green</v>
      </c>
      <c r="AB620" t="str">
        <f>IF($J620+$K620&lt;3.5,"Green","Red")</f>
        <v>Green</v>
      </c>
      <c r="AC620" t="str">
        <f>IF(AND($J620&gt;0,$K620&gt;0),"Green","Red")</f>
        <v>Red</v>
      </c>
      <c r="AD620" t="str">
        <f>IF(OR($J620=0,$K620=0),"Green","Red")</f>
        <v>Green</v>
      </c>
    </row>
    <row r="621" spans="1:30" x14ac:dyDescent="0.2">
      <c r="A621" t="str">
        <f>L621&amp;F621&amp;G621</f>
        <v>24/07/2026Brunswick CityWestern United Reserves</v>
      </c>
      <c r="B621" t="s">
        <v>810</v>
      </c>
      <c r="C621" t="s">
        <v>2260</v>
      </c>
      <c r="D621" s="2">
        <v>46227</v>
      </c>
      <c r="E621" s="3">
        <v>0.4375</v>
      </c>
      <c r="F621" t="s">
        <v>2261</v>
      </c>
      <c r="G621" t="s">
        <v>2262</v>
      </c>
      <c r="H621">
        <v>1</v>
      </c>
      <c r="I621">
        <v>0</v>
      </c>
      <c r="J621">
        <v>5</v>
      </c>
      <c r="K621">
        <v>0</v>
      </c>
      <c r="L621" s="22" t="str">
        <f>DAY(D621)&amp;"/"&amp;"07"&amp;"/"&amp;YEAR(D621)</f>
        <v>24/07/2026</v>
      </c>
      <c r="M621" s="23">
        <f>E621-TIME(3,0,0)</f>
        <v>0.3125</v>
      </c>
      <c r="N621" t="str">
        <f>J621&amp;" - "&amp;K621</f>
        <v>5 - 0</v>
      </c>
      <c r="O621" t="str">
        <f>IF($J621&gt;$K621,"Green","Red")</f>
        <v>Green</v>
      </c>
      <c r="P621" t="str">
        <f>IF($J621=$K621,"Green","Red")</f>
        <v>Red</v>
      </c>
      <c r="Q621" t="str">
        <f>IF($J621&lt;$K621,"Green","Red")</f>
        <v>Red</v>
      </c>
      <c r="R621" t="str">
        <f>IF($J621&gt;=$K621,"Green","Red")</f>
        <v>Green</v>
      </c>
      <c r="S621" t="str">
        <f>IF($J621&lt;=$K621,"Green","Red")</f>
        <v>Red</v>
      </c>
      <c r="T621" t="str">
        <f>IF(OR($J621&gt;$K621,$J621&lt;$K621),"Green","Red")</f>
        <v>Green</v>
      </c>
      <c r="U621" t="str">
        <f>IF($H621&gt;$I621,"Green","Red")</f>
        <v>Green</v>
      </c>
      <c r="V621" t="str">
        <f>IF($H621=$I621,"Green","Red")</f>
        <v>Red</v>
      </c>
      <c r="W621" t="str">
        <f>IF($H621&lt;$I621,"Green","Red")</f>
        <v>Red</v>
      </c>
      <c r="X621" t="str">
        <f>IF($H621+$I621&gt;0,"Green","Red")</f>
        <v>Green</v>
      </c>
      <c r="Y621" t="str">
        <f>IF($J621+$K621&gt;1.5,"Green","Red")</f>
        <v>Green</v>
      </c>
      <c r="Z621" t="str">
        <f>IF($J621+$K621&gt;2.5,"Green","Red")</f>
        <v>Green</v>
      </c>
      <c r="AA621" t="str">
        <f>IF($J621+$K621&lt;2.5,"Green","Red")</f>
        <v>Red</v>
      </c>
      <c r="AB621" t="str">
        <f>IF($J621+$K621&lt;3.5,"Green","Red")</f>
        <v>Red</v>
      </c>
      <c r="AC621" t="str">
        <f>IF(AND($J621&gt;0,$K621&gt;0),"Green","Red")</f>
        <v>Red</v>
      </c>
      <c r="AD621" t="str">
        <f>IF(OR($J621=0,$K621=0),"Green","Red")</f>
        <v>Green</v>
      </c>
    </row>
    <row r="622" spans="1:30" x14ac:dyDescent="0.2">
      <c r="A622" t="str">
        <f>L622&amp;F622&amp;G622</f>
        <v>24/07/2026Eltham RedbacksMelbourne Srbija</v>
      </c>
      <c r="B622" t="s">
        <v>810</v>
      </c>
      <c r="C622" t="s">
        <v>2260</v>
      </c>
      <c r="D622" s="2">
        <v>46227</v>
      </c>
      <c r="E622" s="3">
        <v>0.4375</v>
      </c>
      <c r="F622" t="s">
        <v>2263</v>
      </c>
      <c r="G622" t="s">
        <v>2264</v>
      </c>
      <c r="H622">
        <v>0</v>
      </c>
      <c r="I622">
        <v>0</v>
      </c>
      <c r="J622">
        <v>0</v>
      </c>
      <c r="K622">
        <v>2</v>
      </c>
      <c r="L622" s="22" t="str">
        <f>DAY(D622)&amp;"/"&amp;"07"&amp;"/"&amp;YEAR(D622)</f>
        <v>24/07/2026</v>
      </c>
      <c r="M622" s="23">
        <f>E622-TIME(3,0,0)</f>
        <v>0.3125</v>
      </c>
      <c r="N622" t="str">
        <f>J622&amp;" - "&amp;K622</f>
        <v>0 - 2</v>
      </c>
      <c r="O622" t="str">
        <f>IF($J622&gt;$K622,"Green","Red")</f>
        <v>Red</v>
      </c>
      <c r="P622" t="str">
        <f>IF($J622=$K622,"Green","Red")</f>
        <v>Red</v>
      </c>
      <c r="Q622" t="str">
        <f>IF($J622&lt;$K622,"Green","Red")</f>
        <v>Green</v>
      </c>
      <c r="R622" t="str">
        <f>IF($J622&gt;=$K622,"Green","Red")</f>
        <v>Red</v>
      </c>
      <c r="S622" t="str">
        <f>IF($J622&lt;=$K622,"Green","Red")</f>
        <v>Green</v>
      </c>
      <c r="T622" t="str">
        <f>IF(OR($J622&gt;$K622,$J622&lt;$K622),"Green","Red")</f>
        <v>Green</v>
      </c>
      <c r="U622" t="str">
        <f>IF($H622&gt;$I622,"Green","Red")</f>
        <v>Red</v>
      </c>
      <c r="V622" t="str">
        <f>IF($H622=$I622,"Green","Red")</f>
        <v>Green</v>
      </c>
      <c r="W622" t="str">
        <f>IF($H622&lt;$I622,"Green","Red")</f>
        <v>Red</v>
      </c>
      <c r="X622" t="str">
        <f>IF($H622+$I622&gt;0,"Green","Red")</f>
        <v>Red</v>
      </c>
      <c r="Y622" t="str">
        <f>IF($J622+$K622&gt;1.5,"Green","Red")</f>
        <v>Green</v>
      </c>
      <c r="Z622" t="str">
        <f>IF($J622+$K622&gt;2.5,"Green","Red")</f>
        <v>Red</v>
      </c>
      <c r="AA622" t="str">
        <f>IF($J622+$K622&lt;2.5,"Green","Red")</f>
        <v>Green</v>
      </c>
      <c r="AB622" t="str">
        <f>IF($J622+$K622&lt;3.5,"Green","Red")</f>
        <v>Green</v>
      </c>
      <c r="AC622" t="str">
        <f>IF(AND($J622&gt;0,$K622&gt;0),"Green","Red")</f>
        <v>Red</v>
      </c>
      <c r="AD622" t="str">
        <f>IF(OR($J622=0,$K622=0),"Green","Red")</f>
        <v>Green</v>
      </c>
    </row>
    <row r="623" spans="1:30" x14ac:dyDescent="0.2">
      <c r="A623" t="str">
        <f>L623&amp;F623&amp;G623</f>
        <v>24/07/2026Essendon Royals SCKingston City</v>
      </c>
      <c r="B623" t="s">
        <v>810</v>
      </c>
      <c r="C623" t="s">
        <v>2265</v>
      </c>
      <c r="D623" s="2">
        <v>46227</v>
      </c>
      <c r="E623" s="3">
        <v>0.4375</v>
      </c>
      <c r="F623" t="s">
        <v>2272</v>
      </c>
      <c r="G623" t="s">
        <v>2273</v>
      </c>
      <c r="H623">
        <v>4</v>
      </c>
      <c r="I623">
        <v>1</v>
      </c>
      <c r="J623">
        <v>4</v>
      </c>
      <c r="K623">
        <v>2</v>
      </c>
      <c r="L623" s="22" t="str">
        <f>DAY(D623)&amp;"/"&amp;"07"&amp;"/"&amp;YEAR(D623)</f>
        <v>24/07/2026</v>
      </c>
      <c r="M623" s="23">
        <f>E623-TIME(3,0,0)</f>
        <v>0.3125</v>
      </c>
      <c r="N623" t="str">
        <f>J623&amp;" - "&amp;K623</f>
        <v>4 - 2</v>
      </c>
      <c r="O623" t="str">
        <f>IF($J623&gt;$K623,"Green","Red")</f>
        <v>Green</v>
      </c>
      <c r="P623" t="str">
        <f>IF($J623=$K623,"Green","Red")</f>
        <v>Red</v>
      </c>
      <c r="Q623" t="str">
        <f>IF($J623&lt;$K623,"Green","Red")</f>
        <v>Red</v>
      </c>
      <c r="R623" t="str">
        <f>IF($J623&gt;=$K623,"Green","Red")</f>
        <v>Green</v>
      </c>
      <c r="S623" t="str">
        <f>IF($J623&lt;=$K623,"Green","Red")</f>
        <v>Red</v>
      </c>
      <c r="T623" t="str">
        <f>IF(OR($J623&gt;$K623,$J623&lt;$K623),"Green","Red")</f>
        <v>Green</v>
      </c>
      <c r="U623" t="str">
        <f>IF($H623&gt;$I623,"Green","Red")</f>
        <v>Green</v>
      </c>
      <c r="V623" t="str">
        <f>IF($H623=$I623,"Green","Red")</f>
        <v>Red</v>
      </c>
      <c r="W623" t="str">
        <f>IF($H623&lt;$I623,"Green","Red")</f>
        <v>Red</v>
      </c>
      <c r="X623" t="str">
        <f>IF($H623+$I623&gt;0,"Green","Red")</f>
        <v>Green</v>
      </c>
      <c r="Y623" t="str">
        <f>IF($J623+$K623&gt;1.5,"Green","Red")</f>
        <v>Green</v>
      </c>
      <c r="Z623" t="str">
        <f>IF($J623+$K623&gt;2.5,"Green","Red")</f>
        <v>Green</v>
      </c>
      <c r="AA623" t="str">
        <f>IF($J623+$K623&lt;2.5,"Green","Red")</f>
        <v>Red</v>
      </c>
      <c r="AB623" t="str">
        <f>IF($J623+$K623&lt;3.5,"Green","Red")</f>
        <v>Red</v>
      </c>
      <c r="AC623" t="str">
        <f>IF(AND($J623&gt;0,$K623&gt;0),"Green","Red")</f>
        <v>Green</v>
      </c>
      <c r="AD623" t="str">
        <f>IF(OR($J623=0,$K623=0),"Green","Red")</f>
        <v>Red</v>
      </c>
    </row>
    <row r="624" spans="1:30" x14ac:dyDescent="0.2">
      <c r="A624" t="str">
        <f>L624&amp;F624&amp;G624</f>
        <v>24/07/2026Queensland Lions WomenCapalaba Women</v>
      </c>
      <c r="B624" t="s">
        <v>810</v>
      </c>
      <c r="C624" t="s">
        <v>2294</v>
      </c>
      <c r="D624" s="2">
        <v>46227</v>
      </c>
      <c r="E624" s="3">
        <v>0.4375</v>
      </c>
      <c r="F624" t="s">
        <v>2297</v>
      </c>
      <c r="G624" t="s">
        <v>2298</v>
      </c>
      <c r="H624">
        <v>1</v>
      </c>
      <c r="I624">
        <v>1</v>
      </c>
      <c r="J624">
        <v>3</v>
      </c>
      <c r="K624">
        <v>1</v>
      </c>
      <c r="L624" s="22" t="str">
        <f>DAY(D624)&amp;"/"&amp;"07"&amp;"/"&amp;YEAR(D624)</f>
        <v>24/07/2026</v>
      </c>
      <c r="M624" s="23">
        <f>E624-TIME(3,0,0)</f>
        <v>0.3125</v>
      </c>
      <c r="N624" t="str">
        <f>J624&amp;" - "&amp;K624</f>
        <v>3 - 1</v>
      </c>
      <c r="O624" t="str">
        <f>IF($J624&gt;$K624,"Green","Red")</f>
        <v>Green</v>
      </c>
      <c r="P624" t="str">
        <f>IF($J624=$K624,"Green","Red")</f>
        <v>Red</v>
      </c>
      <c r="Q624" t="str">
        <f>IF($J624&lt;$K624,"Green","Red")</f>
        <v>Red</v>
      </c>
      <c r="R624" t="str">
        <f>IF($J624&gt;=$K624,"Green","Red")</f>
        <v>Green</v>
      </c>
      <c r="S624" t="str">
        <f>IF($J624&lt;=$K624,"Green","Red")</f>
        <v>Red</v>
      </c>
      <c r="T624" t="str">
        <f>IF(OR($J624&gt;$K624,$J624&lt;$K624),"Green","Red")</f>
        <v>Green</v>
      </c>
      <c r="U624" t="str">
        <f>IF($H624&gt;$I624,"Green","Red")</f>
        <v>Red</v>
      </c>
      <c r="V624" t="str">
        <f>IF($H624=$I624,"Green","Red")</f>
        <v>Green</v>
      </c>
      <c r="W624" t="str">
        <f>IF($H624&lt;$I624,"Green","Red")</f>
        <v>Red</v>
      </c>
      <c r="X624" t="str">
        <f>IF($H624+$I624&gt;0,"Green","Red")</f>
        <v>Green</v>
      </c>
      <c r="Y624" t="str">
        <f>IF($J624+$K624&gt;1.5,"Green","Red")</f>
        <v>Green</v>
      </c>
      <c r="Z624" t="str">
        <f>IF($J624+$K624&gt;2.5,"Green","Red")</f>
        <v>Green</v>
      </c>
      <c r="AA624" t="str">
        <f>IF($J624+$K624&lt;2.5,"Green","Red")</f>
        <v>Red</v>
      </c>
      <c r="AB624" t="str">
        <f>IF($J624+$K624&lt;3.5,"Green","Red")</f>
        <v>Red</v>
      </c>
      <c r="AC624" t="str">
        <f>IF(AND($J624&gt;0,$K624&gt;0),"Green","Red")</f>
        <v>Green</v>
      </c>
      <c r="AD624" t="str">
        <f>IF(OR($J624=0,$K624=0),"Green","Red")</f>
        <v>Red</v>
      </c>
    </row>
    <row r="625" spans="1:30" x14ac:dyDescent="0.2">
      <c r="A625" t="str">
        <f>L625&amp;F625&amp;G625</f>
        <v>24/07/2026West Torrens Birkalla ReservesWest Adelaide Women</v>
      </c>
      <c r="B625" t="s">
        <v>810</v>
      </c>
      <c r="C625" t="s">
        <v>2304</v>
      </c>
      <c r="D625" s="2">
        <v>46227</v>
      </c>
      <c r="E625" s="3">
        <v>0.4375</v>
      </c>
      <c r="F625" t="s">
        <v>2309</v>
      </c>
      <c r="G625" t="s">
        <v>2310</v>
      </c>
      <c r="H625">
        <v>0</v>
      </c>
      <c r="I625">
        <v>2</v>
      </c>
      <c r="J625">
        <v>1</v>
      </c>
      <c r="K625">
        <v>5</v>
      </c>
      <c r="L625" s="22" t="str">
        <f>DAY(D625)&amp;"/"&amp;"07"&amp;"/"&amp;YEAR(D625)</f>
        <v>24/07/2026</v>
      </c>
      <c r="M625" s="23">
        <f>E625-TIME(3,0,0)</f>
        <v>0.3125</v>
      </c>
      <c r="N625" t="str">
        <f>J625&amp;" - "&amp;K625</f>
        <v>1 - 5</v>
      </c>
      <c r="O625" t="str">
        <f>IF($J625&gt;$K625,"Green","Red")</f>
        <v>Red</v>
      </c>
      <c r="P625" t="str">
        <f>IF($J625=$K625,"Green","Red")</f>
        <v>Red</v>
      </c>
      <c r="Q625" t="str">
        <f>IF($J625&lt;$K625,"Green","Red")</f>
        <v>Green</v>
      </c>
      <c r="R625" t="str">
        <f>IF($J625&gt;=$K625,"Green","Red")</f>
        <v>Red</v>
      </c>
      <c r="S625" t="str">
        <f>IF($J625&lt;=$K625,"Green","Red")</f>
        <v>Green</v>
      </c>
      <c r="T625" t="str">
        <f>IF(OR($J625&gt;$K625,$J625&lt;$K625),"Green","Red")</f>
        <v>Green</v>
      </c>
      <c r="U625" t="str">
        <f>IF($H625&gt;$I625,"Green","Red")</f>
        <v>Red</v>
      </c>
      <c r="V625" t="str">
        <f>IF($H625=$I625,"Green","Red")</f>
        <v>Red</v>
      </c>
      <c r="W625" t="str">
        <f>IF($H625&lt;$I625,"Green","Red")</f>
        <v>Green</v>
      </c>
      <c r="X625" t="str">
        <f>IF($H625+$I625&gt;0,"Green","Red")</f>
        <v>Green</v>
      </c>
      <c r="Y625" t="str">
        <f>IF($J625+$K625&gt;1.5,"Green","Red")</f>
        <v>Green</v>
      </c>
      <c r="Z625" t="str">
        <f>IF($J625+$K625&gt;2.5,"Green","Red")</f>
        <v>Green</v>
      </c>
      <c r="AA625" t="str">
        <f>IF($J625+$K625&lt;2.5,"Green","Red")</f>
        <v>Red</v>
      </c>
      <c r="AB625" t="str">
        <f>IF($J625+$K625&lt;3.5,"Green","Red")</f>
        <v>Red</v>
      </c>
      <c r="AC625" t="str">
        <f>IF(AND($J625&gt;0,$K625&gt;0),"Green","Red")</f>
        <v>Green</v>
      </c>
      <c r="AD625" t="str">
        <f>IF(OR($J625=0,$K625=0),"Green","Red")</f>
        <v>Red</v>
      </c>
    </row>
    <row r="626" spans="1:30" x14ac:dyDescent="0.2">
      <c r="A626" t="str">
        <f>L626&amp;F626&amp;G626</f>
        <v>24/07/2026Peninsula Power WomenThe Gap NPL Women</v>
      </c>
      <c r="B626" t="s">
        <v>810</v>
      </c>
      <c r="C626" t="s">
        <v>2313</v>
      </c>
      <c r="D626" s="2">
        <v>46227</v>
      </c>
      <c r="E626" s="3">
        <v>0.4375</v>
      </c>
      <c r="F626" t="s">
        <v>2314</v>
      </c>
      <c r="G626" t="s">
        <v>2315</v>
      </c>
      <c r="H626">
        <v>0</v>
      </c>
      <c r="I626">
        <v>2</v>
      </c>
      <c r="J626">
        <v>2</v>
      </c>
      <c r="K626">
        <v>3</v>
      </c>
      <c r="L626" s="22" t="str">
        <f>DAY(D626)&amp;"/"&amp;"07"&amp;"/"&amp;YEAR(D626)</f>
        <v>24/07/2026</v>
      </c>
      <c r="M626" s="23">
        <f>E626-TIME(3,0,0)</f>
        <v>0.3125</v>
      </c>
      <c r="N626" t="str">
        <f>J626&amp;" - "&amp;K626</f>
        <v>2 - 3</v>
      </c>
      <c r="O626" t="str">
        <f>IF($J626&gt;$K626,"Green","Red")</f>
        <v>Red</v>
      </c>
      <c r="P626" t="str">
        <f>IF($J626=$K626,"Green","Red")</f>
        <v>Red</v>
      </c>
      <c r="Q626" t="str">
        <f>IF($J626&lt;$K626,"Green","Red")</f>
        <v>Green</v>
      </c>
      <c r="R626" t="str">
        <f>IF($J626&gt;=$K626,"Green","Red")</f>
        <v>Red</v>
      </c>
      <c r="S626" t="str">
        <f>IF($J626&lt;=$K626,"Green","Red")</f>
        <v>Green</v>
      </c>
      <c r="T626" t="str">
        <f>IF(OR($J626&gt;$K626,$J626&lt;$K626),"Green","Red")</f>
        <v>Green</v>
      </c>
      <c r="U626" t="str">
        <f>IF($H626&gt;$I626,"Green","Red")</f>
        <v>Red</v>
      </c>
      <c r="V626" t="str">
        <f>IF($H626=$I626,"Green","Red")</f>
        <v>Red</v>
      </c>
      <c r="W626" t="str">
        <f>IF($H626&lt;$I626,"Green","Red")</f>
        <v>Green</v>
      </c>
      <c r="X626" t="str">
        <f>IF($H626+$I626&gt;0,"Green","Red")</f>
        <v>Green</v>
      </c>
      <c r="Y626" t="str">
        <f>IF($J626+$K626&gt;1.5,"Green","Red")</f>
        <v>Green</v>
      </c>
      <c r="Z626" t="str">
        <f>IF($J626+$K626&gt;2.5,"Green","Red")</f>
        <v>Green</v>
      </c>
      <c r="AA626" t="str">
        <f>IF($J626+$K626&lt;2.5,"Green","Red")</f>
        <v>Red</v>
      </c>
      <c r="AB626" t="str">
        <f>IF($J626+$K626&lt;3.5,"Green","Red")</f>
        <v>Red</v>
      </c>
      <c r="AC626" t="str">
        <f>IF(AND($J626&gt;0,$K626&gt;0),"Green","Red")</f>
        <v>Green</v>
      </c>
      <c r="AD626" t="str">
        <f>IF(OR($J626=0,$K626=0),"Green","Red")</f>
        <v>Red</v>
      </c>
    </row>
    <row r="627" spans="1:30" x14ac:dyDescent="0.2">
      <c r="A627" t="str">
        <f>L627&amp;F627&amp;G627</f>
        <v>24/07/2026Gimhae CityChungbuk Cheongju</v>
      </c>
      <c r="D627" s="2">
        <v>46227</v>
      </c>
      <c r="E627" s="3">
        <v>0.4375</v>
      </c>
      <c r="F627" t="s">
        <v>2593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>DAY(D627)&amp;"/"&amp;"07"&amp;"/"&amp;YEAR(D627)</f>
        <v>24/07/2026</v>
      </c>
      <c r="M627" s="23">
        <f>E627-TIME(3,0,0)</f>
        <v>0.3125</v>
      </c>
      <c r="N627" t="str">
        <f>J627&amp;" - "&amp;K627</f>
        <v>1 - 1</v>
      </c>
      <c r="O627" t="str">
        <f>IF($J627&gt;$K627,"Green","Red")</f>
        <v>Red</v>
      </c>
      <c r="P627" t="str">
        <f>IF($J627=$K627,"Green","Red")</f>
        <v>Green</v>
      </c>
      <c r="Q627" t="str">
        <f>IF($J627&lt;$K627,"Green","Red")</f>
        <v>Red</v>
      </c>
      <c r="R627" t="str">
        <f>IF($J627&gt;=$K627,"Green","Red")</f>
        <v>Green</v>
      </c>
      <c r="S627" t="str">
        <f>IF($J627&lt;=$K627,"Green","Red")</f>
        <v>Green</v>
      </c>
      <c r="T627" t="str">
        <f>IF(OR($J627&gt;$K627,$J627&lt;$K627),"Green","Red")</f>
        <v>Red</v>
      </c>
      <c r="U627" t="str">
        <f>IF($H627&gt;$I627,"Green","Red")</f>
        <v>Red</v>
      </c>
      <c r="V627" t="str">
        <f>IF($H627=$I627,"Green","Red")</f>
        <v>Green</v>
      </c>
      <c r="W627" t="str">
        <f>IF($H627&lt;$I627,"Green","Red")</f>
        <v>Red</v>
      </c>
      <c r="X627" t="str">
        <f>IF($H627+$I627&gt;0,"Green","Red")</f>
        <v>Red</v>
      </c>
      <c r="Y627" t="str">
        <f>IF($J627+$K627&gt;1.5,"Green","Red")</f>
        <v>Green</v>
      </c>
      <c r="Z627" t="str">
        <f>IF($J627+$K627&gt;2.5,"Green","Red")</f>
        <v>Red</v>
      </c>
      <c r="AA627" t="str">
        <f>IF($J627+$K627&lt;2.5,"Green","Red")</f>
        <v>Green</v>
      </c>
      <c r="AB627" t="str">
        <f>IF($J627+$K627&lt;3.5,"Green","Red")</f>
        <v>Green</v>
      </c>
      <c r="AC627" t="str">
        <f>IF(AND($J627&gt;0,$K627&gt;0),"Green","Red")</f>
        <v>Green</v>
      </c>
      <c r="AD627" t="str">
        <f>IF(OR($J627=0,$K627=0),"Green","Red")</f>
        <v>Red</v>
      </c>
    </row>
    <row r="628" spans="1:30" x14ac:dyDescent="0.2">
      <c r="A628" t="str">
        <f>L628&amp;F628&amp;G628</f>
        <v>24/07/2026Seoul E-LandCheonan City</v>
      </c>
      <c r="D628" s="2">
        <v>46227</v>
      </c>
      <c r="E628" s="3">
        <v>0.4375</v>
      </c>
      <c r="F628" t="s">
        <v>2594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>DAY(D628)&amp;"/"&amp;"07"&amp;"/"&amp;YEAR(D628)</f>
        <v>24/07/2026</v>
      </c>
      <c r="M628" s="23">
        <f>E628-TIME(3,0,0)</f>
        <v>0.3125</v>
      </c>
      <c r="N628" t="str">
        <f>J628&amp;" - "&amp;K628</f>
        <v>4 - 3</v>
      </c>
      <c r="O628" t="str">
        <f>IF($J628&gt;$K628,"Green","Red")</f>
        <v>Green</v>
      </c>
      <c r="P628" t="str">
        <f>IF($J628=$K628,"Green","Red")</f>
        <v>Red</v>
      </c>
      <c r="Q628" t="str">
        <f>IF($J628&lt;$K628,"Green","Red")</f>
        <v>Red</v>
      </c>
      <c r="R628" t="str">
        <f>IF($J628&gt;=$K628,"Green","Red")</f>
        <v>Green</v>
      </c>
      <c r="S628" t="str">
        <f>IF($J628&lt;=$K628,"Green","Red")</f>
        <v>Red</v>
      </c>
      <c r="T628" t="str">
        <f>IF(OR($J628&gt;$K628,$J628&lt;$K628),"Green","Red")</f>
        <v>Green</v>
      </c>
      <c r="U628" t="str">
        <f>IF($H628&gt;$I628,"Green","Red")</f>
        <v>Red</v>
      </c>
      <c r="V628" t="str">
        <f>IF($H628=$I628,"Green","Red")</f>
        <v>Green</v>
      </c>
      <c r="W628" t="str">
        <f>IF($H628&lt;$I628,"Green","Red")</f>
        <v>Red</v>
      </c>
      <c r="X628" t="str">
        <f>IF($H628+$I628&gt;0,"Green","Red")</f>
        <v>Green</v>
      </c>
      <c r="Y628" t="str">
        <f>IF($J628+$K628&gt;1.5,"Green","Red")</f>
        <v>Green</v>
      </c>
      <c r="Z628" t="str">
        <f>IF($J628+$K628&gt;2.5,"Green","Red")</f>
        <v>Green</v>
      </c>
      <c r="AA628" t="str">
        <f>IF($J628+$K628&lt;2.5,"Green","Red")</f>
        <v>Red</v>
      </c>
      <c r="AB628" t="str">
        <f>IF($J628+$K628&lt;3.5,"Green","Red")</f>
        <v>Red</v>
      </c>
      <c r="AC628" t="str">
        <f>IF(AND($J628&gt;0,$K628&gt;0),"Green","Red")</f>
        <v>Green</v>
      </c>
      <c r="AD628" t="str">
        <f>IF(OR($J628=0,$K628=0),"Green","Red")</f>
        <v>Red</v>
      </c>
    </row>
    <row r="629" spans="1:30" x14ac:dyDescent="0.2">
      <c r="A629" t="str">
        <f>L629&amp;F629&amp;G629</f>
        <v>24/07/2026Adelaide University WomenModbury Vista Women</v>
      </c>
      <c r="B629" t="s">
        <v>810</v>
      </c>
      <c r="C629" t="s">
        <v>2304</v>
      </c>
      <c r="D629" s="2">
        <v>46227</v>
      </c>
      <c r="E629" s="3">
        <v>0.44791666666666669</v>
      </c>
      <c r="F629" t="s">
        <v>2311</v>
      </c>
      <c r="G629" t="s">
        <v>2312</v>
      </c>
      <c r="H629">
        <v>0</v>
      </c>
      <c r="I629">
        <v>0</v>
      </c>
      <c r="J629">
        <v>3</v>
      </c>
      <c r="K629">
        <v>0</v>
      </c>
      <c r="L629" s="22" t="str">
        <f>DAY(D629)&amp;"/"&amp;"07"&amp;"/"&amp;YEAR(D629)</f>
        <v>24/07/2026</v>
      </c>
      <c r="M629" s="23">
        <f>E629-TIME(3,0,0)</f>
        <v>0.32291666666666669</v>
      </c>
      <c r="N629" t="str">
        <f>J629&amp;" - "&amp;K629</f>
        <v>3 - 0</v>
      </c>
      <c r="O629" t="str">
        <f>IF($J629&gt;$K629,"Green","Red")</f>
        <v>Green</v>
      </c>
      <c r="P629" t="str">
        <f>IF($J629=$K629,"Green","Red")</f>
        <v>Red</v>
      </c>
      <c r="Q629" t="str">
        <f>IF($J629&lt;$K629,"Green","Red")</f>
        <v>Red</v>
      </c>
      <c r="R629" t="str">
        <f>IF($J629&gt;=$K629,"Green","Red")</f>
        <v>Green</v>
      </c>
      <c r="S629" t="str">
        <f>IF($J629&lt;=$K629,"Green","Red")</f>
        <v>Red</v>
      </c>
      <c r="T629" t="str">
        <f>IF(OR($J629&gt;$K629,$J629&lt;$K629),"Green","Red")</f>
        <v>Green</v>
      </c>
      <c r="U629" t="str">
        <f>IF($H629&gt;$I629,"Green","Red")</f>
        <v>Red</v>
      </c>
      <c r="V629" t="str">
        <f>IF($H629=$I629,"Green","Red")</f>
        <v>Green</v>
      </c>
      <c r="W629" t="str">
        <f>IF($H629&lt;$I629,"Green","Red")</f>
        <v>Red</v>
      </c>
      <c r="X629" t="str">
        <f>IF($H629+$I629&gt;0,"Green","Red")</f>
        <v>Red</v>
      </c>
      <c r="Y629" t="str">
        <f>IF($J629+$K629&gt;1.5,"Green","Red")</f>
        <v>Green</v>
      </c>
      <c r="Z629" t="str">
        <f>IF($J629+$K629&gt;2.5,"Green","Red")</f>
        <v>Green</v>
      </c>
      <c r="AA629" t="str">
        <f>IF($J629+$K629&lt;2.5,"Green","Red")</f>
        <v>Red</v>
      </c>
      <c r="AB629" t="str">
        <f>IF($J629+$K629&lt;3.5,"Green","Red")</f>
        <v>Green</v>
      </c>
      <c r="AC629" t="str">
        <f>IF(AND($J629&gt;0,$K629&gt;0),"Green","Red")</f>
        <v>Red</v>
      </c>
      <c r="AD629" t="str">
        <f>IF(OR($J629=0,$K629=0),"Green","Red")</f>
        <v>Green</v>
      </c>
    </row>
    <row r="630" spans="1:30" x14ac:dyDescent="0.2">
      <c r="A630" t="str">
        <f>L630&amp;F630&amp;G630</f>
        <v>24/07/2026Yarud MariupolFC Victoria Mykolaivka</v>
      </c>
      <c r="D630" s="2">
        <v>46227</v>
      </c>
      <c r="E630" s="3">
        <v>0.45833333333333331</v>
      </c>
      <c r="F630" t="s">
        <v>2615</v>
      </c>
      <c r="G630" t="s">
        <v>2616</v>
      </c>
      <c r="H630">
        <v>0</v>
      </c>
      <c r="I630">
        <v>0</v>
      </c>
      <c r="J630">
        <v>0</v>
      </c>
      <c r="K630">
        <v>1</v>
      </c>
      <c r="L630" s="22" t="str">
        <f>DAY(D630)&amp;"/"&amp;"07"&amp;"/"&amp;YEAR(D630)</f>
        <v>24/07/2026</v>
      </c>
      <c r="M630" s="23">
        <f>E630-TIME(3,0,0)</f>
        <v>0.33333333333333331</v>
      </c>
      <c r="N630" t="str">
        <f>J630&amp;" - "&amp;K630</f>
        <v>0 - 1</v>
      </c>
      <c r="O630" t="str">
        <f>IF($J630&gt;$K630,"Green","Red")</f>
        <v>Red</v>
      </c>
      <c r="P630" t="str">
        <f>IF($J630=$K630,"Green","Red")</f>
        <v>Red</v>
      </c>
      <c r="Q630" t="str">
        <f>IF($J630&lt;$K630,"Green","Red")</f>
        <v>Green</v>
      </c>
      <c r="R630" t="str">
        <f>IF($J630&gt;=$K630,"Green","Red")</f>
        <v>Red</v>
      </c>
      <c r="S630" t="str">
        <f>IF($J630&lt;=$K630,"Green","Red")</f>
        <v>Green</v>
      </c>
      <c r="T630" t="str">
        <f>IF(OR($J630&gt;$K630,$J630&lt;$K630),"Green","Red")</f>
        <v>Green</v>
      </c>
      <c r="U630" t="str">
        <f>IF($H630&gt;$I630,"Green","Red")</f>
        <v>Red</v>
      </c>
      <c r="V630" t="str">
        <f>IF($H630=$I630,"Green","Red")</f>
        <v>Green</v>
      </c>
      <c r="W630" t="str">
        <f>IF($H630&lt;$I630,"Green","Red")</f>
        <v>Red</v>
      </c>
      <c r="X630" t="str">
        <f>IF($H630+$I630&gt;0,"Green","Red")</f>
        <v>Red</v>
      </c>
      <c r="Y630" t="str">
        <f>IF($J630+$K630&gt;1.5,"Green","Red")</f>
        <v>Red</v>
      </c>
      <c r="Z630" t="str">
        <f>IF($J630+$K630&gt;2.5,"Green","Red")</f>
        <v>Red</v>
      </c>
      <c r="AA630" t="str">
        <f>IF($J630+$K630&lt;2.5,"Green","Red")</f>
        <v>Green</v>
      </c>
      <c r="AB630" t="str">
        <f>IF($J630+$K630&lt;3.5,"Green","Red")</f>
        <v>Green</v>
      </c>
      <c r="AC630" t="str">
        <f>IF(AND($J630&gt;0,$K630&gt;0),"Green","Red")</f>
        <v>Red</v>
      </c>
      <c r="AD630" t="str">
        <f>IF(OR($J630=0,$K630=0),"Green","Red")</f>
        <v>Green</v>
      </c>
    </row>
    <row r="631" spans="1:30" x14ac:dyDescent="0.2">
      <c r="A631" t="str">
        <f>L631&amp;F631&amp;G631</f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2646</v>
      </c>
      <c r="H631">
        <v>1</v>
      </c>
      <c r="I631">
        <v>0</v>
      </c>
      <c r="J631">
        <v>2</v>
      </c>
      <c r="K631">
        <v>0</v>
      </c>
      <c r="L631" s="22" t="str">
        <f>DAY(D631)&amp;"/"&amp;"07"&amp;"/"&amp;YEAR(D631)</f>
        <v>24/07/2026</v>
      </c>
      <c r="M631" s="23">
        <f>E631-TIME(3,0,0)</f>
        <v>0.33333333333333331</v>
      </c>
      <c r="N631" t="str">
        <f>J631&amp;" - "&amp;K631</f>
        <v>2 - 0</v>
      </c>
      <c r="O631" t="str">
        <f>IF($J631&gt;$K631,"Green","Red")</f>
        <v>Green</v>
      </c>
      <c r="P631" t="str">
        <f>IF($J631=$K631,"Green","Red")</f>
        <v>Red</v>
      </c>
      <c r="Q631" t="str">
        <f>IF($J631&lt;$K631,"Green","Red")</f>
        <v>Red</v>
      </c>
      <c r="R631" t="str">
        <f>IF($J631&gt;=$K631,"Green","Red")</f>
        <v>Green</v>
      </c>
      <c r="S631" t="str">
        <f>IF($J631&lt;=$K631,"Green","Red")</f>
        <v>Red</v>
      </c>
      <c r="T631" t="str">
        <f>IF(OR($J631&gt;$K631,$J631&lt;$K631),"Green","Red")</f>
        <v>Green</v>
      </c>
      <c r="U631" t="str">
        <f>IF($H631&gt;$I631,"Green","Red")</f>
        <v>Green</v>
      </c>
      <c r="V631" t="str">
        <f>IF($H631=$I631,"Green","Red")</f>
        <v>Red</v>
      </c>
      <c r="W631" t="str">
        <f>IF($H631&lt;$I631,"Green","Red")</f>
        <v>Red</v>
      </c>
      <c r="X631" t="str">
        <f>IF($H631+$I631&gt;0,"Green","Red")</f>
        <v>Green</v>
      </c>
      <c r="Y631" t="str">
        <f>IF($J631+$K631&gt;1.5,"Green","Red")</f>
        <v>Green</v>
      </c>
      <c r="Z631" t="str">
        <f>IF($J631+$K631&gt;2.5,"Green","Red")</f>
        <v>Red</v>
      </c>
      <c r="AA631" t="str">
        <f>IF($J631+$K631&lt;2.5,"Green","Red")</f>
        <v>Green</v>
      </c>
      <c r="AB631" t="str">
        <f>IF($J631+$K631&lt;3.5,"Green","Red")</f>
        <v>Green</v>
      </c>
      <c r="AC631" t="str">
        <f>IF(AND($J631&gt;0,$K631&gt;0),"Green","Red")</f>
        <v>Red</v>
      </c>
      <c r="AD631" t="str">
        <f>IF(OR($J631=0,$K631=0),"Green","Red")</f>
        <v>Green</v>
      </c>
    </row>
    <row r="632" spans="1:30" x14ac:dyDescent="0.2">
      <c r="A632" t="str">
        <f>L632&amp;F632&amp;G632</f>
        <v>24/07/2026CambodiaSingapore</v>
      </c>
      <c r="B632" t="s">
        <v>2248</v>
      </c>
      <c r="C632" t="s">
        <v>2249</v>
      </c>
      <c r="D632" s="2">
        <v>46227</v>
      </c>
      <c r="E632" s="3">
        <v>0.5</v>
      </c>
      <c r="F632" t="s">
        <v>2250</v>
      </c>
      <c r="G632" t="s">
        <v>2251</v>
      </c>
      <c r="H632">
        <v>0</v>
      </c>
      <c r="I632">
        <v>1</v>
      </c>
      <c r="J632">
        <v>1</v>
      </c>
      <c r="K632">
        <v>2</v>
      </c>
      <c r="L632" s="22" t="str">
        <f>DAY(D632)&amp;"/"&amp;"07"&amp;"/"&amp;YEAR(D632)</f>
        <v>24/07/2026</v>
      </c>
      <c r="M632" s="23">
        <f>E632-TIME(3,0,0)</f>
        <v>0.375</v>
      </c>
      <c r="N632" t="str">
        <f>J632&amp;" - "&amp;K632</f>
        <v>1 - 2</v>
      </c>
      <c r="O632" t="str">
        <f>IF($J632&gt;$K632,"Green","Red")</f>
        <v>Red</v>
      </c>
      <c r="P632" t="str">
        <f>IF($J632=$K632,"Green","Red")</f>
        <v>Red</v>
      </c>
      <c r="Q632" t="str">
        <f>IF($J632&lt;$K632,"Green","Red")</f>
        <v>Green</v>
      </c>
      <c r="R632" t="str">
        <f>IF($J632&gt;=$K632,"Green","Red")</f>
        <v>Red</v>
      </c>
      <c r="S632" t="str">
        <f>IF($J632&lt;=$K632,"Green","Red")</f>
        <v>Green</v>
      </c>
      <c r="T632" t="str">
        <f>IF(OR($J632&gt;$K632,$J632&lt;$K632),"Green","Red")</f>
        <v>Green</v>
      </c>
      <c r="U632" t="str">
        <f>IF($H632&gt;$I632,"Green","Red")</f>
        <v>Red</v>
      </c>
      <c r="V632" t="str">
        <f>IF($H632=$I632,"Green","Red")</f>
        <v>Red</v>
      </c>
      <c r="W632" t="str">
        <f>IF($H632&lt;$I632,"Green","Red")</f>
        <v>Green</v>
      </c>
      <c r="X632" t="str">
        <f>IF($H632+$I632&gt;0,"Green","Red")</f>
        <v>Green</v>
      </c>
      <c r="Y632" t="str">
        <f>IF($J632+$K632&gt;1.5,"Green","Red")</f>
        <v>Green</v>
      </c>
      <c r="Z632" t="str">
        <f>IF($J632+$K632&gt;2.5,"Green","Red")</f>
        <v>Green</v>
      </c>
      <c r="AA632" t="str">
        <f>IF($J632+$K632&lt;2.5,"Green","Red")</f>
        <v>Red</v>
      </c>
      <c r="AB632" t="str">
        <f>IF($J632+$K632&lt;3.5,"Green","Red")</f>
        <v>Green</v>
      </c>
      <c r="AC632" t="str">
        <f>IF(AND($J632&gt;0,$K632&gt;0),"Green","Red")</f>
        <v>Green</v>
      </c>
      <c r="AD632" t="str">
        <f>IF(OR($J632=0,$K632=0),"Green","Red")</f>
        <v>Red</v>
      </c>
    </row>
    <row r="633" spans="1:30" x14ac:dyDescent="0.2">
      <c r="A633" t="str">
        <f>L633&amp;F633&amp;G633</f>
        <v>24/07/2026Altay Semey U21FC Taraz</v>
      </c>
      <c r="D633" s="2">
        <v>46227</v>
      </c>
      <c r="E633" s="3">
        <v>0.5</v>
      </c>
      <c r="F633" t="s">
        <v>2507</v>
      </c>
      <c r="G633" t="s">
        <v>2508</v>
      </c>
      <c r="H633">
        <v>0</v>
      </c>
      <c r="I633">
        <v>1</v>
      </c>
      <c r="J633">
        <v>0</v>
      </c>
      <c r="K633">
        <v>1</v>
      </c>
      <c r="L633" s="22" t="str">
        <f>DAY(D633)&amp;"/"&amp;"07"&amp;"/"&amp;YEAR(D633)</f>
        <v>24/07/2026</v>
      </c>
      <c r="M633" s="23">
        <f>E633-TIME(3,0,0)</f>
        <v>0.375</v>
      </c>
      <c r="N633" t="str">
        <f>J633&amp;" - "&amp;K633</f>
        <v>0 - 1</v>
      </c>
      <c r="O633" t="str">
        <f>IF($J633&gt;$K633,"Green","Red")</f>
        <v>Red</v>
      </c>
      <c r="P633" t="str">
        <f>IF($J633=$K633,"Green","Red")</f>
        <v>Red</v>
      </c>
      <c r="Q633" t="str">
        <f>IF($J633&lt;$K633,"Green","Red")</f>
        <v>Green</v>
      </c>
      <c r="R633" t="str">
        <f>IF($J633&gt;=$K633,"Green","Red")</f>
        <v>Red</v>
      </c>
      <c r="S633" t="str">
        <f>IF($J633&lt;=$K633,"Green","Red")</f>
        <v>Green</v>
      </c>
      <c r="T633" t="str">
        <f>IF(OR($J633&gt;$K633,$J633&lt;$K633),"Green","Red")</f>
        <v>Green</v>
      </c>
      <c r="U633" t="str">
        <f>IF($H633&gt;$I633,"Green","Red")</f>
        <v>Red</v>
      </c>
      <c r="V633" t="str">
        <f>IF($H633=$I633,"Green","Red")</f>
        <v>Red</v>
      </c>
      <c r="W633" t="str">
        <f>IF($H633&lt;$I633,"Green","Red")</f>
        <v>Green</v>
      </c>
      <c r="X633" t="str">
        <f>IF($H633+$I633&gt;0,"Green","Red")</f>
        <v>Green</v>
      </c>
      <c r="Y633" t="str">
        <f>IF($J633+$K633&gt;1.5,"Green","Red")</f>
        <v>Red</v>
      </c>
      <c r="Z633" t="str">
        <f>IF($J633+$K633&gt;2.5,"Green","Red")</f>
        <v>Red</v>
      </c>
      <c r="AA633" t="str">
        <f>IF($J633+$K633&lt;2.5,"Green","Red")</f>
        <v>Green</v>
      </c>
      <c r="AB633" t="str">
        <f>IF($J633+$K633&lt;3.5,"Green","Red")</f>
        <v>Green</v>
      </c>
      <c r="AC633" t="str">
        <f>IF(AND($J633&gt;0,$K633&gt;0),"Green","Red")</f>
        <v>Red</v>
      </c>
      <c r="AD633" t="str">
        <f>IF(OR($J633=0,$K633=0),"Green","Red")</f>
        <v>Green</v>
      </c>
    </row>
    <row r="634" spans="1:30" x14ac:dyDescent="0.2">
      <c r="A634" t="str">
        <f>L634&amp;F634&amp;G634</f>
        <v>24/07/2026Academiya Konopleva YouthRostov Youth</v>
      </c>
      <c r="D634" s="2">
        <v>46227</v>
      </c>
      <c r="E634" s="3">
        <v>0.5</v>
      </c>
      <c r="F634" t="s">
        <v>2577</v>
      </c>
      <c r="G634" t="s">
        <v>2578</v>
      </c>
      <c r="H634">
        <v>2</v>
      </c>
      <c r="I634">
        <v>0</v>
      </c>
      <c r="J634">
        <v>3</v>
      </c>
      <c r="K634">
        <v>2</v>
      </c>
      <c r="L634" s="22" t="str">
        <f>DAY(D634)&amp;"/"&amp;"07"&amp;"/"&amp;YEAR(D634)</f>
        <v>24/07/2026</v>
      </c>
      <c r="M634" s="23">
        <f>E634-TIME(3,0,0)</f>
        <v>0.375</v>
      </c>
      <c r="N634" t="str">
        <f>J634&amp;" - "&amp;K634</f>
        <v>3 - 2</v>
      </c>
      <c r="O634" t="str">
        <f>IF($J634&gt;$K634,"Green","Red")</f>
        <v>Green</v>
      </c>
      <c r="P634" t="str">
        <f>IF($J634=$K634,"Green","Red")</f>
        <v>Red</v>
      </c>
      <c r="Q634" t="str">
        <f>IF($J634&lt;$K634,"Green","Red")</f>
        <v>Red</v>
      </c>
      <c r="R634" t="str">
        <f>IF($J634&gt;=$K634,"Green","Red")</f>
        <v>Green</v>
      </c>
      <c r="S634" t="str">
        <f>IF($J634&lt;=$K634,"Green","Red")</f>
        <v>Red</v>
      </c>
      <c r="T634" t="str">
        <f>IF(OR($J634&gt;$K634,$J634&lt;$K634),"Green","Red")</f>
        <v>Green</v>
      </c>
      <c r="U634" t="str">
        <f>IF($H634&gt;$I634,"Green","Red")</f>
        <v>Green</v>
      </c>
      <c r="V634" t="str">
        <f>IF($H634=$I634,"Green","Red")</f>
        <v>Red</v>
      </c>
      <c r="W634" t="str">
        <f>IF($H634&lt;$I634,"Green","Red")</f>
        <v>Red</v>
      </c>
      <c r="X634" t="str">
        <f>IF($H634+$I634&gt;0,"Green","Red")</f>
        <v>Green</v>
      </c>
      <c r="Y634" t="str">
        <f>IF($J634+$K634&gt;1.5,"Green","Red")</f>
        <v>Green</v>
      </c>
      <c r="Z634" t="str">
        <f>IF($J634+$K634&gt;2.5,"Green","Red")</f>
        <v>Green</v>
      </c>
      <c r="AA634" t="str">
        <f>IF($J634+$K634&lt;2.5,"Green","Red")</f>
        <v>Red</v>
      </c>
      <c r="AB634" t="str">
        <f>IF($J634+$K634&lt;3.5,"Green","Red")</f>
        <v>Red</v>
      </c>
      <c r="AC634" t="str">
        <f>IF(AND($J634&gt;0,$K634&gt;0),"Green","Red")</f>
        <v>Green</v>
      </c>
      <c r="AD634" t="str">
        <f>IF(OR($J634=0,$K634=0),"Green","Red")</f>
        <v>Red</v>
      </c>
    </row>
    <row r="635" spans="1:30" x14ac:dyDescent="0.2">
      <c r="A635" t="str">
        <f>L635&amp;F635&amp;G635</f>
        <v>24/07/2026Nizhny Novgorod YouthSpartak Moscow Youth</v>
      </c>
      <c r="D635" s="2">
        <v>46227</v>
      </c>
      <c r="E635" s="3">
        <v>0.5</v>
      </c>
      <c r="F635" t="s">
        <v>2579</v>
      </c>
      <c r="G635" t="s">
        <v>2580</v>
      </c>
      <c r="H635">
        <v>1</v>
      </c>
      <c r="I635">
        <v>2</v>
      </c>
      <c r="J635">
        <v>2</v>
      </c>
      <c r="K635">
        <v>3</v>
      </c>
      <c r="L635" s="22" t="str">
        <f>DAY(D635)&amp;"/"&amp;"07"&amp;"/"&amp;YEAR(D635)</f>
        <v>24/07/2026</v>
      </c>
      <c r="M635" s="23">
        <f>E635-TIME(3,0,0)</f>
        <v>0.375</v>
      </c>
      <c r="N635" t="str">
        <f>J635&amp;" - "&amp;K635</f>
        <v>2 - 3</v>
      </c>
      <c r="O635" t="str">
        <f>IF($J635&gt;$K635,"Green","Red")</f>
        <v>Red</v>
      </c>
      <c r="P635" t="str">
        <f>IF($J635=$K635,"Green","Red")</f>
        <v>Red</v>
      </c>
      <c r="Q635" t="str">
        <f>IF($J635&lt;$K635,"Green","Red")</f>
        <v>Green</v>
      </c>
      <c r="R635" t="str">
        <f>IF($J635&gt;=$K635,"Green","Red")</f>
        <v>Red</v>
      </c>
      <c r="S635" t="str">
        <f>IF($J635&lt;=$K635,"Green","Red")</f>
        <v>Green</v>
      </c>
      <c r="T635" t="str">
        <f>IF(OR($J635&gt;$K635,$J635&lt;$K635),"Green","Red")</f>
        <v>Green</v>
      </c>
      <c r="U635" t="str">
        <f>IF($H635&gt;$I635,"Green","Red")</f>
        <v>Red</v>
      </c>
      <c r="V635" t="str">
        <f>IF($H635=$I635,"Green","Red")</f>
        <v>Red</v>
      </c>
      <c r="W635" t="str">
        <f>IF($H635&lt;$I635,"Green","Red")</f>
        <v>Green</v>
      </c>
      <c r="X635" t="str">
        <f>IF($H635+$I635&gt;0,"Green","Red")</f>
        <v>Green</v>
      </c>
      <c r="Y635" t="str">
        <f>IF($J635+$K635&gt;1.5,"Green","Red")</f>
        <v>Green</v>
      </c>
      <c r="Z635" t="str">
        <f>IF($J635+$K635&gt;2.5,"Green","Red")</f>
        <v>Green</v>
      </c>
      <c r="AA635" t="str">
        <f>IF($J635+$K635&lt;2.5,"Green","Red")</f>
        <v>Red</v>
      </c>
      <c r="AB635" t="str">
        <f>IF($J635+$K635&lt;3.5,"Green","Red")</f>
        <v>Red</v>
      </c>
      <c r="AC635" t="str">
        <f>IF(AND($J635&gt;0,$K635&gt;0),"Green","Red")</f>
        <v>Green</v>
      </c>
      <c r="AD635" t="str">
        <f>IF(OR($J635=0,$K635=0),"Green","Red")</f>
        <v>Red</v>
      </c>
    </row>
    <row r="636" spans="1:30" x14ac:dyDescent="0.2">
      <c r="A636" t="str">
        <f>L636&amp;F636&amp;G636</f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>DAY(D636)&amp;"/"&amp;"07"&amp;"/"&amp;YEAR(D636)</f>
        <v>24/07/2026</v>
      </c>
      <c r="M636" s="23">
        <f>E636-TIME(3,0,0)</f>
        <v>0.375</v>
      </c>
      <c r="N636" t="str">
        <f>J636&amp;" - "&amp;K636</f>
        <v xml:space="preserve"> - </v>
      </c>
      <c r="O636" t="str">
        <f>IF($J636&gt;$K636,"Green","Red")</f>
        <v>Red</v>
      </c>
      <c r="P636" t="str">
        <f>IF($J636=$K636,"Green","Red")</f>
        <v>Green</v>
      </c>
      <c r="Q636" t="str">
        <f>IF($J636&lt;$K636,"Green","Red")</f>
        <v>Red</v>
      </c>
      <c r="R636" t="str">
        <f>IF($J636&gt;=$K636,"Green","Red")</f>
        <v>Green</v>
      </c>
      <c r="S636" t="str">
        <f>IF($J636&lt;=$K636,"Green","Red")</f>
        <v>Green</v>
      </c>
      <c r="T636" t="str">
        <f>IF(OR($J636&gt;$K636,$J636&lt;$K636),"Green","Red")</f>
        <v>Red</v>
      </c>
      <c r="U636" t="str">
        <f>IF($H636&gt;$I636,"Green","Red")</f>
        <v>Red</v>
      </c>
      <c r="V636" t="str">
        <f>IF($H636=$I636,"Green","Red")</f>
        <v>Green</v>
      </c>
      <c r="W636" t="str">
        <f>IF($H636&lt;$I636,"Green","Red")</f>
        <v>Red</v>
      </c>
      <c r="X636" t="str">
        <f>IF($H636+$I636&gt;0,"Green","Red")</f>
        <v>Red</v>
      </c>
      <c r="Y636" t="str">
        <f>IF($J636+$K636&gt;1.5,"Green","Red")</f>
        <v>Red</v>
      </c>
      <c r="Z636" t="str">
        <f>IF($J636+$K636&gt;2.5,"Green","Red")</f>
        <v>Red</v>
      </c>
      <c r="AA636" t="str">
        <f>IF($J636+$K636&lt;2.5,"Green","Red")</f>
        <v>Green</v>
      </c>
      <c r="AB636" t="str">
        <f>IF($J636+$K636&lt;3.5,"Green","Red")</f>
        <v>Green</v>
      </c>
      <c r="AC636" t="str">
        <f>IF(AND($J636&gt;0,$K636&gt;0),"Green","Red")</f>
        <v>Red</v>
      </c>
      <c r="AD636" t="str">
        <f>IF(OR($J636=0,$K636=0),"Green","Red")</f>
        <v>Green</v>
      </c>
    </row>
    <row r="637" spans="1:30" x14ac:dyDescent="0.2">
      <c r="A637" t="str">
        <f>L637&amp;F637&amp;G637</f>
        <v>24/07/2026Lommel UnitedADO Den Haag</v>
      </c>
      <c r="D637" s="2">
        <v>46227</v>
      </c>
      <c r="E637" s="3">
        <v>0.5</v>
      </c>
      <c r="F637" t="s">
        <v>2647</v>
      </c>
      <c r="G637" t="s">
        <v>2648</v>
      </c>
      <c r="H637">
        <v>0</v>
      </c>
      <c r="I637">
        <v>2</v>
      </c>
      <c r="J637">
        <v>0</v>
      </c>
      <c r="K637">
        <v>4</v>
      </c>
      <c r="L637" s="22" t="str">
        <f>DAY(D637)&amp;"/"&amp;"07"&amp;"/"&amp;YEAR(D637)</f>
        <v>24/07/2026</v>
      </c>
      <c r="M637" s="23">
        <f>E637-TIME(3,0,0)</f>
        <v>0.375</v>
      </c>
      <c r="N637" t="str">
        <f>J637&amp;" - "&amp;K637</f>
        <v>0 - 4</v>
      </c>
      <c r="O637" t="str">
        <f>IF($J637&gt;$K637,"Green","Red")</f>
        <v>Red</v>
      </c>
      <c r="P637" t="str">
        <f>IF($J637=$K637,"Green","Red")</f>
        <v>Red</v>
      </c>
      <c r="Q637" t="str">
        <f>IF($J637&lt;$K637,"Green","Red")</f>
        <v>Green</v>
      </c>
      <c r="R637" t="str">
        <f>IF($J637&gt;=$K637,"Green","Red")</f>
        <v>Red</v>
      </c>
      <c r="S637" t="str">
        <f>IF($J637&lt;=$K637,"Green","Red")</f>
        <v>Green</v>
      </c>
      <c r="T637" t="str">
        <f>IF(OR($J637&gt;$K637,$J637&lt;$K637),"Green","Red")</f>
        <v>Green</v>
      </c>
      <c r="U637" t="str">
        <f>IF($H637&gt;$I637,"Green","Red")</f>
        <v>Red</v>
      </c>
      <c r="V637" t="str">
        <f>IF($H637=$I637,"Green","Red")</f>
        <v>Red</v>
      </c>
      <c r="W637" t="str">
        <f>IF($H637&lt;$I637,"Green","Red")</f>
        <v>Green</v>
      </c>
      <c r="X637" t="str">
        <f>IF($H637+$I637&gt;0,"Green","Red")</f>
        <v>Green</v>
      </c>
      <c r="Y637" t="str">
        <f>IF($J637+$K637&gt;1.5,"Green","Red")</f>
        <v>Green</v>
      </c>
      <c r="Z637" t="str">
        <f>IF($J637+$K637&gt;2.5,"Green","Red")</f>
        <v>Green</v>
      </c>
      <c r="AA637" t="str">
        <f>IF($J637+$K637&lt;2.5,"Green","Red")</f>
        <v>Red</v>
      </c>
      <c r="AB637" t="str">
        <f>IF($J637+$K637&lt;3.5,"Green","Red")</f>
        <v>Red</v>
      </c>
      <c r="AC637" t="str">
        <f>IF(AND($J637&gt;0,$K637&gt;0),"Green","Red")</f>
        <v>Red</v>
      </c>
      <c r="AD637" t="str">
        <f>IF(OR($J637=0,$K637=0),"Green","Red")</f>
        <v>Green</v>
      </c>
    </row>
    <row r="638" spans="1:30" x14ac:dyDescent="0.2">
      <c r="A638" t="str">
        <f>L638&amp;F638&amp;G638</f>
        <v>24/07/2026WolfsburgLyon</v>
      </c>
      <c r="D638" s="2">
        <v>46227</v>
      </c>
      <c r="E638" s="3">
        <v>0.5</v>
      </c>
      <c r="F638" t="s">
        <v>2649</v>
      </c>
      <c r="G638" t="s">
        <v>2650</v>
      </c>
      <c r="H638">
        <v>0</v>
      </c>
      <c r="I638">
        <v>0</v>
      </c>
      <c r="J638">
        <v>0</v>
      </c>
      <c r="K638">
        <v>2</v>
      </c>
      <c r="L638" s="22" t="str">
        <f>DAY(D638)&amp;"/"&amp;"07"&amp;"/"&amp;YEAR(D638)</f>
        <v>24/07/2026</v>
      </c>
      <c r="M638" s="23">
        <f>E638-TIME(3,0,0)</f>
        <v>0.375</v>
      </c>
      <c r="N638" t="str">
        <f>J638&amp;" - "&amp;K638</f>
        <v>0 - 2</v>
      </c>
      <c r="O638" t="str">
        <f>IF($J638&gt;$K638,"Green","Red")</f>
        <v>Red</v>
      </c>
      <c r="P638" t="str">
        <f>IF($J638=$K638,"Green","Red")</f>
        <v>Red</v>
      </c>
      <c r="Q638" t="str">
        <f>IF($J638&lt;$K638,"Green","Red")</f>
        <v>Green</v>
      </c>
      <c r="R638" t="str">
        <f>IF($J638&gt;=$K638,"Green","Red")</f>
        <v>Red</v>
      </c>
      <c r="S638" t="str">
        <f>IF($J638&lt;=$K638,"Green","Red")</f>
        <v>Green</v>
      </c>
      <c r="T638" t="str">
        <f>IF(OR($J638&gt;$K638,$J638&lt;$K638),"Green","Red")</f>
        <v>Green</v>
      </c>
      <c r="U638" t="str">
        <f>IF($H638&gt;$I638,"Green","Red")</f>
        <v>Red</v>
      </c>
      <c r="V638" t="str">
        <f>IF($H638=$I638,"Green","Red")</f>
        <v>Green</v>
      </c>
      <c r="W638" t="str">
        <f>IF($H638&lt;$I638,"Green","Red")</f>
        <v>Red</v>
      </c>
      <c r="X638" t="str">
        <f>IF($H638+$I638&gt;0,"Green","Red")</f>
        <v>Red</v>
      </c>
      <c r="Y638" t="str">
        <f>IF($J638+$K638&gt;1.5,"Green","Red")</f>
        <v>Green</v>
      </c>
      <c r="Z638" t="str">
        <f>IF($J638+$K638&gt;2.5,"Green","Red")</f>
        <v>Red</v>
      </c>
      <c r="AA638" t="str">
        <f>IF($J638+$K638&lt;2.5,"Green","Red")</f>
        <v>Green</v>
      </c>
      <c r="AB638" t="str">
        <f>IF($J638+$K638&lt;3.5,"Green","Red")</f>
        <v>Green</v>
      </c>
      <c r="AC638" t="str">
        <f>IF(AND($J638&gt;0,$K638&gt;0),"Green","Red")</f>
        <v>Red</v>
      </c>
      <c r="AD638" t="str">
        <f>IF(OR($J638=0,$K638=0),"Green","Red")</f>
        <v>Green</v>
      </c>
    </row>
    <row r="639" spans="1:30" x14ac:dyDescent="0.2">
      <c r="A639" t="str">
        <f>L639&amp;F639&amp;G639</f>
        <v>24/07/2026Sao Bento U20Jabaquara U20</v>
      </c>
      <c r="D639" s="2">
        <v>46227</v>
      </c>
      <c r="E639" s="3">
        <v>0.54166666666666663</v>
      </c>
      <c r="F639" t="s">
        <v>2367</v>
      </c>
      <c r="G639" t="s">
        <v>2368</v>
      </c>
      <c r="H639">
        <v>1</v>
      </c>
      <c r="I639">
        <v>0</v>
      </c>
      <c r="J639">
        <v>3</v>
      </c>
      <c r="K639">
        <v>0</v>
      </c>
      <c r="L639" s="22" t="str">
        <f>DAY(D639)&amp;"/"&amp;"07"&amp;"/"&amp;YEAR(D639)</f>
        <v>24/07/2026</v>
      </c>
      <c r="M639" s="23">
        <f>E639-TIME(3,0,0)</f>
        <v>0.41666666666666663</v>
      </c>
      <c r="N639" t="str">
        <f>J639&amp;" - "&amp;K639</f>
        <v>3 - 0</v>
      </c>
      <c r="O639" t="str">
        <f>IF($J639&gt;$K639,"Green","Red")</f>
        <v>Green</v>
      </c>
      <c r="P639" t="str">
        <f>IF($J639=$K639,"Green","Red")</f>
        <v>Red</v>
      </c>
      <c r="Q639" t="str">
        <f>IF($J639&lt;$K639,"Green","Red")</f>
        <v>Red</v>
      </c>
      <c r="R639" t="str">
        <f>IF($J639&gt;=$K639,"Green","Red")</f>
        <v>Green</v>
      </c>
      <c r="S639" t="str">
        <f>IF($J639&lt;=$K639,"Green","Red")</f>
        <v>Red</v>
      </c>
      <c r="T639" t="str">
        <f>IF(OR($J639&gt;$K639,$J639&lt;$K639),"Green","Red")</f>
        <v>Green</v>
      </c>
      <c r="U639" t="str">
        <f>IF($H639&gt;$I639,"Green","Red")</f>
        <v>Green</v>
      </c>
      <c r="V639" t="str">
        <f>IF($H639=$I639,"Green","Red")</f>
        <v>Red</v>
      </c>
      <c r="W639" t="str">
        <f>IF($H639&lt;$I639,"Green","Red")</f>
        <v>Red</v>
      </c>
      <c r="X639" t="str">
        <f>IF($H639+$I639&gt;0,"Green","Red")</f>
        <v>Green</v>
      </c>
      <c r="Y639" t="str">
        <f>IF($J639+$K639&gt;1.5,"Green","Red")</f>
        <v>Green</v>
      </c>
      <c r="Z639" t="str">
        <f>IF($J639+$K639&gt;2.5,"Green","Red")</f>
        <v>Green</v>
      </c>
      <c r="AA639" t="str">
        <f>IF($J639+$K639&lt;2.5,"Green","Red")</f>
        <v>Red</v>
      </c>
      <c r="AB639" t="str">
        <f>IF($J639+$K639&lt;3.5,"Green","Red")</f>
        <v>Green</v>
      </c>
      <c r="AC639" t="str">
        <f>IF(AND($J639&gt;0,$K639&gt;0),"Green","Red")</f>
        <v>Red</v>
      </c>
      <c r="AD639" t="str">
        <f>IF(OR($J639=0,$K639=0),"Green","Red")</f>
        <v>Green</v>
      </c>
    </row>
    <row r="640" spans="1:30" x14ac:dyDescent="0.2">
      <c r="A640" t="str">
        <f>L640&amp;F640&amp;G640</f>
        <v>24/07/2026Aktobe U21Sport Academy Kairat</v>
      </c>
      <c r="D640" s="2">
        <v>46227</v>
      </c>
      <c r="E640" s="3">
        <v>0.54166666666666663</v>
      </c>
      <c r="F640" t="s">
        <v>2509</v>
      </c>
      <c r="G640" t="s">
        <v>2510</v>
      </c>
      <c r="H640">
        <v>0</v>
      </c>
      <c r="I640">
        <v>3</v>
      </c>
      <c r="J640">
        <v>0</v>
      </c>
      <c r="K640">
        <v>4</v>
      </c>
      <c r="L640" s="22" t="str">
        <f>DAY(D640)&amp;"/"&amp;"07"&amp;"/"&amp;YEAR(D640)</f>
        <v>24/07/2026</v>
      </c>
      <c r="M640" s="23">
        <f>E640-TIME(3,0,0)</f>
        <v>0.41666666666666663</v>
      </c>
      <c r="N640" t="str">
        <f>J640&amp;" - "&amp;K640</f>
        <v>0 - 4</v>
      </c>
      <c r="O640" t="str">
        <f>IF($J640&gt;$K640,"Green","Red")</f>
        <v>Red</v>
      </c>
      <c r="P640" t="str">
        <f>IF($J640=$K640,"Green","Red")</f>
        <v>Red</v>
      </c>
      <c r="Q640" t="str">
        <f>IF($J640&lt;$K640,"Green","Red")</f>
        <v>Green</v>
      </c>
      <c r="R640" t="str">
        <f>IF($J640&gt;=$K640,"Green","Red")</f>
        <v>Red</v>
      </c>
      <c r="S640" t="str">
        <f>IF($J640&lt;=$K640,"Green","Red")</f>
        <v>Green</v>
      </c>
      <c r="T640" t="str">
        <f>IF(OR($J640&gt;$K640,$J640&lt;$K640),"Green","Red")</f>
        <v>Green</v>
      </c>
      <c r="U640" t="str">
        <f>IF($H640&gt;$I640,"Green","Red")</f>
        <v>Red</v>
      </c>
      <c r="V640" t="str">
        <f>IF($H640=$I640,"Green","Red")</f>
        <v>Red</v>
      </c>
      <c r="W640" t="str">
        <f>IF($H640&lt;$I640,"Green","Red")</f>
        <v>Green</v>
      </c>
      <c r="X640" t="str">
        <f>IF($H640+$I640&gt;0,"Green","Red")</f>
        <v>Green</v>
      </c>
      <c r="Y640" t="str">
        <f>IF($J640+$K640&gt;1.5,"Green","Red")</f>
        <v>Green</v>
      </c>
      <c r="Z640" t="str">
        <f>IF($J640+$K640&gt;2.5,"Green","Red")</f>
        <v>Green</v>
      </c>
      <c r="AA640" t="str">
        <f>IF($J640+$K640&lt;2.5,"Green","Red")</f>
        <v>Red</v>
      </c>
      <c r="AB640" t="str">
        <f>IF($J640+$K640&lt;3.5,"Green","Red")</f>
        <v>Red</v>
      </c>
      <c r="AC640" t="str">
        <f>IF(AND($J640&gt;0,$K640&gt;0),"Green","Red")</f>
        <v>Red</v>
      </c>
      <c r="AD640" t="str">
        <f>IF(OR($J640=0,$K640=0),"Green","Red")</f>
        <v>Green</v>
      </c>
    </row>
    <row r="641" spans="1:30" x14ac:dyDescent="0.2">
      <c r="A641" t="str">
        <f>L641&amp;F641&amp;G641</f>
        <v>24/07/2026Shakhter KaragandyFK Arys</v>
      </c>
      <c r="D641" s="2">
        <v>46227</v>
      </c>
      <c r="E641" s="3">
        <v>0.54166666666666663</v>
      </c>
      <c r="F641" t="s">
        <v>2511</v>
      </c>
      <c r="G641" t="s">
        <v>2512</v>
      </c>
      <c r="H641">
        <v>1</v>
      </c>
      <c r="I641">
        <v>1</v>
      </c>
      <c r="J641">
        <v>4</v>
      </c>
      <c r="K641">
        <v>1</v>
      </c>
      <c r="L641" s="22" t="str">
        <f>DAY(D641)&amp;"/"&amp;"07"&amp;"/"&amp;YEAR(D641)</f>
        <v>24/07/2026</v>
      </c>
      <c r="M641" s="23">
        <f>E641-TIME(3,0,0)</f>
        <v>0.41666666666666663</v>
      </c>
      <c r="N641" t="str">
        <f>J641&amp;" - "&amp;K641</f>
        <v>4 - 1</v>
      </c>
      <c r="O641" t="str">
        <f>IF($J641&gt;$K641,"Green","Red")</f>
        <v>Green</v>
      </c>
      <c r="P641" t="str">
        <f>IF($J641=$K641,"Green","Red")</f>
        <v>Red</v>
      </c>
      <c r="Q641" t="str">
        <f>IF($J641&lt;$K641,"Green","Red")</f>
        <v>Red</v>
      </c>
      <c r="R641" t="str">
        <f>IF($J641&gt;=$K641,"Green","Red")</f>
        <v>Green</v>
      </c>
      <c r="S641" t="str">
        <f>IF($J641&lt;=$K641,"Green","Red")</f>
        <v>Red</v>
      </c>
      <c r="T641" t="str">
        <f>IF(OR($J641&gt;$K641,$J641&lt;$K641),"Green","Red")</f>
        <v>Green</v>
      </c>
      <c r="U641" t="str">
        <f>IF($H641&gt;$I641,"Green","Red")</f>
        <v>Red</v>
      </c>
      <c r="V641" t="str">
        <f>IF($H641=$I641,"Green","Red")</f>
        <v>Green</v>
      </c>
      <c r="W641" t="str">
        <f>IF($H641&lt;$I641,"Green","Red")</f>
        <v>Red</v>
      </c>
      <c r="X641" t="str">
        <f>IF($H641+$I641&gt;0,"Green","Red")</f>
        <v>Green</v>
      </c>
      <c r="Y641" t="str">
        <f>IF($J641+$K641&gt;1.5,"Green","Red")</f>
        <v>Green</v>
      </c>
      <c r="Z641" t="str">
        <f>IF($J641+$K641&gt;2.5,"Green","Red")</f>
        <v>Green</v>
      </c>
      <c r="AA641" t="str">
        <f>IF($J641+$K641&lt;2.5,"Green","Red")</f>
        <v>Red</v>
      </c>
      <c r="AB641" t="str">
        <f>IF($J641+$K641&lt;3.5,"Green","Red")</f>
        <v>Red</v>
      </c>
      <c r="AC641" t="str">
        <f>IF(AND($J641&gt;0,$K641&gt;0),"Green","Red")</f>
        <v>Green</v>
      </c>
      <c r="AD641" t="str">
        <f>IF(OR($J641=0,$K641=0),"Green","Red")</f>
        <v>Red</v>
      </c>
    </row>
    <row r="642" spans="1:30" x14ac:dyDescent="0.2">
      <c r="A642" t="str">
        <f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2603</v>
      </c>
      <c r="G642" t="s">
        <v>2604</v>
      </c>
      <c r="H642">
        <v>0</v>
      </c>
      <c r="I642">
        <v>0</v>
      </c>
      <c r="J642">
        <v>1</v>
      </c>
      <c r="K642">
        <v>0</v>
      </c>
      <c r="L642" s="22" t="str">
        <f>DAY(D642)&amp;"/"&amp;"07"&amp;"/"&amp;YEAR(D642)</f>
        <v>24/07/2026</v>
      </c>
      <c r="M642" s="23">
        <f>E642-TIME(3,0,0)</f>
        <v>0.41666666666666663</v>
      </c>
      <c r="N642" t="str">
        <f>J642&amp;" - "&amp;K642</f>
        <v>1 - 0</v>
      </c>
      <c r="O642" t="str">
        <f>IF($J642&gt;$K642,"Green","Red")</f>
        <v>Green</v>
      </c>
      <c r="P642" t="str">
        <f>IF($J642=$K642,"Green","Red")</f>
        <v>Red</v>
      </c>
      <c r="Q642" t="str">
        <f>IF($J642&lt;$K642,"Green","Red")</f>
        <v>Red</v>
      </c>
      <c r="R642" t="str">
        <f>IF($J642&gt;=$K642,"Green","Red")</f>
        <v>Green</v>
      </c>
      <c r="S642" t="str">
        <f>IF($J642&lt;=$K642,"Green","Red")</f>
        <v>Red</v>
      </c>
      <c r="T642" t="str">
        <f>IF(OR($J642&gt;$K642,$J642&lt;$K642),"Green","Red")</f>
        <v>Green</v>
      </c>
      <c r="U642" t="str">
        <f>IF($H642&gt;$I642,"Green","Red")</f>
        <v>Red</v>
      </c>
      <c r="V642" t="str">
        <f>IF($H642=$I642,"Green","Red")</f>
        <v>Green</v>
      </c>
      <c r="W642" t="str">
        <f>IF($H642&lt;$I642,"Green","Red")</f>
        <v>Red</v>
      </c>
      <c r="X642" t="str">
        <f>IF($H642+$I642&gt;0,"Green","Red")</f>
        <v>Red</v>
      </c>
      <c r="Y642" t="str">
        <f>IF($J642+$K642&gt;1.5,"Green","Red")</f>
        <v>Red</v>
      </c>
      <c r="Z642" t="str">
        <f>IF($J642+$K642&gt;2.5,"Green","Red")</f>
        <v>Red</v>
      </c>
      <c r="AA642" t="str">
        <f>IF($J642+$K642&lt;2.5,"Green","Red")</f>
        <v>Green</v>
      </c>
      <c r="AB642" t="str">
        <f>IF($J642+$K642&lt;3.5,"Green","Red")</f>
        <v>Green</v>
      </c>
      <c r="AC642" t="str">
        <f>IF(AND($J642&gt;0,$K642&gt;0),"Green","Red")</f>
        <v>Red</v>
      </c>
      <c r="AD642" t="str">
        <f>IF(OR($J642=0,$K642=0),"Green","Red")</f>
        <v>Green</v>
      </c>
    </row>
    <row r="643" spans="1:30" x14ac:dyDescent="0.2">
      <c r="A643" t="str">
        <f>L643&amp;F643&amp;G643</f>
        <v>24/07/2026FC OleksandriyaFC Nyva Ternopil</v>
      </c>
      <c r="D643" s="2">
        <v>46227</v>
      </c>
      <c r="E643" s="3">
        <v>0.54166666666666663</v>
      </c>
      <c r="F643" t="s">
        <v>2617</v>
      </c>
      <c r="G643" t="s">
        <v>2618</v>
      </c>
      <c r="H643">
        <v>1</v>
      </c>
      <c r="I643">
        <v>0</v>
      </c>
      <c r="J643">
        <v>1</v>
      </c>
      <c r="K643">
        <v>1</v>
      </c>
      <c r="L643" s="22" t="str">
        <f>DAY(D643)&amp;"/"&amp;"07"&amp;"/"&amp;YEAR(D643)</f>
        <v>24/07/2026</v>
      </c>
      <c r="M643" s="23">
        <f>E643-TIME(3,0,0)</f>
        <v>0.41666666666666663</v>
      </c>
      <c r="N643" t="str">
        <f>J643&amp;" - "&amp;K643</f>
        <v>1 - 1</v>
      </c>
      <c r="O643" t="str">
        <f>IF($J643&gt;$K643,"Green","Red")</f>
        <v>Red</v>
      </c>
      <c r="P643" t="str">
        <f>IF($J643=$K643,"Green","Red")</f>
        <v>Green</v>
      </c>
      <c r="Q643" t="str">
        <f>IF($J643&lt;$K643,"Green","Red")</f>
        <v>Red</v>
      </c>
      <c r="R643" t="str">
        <f>IF($J643&gt;=$K643,"Green","Red")</f>
        <v>Green</v>
      </c>
      <c r="S643" t="str">
        <f>IF($J643&lt;=$K643,"Green","Red")</f>
        <v>Green</v>
      </c>
      <c r="T643" t="str">
        <f>IF(OR($J643&gt;$K643,$J643&lt;$K643),"Green","Red")</f>
        <v>Red</v>
      </c>
      <c r="U643" t="str">
        <f>IF($H643&gt;$I643,"Green","Red")</f>
        <v>Green</v>
      </c>
      <c r="V643" t="str">
        <f>IF($H643=$I643,"Green","Red")</f>
        <v>Red</v>
      </c>
      <c r="W643" t="str">
        <f>IF($H643&lt;$I643,"Green","Red")</f>
        <v>Red</v>
      </c>
      <c r="X643" t="str">
        <f>IF($H643+$I643&gt;0,"Green","Red")</f>
        <v>Green</v>
      </c>
      <c r="Y643" t="str">
        <f>IF($J643+$K643&gt;1.5,"Green","Red")</f>
        <v>Green</v>
      </c>
      <c r="Z643" t="str">
        <f>IF($J643+$K643&gt;2.5,"Green","Red")</f>
        <v>Red</v>
      </c>
      <c r="AA643" t="str">
        <f>IF($J643+$K643&lt;2.5,"Green","Red")</f>
        <v>Green</v>
      </c>
      <c r="AB643" t="str">
        <f>IF($J643+$K643&lt;3.5,"Green","Red")</f>
        <v>Green</v>
      </c>
      <c r="AC643" t="str">
        <f>IF(AND($J643&gt;0,$K643&gt;0),"Green","Red")</f>
        <v>Green</v>
      </c>
      <c r="AD643" t="str">
        <f>IF(OR($J643=0,$K643=0),"Green","Red")</f>
        <v>Red</v>
      </c>
    </row>
    <row r="644" spans="1:30" x14ac:dyDescent="0.2">
      <c r="A644" t="str">
        <f>L644&amp;F644&amp;G644</f>
        <v>24/07/2026Timor LesteVietnam</v>
      </c>
      <c r="B644" t="s">
        <v>2248</v>
      </c>
      <c r="C644" t="s">
        <v>2249</v>
      </c>
      <c r="D644" s="2">
        <v>46227</v>
      </c>
      <c r="E644" s="3">
        <v>0.5625</v>
      </c>
      <c r="F644" t="s">
        <v>2252</v>
      </c>
      <c r="G644" t="s">
        <v>2253</v>
      </c>
      <c r="H644">
        <v>0</v>
      </c>
      <c r="I644">
        <v>5</v>
      </c>
      <c r="J644">
        <v>0</v>
      </c>
      <c r="K644">
        <v>7</v>
      </c>
      <c r="L644" s="22" t="str">
        <f>DAY(D644)&amp;"/"&amp;"07"&amp;"/"&amp;YEAR(D644)</f>
        <v>24/07/2026</v>
      </c>
      <c r="M644" s="23">
        <f>E644-TIME(3,0,0)</f>
        <v>0.4375</v>
      </c>
      <c r="N644" t="str">
        <f>J644&amp;" - "&amp;K644</f>
        <v>0 - 7</v>
      </c>
      <c r="O644" t="str">
        <f>IF($J644&gt;$K644,"Green","Red")</f>
        <v>Red</v>
      </c>
      <c r="P644" t="str">
        <f>IF($J644=$K644,"Green","Red")</f>
        <v>Red</v>
      </c>
      <c r="Q644" t="str">
        <f>IF($J644&lt;$K644,"Green","Red")</f>
        <v>Green</v>
      </c>
      <c r="R644" t="str">
        <f>IF($J644&gt;=$K644,"Green","Red")</f>
        <v>Red</v>
      </c>
      <c r="S644" t="str">
        <f>IF($J644&lt;=$K644,"Green","Red")</f>
        <v>Green</v>
      </c>
      <c r="T644" t="str">
        <f>IF(OR($J644&gt;$K644,$J644&lt;$K644),"Green","Red")</f>
        <v>Green</v>
      </c>
      <c r="U644" t="str">
        <f>IF($H644&gt;$I644,"Green","Red")</f>
        <v>Red</v>
      </c>
      <c r="V644" t="str">
        <f>IF($H644=$I644,"Green","Red")</f>
        <v>Red</v>
      </c>
      <c r="W644" t="str">
        <f>IF($H644&lt;$I644,"Green","Red")</f>
        <v>Green</v>
      </c>
      <c r="X644" t="str">
        <f>IF($H644+$I644&gt;0,"Green","Red")</f>
        <v>Green</v>
      </c>
      <c r="Y644" t="str">
        <f>IF($J644+$K644&gt;1.5,"Green","Red")</f>
        <v>Green</v>
      </c>
      <c r="Z644" t="str">
        <f>IF($J644+$K644&gt;2.5,"Green","Red")</f>
        <v>Green</v>
      </c>
      <c r="AA644" t="str">
        <f>IF($J644+$K644&lt;2.5,"Green","Red")</f>
        <v>Red</v>
      </c>
      <c r="AB644" t="str">
        <f>IF($J644+$K644&lt;3.5,"Green","Red")</f>
        <v>Red</v>
      </c>
      <c r="AC644" t="str">
        <f>IF(AND($J644&gt;0,$K644&gt;0),"Green","Red")</f>
        <v>Red</v>
      </c>
      <c r="AD644" t="str">
        <f>IF(OR($J644=0,$K644=0),"Green","Red")</f>
        <v>Green</v>
      </c>
    </row>
    <row r="645" spans="1:30" x14ac:dyDescent="0.2">
      <c r="A645" t="str">
        <f>L645&amp;F645&amp;G645</f>
        <v>24/07/2026Aral NukusShurtan Guzar</v>
      </c>
      <c r="D645" s="2">
        <v>46227</v>
      </c>
      <c r="E645" s="3">
        <v>0.5625</v>
      </c>
      <c r="F645" t="s">
        <v>2634</v>
      </c>
      <c r="G645" t="s">
        <v>2635</v>
      </c>
      <c r="H645">
        <v>0</v>
      </c>
      <c r="I645">
        <v>0</v>
      </c>
      <c r="J645">
        <v>3</v>
      </c>
      <c r="K645">
        <v>1</v>
      </c>
      <c r="L645" s="22" t="str">
        <f>DAY(D645)&amp;"/"&amp;"07"&amp;"/"&amp;YEAR(D645)</f>
        <v>24/07/2026</v>
      </c>
      <c r="M645" s="23">
        <f>E645-TIME(3,0,0)</f>
        <v>0.4375</v>
      </c>
      <c r="N645" t="str">
        <f>J645&amp;" - "&amp;K645</f>
        <v>3 - 1</v>
      </c>
      <c r="O645" t="str">
        <f>IF($J645&gt;$K645,"Green","Red")</f>
        <v>Green</v>
      </c>
      <c r="P645" t="str">
        <f>IF($J645=$K645,"Green","Red")</f>
        <v>Red</v>
      </c>
      <c r="Q645" t="str">
        <f>IF($J645&lt;$K645,"Green","Red")</f>
        <v>Red</v>
      </c>
      <c r="R645" t="str">
        <f>IF($J645&gt;=$K645,"Green","Red")</f>
        <v>Green</v>
      </c>
      <c r="S645" t="str">
        <f>IF($J645&lt;=$K645,"Green","Red")</f>
        <v>Red</v>
      </c>
      <c r="T645" t="str">
        <f>IF(OR($J645&gt;$K645,$J645&lt;$K645),"Green","Red")</f>
        <v>Green</v>
      </c>
      <c r="U645" t="str">
        <f>IF($H645&gt;$I645,"Green","Red")</f>
        <v>Red</v>
      </c>
      <c r="V645" t="str">
        <f>IF($H645=$I645,"Green","Red")</f>
        <v>Green</v>
      </c>
      <c r="W645" t="str">
        <f>IF($H645&lt;$I645,"Green","Red")</f>
        <v>Red</v>
      </c>
      <c r="X645" t="str">
        <f>IF($H645+$I645&gt;0,"Green","Red")</f>
        <v>Red</v>
      </c>
      <c r="Y645" t="str">
        <f>IF($J645+$K645&gt;1.5,"Green","Red")</f>
        <v>Green</v>
      </c>
      <c r="Z645" t="str">
        <f>IF($J645+$K645&gt;2.5,"Green","Red")</f>
        <v>Green</v>
      </c>
      <c r="AA645" t="str">
        <f>IF($J645+$K645&lt;2.5,"Green","Red")</f>
        <v>Red</v>
      </c>
      <c r="AB645" t="str">
        <f>IF($J645+$K645&lt;3.5,"Green","Red")</f>
        <v>Red</v>
      </c>
      <c r="AC645" t="str">
        <f>IF(AND($J645&gt;0,$K645&gt;0),"Green","Red")</f>
        <v>Green</v>
      </c>
      <c r="AD645" t="str">
        <f>IF(OR($J645=0,$K645=0),"Green","Red")</f>
        <v>Red</v>
      </c>
    </row>
    <row r="646" spans="1:30" x14ac:dyDescent="0.2">
      <c r="A646" t="str">
        <f>L646&amp;F646&amp;G646</f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2516</v>
      </c>
      <c r="H646">
        <v>1</v>
      </c>
      <c r="I646">
        <v>2</v>
      </c>
      <c r="J646">
        <v>4</v>
      </c>
      <c r="K646">
        <v>2</v>
      </c>
      <c r="L646" s="22" t="str">
        <f>DAY(D646)&amp;"/"&amp;"07"&amp;"/"&amp;YEAR(D646)</f>
        <v>24/07/2026</v>
      </c>
      <c r="M646" s="23">
        <f>E646-TIME(3,0,0)</f>
        <v>0.45833333333333337</v>
      </c>
      <c r="N646" t="str">
        <f>J646&amp;" - "&amp;K646</f>
        <v>4 - 2</v>
      </c>
      <c r="O646" t="str">
        <f>IF($J646&gt;$K646,"Green","Red")</f>
        <v>Green</v>
      </c>
      <c r="P646" t="str">
        <f>IF($J646=$K646,"Green","Red")</f>
        <v>Red</v>
      </c>
      <c r="Q646" t="str">
        <f>IF($J646&lt;$K646,"Green","Red")</f>
        <v>Red</v>
      </c>
      <c r="R646" t="str">
        <f>IF($J646&gt;=$K646,"Green","Red")</f>
        <v>Green</v>
      </c>
      <c r="S646" t="str">
        <f>IF($J646&lt;=$K646,"Green","Red")</f>
        <v>Red</v>
      </c>
      <c r="T646" t="str">
        <f>IF(OR($J646&gt;$K646,$J646&lt;$K646),"Green","Red")</f>
        <v>Green</v>
      </c>
      <c r="U646" t="str">
        <f>IF($H646&gt;$I646,"Green","Red")</f>
        <v>Red</v>
      </c>
      <c r="V646" t="str">
        <f>IF($H646=$I646,"Green","Red")</f>
        <v>Red</v>
      </c>
      <c r="W646" t="str">
        <f>IF($H646&lt;$I646,"Green","Red")</f>
        <v>Green</v>
      </c>
      <c r="X646" t="str">
        <f>IF($H646+$I646&gt;0,"Green","Red")</f>
        <v>Green</v>
      </c>
      <c r="Y646" t="str">
        <f>IF($J646+$K646&gt;1.5,"Green","Red")</f>
        <v>Green</v>
      </c>
      <c r="Z646" t="str">
        <f>IF($J646+$K646&gt;2.5,"Green","Red")</f>
        <v>Green</v>
      </c>
      <c r="AA646" t="str">
        <f>IF($J646+$K646&lt;2.5,"Green","Red")</f>
        <v>Red</v>
      </c>
      <c r="AB646" t="str">
        <f>IF($J646+$K646&lt;3.5,"Green","Red")</f>
        <v>Red</v>
      </c>
      <c r="AC646" t="str">
        <f>IF(AND($J646&gt;0,$K646&gt;0),"Green","Red")</f>
        <v>Green</v>
      </c>
      <c r="AD646" t="str">
        <f>IF(OR($J646=0,$K646=0),"Green","Red")</f>
        <v>Red</v>
      </c>
    </row>
    <row r="647" spans="1:30" x14ac:dyDescent="0.2">
      <c r="A647" t="str">
        <f>L647&amp;F647&amp;G647</f>
        <v>24/07/2026Neftyanik IzberbashZarya Russia</v>
      </c>
      <c r="D647" s="2">
        <v>46227</v>
      </c>
      <c r="E647" s="3">
        <v>0.58333333333333337</v>
      </c>
      <c r="F647" t="s">
        <v>2571</v>
      </c>
      <c r="G647" t="s">
        <v>2572</v>
      </c>
      <c r="H647">
        <v>0</v>
      </c>
      <c r="I647">
        <v>0</v>
      </c>
      <c r="J647">
        <v>2</v>
      </c>
      <c r="K647">
        <v>1</v>
      </c>
      <c r="L647" s="22" t="str">
        <f>DAY(D647)&amp;"/"&amp;"07"&amp;"/"&amp;YEAR(D647)</f>
        <v>24/07/2026</v>
      </c>
      <c r="M647" s="23">
        <f>E647-TIME(3,0,0)</f>
        <v>0.45833333333333337</v>
      </c>
      <c r="N647" t="str">
        <f>J647&amp;" - "&amp;K647</f>
        <v>2 - 1</v>
      </c>
      <c r="O647" t="str">
        <f>IF($J647&gt;$K647,"Green","Red")</f>
        <v>Green</v>
      </c>
      <c r="P647" t="str">
        <f>IF($J647=$K647,"Green","Red")</f>
        <v>Red</v>
      </c>
      <c r="Q647" t="str">
        <f>IF($J647&lt;$K647,"Green","Red")</f>
        <v>Red</v>
      </c>
      <c r="R647" t="str">
        <f>IF($J647&gt;=$K647,"Green","Red")</f>
        <v>Green</v>
      </c>
      <c r="S647" t="str">
        <f>IF($J647&lt;=$K647,"Green","Red")</f>
        <v>Red</v>
      </c>
      <c r="T647" t="str">
        <f>IF(OR($J647&gt;$K647,$J647&lt;$K647),"Green","Red")</f>
        <v>Green</v>
      </c>
      <c r="U647" t="str">
        <f>IF($H647&gt;$I647,"Green","Red")</f>
        <v>Red</v>
      </c>
      <c r="V647" t="str">
        <f>IF($H647=$I647,"Green","Red")</f>
        <v>Green</v>
      </c>
      <c r="W647" t="str">
        <f>IF($H647&lt;$I647,"Green","Red")</f>
        <v>Red</v>
      </c>
      <c r="X647" t="str">
        <f>IF($H647+$I647&gt;0,"Green","Red")</f>
        <v>Red</v>
      </c>
      <c r="Y647" t="str">
        <f>IF($J647+$K647&gt;1.5,"Green","Red")</f>
        <v>Green</v>
      </c>
      <c r="Z647" t="str">
        <f>IF($J647+$K647&gt;2.5,"Green","Red")</f>
        <v>Green</v>
      </c>
      <c r="AA647" t="str">
        <f>IF($J647+$K647&lt;2.5,"Green","Red")</f>
        <v>Red</v>
      </c>
      <c r="AB647" t="str">
        <f>IF($J647+$K647&lt;3.5,"Green","Red")</f>
        <v>Green</v>
      </c>
      <c r="AC647" t="str">
        <f>IF(AND($J647&gt;0,$K647&gt;0),"Green","Red")</f>
        <v>Green</v>
      </c>
      <c r="AD647" t="str">
        <f>IF(OR($J647=0,$K647=0),"Green","Red")</f>
        <v>Red</v>
      </c>
    </row>
    <row r="648" spans="1:30" x14ac:dyDescent="0.2">
      <c r="A648" t="str">
        <f>L648&amp;F648&amp;G648</f>
        <v>24/07/2026Chertanovo YouthZenit St. Petersburg Youth</v>
      </c>
      <c r="D648" s="2">
        <v>46227</v>
      </c>
      <c r="E648" s="3">
        <v>0.58333333333333337</v>
      </c>
      <c r="F648" t="s">
        <v>2581</v>
      </c>
      <c r="G648" t="s">
        <v>2582</v>
      </c>
      <c r="H648">
        <v>0</v>
      </c>
      <c r="I648">
        <v>2</v>
      </c>
      <c r="J648">
        <v>0</v>
      </c>
      <c r="K648">
        <v>3</v>
      </c>
      <c r="L648" s="22" t="str">
        <f>DAY(D648)&amp;"/"&amp;"07"&amp;"/"&amp;YEAR(D648)</f>
        <v>24/07/2026</v>
      </c>
      <c r="M648" s="23">
        <f>E648-TIME(3,0,0)</f>
        <v>0.45833333333333337</v>
      </c>
      <c r="N648" t="str">
        <f>J648&amp;" - "&amp;K648</f>
        <v>0 - 3</v>
      </c>
      <c r="O648" t="str">
        <f>IF($J648&gt;$K648,"Green","Red")</f>
        <v>Red</v>
      </c>
      <c r="P648" t="str">
        <f>IF($J648=$K648,"Green","Red")</f>
        <v>Red</v>
      </c>
      <c r="Q648" t="str">
        <f>IF($J648&lt;$K648,"Green","Red")</f>
        <v>Green</v>
      </c>
      <c r="R648" t="str">
        <f>IF($J648&gt;=$K648,"Green","Red")</f>
        <v>Red</v>
      </c>
      <c r="S648" t="str">
        <f>IF($J648&lt;=$K648,"Green","Red")</f>
        <v>Green</v>
      </c>
      <c r="T648" t="str">
        <f>IF(OR($J648&gt;$K648,$J648&lt;$K648),"Green","Red")</f>
        <v>Green</v>
      </c>
      <c r="U648" t="str">
        <f>IF($H648&gt;$I648,"Green","Red")</f>
        <v>Red</v>
      </c>
      <c r="V648" t="str">
        <f>IF($H648=$I648,"Green","Red")</f>
        <v>Red</v>
      </c>
      <c r="W648" t="str">
        <f>IF($H648&lt;$I648,"Green","Red")</f>
        <v>Green</v>
      </c>
      <c r="X648" t="str">
        <f>IF($H648+$I648&gt;0,"Green","Red")</f>
        <v>Green</v>
      </c>
      <c r="Y648" t="str">
        <f>IF($J648+$K648&gt;1.5,"Green","Red")</f>
        <v>Green</v>
      </c>
      <c r="Z648" t="str">
        <f>IF($J648+$K648&gt;2.5,"Green","Red")</f>
        <v>Green</v>
      </c>
      <c r="AA648" t="str">
        <f>IF($J648+$K648&lt;2.5,"Green","Red")</f>
        <v>Red</v>
      </c>
      <c r="AB648" t="str">
        <f>IF($J648+$K648&lt;3.5,"Green","Red")</f>
        <v>Green</v>
      </c>
      <c r="AC648" t="str">
        <f>IF(AND($J648&gt;0,$K648&gt;0),"Green","Red")</f>
        <v>Red</v>
      </c>
      <c r="AD648" t="str">
        <f>IF(OR($J648=0,$K648=0),"Green","Red")</f>
        <v>Green</v>
      </c>
    </row>
    <row r="649" spans="1:30" x14ac:dyDescent="0.2">
      <c r="A649" t="str">
        <f>L649&amp;F649&amp;G649</f>
        <v>24/07/2026CSKA Moscow YouthUral Youth</v>
      </c>
      <c r="D649" s="2">
        <v>46227</v>
      </c>
      <c r="E649" s="3">
        <v>0.58333333333333337</v>
      </c>
      <c r="F649" t="s">
        <v>2583</v>
      </c>
      <c r="G649" t="s">
        <v>2584</v>
      </c>
      <c r="H649">
        <v>1</v>
      </c>
      <c r="I649">
        <v>0</v>
      </c>
      <c r="J649">
        <v>4</v>
      </c>
      <c r="K649">
        <v>1</v>
      </c>
      <c r="L649" s="22" t="str">
        <f>DAY(D649)&amp;"/"&amp;"07"&amp;"/"&amp;YEAR(D649)</f>
        <v>24/07/2026</v>
      </c>
      <c r="M649" s="23">
        <f>E649-TIME(3,0,0)</f>
        <v>0.45833333333333337</v>
      </c>
      <c r="N649" t="str">
        <f>J649&amp;" - "&amp;K649</f>
        <v>4 - 1</v>
      </c>
      <c r="O649" t="str">
        <f>IF($J649&gt;$K649,"Green","Red")</f>
        <v>Green</v>
      </c>
      <c r="P649" t="str">
        <f>IF($J649=$K649,"Green","Red")</f>
        <v>Red</v>
      </c>
      <c r="Q649" t="str">
        <f>IF($J649&lt;$K649,"Green","Red")</f>
        <v>Red</v>
      </c>
      <c r="R649" t="str">
        <f>IF($J649&gt;=$K649,"Green","Red")</f>
        <v>Green</v>
      </c>
      <c r="S649" t="str">
        <f>IF($J649&lt;=$K649,"Green","Red")</f>
        <v>Red</v>
      </c>
      <c r="T649" t="str">
        <f>IF(OR($J649&gt;$K649,$J649&lt;$K649),"Green","Red")</f>
        <v>Green</v>
      </c>
      <c r="U649" t="str">
        <f>IF($H649&gt;$I649,"Green","Red")</f>
        <v>Green</v>
      </c>
      <c r="V649" t="str">
        <f>IF($H649=$I649,"Green","Red")</f>
        <v>Red</v>
      </c>
      <c r="W649" t="str">
        <f>IF($H649&lt;$I649,"Green","Red")</f>
        <v>Red</v>
      </c>
      <c r="X649" t="str">
        <f>IF($H649+$I649&gt;0,"Green","Red")</f>
        <v>Green</v>
      </c>
      <c r="Y649" t="str">
        <f>IF($J649+$K649&gt;1.5,"Green","Red")</f>
        <v>Green</v>
      </c>
      <c r="Z649" t="str">
        <f>IF($J649+$K649&gt;2.5,"Green","Red")</f>
        <v>Green</v>
      </c>
      <c r="AA649" t="str">
        <f>IF($J649+$K649&lt;2.5,"Green","Red")</f>
        <v>Red</v>
      </c>
      <c r="AB649" t="str">
        <f>IF($J649+$K649&lt;3.5,"Green","Red")</f>
        <v>Red</v>
      </c>
      <c r="AC649" t="str">
        <f>IF(AND($J649&gt;0,$K649&gt;0),"Green","Red")</f>
        <v>Green</v>
      </c>
      <c r="AD649" t="str">
        <f>IF(OR($J649=0,$K649=0),"Green","Red")</f>
        <v>Red</v>
      </c>
    </row>
    <row r="650" spans="1:30" x14ac:dyDescent="0.2">
      <c r="A650" t="str">
        <f>L650&amp;F650&amp;G650</f>
        <v>24/07/2026Fakel Voronezh YouthRubin Kazan Youth</v>
      </c>
      <c r="D650" s="2">
        <v>46227</v>
      </c>
      <c r="E650" s="3">
        <v>0.58333333333333337</v>
      </c>
      <c r="F650" t="s">
        <v>2585</v>
      </c>
      <c r="G650" t="s">
        <v>2586</v>
      </c>
      <c r="H650">
        <v>0</v>
      </c>
      <c r="I650">
        <v>0</v>
      </c>
      <c r="J650">
        <v>0</v>
      </c>
      <c r="K650">
        <v>1</v>
      </c>
      <c r="L650" s="22" t="str">
        <f>DAY(D650)&amp;"/"&amp;"07"&amp;"/"&amp;YEAR(D650)</f>
        <v>24/07/2026</v>
      </c>
      <c r="M650" s="23">
        <f>E650-TIME(3,0,0)</f>
        <v>0.45833333333333337</v>
      </c>
      <c r="N650" t="str">
        <f>J650&amp;" - "&amp;K650</f>
        <v>0 - 1</v>
      </c>
      <c r="O650" t="str">
        <f>IF($J650&gt;$K650,"Green","Red")</f>
        <v>Red</v>
      </c>
      <c r="P650" t="str">
        <f>IF($J650=$K650,"Green","Red")</f>
        <v>Red</v>
      </c>
      <c r="Q650" t="str">
        <f>IF($J650&lt;$K650,"Green","Red")</f>
        <v>Green</v>
      </c>
      <c r="R650" t="str">
        <f>IF($J650&gt;=$K650,"Green","Red")</f>
        <v>Red</v>
      </c>
      <c r="S650" t="str">
        <f>IF($J650&lt;=$K650,"Green","Red")</f>
        <v>Green</v>
      </c>
      <c r="T650" t="str">
        <f>IF(OR($J650&gt;$K650,$J650&lt;$K650),"Green","Red")</f>
        <v>Green</v>
      </c>
      <c r="U650" t="str">
        <f>IF($H650&gt;$I650,"Green","Red")</f>
        <v>Red</v>
      </c>
      <c r="V650" t="str">
        <f>IF($H650=$I650,"Green","Red")</f>
        <v>Green</v>
      </c>
      <c r="W650" t="str">
        <f>IF($H650&lt;$I650,"Green","Red")</f>
        <v>Red</v>
      </c>
      <c r="X650" t="str">
        <f>IF($H650+$I650&gt;0,"Green","Red")</f>
        <v>Red</v>
      </c>
      <c r="Y650" t="str">
        <f>IF($J650+$K650&gt;1.5,"Green","Red")</f>
        <v>Red</v>
      </c>
      <c r="Z650" t="str">
        <f>IF($J650+$K650&gt;2.5,"Green","Red")</f>
        <v>Red</v>
      </c>
      <c r="AA650" t="str">
        <f>IF($J650+$K650&lt;2.5,"Green","Red")</f>
        <v>Green</v>
      </c>
      <c r="AB650" t="str">
        <f>IF($J650+$K650&lt;3.5,"Green","Red")</f>
        <v>Green</v>
      </c>
      <c r="AC650" t="str">
        <f>IF(AND($J650&gt;0,$K650&gt;0),"Green","Red")</f>
        <v>Red</v>
      </c>
      <c r="AD650" t="str">
        <f>IF(OR($J650=0,$K650=0),"Green","Red")</f>
        <v>Green</v>
      </c>
    </row>
    <row r="651" spans="1:30" x14ac:dyDescent="0.2">
      <c r="A651" t="str">
        <f>L651&amp;F651&amp;G651</f>
        <v>24/07/2026CSKA Moscow WomenVDV Ryazan Women</v>
      </c>
      <c r="D651" s="2">
        <v>46227</v>
      </c>
      <c r="E651" s="3">
        <v>0.58333333333333337</v>
      </c>
      <c r="F651" t="s">
        <v>2591</v>
      </c>
      <c r="G651" t="s">
        <v>2592</v>
      </c>
      <c r="H651">
        <v>0</v>
      </c>
      <c r="I651">
        <v>0</v>
      </c>
      <c r="J651">
        <v>2</v>
      </c>
      <c r="K651">
        <v>1</v>
      </c>
      <c r="L651" s="22" t="str">
        <f>DAY(D651)&amp;"/"&amp;"07"&amp;"/"&amp;YEAR(D651)</f>
        <v>24/07/2026</v>
      </c>
      <c r="M651" s="23">
        <f>E651-TIME(3,0,0)</f>
        <v>0.45833333333333337</v>
      </c>
      <c r="N651" t="str">
        <f>J651&amp;" - "&amp;K651</f>
        <v>2 - 1</v>
      </c>
      <c r="O651" t="str">
        <f>IF($J651&gt;$K651,"Green","Red")</f>
        <v>Green</v>
      </c>
      <c r="P651" t="str">
        <f>IF($J651=$K651,"Green","Red")</f>
        <v>Red</v>
      </c>
      <c r="Q651" t="str">
        <f>IF($J651&lt;$K651,"Green","Red")</f>
        <v>Red</v>
      </c>
      <c r="R651" t="str">
        <f>IF($J651&gt;=$K651,"Green","Red")</f>
        <v>Green</v>
      </c>
      <c r="S651" t="str">
        <f>IF($J651&lt;=$K651,"Green","Red")</f>
        <v>Red</v>
      </c>
      <c r="T651" t="str">
        <f>IF(OR($J651&gt;$K651,$J651&lt;$K651),"Green","Red")</f>
        <v>Green</v>
      </c>
      <c r="U651" t="str">
        <f>IF($H651&gt;$I651,"Green","Red")</f>
        <v>Red</v>
      </c>
      <c r="V651" t="str">
        <f>IF($H651=$I651,"Green","Red")</f>
        <v>Green</v>
      </c>
      <c r="W651" t="str">
        <f>IF($H651&lt;$I651,"Green","Red")</f>
        <v>Red</v>
      </c>
      <c r="X651" t="str">
        <f>IF($H651+$I651&gt;0,"Green","Red")</f>
        <v>Red</v>
      </c>
      <c r="Y651" t="str">
        <f>IF($J651+$K651&gt;1.5,"Green","Red")</f>
        <v>Green</v>
      </c>
      <c r="Z651" t="str">
        <f>IF($J651+$K651&gt;2.5,"Green","Red")</f>
        <v>Green</v>
      </c>
      <c r="AA651" t="str">
        <f>IF($J651+$K651&lt;2.5,"Green","Red")</f>
        <v>Red</v>
      </c>
      <c r="AB651" t="str">
        <f>IF($J651+$K651&lt;3.5,"Green","Red")</f>
        <v>Green</v>
      </c>
      <c r="AC651" t="str">
        <f>IF(AND($J651&gt;0,$K651&gt;0),"Green","Red")</f>
        <v>Green</v>
      </c>
      <c r="AD651" t="str">
        <f>IF(OR($J651=0,$K651=0),"Green","Red")</f>
        <v>Red</v>
      </c>
    </row>
    <row r="652" spans="1:30" x14ac:dyDescent="0.2">
      <c r="A652" t="str">
        <f>L652&amp;F652&amp;G652</f>
        <v>24/07/2026Buxoro IIPakhtakor Tashkent II</v>
      </c>
      <c r="D652" s="2">
        <v>46227</v>
      </c>
      <c r="E652" s="3">
        <v>0.58333333333333337</v>
      </c>
      <c r="F652" t="s">
        <v>2636</v>
      </c>
      <c r="G652" t="s">
        <v>2637</v>
      </c>
      <c r="H652">
        <v>0</v>
      </c>
      <c r="I652">
        <v>0</v>
      </c>
      <c r="J652">
        <v>2</v>
      </c>
      <c r="K652">
        <v>0</v>
      </c>
      <c r="L652" s="22" t="str">
        <f>DAY(D652)&amp;"/"&amp;"07"&amp;"/"&amp;YEAR(D652)</f>
        <v>24/07/2026</v>
      </c>
      <c r="M652" s="23">
        <f>E652-TIME(3,0,0)</f>
        <v>0.45833333333333337</v>
      </c>
      <c r="N652" t="str">
        <f>J652&amp;" - "&amp;K652</f>
        <v>2 - 0</v>
      </c>
      <c r="O652" t="str">
        <f>IF($J652&gt;$K652,"Green","Red")</f>
        <v>Green</v>
      </c>
      <c r="P652" t="str">
        <f>IF($J652=$K652,"Green","Red")</f>
        <v>Red</v>
      </c>
      <c r="Q652" t="str">
        <f>IF($J652&lt;$K652,"Green","Red")</f>
        <v>Red</v>
      </c>
      <c r="R652" t="str">
        <f>IF($J652&gt;=$K652,"Green","Red")</f>
        <v>Green</v>
      </c>
      <c r="S652" t="str">
        <f>IF($J652&lt;=$K652,"Green","Red")</f>
        <v>Red</v>
      </c>
      <c r="T652" t="str">
        <f>IF(OR($J652&gt;$K652,$J652&lt;$K652),"Green","Red")</f>
        <v>Green</v>
      </c>
      <c r="U652" t="str">
        <f>IF($H652&gt;$I652,"Green","Red")</f>
        <v>Red</v>
      </c>
      <c r="V652" t="str">
        <f>IF($H652=$I652,"Green","Red")</f>
        <v>Green</v>
      </c>
      <c r="W652" t="str">
        <f>IF($H652&lt;$I652,"Green","Red")</f>
        <v>Red</v>
      </c>
      <c r="X652" t="str">
        <f>IF($H652+$I652&gt;0,"Green","Red")</f>
        <v>Red</v>
      </c>
      <c r="Y652" t="str">
        <f>IF($J652+$K652&gt;1.5,"Green","Red")</f>
        <v>Green</v>
      </c>
      <c r="Z652" t="str">
        <f>IF($J652+$K652&gt;2.5,"Green","Red")</f>
        <v>Red</v>
      </c>
      <c r="AA652" t="str">
        <f>IF($J652+$K652&lt;2.5,"Green","Red")</f>
        <v>Green</v>
      </c>
      <c r="AB652" t="str">
        <f>IF($J652+$K652&lt;3.5,"Green","Red")</f>
        <v>Green</v>
      </c>
      <c r="AC652" t="str">
        <f>IF(AND($J652&gt;0,$K652&gt;0),"Green","Red")</f>
        <v>Red</v>
      </c>
      <c r="AD652" t="str">
        <f>IF(OR($J652=0,$K652=0),"Green","Red")</f>
        <v>Green</v>
      </c>
    </row>
    <row r="653" spans="1:30" x14ac:dyDescent="0.2">
      <c r="A653" t="str">
        <f>L653&amp;F653&amp;G653</f>
        <v>24/07/2026BournemouthSt. Pauli</v>
      </c>
      <c r="D653" s="2">
        <v>46227</v>
      </c>
      <c r="E653" s="3">
        <v>0.58333333333333337</v>
      </c>
      <c r="F653" t="s">
        <v>2651</v>
      </c>
      <c r="G653" t="s">
        <v>2652</v>
      </c>
      <c r="H653">
        <v>2</v>
      </c>
      <c r="I653">
        <v>1</v>
      </c>
      <c r="J653">
        <v>4</v>
      </c>
      <c r="K653">
        <v>1</v>
      </c>
      <c r="L653" s="22" t="str">
        <f>DAY(D653)&amp;"/"&amp;"07"&amp;"/"&amp;YEAR(D653)</f>
        <v>24/07/2026</v>
      </c>
      <c r="M653" s="23">
        <f>E653-TIME(3,0,0)</f>
        <v>0.45833333333333337</v>
      </c>
      <c r="N653" t="str">
        <f>J653&amp;" - "&amp;K653</f>
        <v>4 - 1</v>
      </c>
      <c r="O653" t="str">
        <f>IF($J653&gt;$K653,"Green","Red")</f>
        <v>Green</v>
      </c>
      <c r="P653" t="str">
        <f>IF($J653=$K653,"Green","Red")</f>
        <v>Red</v>
      </c>
      <c r="Q653" t="str">
        <f>IF($J653&lt;$K653,"Green","Red")</f>
        <v>Red</v>
      </c>
      <c r="R653" t="str">
        <f>IF($J653&gt;=$K653,"Green","Red")</f>
        <v>Green</v>
      </c>
      <c r="S653" t="str">
        <f>IF($J653&lt;=$K653,"Green","Red")</f>
        <v>Red</v>
      </c>
      <c r="T653" t="str">
        <f>IF(OR($J653&gt;$K653,$J653&lt;$K653),"Green","Red")</f>
        <v>Green</v>
      </c>
      <c r="U653" t="str">
        <f>IF($H653&gt;$I653,"Green","Red")</f>
        <v>Green</v>
      </c>
      <c r="V653" t="str">
        <f>IF($H653=$I653,"Green","Red")</f>
        <v>Red</v>
      </c>
      <c r="W653" t="str">
        <f>IF($H653&lt;$I653,"Green","Red")</f>
        <v>Red</v>
      </c>
      <c r="X653" t="str">
        <f>IF($H653+$I653&gt;0,"Green","Red")</f>
        <v>Green</v>
      </c>
      <c r="Y653" t="str">
        <f>IF($J653+$K653&gt;1.5,"Green","Red")</f>
        <v>Green</v>
      </c>
      <c r="Z653" t="str">
        <f>IF($J653+$K653&gt;2.5,"Green","Red")</f>
        <v>Green</v>
      </c>
      <c r="AA653" t="str">
        <f>IF($J653+$K653&lt;2.5,"Green","Red")</f>
        <v>Red</v>
      </c>
      <c r="AB653" t="str">
        <f>IF($J653+$K653&lt;3.5,"Green","Red")</f>
        <v>Red</v>
      </c>
      <c r="AC653" t="str">
        <f>IF(AND($J653&gt;0,$K653&gt;0),"Green","Red")</f>
        <v>Green</v>
      </c>
      <c r="AD653" t="str">
        <f>IF(OR($J653=0,$K653=0),"Green","Red")</f>
        <v>Red</v>
      </c>
    </row>
    <row r="654" spans="1:30" x14ac:dyDescent="0.2">
      <c r="A654" t="str">
        <f>L654&amp;F654&amp;G654</f>
        <v>24/07/2026Derby CountyFreiburg</v>
      </c>
      <c r="D654" s="2">
        <v>46227</v>
      </c>
      <c r="E654" s="3">
        <v>0.58333333333333337</v>
      </c>
      <c r="F654" t="s">
        <v>2653</v>
      </c>
      <c r="G654" t="s">
        <v>2654</v>
      </c>
      <c r="H654">
        <v>1</v>
      </c>
      <c r="I654">
        <v>1</v>
      </c>
      <c r="J654">
        <v>1</v>
      </c>
      <c r="K654">
        <v>3</v>
      </c>
      <c r="L654" s="22" t="str">
        <f>DAY(D654)&amp;"/"&amp;"07"&amp;"/"&amp;YEAR(D654)</f>
        <v>24/07/2026</v>
      </c>
      <c r="M654" s="23">
        <f>E654-TIME(3,0,0)</f>
        <v>0.45833333333333337</v>
      </c>
      <c r="N654" t="str">
        <f>J654&amp;" - "&amp;K654</f>
        <v>1 - 3</v>
      </c>
      <c r="O654" t="str">
        <f>IF($J654&gt;$K654,"Green","Red")</f>
        <v>Red</v>
      </c>
      <c r="P654" t="str">
        <f>IF($J654=$K654,"Green","Red")</f>
        <v>Red</v>
      </c>
      <c r="Q654" t="str">
        <f>IF($J654&lt;$K654,"Green","Red")</f>
        <v>Green</v>
      </c>
      <c r="R654" t="str">
        <f>IF($J654&gt;=$K654,"Green","Red")</f>
        <v>Red</v>
      </c>
      <c r="S654" t="str">
        <f>IF($J654&lt;=$K654,"Green","Red")</f>
        <v>Green</v>
      </c>
      <c r="T654" t="str">
        <f>IF(OR($J654&gt;$K654,$J654&lt;$K654),"Green","Red")</f>
        <v>Green</v>
      </c>
      <c r="U654" t="str">
        <f>IF($H654&gt;$I654,"Green","Red")</f>
        <v>Red</v>
      </c>
      <c r="V654" t="str">
        <f>IF($H654=$I654,"Green","Red")</f>
        <v>Green</v>
      </c>
      <c r="W654" t="str">
        <f>IF($H654&lt;$I654,"Green","Red")</f>
        <v>Red</v>
      </c>
      <c r="X654" t="str">
        <f>IF($H654+$I654&gt;0,"Green","Red")</f>
        <v>Green</v>
      </c>
      <c r="Y654" t="str">
        <f>IF($J654+$K654&gt;1.5,"Green","Red")</f>
        <v>Green</v>
      </c>
      <c r="Z654" t="str">
        <f>IF($J654+$K654&gt;2.5,"Green","Red")</f>
        <v>Green</v>
      </c>
      <c r="AA654" t="str">
        <f>IF($J654+$K654&lt;2.5,"Green","Red")</f>
        <v>Red</v>
      </c>
      <c r="AB654" t="str">
        <f>IF($J654+$K654&lt;3.5,"Green","Red")</f>
        <v>Red</v>
      </c>
      <c r="AC654" t="str">
        <f>IF(AND($J654&gt;0,$K654&gt;0),"Green","Red")</f>
        <v>Green</v>
      </c>
      <c r="AD654" t="str">
        <f>IF(OR($J654=0,$K654=0),"Green","Red")</f>
        <v>Red</v>
      </c>
    </row>
    <row r="655" spans="1:30" x14ac:dyDescent="0.2">
      <c r="A655" t="str">
        <f>L655&amp;F655&amp;G655</f>
        <v>24/07/2026Energetik BGUDinamo Minsk Reserves</v>
      </c>
      <c r="D655" s="2">
        <v>46227</v>
      </c>
      <c r="E655" s="3">
        <v>0.60416666666666663</v>
      </c>
      <c r="F655" t="s">
        <v>2358</v>
      </c>
      <c r="G655" t="s">
        <v>2359</v>
      </c>
      <c r="H655">
        <v>0</v>
      </c>
      <c r="I655">
        <v>0</v>
      </c>
      <c r="J655">
        <v>0</v>
      </c>
      <c r="K655">
        <v>0</v>
      </c>
      <c r="L655" s="22" t="str">
        <f>DAY(D655)&amp;"/"&amp;"07"&amp;"/"&amp;YEAR(D655)</f>
        <v>24/07/2026</v>
      </c>
      <c r="M655" s="23">
        <f>E655-TIME(3,0,0)</f>
        <v>0.47916666666666663</v>
      </c>
      <c r="N655" t="str">
        <f>J655&amp;" - "&amp;K655</f>
        <v>0 - 0</v>
      </c>
      <c r="O655" t="str">
        <f>IF($J655&gt;$K655,"Green","Red")</f>
        <v>Red</v>
      </c>
      <c r="P655" t="str">
        <f>IF($J655=$K655,"Green","Red")</f>
        <v>Green</v>
      </c>
      <c r="Q655" t="str">
        <f>IF($J655&lt;$K655,"Green","Red")</f>
        <v>Red</v>
      </c>
      <c r="R655" t="str">
        <f>IF($J655&gt;=$K655,"Green","Red")</f>
        <v>Green</v>
      </c>
      <c r="S655" t="str">
        <f>IF($J655&lt;=$K655,"Green","Red")</f>
        <v>Green</v>
      </c>
      <c r="T655" t="str">
        <f>IF(OR($J655&gt;$K655,$J655&lt;$K655),"Green","Red")</f>
        <v>Red</v>
      </c>
      <c r="U655" t="str">
        <f>IF($H655&gt;$I655,"Green","Red")</f>
        <v>Red</v>
      </c>
      <c r="V655" t="str">
        <f>IF($H655=$I655,"Green","Red")</f>
        <v>Green</v>
      </c>
      <c r="W655" t="str">
        <f>IF($H655&lt;$I655,"Green","Red")</f>
        <v>Red</v>
      </c>
      <c r="X655" t="str">
        <f>IF($H655+$I655&gt;0,"Green","Red")</f>
        <v>Red</v>
      </c>
      <c r="Y655" t="str">
        <f>IF($J655+$K655&gt;1.5,"Green","Red")</f>
        <v>Red</v>
      </c>
      <c r="Z655" t="str">
        <f>IF($J655+$K655&gt;2.5,"Green","Red")</f>
        <v>Red</v>
      </c>
      <c r="AA655" t="str">
        <f>IF($J655+$K655&lt;2.5,"Green","Red")</f>
        <v>Green</v>
      </c>
      <c r="AB655" t="str">
        <f>IF($J655+$K655&lt;3.5,"Green","Red")</f>
        <v>Green</v>
      </c>
      <c r="AC655" t="str">
        <f>IF(AND($J655&gt;0,$K655&gt;0),"Green","Red")</f>
        <v>Red</v>
      </c>
      <c r="AD655" t="str">
        <f>IF(OR($J655=0,$K655=0),"Green","Red")</f>
        <v>Green</v>
      </c>
    </row>
    <row r="656" spans="1:30" x14ac:dyDescent="0.2">
      <c r="A656" t="str">
        <f>L656&amp;F656&amp;G656</f>
        <v>24/07/2026CD Magallanes WomenDeportes Temuco Women</v>
      </c>
      <c r="D656" s="2">
        <v>46227</v>
      </c>
      <c r="E656" s="3">
        <v>0.625</v>
      </c>
      <c r="F656" t="s">
        <v>2398</v>
      </c>
      <c r="G656" t="s">
        <v>2399</v>
      </c>
      <c r="H656">
        <v>0</v>
      </c>
      <c r="I656">
        <v>0</v>
      </c>
      <c r="J656">
        <v>3</v>
      </c>
      <c r="K656">
        <v>2</v>
      </c>
      <c r="L656" s="22" t="str">
        <f>DAY(D656)&amp;"/"&amp;"07"&amp;"/"&amp;YEAR(D656)</f>
        <v>24/07/2026</v>
      </c>
      <c r="M656" s="23">
        <f>E656-TIME(3,0,0)</f>
        <v>0.5</v>
      </c>
      <c r="N656" t="str">
        <f>J656&amp;" - "&amp;K656</f>
        <v>3 - 2</v>
      </c>
      <c r="O656" t="str">
        <f>IF($J656&gt;$K656,"Green","Red")</f>
        <v>Green</v>
      </c>
      <c r="P656" t="str">
        <f>IF($J656=$K656,"Green","Red")</f>
        <v>Red</v>
      </c>
      <c r="Q656" t="str">
        <f>IF($J656&lt;$K656,"Green","Red")</f>
        <v>Red</v>
      </c>
      <c r="R656" t="str">
        <f>IF($J656&gt;=$K656,"Green","Red")</f>
        <v>Green</v>
      </c>
      <c r="S656" t="str">
        <f>IF($J656&lt;=$K656,"Green","Red")</f>
        <v>Red</v>
      </c>
      <c r="T656" t="str">
        <f>IF(OR($J656&gt;$K656,$J656&lt;$K656),"Green","Red")</f>
        <v>Green</v>
      </c>
      <c r="U656" t="str">
        <f>IF($H656&gt;$I656,"Green","Red")</f>
        <v>Red</v>
      </c>
      <c r="V656" t="str">
        <f>IF($H656=$I656,"Green","Red")</f>
        <v>Green</v>
      </c>
      <c r="W656" t="str">
        <f>IF($H656&lt;$I656,"Green","Red")</f>
        <v>Red</v>
      </c>
      <c r="X656" t="str">
        <f>IF($H656+$I656&gt;0,"Green","Red")</f>
        <v>Red</v>
      </c>
      <c r="Y656" t="str">
        <f>IF($J656+$K656&gt;1.5,"Green","Red")</f>
        <v>Green</v>
      </c>
      <c r="Z656" t="str">
        <f>IF($J656+$K656&gt;2.5,"Green","Red")</f>
        <v>Green</v>
      </c>
      <c r="AA656" t="str">
        <f>IF($J656+$K656&lt;2.5,"Green","Red")</f>
        <v>Red</v>
      </c>
      <c r="AB656" t="str">
        <f>IF($J656+$K656&lt;3.5,"Green","Red")</f>
        <v>Red</v>
      </c>
      <c r="AC656" t="str">
        <f>IF(AND($J656&gt;0,$K656&gt;0),"Green","Red")</f>
        <v>Green</v>
      </c>
      <c r="AD656" t="str">
        <f>IF(OR($J656=0,$K656=0),"Green","Red")</f>
        <v>Red</v>
      </c>
    </row>
    <row r="657" spans="1:30" x14ac:dyDescent="0.2">
      <c r="A657" t="str">
        <f>L657&amp;F657&amp;G657</f>
        <v>24/07/2026MargvetiIberia 1999</v>
      </c>
      <c r="D657" s="2">
        <v>46227</v>
      </c>
      <c r="E657" s="3">
        <v>0.625</v>
      </c>
      <c r="F657" t="s">
        <v>2471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>DAY(D657)&amp;"/"&amp;"07"&amp;"/"&amp;YEAR(D657)</f>
        <v>24/07/2026</v>
      </c>
      <c r="M657" s="23">
        <f>E657-TIME(3,0,0)</f>
        <v>0.5</v>
      </c>
      <c r="N657" t="str">
        <f>J657&amp;" - "&amp;K657</f>
        <v>1 - 3</v>
      </c>
      <c r="O657" t="str">
        <f>IF($J657&gt;$K657,"Green","Red")</f>
        <v>Red</v>
      </c>
      <c r="P657" t="str">
        <f>IF($J657=$K657,"Green","Red")</f>
        <v>Red</v>
      </c>
      <c r="Q657" t="str">
        <f>IF($J657&lt;$K657,"Green","Red")</f>
        <v>Green</v>
      </c>
      <c r="R657" t="str">
        <f>IF($J657&gt;=$K657,"Green","Red")</f>
        <v>Red</v>
      </c>
      <c r="S657" t="str">
        <f>IF($J657&lt;=$K657,"Green","Red")</f>
        <v>Green</v>
      </c>
      <c r="T657" t="str">
        <f>IF(OR($J657&gt;$K657,$J657&lt;$K657),"Green","Red")</f>
        <v>Green</v>
      </c>
      <c r="U657" t="str">
        <f>IF($H657&gt;$I657,"Green","Red")</f>
        <v>Red</v>
      </c>
      <c r="V657" t="str">
        <f>IF($H657=$I657,"Green","Red")</f>
        <v>Green</v>
      </c>
      <c r="W657" t="str">
        <f>IF($H657&lt;$I657,"Green","Red")</f>
        <v>Red</v>
      </c>
      <c r="X657" t="str">
        <f>IF($H657+$I657&gt;0,"Green","Red")</f>
        <v>Red</v>
      </c>
      <c r="Y657" t="str">
        <f>IF($J657+$K657&gt;1.5,"Green","Red")</f>
        <v>Green</v>
      </c>
      <c r="Z657" t="str">
        <f>IF($J657+$K657&gt;2.5,"Green","Red")</f>
        <v>Green</v>
      </c>
      <c r="AA657" t="str">
        <f>IF($J657+$K657&lt;2.5,"Green","Red")</f>
        <v>Red</v>
      </c>
      <c r="AB657" t="str">
        <f>IF($J657+$K657&lt;3.5,"Green","Red")</f>
        <v>Red</v>
      </c>
      <c r="AC657" t="str">
        <f>IF(AND($J657&gt;0,$K657&gt;0),"Green","Red")</f>
        <v>Green</v>
      </c>
      <c r="AD657" t="str">
        <f>IF(OR($J657=0,$K657=0),"Green","Red")</f>
        <v>Red</v>
      </c>
    </row>
    <row r="658" spans="1:30" x14ac:dyDescent="0.2">
      <c r="A658" t="str">
        <f>L658&amp;F658&amp;G658</f>
        <v>24/07/2026FC Turan TurkistanFC Tobol U21</v>
      </c>
      <c r="D658" s="2">
        <v>46227</v>
      </c>
      <c r="E658" s="3">
        <v>0.625</v>
      </c>
      <c r="F658" t="s">
        <v>2513</v>
      </c>
      <c r="G658" t="s">
        <v>2514</v>
      </c>
      <c r="H658">
        <v>0</v>
      </c>
      <c r="I658">
        <v>0</v>
      </c>
      <c r="J658">
        <v>2</v>
      </c>
      <c r="K658">
        <v>1</v>
      </c>
      <c r="L658" s="22" t="str">
        <f>DAY(D658)&amp;"/"&amp;"07"&amp;"/"&amp;YEAR(D658)</f>
        <v>24/07/2026</v>
      </c>
      <c r="M658" s="23">
        <f>E658-TIME(3,0,0)</f>
        <v>0.5</v>
      </c>
      <c r="N658" t="str">
        <f>J658&amp;" - "&amp;K658</f>
        <v>2 - 1</v>
      </c>
      <c r="O658" t="str">
        <f>IF($J658&gt;$K658,"Green","Red")</f>
        <v>Green</v>
      </c>
      <c r="P658" t="str">
        <f>IF($J658=$K658,"Green","Red")</f>
        <v>Red</v>
      </c>
      <c r="Q658" t="str">
        <f>IF($J658&lt;$K658,"Green","Red")</f>
        <v>Red</v>
      </c>
      <c r="R658" t="str">
        <f>IF($J658&gt;=$K658,"Green","Red")</f>
        <v>Green</v>
      </c>
      <c r="S658" t="str">
        <f>IF($J658&lt;=$K658,"Green","Red")</f>
        <v>Red</v>
      </c>
      <c r="T658" t="str">
        <f>IF(OR($J658&gt;$K658,$J658&lt;$K658),"Green","Red")</f>
        <v>Green</v>
      </c>
      <c r="U658" t="str">
        <f>IF($H658&gt;$I658,"Green","Red")</f>
        <v>Red</v>
      </c>
      <c r="V658" t="str">
        <f>IF($H658=$I658,"Green","Red")</f>
        <v>Green</v>
      </c>
      <c r="W658" t="str">
        <f>IF($H658&lt;$I658,"Green","Red")</f>
        <v>Red</v>
      </c>
      <c r="X658" t="str">
        <f>IF($H658+$I658&gt;0,"Green","Red")</f>
        <v>Red</v>
      </c>
      <c r="Y658" t="str">
        <f>IF($J658+$K658&gt;1.5,"Green","Red")</f>
        <v>Green</v>
      </c>
      <c r="Z658" t="str">
        <f>IF($J658+$K658&gt;2.5,"Green","Red")</f>
        <v>Green</v>
      </c>
      <c r="AA658" t="str">
        <f>IF($J658+$K658&lt;2.5,"Green","Red")</f>
        <v>Red</v>
      </c>
      <c r="AB658" t="str">
        <f>IF($J658+$K658&lt;3.5,"Green","Red")</f>
        <v>Green</v>
      </c>
      <c r="AC658" t="str">
        <f>IF(AND($J658&gt;0,$K658&gt;0),"Green","Red")</f>
        <v>Green</v>
      </c>
      <c r="AD658" t="str">
        <f>IF(OR($J658=0,$K658=0),"Green","Red")</f>
        <v>Red</v>
      </c>
    </row>
    <row r="659" spans="1:30" x14ac:dyDescent="0.2">
      <c r="A659" t="str">
        <f>L659&amp;F659&amp;G659</f>
        <v>24/07/2026Tikves KavadarciFK Arsimi 1973</v>
      </c>
      <c r="D659" s="2">
        <v>46227</v>
      </c>
      <c r="E659" s="3">
        <v>0.625</v>
      </c>
      <c r="F659" t="s">
        <v>2544</v>
      </c>
      <c r="G659" t="s">
        <v>2545</v>
      </c>
      <c r="H659">
        <v>4</v>
      </c>
      <c r="I659">
        <v>1</v>
      </c>
      <c r="J659">
        <v>5</v>
      </c>
      <c r="K659">
        <v>1</v>
      </c>
      <c r="L659" s="22" t="str">
        <f>DAY(D659)&amp;"/"&amp;"07"&amp;"/"&amp;YEAR(D659)</f>
        <v>24/07/2026</v>
      </c>
      <c r="M659" s="23">
        <f>E659-TIME(3,0,0)</f>
        <v>0.5</v>
      </c>
      <c r="N659" t="str">
        <f>J659&amp;" - "&amp;K659</f>
        <v>5 - 1</v>
      </c>
      <c r="O659" t="str">
        <f>IF($J659&gt;$K659,"Green","Red")</f>
        <v>Green</v>
      </c>
      <c r="P659" t="str">
        <f>IF($J659=$K659,"Green","Red")</f>
        <v>Red</v>
      </c>
      <c r="Q659" t="str">
        <f>IF($J659&lt;$K659,"Green","Red")</f>
        <v>Red</v>
      </c>
      <c r="R659" t="str">
        <f>IF($J659&gt;=$K659,"Green","Red")</f>
        <v>Green</v>
      </c>
      <c r="S659" t="str">
        <f>IF($J659&lt;=$K659,"Green","Red")</f>
        <v>Red</v>
      </c>
      <c r="T659" t="str">
        <f>IF(OR($J659&gt;$K659,$J659&lt;$K659),"Green","Red")</f>
        <v>Green</v>
      </c>
      <c r="U659" t="str">
        <f>IF($H659&gt;$I659,"Green","Red")</f>
        <v>Green</v>
      </c>
      <c r="V659" t="str">
        <f>IF($H659=$I659,"Green","Red")</f>
        <v>Red</v>
      </c>
      <c r="W659" t="str">
        <f>IF($H659&lt;$I659,"Green","Red")</f>
        <v>Red</v>
      </c>
      <c r="X659" t="str">
        <f>IF($H659+$I659&gt;0,"Green","Red")</f>
        <v>Green</v>
      </c>
      <c r="Y659" t="str">
        <f>IF($J659+$K659&gt;1.5,"Green","Red")</f>
        <v>Green</v>
      </c>
      <c r="Z659" t="str">
        <f>IF($J659+$K659&gt;2.5,"Green","Red")</f>
        <v>Green</v>
      </c>
      <c r="AA659" t="str">
        <f>IF($J659+$K659&lt;2.5,"Green","Red")</f>
        <v>Red</v>
      </c>
      <c r="AB659" t="str">
        <f>IF($J659+$K659&lt;3.5,"Green","Red")</f>
        <v>Red</v>
      </c>
      <c r="AC659" t="str">
        <f>IF(AND($J659&gt;0,$K659&gt;0),"Green","Red")</f>
        <v>Green</v>
      </c>
      <c r="AD659" t="str">
        <f>IF(OR($J659=0,$K659=0),"Green","Red")</f>
        <v>Red</v>
      </c>
    </row>
    <row r="660" spans="1:30" x14ac:dyDescent="0.2">
      <c r="A660" t="str">
        <f>L660&amp;F660&amp;G660</f>
        <v>24/07/2026Olimpik MobiuzPFC Terdu</v>
      </c>
      <c r="D660" s="2">
        <v>46227</v>
      </c>
      <c r="E660" s="3">
        <v>0.625</v>
      </c>
      <c r="F660" t="s">
        <v>2638</v>
      </c>
      <c r="G660" t="s">
        <v>2639</v>
      </c>
      <c r="H660">
        <v>0</v>
      </c>
      <c r="I660">
        <v>0</v>
      </c>
      <c r="J660">
        <v>3</v>
      </c>
      <c r="K660">
        <v>0</v>
      </c>
      <c r="L660" s="22" t="str">
        <f>DAY(D660)&amp;"/"&amp;"07"&amp;"/"&amp;YEAR(D660)</f>
        <v>24/07/2026</v>
      </c>
      <c r="M660" s="23">
        <f>E660-TIME(3,0,0)</f>
        <v>0.5</v>
      </c>
      <c r="N660" t="str">
        <f>J660&amp;" - "&amp;K660</f>
        <v>3 - 0</v>
      </c>
      <c r="O660" t="str">
        <f>IF($J660&gt;$K660,"Green","Red")</f>
        <v>Green</v>
      </c>
      <c r="P660" t="str">
        <f>IF($J660=$K660,"Green","Red")</f>
        <v>Red</v>
      </c>
      <c r="Q660" t="str">
        <f>IF($J660&lt;$K660,"Green","Red")</f>
        <v>Red</v>
      </c>
      <c r="R660" t="str">
        <f>IF($J660&gt;=$K660,"Green","Red")</f>
        <v>Green</v>
      </c>
      <c r="S660" t="str">
        <f>IF($J660&lt;=$K660,"Green","Red")</f>
        <v>Red</v>
      </c>
      <c r="T660" t="str">
        <f>IF(OR($J660&gt;$K660,$J660&lt;$K660),"Green","Red")</f>
        <v>Green</v>
      </c>
      <c r="U660" t="str">
        <f>IF($H660&gt;$I660,"Green","Red")</f>
        <v>Red</v>
      </c>
      <c r="V660" t="str">
        <f>IF($H660=$I660,"Green","Red")</f>
        <v>Green</v>
      </c>
      <c r="W660" t="str">
        <f>IF($H660&lt;$I660,"Green","Red")</f>
        <v>Red</v>
      </c>
      <c r="X660" t="str">
        <f>IF($H660+$I660&gt;0,"Green","Red")</f>
        <v>Red</v>
      </c>
      <c r="Y660" t="str">
        <f>IF($J660+$K660&gt;1.5,"Green","Red")</f>
        <v>Green</v>
      </c>
      <c r="Z660" t="str">
        <f>IF($J660+$K660&gt;2.5,"Green","Red")</f>
        <v>Green</v>
      </c>
      <c r="AA660" t="str">
        <f>IF($J660+$K660&lt;2.5,"Green","Red")</f>
        <v>Red</v>
      </c>
      <c r="AB660" t="str">
        <f>IF($J660+$K660&lt;3.5,"Green","Red")</f>
        <v>Green</v>
      </c>
      <c r="AC660" t="str">
        <f>IF(AND($J660&gt;0,$K660&gt;0),"Green","Red")</f>
        <v>Red</v>
      </c>
      <c r="AD660" t="str">
        <f>IF(OR($J660=0,$K660=0),"Green","Red")</f>
        <v>Green</v>
      </c>
    </row>
    <row r="661" spans="1:30" x14ac:dyDescent="0.2">
      <c r="A661" t="str">
        <f>L661&amp;F661&amp;G661</f>
        <v>24/07/2026Sparta Prague IIHostoun</v>
      </c>
      <c r="D661" s="2">
        <v>46227</v>
      </c>
      <c r="E661" s="3">
        <v>0.625</v>
      </c>
      <c r="F661" t="s">
        <v>2655</v>
      </c>
      <c r="G661" t="s">
        <v>2656</v>
      </c>
      <c r="H661">
        <v>0</v>
      </c>
      <c r="I661">
        <v>0</v>
      </c>
      <c r="J661">
        <v>1</v>
      </c>
      <c r="K661">
        <v>2</v>
      </c>
      <c r="L661" s="22" t="str">
        <f>DAY(D661)&amp;"/"&amp;"07"&amp;"/"&amp;YEAR(D661)</f>
        <v>24/07/2026</v>
      </c>
      <c r="M661" s="23">
        <f>E661-TIME(3,0,0)</f>
        <v>0.5</v>
      </c>
      <c r="N661" t="str">
        <f>J661&amp;" - "&amp;K661</f>
        <v>1 - 2</v>
      </c>
      <c r="O661" t="str">
        <f>IF($J661&gt;$K661,"Green","Red")</f>
        <v>Red</v>
      </c>
      <c r="P661" t="str">
        <f>IF($J661=$K661,"Green","Red")</f>
        <v>Red</v>
      </c>
      <c r="Q661" t="str">
        <f>IF($J661&lt;$K661,"Green","Red")</f>
        <v>Green</v>
      </c>
      <c r="R661" t="str">
        <f>IF($J661&gt;=$K661,"Green","Red")</f>
        <v>Red</v>
      </c>
      <c r="S661" t="str">
        <f>IF($J661&lt;=$K661,"Green","Red")</f>
        <v>Green</v>
      </c>
      <c r="T661" t="str">
        <f>IF(OR($J661&gt;$K661,$J661&lt;$K661),"Green","Red")</f>
        <v>Green</v>
      </c>
      <c r="U661" t="str">
        <f>IF($H661&gt;$I661,"Green","Red")</f>
        <v>Red</v>
      </c>
      <c r="V661" t="str">
        <f>IF($H661=$I661,"Green","Red")</f>
        <v>Green</v>
      </c>
      <c r="W661" t="str">
        <f>IF($H661&lt;$I661,"Green","Red")</f>
        <v>Red</v>
      </c>
      <c r="X661" t="str">
        <f>IF($H661+$I661&gt;0,"Green","Red")</f>
        <v>Red</v>
      </c>
      <c r="Y661" t="str">
        <f>IF($J661+$K661&gt;1.5,"Green","Red")</f>
        <v>Green</v>
      </c>
      <c r="Z661" t="str">
        <f>IF($J661+$K661&gt;2.5,"Green","Red")</f>
        <v>Green</v>
      </c>
      <c r="AA661" t="str">
        <f>IF($J661+$K661&lt;2.5,"Green","Red")</f>
        <v>Red</v>
      </c>
      <c r="AB661" t="str">
        <f>IF($J661+$K661&lt;3.5,"Green","Red")</f>
        <v>Green</v>
      </c>
      <c r="AC661" t="str">
        <f>IF(AND($J661&gt;0,$K661&gt;0),"Green","Red")</f>
        <v>Green</v>
      </c>
      <c r="AD661" t="str">
        <f>IF(OR($J661=0,$K661=0),"Green","Red")</f>
        <v>Red</v>
      </c>
    </row>
    <row r="662" spans="1:30" x14ac:dyDescent="0.2">
      <c r="A662" t="str">
        <f>L662&amp;F662&amp;G662</f>
        <v>24/07/2026SV GloggnitzRapid Wien II</v>
      </c>
      <c r="D662" s="2">
        <v>46227</v>
      </c>
      <c r="E662" s="3">
        <v>0.625</v>
      </c>
      <c r="F662" t="s">
        <v>2657</v>
      </c>
      <c r="G662" t="s">
        <v>2658</v>
      </c>
      <c r="H662">
        <v>0</v>
      </c>
      <c r="I662">
        <v>1</v>
      </c>
      <c r="J662">
        <v>1</v>
      </c>
      <c r="K662">
        <v>3</v>
      </c>
      <c r="L662" s="22" t="str">
        <f>DAY(D662)&amp;"/"&amp;"07"&amp;"/"&amp;YEAR(D662)</f>
        <v>24/07/2026</v>
      </c>
      <c r="M662" s="23">
        <f>E662-TIME(3,0,0)</f>
        <v>0.5</v>
      </c>
      <c r="N662" t="str">
        <f>J662&amp;" - "&amp;K662</f>
        <v>1 - 3</v>
      </c>
      <c r="O662" t="str">
        <f>IF($J662&gt;$K662,"Green","Red")</f>
        <v>Red</v>
      </c>
      <c r="P662" t="str">
        <f>IF($J662=$K662,"Green","Red")</f>
        <v>Red</v>
      </c>
      <c r="Q662" t="str">
        <f>IF($J662&lt;$K662,"Green","Red")</f>
        <v>Green</v>
      </c>
      <c r="R662" t="str">
        <f>IF($J662&gt;=$K662,"Green","Red")</f>
        <v>Red</v>
      </c>
      <c r="S662" t="str">
        <f>IF($J662&lt;=$K662,"Green","Red")</f>
        <v>Green</v>
      </c>
      <c r="T662" t="str">
        <f>IF(OR($J662&gt;$K662,$J662&lt;$K662),"Green","Red")</f>
        <v>Green</v>
      </c>
      <c r="U662" t="str">
        <f>IF($H662&gt;$I662,"Green","Red")</f>
        <v>Red</v>
      </c>
      <c r="V662" t="str">
        <f>IF($H662=$I662,"Green","Red")</f>
        <v>Red</v>
      </c>
      <c r="W662" t="str">
        <f>IF($H662&lt;$I662,"Green","Red")</f>
        <v>Green</v>
      </c>
      <c r="X662" t="str">
        <f>IF($H662+$I662&gt;0,"Green","Red")</f>
        <v>Green</v>
      </c>
      <c r="Y662" t="str">
        <f>IF($J662+$K662&gt;1.5,"Green","Red")</f>
        <v>Green</v>
      </c>
      <c r="Z662" t="str">
        <f>IF($J662+$K662&gt;2.5,"Green","Red")</f>
        <v>Green</v>
      </c>
      <c r="AA662" t="str">
        <f>IF($J662+$K662&lt;2.5,"Green","Red")</f>
        <v>Red</v>
      </c>
      <c r="AB662" t="str">
        <f>IF($J662+$K662&lt;3.5,"Green","Red")</f>
        <v>Red</v>
      </c>
      <c r="AC662" t="str">
        <f>IF(AND($J662&gt;0,$K662&gt;0),"Green","Red")</f>
        <v>Green</v>
      </c>
      <c r="AD662" t="str">
        <f>IF(OR($J662=0,$K662=0),"Green","Red")</f>
        <v>Red</v>
      </c>
    </row>
    <row r="663" spans="1:30" x14ac:dyDescent="0.2">
      <c r="A663" t="str">
        <f>L663&amp;F663&amp;G663</f>
        <v>24/07/2026Laajasalon PalloseuraVJS Vantaa II</v>
      </c>
      <c r="D663" s="2">
        <v>46227</v>
      </c>
      <c r="E663" s="3">
        <v>0.63541666666666663</v>
      </c>
      <c r="F663" t="s">
        <v>2445</v>
      </c>
      <c r="G663" t="s">
        <v>2446</v>
      </c>
      <c r="H663">
        <v>0</v>
      </c>
      <c r="I663">
        <v>0</v>
      </c>
      <c r="J663">
        <v>0</v>
      </c>
      <c r="K663">
        <v>3</v>
      </c>
      <c r="L663" s="22" t="str">
        <f>DAY(D663)&amp;"/"&amp;"07"&amp;"/"&amp;YEAR(D663)</f>
        <v>24/07/2026</v>
      </c>
      <c r="M663" s="23">
        <f>E663-TIME(3,0,0)</f>
        <v>0.51041666666666663</v>
      </c>
      <c r="N663" t="str">
        <f>J663&amp;" - "&amp;K663</f>
        <v>0 - 3</v>
      </c>
      <c r="O663" t="str">
        <f>IF($J663&gt;$K663,"Green","Red")</f>
        <v>Red</v>
      </c>
      <c r="P663" t="str">
        <f>IF($J663=$K663,"Green","Red")</f>
        <v>Red</v>
      </c>
      <c r="Q663" t="str">
        <f>IF($J663&lt;$K663,"Green","Red")</f>
        <v>Green</v>
      </c>
      <c r="R663" t="str">
        <f>IF($J663&gt;=$K663,"Green","Red")</f>
        <v>Red</v>
      </c>
      <c r="S663" t="str">
        <f>IF($J663&lt;=$K663,"Green","Red")</f>
        <v>Green</v>
      </c>
      <c r="T663" t="str">
        <f>IF(OR($J663&gt;$K663,$J663&lt;$K663),"Green","Red")</f>
        <v>Green</v>
      </c>
      <c r="U663" t="str">
        <f>IF($H663&gt;$I663,"Green","Red")</f>
        <v>Red</v>
      </c>
      <c r="V663" t="str">
        <f>IF($H663=$I663,"Green","Red")</f>
        <v>Green</v>
      </c>
      <c r="W663" t="str">
        <f>IF($H663&lt;$I663,"Green","Red")</f>
        <v>Red</v>
      </c>
      <c r="X663" t="str">
        <f>IF($H663+$I663&gt;0,"Green","Red")</f>
        <v>Red</v>
      </c>
      <c r="Y663" t="str">
        <f>IF($J663+$K663&gt;1.5,"Green","Red")</f>
        <v>Green</v>
      </c>
      <c r="Z663" t="str">
        <f>IF($J663+$K663&gt;2.5,"Green","Red")</f>
        <v>Green</v>
      </c>
      <c r="AA663" t="str">
        <f>IF($J663+$K663&lt;2.5,"Green","Red")</f>
        <v>Red</v>
      </c>
      <c r="AB663" t="str">
        <f>IF($J663+$K663&lt;3.5,"Green","Red")</f>
        <v>Green</v>
      </c>
      <c r="AC663" t="str">
        <f>IF(AND($J663&gt;0,$K663&gt;0),"Green","Red")</f>
        <v>Red</v>
      </c>
      <c r="AD663" t="str">
        <f>IF(OR($J663=0,$K663=0),"Green","Red")</f>
        <v>Green</v>
      </c>
    </row>
    <row r="664" spans="1:30" x14ac:dyDescent="0.2">
      <c r="A664" t="str">
        <f>L664&amp;F664&amp;G664</f>
        <v>24/07/2026FC OsipovichiBATE Borisov Reserves</v>
      </c>
      <c r="D664" s="2">
        <v>46227</v>
      </c>
      <c r="E664" s="3">
        <v>0.64583333333333337</v>
      </c>
      <c r="F664" t="s">
        <v>2360</v>
      </c>
      <c r="G664" t="s">
        <v>2361</v>
      </c>
      <c r="H664">
        <v>2</v>
      </c>
      <c r="I664">
        <v>1</v>
      </c>
      <c r="J664">
        <v>3</v>
      </c>
      <c r="K664">
        <v>1</v>
      </c>
      <c r="L664" s="22" t="str">
        <f>DAY(D664)&amp;"/"&amp;"07"&amp;"/"&amp;YEAR(D664)</f>
        <v>24/07/2026</v>
      </c>
      <c r="M664" s="23">
        <f>E664-TIME(3,0,0)</f>
        <v>0.52083333333333337</v>
      </c>
      <c r="N664" t="str">
        <f>J664&amp;" - "&amp;K664</f>
        <v>3 - 1</v>
      </c>
      <c r="O664" t="str">
        <f>IF($J664&gt;$K664,"Green","Red")</f>
        <v>Green</v>
      </c>
      <c r="P664" t="str">
        <f>IF($J664=$K664,"Green","Red")</f>
        <v>Red</v>
      </c>
      <c r="Q664" t="str">
        <f>IF($J664&lt;$K664,"Green","Red")</f>
        <v>Red</v>
      </c>
      <c r="R664" t="str">
        <f>IF($J664&gt;=$K664,"Green","Red")</f>
        <v>Green</v>
      </c>
      <c r="S664" t="str">
        <f>IF($J664&lt;=$K664,"Green","Red")</f>
        <v>Red</v>
      </c>
      <c r="T664" t="str">
        <f>IF(OR($J664&gt;$K664,$J664&lt;$K664),"Green","Red")</f>
        <v>Green</v>
      </c>
      <c r="U664" t="str">
        <f>IF($H664&gt;$I664,"Green","Red")</f>
        <v>Green</v>
      </c>
      <c r="V664" t="str">
        <f>IF($H664=$I664,"Green","Red")</f>
        <v>Red</v>
      </c>
      <c r="W664" t="str">
        <f>IF($H664&lt;$I664,"Green","Red")</f>
        <v>Red</v>
      </c>
      <c r="X664" t="str">
        <f>IF($H664+$I664&gt;0,"Green","Red")</f>
        <v>Green</v>
      </c>
      <c r="Y664" t="str">
        <f>IF($J664+$K664&gt;1.5,"Green","Red")</f>
        <v>Green</v>
      </c>
      <c r="Z664" t="str">
        <f>IF($J664+$K664&gt;2.5,"Green","Red")</f>
        <v>Green</v>
      </c>
      <c r="AA664" t="str">
        <f>IF($J664+$K664&lt;2.5,"Green","Red")</f>
        <v>Red</v>
      </c>
      <c r="AB664" t="str">
        <f>IF($J664+$K664&lt;3.5,"Green","Red")</f>
        <v>Red</v>
      </c>
      <c r="AC664" t="str">
        <f>IF(AND($J664&gt;0,$K664&gt;0),"Green","Red")</f>
        <v>Green</v>
      </c>
      <c r="AD664" t="str">
        <f>IF(OR($J664=0,$K664=0),"Green","Red")</f>
        <v>Red</v>
      </c>
    </row>
    <row r="665" spans="1:30" x14ac:dyDescent="0.2">
      <c r="A665" t="str">
        <f>L665&amp;F665&amp;G665</f>
        <v>24/07/2026HJS AkatemiaEsbo Bollklubb</v>
      </c>
      <c r="D665" s="2">
        <v>46227</v>
      </c>
      <c r="E665" s="3">
        <v>0.64583333333333337</v>
      </c>
      <c r="F665" t="s">
        <v>2435</v>
      </c>
      <c r="G665" t="s">
        <v>2436</v>
      </c>
      <c r="H665">
        <v>1</v>
      </c>
      <c r="I665">
        <v>2</v>
      </c>
      <c r="J665">
        <v>5</v>
      </c>
      <c r="K665">
        <v>3</v>
      </c>
      <c r="L665" s="22" t="str">
        <f>DAY(D665)&amp;"/"&amp;"07"&amp;"/"&amp;YEAR(D665)</f>
        <v>24/07/2026</v>
      </c>
      <c r="M665" s="23">
        <f>E665-TIME(3,0,0)</f>
        <v>0.52083333333333337</v>
      </c>
      <c r="N665" t="str">
        <f>J665&amp;" - "&amp;K665</f>
        <v>5 - 3</v>
      </c>
      <c r="O665" t="str">
        <f>IF($J665&gt;$K665,"Green","Red")</f>
        <v>Green</v>
      </c>
      <c r="P665" t="str">
        <f>IF($J665=$K665,"Green","Red")</f>
        <v>Red</v>
      </c>
      <c r="Q665" t="str">
        <f>IF($J665&lt;$K665,"Green","Red")</f>
        <v>Red</v>
      </c>
      <c r="R665" t="str">
        <f>IF($J665&gt;=$K665,"Green","Red")</f>
        <v>Green</v>
      </c>
      <c r="S665" t="str">
        <f>IF($J665&lt;=$K665,"Green","Red")</f>
        <v>Red</v>
      </c>
      <c r="T665" t="str">
        <f>IF(OR($J665&gt;$K665,$J665&lt;$K665),"Green","Red")</f>
        <v>Green</v>
      </c>
      <c r="U665" t="str">
        <f>IF($H665&gt;$I665,"Green","Red")</f>
        <v>Red</v>
      </c>
      <c r="V665" t="str">
        <f>IF($H665=$I665,"Green","Red")</f>
        <v>Red</v>
      </c>
      <c r="W665" t="str">
        <f>IF($H665&lt;$I665,"Green","Red")</f>
        <v>Green</v>
      </c>
      <c r="X665" t="str">
        <f>IF($H665+$I665&gt;0,"Green","Red")</f>
        <v>Green</v>
      </c>
      <c r="Y665" t="str">
        <f>IF($J665+$K665&gt;1.5,"Green","Red")</f>
        <v>Green</v>
      </c>
      <c r="Z665" t="str">
        <f>IF($J665+$K665&gt;2.5,"Green","Red")</f>
        <v>Green</v>
      </c>
      <c r="AA665" t="str">
        <f>IF($J665+$K665&lt;2.5,"Green","Red")</f>
        <v>Red</v>
      </c>
      <c r="AB665" t="str">
        <f>IF($J665+$K665&lt;3.5,"Green","Red")</f>
        <v>Red</v>
      </c>
      <c r="AC665" t="str">
        <f>IF(AND($J665&gt;0,$K665&gt;0),"Green","Red")</f>
        <v>Green</v>
      </c>
      <c r="AD665" t="str">
        <f>IF(OR($J665=0,$K665=0),"Green","Red")</f>
        <v>Red</v>
      </c>
    </row>
    <row r="666" spans="1:30" x14ac:dyDescent="0.2">
      <c r="A666" t="str">
        <f>L666&amp;F666&amp;G666</f>
        <v>24/07/2026LeKi-futisSaaksjarven Loiske</v>
      </c>
      <c r="D666" s="2">
        <v>46227</v>
      </c>
      <c r="E666" s="3">
        <v>0.64583333333333337</v>
      </c>
      <c r="F666" t="s">
        <v>2447</v>
      </c>
      <c r="G666" t="s">
        <v>2448</v>
      </c>
      <c r="H666">
        <v>0</v>
      </c>
      <c r="I666">
        <v>0</v>
      </c>
      <c r="J666">
        <v>3</v>
      </c>
      <c r="K666">
        <v>1</v>
      </c>
      <c r="L666" s="22" t="str">
        <f>DAY(D666)&amp;"/"&amp;"07"&amp;"/"&amp;YEAR(D666)</f>
        <v>24/07/2026</v>
      </c>
      <c r="M666" s="23">
        <f>E666-TIME(3,0,0)</f>
        <v>0.52083333333333337</v>
      </c>
      <c r="N666" t="str">
        <f>J666&amp;" - "&amp;K666</f>
        <v>3 - 1</v>
      </c>
      <c r="O666" t="str">
        <f>IF($J666&gt;$K666,"Green","Red")</f>
        <v>Green</v>
      </c>
      <c r="P666" t="str">
        <f>IF($J666=$K666,"Green","Red")</f>
        <v>Red</v>
      </c>
      <c r="Q666" t="str">
        <f>IF($J666&lt;$K666,"Green","Red")</f>
        <v>Red</v>
      </c>
      <c r="R666" t="str">
        <f>IF($J666&gt;=$K666,"Green","Red")</f>
        <v>Green</v>
      </c>
      <c r="S666" t="str">
        <f>IF($J666&lt;=$K666,"Green","Red")</f>
        <v>Red</v>
      </c>
      <c r="T666" t="str">
        <f>IF(OR($J666&gt;$K666,$J666&lt;$K666),"Green","Red")</f>
        <v>Green</v>
      </c>
      <c r="U666" t="str">
        <f>IF($H666&gt;$I666,"Green","Red")</f>
        <v>Red</v>
      </c>
      <c r="V666" t="str">
        <f>IF($H666=$I666,"Green","Red")</f>
        <v>Green</v>
      </c>
      <c r="W666" t="str">
        <f>IF($H666&lt;$I666,"Green","Red")</f>
        <v>Red</v>
      </c>
      <c r="X666" t="str">
        <f>IF($H666+$I666&gt;0,"Green","Red")</f>
        <v>Red</v>
      </c>
      <c r="Y666" t="str">
        <f>IF($J666+$K666&gt;1.5,"Green","Red")</f>
        <v>Green</v>
      </c>
      <c r="Z666" t="str">
        <f>IF($J666+$K666&gt;2.5,"Green","Red")</f>
        <v>Green</v>
      </c>
      <c r="AA666" t="str">
        <f>IF($J666+$K666&lt;2.5,"Green","Red")</f>
        <v>Red</v>
      </c>
      <c r="AB666" t="str">
        <f>IF($J666+$K666&lt;3.5,"Green","Red")</f>
        <v>Red</v>
      </c>
      <c r="AC666" t="str">
        <f>IF(AND($J666&gt;0,$K666&gt;0),"Green","Red")</f>
        <v>Green</v>
      </c>
      <c r="AD666" t="str">
        <f>IF(OR($J666=0,$K666=0),"Green","Red")</f>
        <v>Red</v>
      </c>
    </row>
    <row r="667" spans="1:30" x14ac:dyDescent="0.2">
      <c r="A667" t="str">
        <f>L667&amp;F667&amp;G667</f>
        <v>24/07/2026KeuPaFC Vaajakoski II</v>
      </c>
      <c r="D667" s="2">
        <v>46227</v>
      </c>
      <c r="E667" s="3">
        <v>0.64583333333333337</v>
      </c>
      <c r="F667" t="s">
        <v>2459</v>
      </c>
      <c r="G667" t="s">
        <v>2460</v>
      </c>
      <c r="H667">
        <v>0</v>
      </c>
      <c r="I667">
        <v>0</v>
      </c>
      <c r="J667">
        <v>5</v>
      </c>
      <c r="K667">
        <v>1</v>
      </c>
      <c r="L667" s="22" t="str">
        <f>DAY(D667)&amp;"/"&amp;"07"&amp;"/"&amp;YEAR(D667)</f>
        <v>24/07/2026</v>
      </c>
      <c r="M667" s="23">
        <f>E667-TIME(3,0,0)</f>
        <v>0.52083333333333337</v>
      </c>
      <c r="N667" t="str">
        <f>J667&amp;" - "&amp;K667</f>
        <v>5 - 1</v>
      </c>
      <c r="O667" t="str">
        <f>IF($J667&gt;$K667,"Green","Red")</f>
        <v>Green</v>
      </c>
      <c r="P667" t="str">
        <f>IF($J667=$K667,"Green","Red")</f>
        <v>Red</v>
      </c>
      <c r="Q667" t="str">
        <f>IF($J667&lt;$K667,"Green","Red")</f>
        <v>Red</v>
      </c>
      <c r="R667" t="str">
        <f>IF($J667&gt;=$K667,"Green","Red")</f>
        <v>Green</v>
      </c>
      <c r="S667" t="str">
        <f>IF($J667&lt;=$K667,"Green","Red")</f>
        <v>Red</v>
      </c>
      <c r="T667" t="str">
        <f>IF(OR($J667&gt;$K667,$J667&lt;$K667),"Green","Red")</f>
        <v>Green</v>
      </c>
      <c r="U667" t="str">
        <f>IF($H667&gt;$I667,"Green","Red")</f>
        <v>Red</v>
      </c>
      <c r="V667" t="str">
        <f>IF($H667=$I667,"Green","Red")</f>
        <v>Green</v>
      </c>
      <c r="W667" t="str">
        <f>IF($H667&lt;$I667,"Green","Red")</f>
        <v>Red</v>
      </c>
      <c r="X667" t="str">
        <f>IF($H667+$I667&gt;0,"Green","Red")</f>
        <v>Red</v>
      </c>
      <c r="Y667" t="str">
        <f>IF($J667+$K667&gt;1.5,"Green","Red")</f>
        <v>Green</v>
      </c>
      <c r="Z667" t="str">
        <f>IF($J667+$K667&gt;2.5,"Green","Red")</f>
        <v>Green</v>
      </c>
      <c r="AA667" t="str">
        <f>IF($J667+$K667&lt;2.5,"Green","Red")</f>
        <v>Red</v>
      </c>
      <c r="AB667" t="str">
        <f>IF($J667+$K667&lt;3.5,"Green","Red")</f>
        <v>Red</v>
      </c>
      <c r="AC667" t="str">
        <f>IF(AND($J667&gt;0,$K667&gt;0),"Green","Red")</f>
        <v>Green</v>
      </c>
      <c r="AD667" t="str">
        <f>IF(OR($J667=0,$K667=0),"Green","Red")</f>
        <v>Red</v>
      </c>
    </row>
    <row r="668" spans="1:30" x14ac:dyDescent="0.2">
      <c r="A668" t="str">
        <f>L668&amp;F668&amp;G668</f>
        <v>24/07/2026PK-37Kuopio PS III</v>
      </c>
      <c r="D668" s="2">
        <v>46227</v>
      </c>
      <c r="E668" s="3">
        <v>0.64583333333333337</v>
      </c>
      <c r="F668" t="s">
        <v>2461</v>
      </c>
      <c r="G668" t="s">
        <v>2462</v>
      </c>
      <c r="H668">
        <v>0</v>
      </c>
      <c r="I668">
        <v>0</v>
      </c>
      <c r="J668">
        <v>1</v>
      </c>
      <c r="K668">
        <v>0</v>
      </c>
      <c r="L668" s="22" t="str">
        <f>DAY(D668)&amp;"/"&amp;"07"&amp;"/"&amp;YEAR(D668)</f>
        <v>24/07/2026</v>
      </c>
      <c r="M668" s="23">
        <f>E668-TIME(3,0,0)</f>
        <v>0.52083333333333337</v>
      </c>
      <c r="N668" t="str">
        <f>J668&amp;" - "&amp;K668</f>
        <v>1 - 0</v>
      </c>
      <c r="O668" t="str">
        <f>IF($J668&gt;$K668,"Green","Red")</f>
        <v>Green</v>
      </c>
      <c r="P668" t="str">
        <f>IF($J668=$K668,"Green","Red")</f>
        <v>Red</v>
      </c>
      <c r="Q668" t="str">
        <f>IF($J668&lt;$K668,"Green","Red")</f>
        <v>Red</v>
      </c>
      <c r="R668" t="str">
        <f>IF($J668&gt;=$K668,"Green","Red")</f>
        <v>Green</v>
      </c>
      <c r="S668" t="str">
        <f>IF($J668&lt;=$K668,"Green","Red")</f>
        <v>Red</v>
      </c>
      <c r="T668" t="str">
        <f>IF(OR($J668&gt;$K668,$J668&lt;$K668),"Green","Red")</f>
        <v>Green</v>
      </c>
      <c r="U668" t="str">
        <f>IF($H668&gt;$I668,"Green","Red")</f>
        <v>Red</v>
      </c>
      <c r="V668" t="str">
        <f>IF($H668=$I668,"Green","Red")</f>
        <v>Green</v>
      </c>
      <c r="W668" t="str">
        <f>IF($H668&lt;$I668,"Green","Red")</f>
        <v>Red</v>
      </c>
      <c r="X668" t="str">
        <f>IF($H668+$I668&gt;0,"Green","Red")</f>
        <v>Red</v>
      </c>
      <c r="Y668" t="str">
        <f>IF($J668+$K668&gt;1.5,"Green","Red")</f>
        <v>Red</v>
      </c>
      <c r="Z668" t="str">
        <f>IF($J668+$K668&gt;2.5,"Green","Red")</f>
        <v>Red</v>
      </c>
      <c r="AA668" t="str">
        <f>IF($J668+$K668&lt;2.5,"Green","Red")</f>
        <v>Green</v>
      </c>
      <c r="AB668" t="str">
        <f>IF($J668+$K668&lt;3.5,"Green","Red")</f>
        <v>Green</v>
      </c>
      <c r="AC668" t="str">
        <f>IF(AND($J668&gt;0,$K668&gt;0),"Green","Red")</f>
        <v>Red</v>
      </c>
      <c r="AD668" t="str">
        <f>IF(OR($J668=0,$K668=0),"Green","Red")</f>
        <v>Green</v>
      </c>
    </row>
    <row r="669" spans="1:30" x14ac:dyDescent="0.2">
      <c r="A669" t="str">
        <f>L669&amp;F669&amp;G669</f>
        <v>24/07/2026FC Uta AradOtelul Galati</v>
      </c>
      <c r="D669" s="2">
        <v>46227</v>
      </c>
      <c r="E669" s="3">
        <v>0.64583333333333337</v>
      </c>
      <c r="F669" t="s">
        <v>2567</v>
      </c>
      <c r="G669" t="s">
        <v>2568</v>
      </c>
      <c r="H669">
        <v>0</v>
      </c>
      <c r="I669">
        <v>2</v>
      </c>
      <c r="J669">
        <v>2</v>
      </c>
      <c r="K669">
        <v>2</v>
      </c>
      <c r="L669" s="22" t="str">
        <f>DAY(D669)&amp;"/"&amp;"07"&amp;"/"&amp;YEAR(D669)</f>
        <v>24/07/2026</v>
      </c>
      <c r="M669" s="23">
        <f>E669-TIME(3,0,0)</f>
        <v>0.52083333333333337</v>
      </c>
      <c r="N669" t="str">
        <f>J669&amp;" - "&amp;K669</f>
        <v>2 - 2</v>
      </c>
      <c r="O669" t="str">
        <f>IF($J669&gt;$K669,"Green","Red")</f>
        <v>Red</v>
      </c>
      <c r="P669" t="str">
        <f>IF($J669=$K669,"Green","Red")</f>
        <v>Green</v>
      </c>
      <c r="Q669" t="str">
        <f>IF($J669&lt;$K669,"Green","Red")</f>
        <v>Red</v>
      </c>
      <c r="R669" t="str">
        <f>IF($J669&gt;=$K669,"Green","Red")</f>
        <v>Green</v>
      </c>
      <c r="S669" t="str">
        <f>IF($J669&lt;=$K669,"Green","Red")</f>
        <v>Green</v>
      </c>
      <c r="T669" t="str">
        <f>IF(OR($J669&gt;$K669,$J669&lt;$K669),"Green","Red")</f>
        <v>Red</v>
      </c>
      <c r="U669" t="str">
        <f>IF($H669&gt;$I669,"Green","Red")</f>
        <v>Red</v>
      </c>
      <c r="V669" t="str">
        <f>IF($H669=$I669,"Green","Red")</f>
        <v>Red</v>
      </c>
      <c r="W669" t="str">
        <f>IF($H669&lt;$I669,"Green","Red")</f>
        <v>Green</v>
      </c>
      <c r="X669" t="str">
        <f>IF($H669+$I669&gt;0,"Green","Red")</f>
        <v>Green</v>
      </c>
      <c r="Y669" t="str">
        <f>IF($J669+$K669&gt;1.5,"Green","Red")</f>
        <v>Green</v>
      </c>
      <c r="Z669" t="str">
        <f>IF($J669+$K669&gt;2.5,"Green","Red")</f>
        <v>Green</v>
      </c>
      <c r="AA669" t="str">
        <f>IF($J669+$K669&lt;2.5,"Green","Red")</f>
        <v>Red</v>
      </c>
      <c r="AB669" t="str">
        <f>IF($J669+$K669&lt;3.5,"Green","Red")</f>
        <v>Red</v>
      </c>
      <c r="AC669" t="str">
        <f>IF(AND($J669&gt;0,$K669&gt;0),"Green","Red")</f>
        <v>Green</v>
      </c>
      <c r="AD669" t="str">
        <f>IF(OR($J669=0,$K669=0),"Green","Red")</f>
        <v>Red</v>
      </c>
    </row>
    <row r="670" spans="1:30" x14ac:dyDescent="0.2">
      <c r="A670" t="str">
        <f>L670&amp;F670&amp;G670</f>
        <v>24/07/2026AubagneBastia</v>
      </c>
      <c r="D670" s="2">
        <v>46227</v>
      </c>
      <c r="E670" s="3">
        <v>0.64583333333333337</v>
      </c>
      <c r="F670" t="s">
        <v>2659</v>
      </c>
      <c r="G670" t="s">
        <v>2660</v>
      </c>
      <c r="H670">
        <v>0</v>
      </c>
      <c r="I670">
        <v>0</v>
      </c>
      <c r="J670">
        <v>1</v>
      </c>
      <c r="K670">
        <v>1</v>
      </c>
      <c r="L670" s="22" t="str">
        <f>DAY(D670)&amp;"/"&amp;"07"&amp;"/"&amp;YEAR(D670)</f>
        <v>24/07/2026</v>
      </c>
      <c r="M670" s="23">
        <f>E670-TIME(3,0,0)</f>
        <v>0.52083333333333337</v>
      </c>
      <c r="N670" t="str">
        <f>J670&amp;" - "&amp;K670</f>
        <v>1 - 1</v>
      </c>
      <c r="O670" t="str">
        <f>IF($J670&gt;$K670,"Green","Red")</f>
        <v>Red</v>
      </c>
      <c r="P670" t="str">
        <f>IF($J670=$K670,"Green","Red")</f>
        <v>Green</v>
      </c>
      <c r="Q670" t="str">
        <f>IF($J670&lt;$K670,"Green","Red")</f>
        <v>Red</v>
      </c>
      <c r="R670" t="str">
        <f>IF($J670&gt;=$K670,"Green","Red")</f>
        <v>Green</v>
      </c>
      <c r="S670" t="str">
        <f>IF($J670&lt;=$K670,"Green","Red")</f>
        <v>Green</v>
      </c>
      <c r="T670" t="str">
        <f>IF(OR($J670&gt;$K670,$J670&lt;$K670),"Green","Red")</f>
        <v>Red</v>
      </c>
      <c r="U670" t="str">
        <f>IF($H670&gt;$I670,"Green","Red")</f>
        <v>Red</v>
      </c>
      <c r="V670" t="str">
        <f>IF($H670=$I670,"Green","Red")</f>
        <v>Green</v>
      </c>
      <c r="W670" t="str">
        <f>IF($H670&lt;$I670,"Green","Red")</f>
        <v>Red</v>
      </c>
      <c r="X670" t="str">
        <f>IF($H670+$I670&gt;0,"Green","Red")</f>
        <v>Red</v>
      </c>
      <c r="Y670" t="str">
        <f>IF($J670+$K670&gt;1.5,"Green","Red")</f>
        <v>Green</v>
      </c>
      <c r="Z670" t="str">
        <f>IF($J670+$K670&gt;2.5,"Green","Red")</f>
        <v>Red</v>
      </c>
      <c r="AA670" t="str">
        <f>IF($J670+$K670&lt;2.5,"Green","Red")</f>
        <v>Green</v>
      </c>
      <c r="AB670" t="str">
        <f>IF($J670+$K670&lt;3.5,"Green","Red")</f>
        <v>Green</v>
      </c>
      <c r="AC670" t="str">
        <f>IF(AND($J670&gt;0,$K670&gt;0),"Green","Red")</f>
        <v>Green</v>
      </c>
      <c r="AD670" t="str">
        <f>IF(OR($J670=0,$K670=0),"Green","Red")</f>
        <v>Red</v>
      </c>
    </row>
    <row r="671" spans="1:30" x14ac:dyDescent="0.2">
      <c r="A671" t="str">
        <f>L671&amp;F671&amp;G671</f>
        <v>24/07/2026Banik SousPisek</v>
      </c>
      <c r="D671" s="2">
        <v>46227</v>
      </c>
      <c r="E671" s="3">
        <v>0.64583333333333337</v>
      </c>
      <c r="F671" t="s">
        <v>1440</v>
      </c>
      <c r="G671" t="s">
        <v>2661</v>
      </c>
      <c r="H671">
        <v>0</v>
      </c>
      <c r="I671">
        <v>0</v>
      </c>
      <c r="J671">
        <v>1</v>
      </c>
      <c r="K671">
        <v>1</v>
      </c>
      <c r="L671" s="22" t="str">
        <f>DAY(D671)&amp;"/"&amp;"07"&amp;"/"&amp;YEAR(D671)</f>
        <v>24/07/2026</v>
      </c>
      <c r="M671" s="23">
        <f>E671-TIME(3,0,0)</f>
        <v>0.52083333333333337</v>
      </c>
      <c r="N671" t="str">
        <f>J671&amp;" - "&amp;K671</f>
        <v>1 - 1</v>
      </c>
      <c r="O671" t="str">
        <f>IF($J671&gt;$K671,"Green","Red")</f>
        <v>Red</v>
      </c>
      <c r="P671" t="str">
        <f>IF($J671=$K671,"Green","Red")</f>
        <v>Green</v>
      </c>
      <c r="Q671" t="str">
        <f>IF($J671&lt;$K671,"Green","Red")</f>
        <v>Red</v>
      </c>
      <c r="R671" t="str">
        <f>IF($J671&gt;=$K671,"Green","Red")</f>
        <v>Green</v>
      </c>
      <c r="S671" t="str">
        <f>IF($J671&lt;=$K671,"Green","Red")</f>
        <v>Green</v>
      </c>
      <c r="T671" t="str">
        <f>IF(OR($J671&gt;$K671,$J671&lt;$K671),"Green","Red")</f>
        <v>Red</v>
      </c>
      <c r="U671" t="str">
        <f>IF($H671&gt;$I671,"Green","Red")</f>
        <v>Red</v>
      </c>
      <c r="V671" t="str">
        <f>IF($H671=$I671,"Green","Red")</f>
        <v>Green</v>
      </c>
      <c r="W671" t="str">
        <f>IF($H671&lt;$I671,"Green","Red")</f>
        <v>Red</v>
      </c>
      <c r="X671" t="str">
        <f>IF($H671+$I671&gt;0,"Green","Red")</f>
        <v>Red</v>
      </c>
      <c r="Y671" t="str">
        <f>IF($J671+$K671&gt;1.5,"Green","Red")</f>
        <v>Green</v>
      </c>
      <c r="Z671" t="str">
        <f>IF($J671+$K671&gt;2.5,"Green","Red")</f>
        <v>Red</v>
      </c>
      <c r="AA671" t="str">
        <f>IF($J671+$K671&lt;2.5,"Green","Red")</f>
        <v>Green</v>
      </c>
      <c r="AB671" t="str">
        <f>IF($J671+$K671&lt;3.5,"Green","Red")</f>
        <v>Green</v>
      </c>
      <c r="AC671" t="str">
        <f>IF(AND($J671&gt;0,$K671&gt;0),"Green","Red")</f>
        <v>Green</v>
      </c>
      <c r="AD671" t="str">
        <f>IF(OR($J671=0,$K671=0),"Green","Red")</f>
        <v>Red</v>
      </c>
    </row>
    <row r="672" spans="1:30" x14ac:dyDescent="0.2">
      <c r="A672" t="str">
        <f>L672&amp;F672&amp;G672</f>
        <v>24/07/2026BeroeHebar Pazardzhik</v>
      </c>
      <c r="D672" s="2">
        <v>46227</v>
      </c>
      <c r="E672" s="3">
        <v>0.65625</v>
      </c>
      <c r="F672" t="s">
        <v>2393</v>
      </c>
      <c r="G672" t="s">
        <v>2394</v>
      </c>
      <c r="H672">
        <v>1</v>
      </c>
      <c r="I672">
        <v>0</v>
      </c>
      <c r="J672">
        <v>2</v>
      </c>
      <c r="K672">
        <v>1</v>
      </c>
      <c r="L672" s="22" t="str">
        <f>DAY(D672)&amp;"/"&amp;"07"&amp;"/"&amp;YEAR(D672)</f>
        <v>24/07/2026</v>
      </c>
      <c r="M672" s="23">
        <f>E672-TIME(3,0,0)</f>
        <v>0.53125</v>
      </c>
      <c r="N672" t="str">
        <f>J672&amp;" - "&amp;K672</f>
        <v>2 - 1</v>
      </c>
      <c r="O672" t="str">
        <f>IF($J672&gt;$K672,"Green","Red")</f>
        <v>Green</v>
      </c>
      <c r="P672" t="str">
        <f>IF($J672=$K672,"Green","Red")</f>
        <v>Red</v>
      </c>
      <c r="Q672" t="str">
        <f>IF($J672&lt;$K672,"Green","Red")</f>
        <v>Red</v>
      </c>
      <c r="R672" t="str">
        <f>IF($J672&gt;=$K672,"Green","Red")</f>
        <v>Green</v>
      </c>
      <c r="S672" t="str">
        <f>IF($J672&lt;=$K672,"Green","Red")</f>
        <v>Red</v>
      </c>
      <c r="T672" t="str">
        <f>IF(OR($J672&gt;$K672,$J672&lt;$K672),"Green","Red")</f>
        <v>Green</v>
      </c>
      <c r="U672" t="str">
        <f>IF($H672&gt;$I672,"Green","Red")</f>
        <v>Green</v>
      </c>
      <c r="V672" t="str">
        <f>IF($H672=$I672,"Green","Red")</f>
        <v>Red</v>
      </c>
      <c r="W672" t="str">
        <f>IF($H672&lt;$I672,"Green","Red")</f>
        <v>Red</v>
      </c>
      <c r="X672" t="str">
        <f>IF($H672+$I672&gt;0,"Green","Red")</f>
        <v>Green</v>
      </c>
      <c r="Y672" t="str">
        <f>IF($J672+$K672&gt;1.5,"Green","Red")</f>
        <v>Green</v>
      </c>
      <c r="Z672" t="str">
        <f>IF($J672+$K672&gt;2.5,"Green","Red")</f>
        <v>Green</v>
      </c>
      <c r="AA672" t="str">
        <f>IF($J672+$K672&lt;2.5,"Green","Red")</f>
        <v>Red</v>
      </c>
      <c r="AB672" t="str">
        <f>IF($J672+$K672&lt;3.5,"Green","Red")</f>
        <v>Green</v>
      </c>
      <c r="AC672" t="str">
        <f>IF(AND($J672&gt;0,$K672&gt;0),"Green","Red")</f>
        <v>Green</v>
      </c>
      <c r="AD672" t="str">
        <f>IF(OR($J672=0,$K672=0),"Green","Red")</f>
        <v>Red</v>
      </c>
    </row>
    <row r="673" spans="1:30" x14ac:dyDescent="0.2">
      <c r="A673" t="str">
        <f>L673&amp;F673&amp;G673</f>
        <v>24/07/2026Dukla PragueArsenal Ceska Lipa</v>
      </c>
      <c r="D673" s="2">
        <v>46227</v>
      </c>
      <c r="E673" s="3">
        <v>0.66666666666666663</v>
      </c>
      <c r="F673" t="s">
        <v>2406</v>
      </c>
      <c r="G673" t="s">
        <v>2407</v>
      </c>
      <c r="H673">
        <v>0</v>
      </c>
      <c r="I673">
        <v>0</v>
      </c>
      <c r="J673">
        <v>2</v>
      </c>
      <c r="K673">
        <v>0</v>
      </c>
      <c r="L673" s="22" t="str">
        <f>DAY(D673)&amp;"/"&amp;"07"&amp;"/"&amp;YEAR(D673)</f>
        <v>24/07/2026</v>
      </c>
      <c r="M673" s="23">
        <f>E673-TIME(3,0,0)</f>
        <v>0.54166666666666663</v>
      </c>
      <c r="N673" t="str">
        <f>J673&amp;" - "&amp;K673</f>
        <v>2 - 0</v>
      </c>
      <c r="O673" t="str">
        <f>IF($J673&gt;$K673,"Green","Red")</f>
        <v>Green</v>
      </c>
      <c r="P673" t="str">
        <f>IF($J673=$K673,"Green","Red")</f>
        <v>Red</v>
      </c>
      <c r="Q673" t="str">
        <f>IF($J673&lt;$K673,"Green","Red")</f>
        <v>Red</v>
      </c>
      <c r="R673" t="str">
        <f>IF($J673&gt;=$K673,"Green","Red")</f>
        <v>Green</v>
      </c>
      <c r="S673" t="str">
        <f>IF($J673&lt;=$K673,"Green","Red")</f>
        <v>Red</v>
      </c>
      <c r="T673" t="str">
        <f>IF(OR($J673&gt;$K673,$J673&lt;$K673),"Green","Red")</f>
        <v>Green</v>
      </c>
      <c r="U673" t="str">
        <f>IF($H673&gt;$I673,"Green","Red")</f>
        <v>Red</v>
      </c>
      <c r="V673" t="str">
        <f>IF($H673=$I673,"Green","Red")</f>
        <v>Green</v>
      </c>
      <c r="W673" t="str">
        <f>IF($H673&lt;$I673,"Green","Red")</f>
        <v>Red</v>
      </c>
      <c r="X673" t="str">
        <f>IF($H673+$I673&gt;0,"Green","Red")</f>
        <v>Red</v>
      </c>
      <c r="Y673" t="str">
        <f>IF($J673+$K673&gt;1.5,"Green","Red")</f>
        <v>Green</v>
      </c>
      <c r="Z673" t="str">
        <f>IF($J673+$K673&gt;2.5,"Green","Red")</f>
        <v>Red</v>
      </c>
      <c r="AA673" t="str">
        <f>IF($J673+$K673&lt;2.5,"Green","Red")</f>
        <v>Green</v>
      </c>
      <c r="AB673" t="str">
        <f>IF($J673+$K673&lt;3.5,"Green","Red")</f>
        <v>Green</v>
      </c>
      <c r="AC673" t="str">
        <f>IF(AND($J673&gt;0,$K673&gt;0),"Green","Red")</f>
        <v>Red</v>
      </c>
      <c r="AD673" t="str">
        <f>IF(OR($J673=0,$K673=0),"Green","Red")</f>
        <v>Green</v>
      </c>
    </row>
    <row r="674" spans="1:30" x14ac:dyDescent="0.2">
      <c r="A674" t="str">
        <f>L674&amp;F674&amp;G674</f>
        <v>24/07/2026FK ProstejovFotbal Trinec</v>
      </c>
      <c r="D674" s="2">
        <v>46227</v>
      </c>
      <c r="E674" s="3">
        <v>0.66666666666666663</v>
      </c>
      <c r="F674" t="s">
        <v>2408</v>
      </c>
      <c r="G674" t="s">
        <v>2409</v>
      </c>
      <c r="H674">
        <v>0</v>
      </c>
      <c r="I674">
        <v>0</v>
      </c>
      <c r="J674">
        <v>1</v>
      </c>
      <c r="K674">
        <v>1</v>
      </c>
      <c r="L674" s="22" t="str">
        <f>DAY(D674)&amp;"/"&amp;"07"&amp;"/"&amp;YEAR(D674)</f>
        <v>24/07/2026</v>
      </c>
      <c r="M674" s="23">
        <f>E674-TIME(3,0,0)</f>
        <v>0.54166666666666663</v>
      </c>
      <c r="N674" t="str">
        <f>J674&amp;" - "&amp;K674</f>
        <v>1 - 1</v>
      </c>
      <c r="O674" t="str">
        <f>IF($J674&gt;$K674,"Green","Red")</f>
        <v>Red</v>
      </c>
      <c r="P674" t="str">
        <f>IF($J674=$K674,"Green","Red")</f>
        <v>Green</v>
      </c>
      <c r="Q674" t="str">
        <f>IF($J674&lt;$K674,"Green","Red")</f>
        <v>Red</v>
      </c>
      <c r="R674" t="str">
        <f>IF($J674&gt;=$K674,"Green","Red")</f>
        <v>Green</v>
      </c>
      <c r="S674" t="str">
        <f>IF($J674&lt;=$K674,"Green","Red")</f>
        <v>Green</v>
      </c>
      <c r="T674" t="str">
        <f>IF(OR($J674&gt;$K674,$J674&lt;$K674),"Green","Red")</f>
        <v>Red</v>
      </c>
      <c r="U674" t="str">
        <f>IF($H674&gt;$I674,"Green","Red")</f>
        <v>Red</v>
      </c>
      <c r="V674" t="str">
        <f>IF($H674=$I674,"Green","Red")</f>
        <v>Green</v>
      </c>
      <c r="W674" t="str">
        <f>IF($H674&lt;$I674,"Green","Red")</f>
        <v>Red</v>
      </c>
      <c r="X674" t="str">
        <f>IF($H674+$I674&gt;0,"Green","Red")</f>
        <v>Red</v>
      </c>
      <c r="Y674" t="str">
        <f>IF($J674+$K674&gt;1.5,"Green","Red")</f>
        <v>Green</v>
      </c>
      <c r="Z674" t="str">
        <f>IF($J674+$K674&gt;2.5,"Green","Red")</f>
        <v>Red</v>
      </c>
      <c r="AA674" t="str">
        <f>IF($J674+$K674&lt;2.5,"Green","Red")</f>
        <v>Green</v>
      </c>
      <c r="AB674" t="str">
        <f>IF($J674+$K674&lt;3.5,"Green","Red")</f>
        <v>Green</v>
      </c>
      <c r="AC674" t="str">
        <f>IF(AND($J674&gt;0,$K674&gt;0),"Green","Red")</f>
        <v>Green</v>
      </c>
      <c r="AD674" t="str">
        <f>IF(OR($J674=0,$K674=0),"Green","Red")</f>
        <v>Red</v>
      </c>
    </row>
    <row r="675" spans="1:30" x14ac:dyDescent="0.2">
      <c r="A675" t="str">
        <f>L675&amp;F675&amp;G675</f>
        <v>24/07/2026FK Usti nad LabemSK Kladno</v>
      </c>
      <c r="D675" s="2">
        <v>46227</v>
      </c>
      <c r="E675" s="3">
        <v>0.66666666666666663</v>
      </c>
      <c r="F675" t="s">
        <v>2410</v>
      </c>
      <c r="G675" t="s">
        <v>2411</v>
      </c>
      <c r="H675">
        <v>1</v>
      </c>
      <c r="I675">
        <v>1</v>
      </c>
      <c r="J675">
        <v>2</v>
      </c>
      <c r="K675">
        <v>1</v>
      </c>
      <c r="L675" s="22" t="str">
        <f>DAY(D675)&amp;"/"&amp;"07"&amp;"/"&amp;YEAR(D675)</f>
        <v>24/07/2026</v>
      </c>
      <c r="M675" s="23">
        <f>E675-TIME(3,0,0)</f>
        <v>0.54166666666666663</v>
      </c>
      <c r="N675" t="str">
        <f>J675&amp;" - "&amp;K675</f>
        <v>2 - 1</v>
      </c>
      <c r="O675" t="str">
        <f>IF($J675&gt;$K675,"Green","Red")</f>
        <v>Green</v>
      </c>
      <c r="P675" t="str">
        <f>IF($J675=$K675,"Green","Red")</f>
        <v>Red</v>
      </c>
      <c r="Q675" t="str">
        <f>IF($J675&lt;$K675,"Green","Red")</f>
        <v>Red</v>
      </c>
      <c r="R675" t="str">
        <f>IF($J675&gt;=$K675,"Green","Red")</f>
        <v>Green</v>
      </c>
      <c r="S675" t="str">
        <f>IF($J675&lt;=$K675,"Green","Red")</f>
        <v>Red</v>
      </c>
      <c r="T675" t="str">
        <f>IF(OR($J675&gt;$K675,$J675&lt;$K675),"Green","Red")</f>
        <v>Green</v>
      </c>
      <c r="U675" t="str">
        <f>IF($H675&gt;$I675,"Green","Red")</f>
        <v>Red</v>
      </c>
      <c r="V675" t="str">
        <f>IF($H675=$I675,"Green","Red")</f>
        <v>Green</v>
      </c>
      <c r="W675" t="str">
        <f>IF($H675&lt;$I675,"Green","Red")</f>
        <v>Red</v>
      </c>
      <c r="X675" t="str">
        <f>IF($H675+$I675&gt;0,"Green","Red")</f>
        <v>Green</v>
      </c>
      <c r="Y675" t="str">
        <f>IF($J675+$K675&gt;1.5,"Green","Red")</f>
        <v>Green</v>
      </c>
      <c r="Z675" t="str">
        <f>IF($J675+$K675&gt;2.5,"Green","Red")</f>
        <v>Green</v>
      </c>
      <c r="AA675" t="str">
        <f>IF($J675+$K675&lt;2.5,"Green","Red")</f>
        <v>Red</v>
      </c>
      <c r="AB675" t="str">
        <f>IF($J675+$K675&lt;3.5,"Green","Red")</f>
        <v>Green</v>
      </c>
      <c r="AC675" t="str">
        <f>IF(AND($J675&gt;0,$K675&gt;0),"Green","Red")</f>
        <v>Green</v>
      </c>
      <c r="AD675" t="str">
        <f>IF(OR($J675=0,$K675=0),"Green","Red")</f>
        <v>Red</v>
      </c>
    </row>
    <row r="676" spans="1:30" x14ac:dyDescent="0.2">
      <c r="A676" t="str">
        <f>L676&amp;F676&amp;G676</f>
        <v>24/07/2026SK Hanacka SlaviaTaborsko</v>
      </c>
      <c r="D676" s="2">
        <v>46227</v>
      </c>
      <c r="E676" s="3">
        <v>0.66666666666666663</v>
      </c>
      <c r="F676" t="s">
        <v>2412</v>
      </c>
      <c r="G676" t="s">
        <v>2413</v>
      </c>
      <c r="H676">
        <v>0</v>
      </c>
      <c r="I676">
        <v>0</v>
      </c>
      <c r="J676">
        <v>0</v>
      </c>
      <c r="K676">
        <v>0</v>
      </c>
      <c r="L676" s="22" t="str">
        <f>DAY(D676)&amp;"/"&amp;"07"&amp;"/"&amp;YEAR(D676)</f>
        <v>24/07/2026</v>
      </c>
      <c r="M676" s="23">
        <f>E676-TIME(3,0,0)</f>
        <v>0.54166666666666663</v>
      </c>
      <c r="N676" t="str">
        <f>J676&amp;" - "&amp;K676</f>
        <v>0 - 0</v>
      </c>
      <c r="O676" t="str">
        <f>IF($J676&gt;$K676,"Green","Red")</f>
        <v>Red</v>
      </c>
      <c r="P676" t="str">
        <f>IF($J676=$K676,"Green","Red")</f>
        <v>Green</v>
      </c>
      <c r="Q676" t="str">
        <f>IF($J676&lt;$K676,"Green","Red")</f>
        <v>Red</v>
      </c>
      <c r="R676" t="str">
        <f>IF($J676&gt;=$K676,"Green","Red")</f>
        <v>Green</v>
      </c>
      <c r="S676" t="str">
        <f>IF($J676&lt;=$K676,"Green","Red")</f>
        <v>Green</v>
      </c>
      <c r="T676" t="str">
        <f>IF(OR($J676&gt;$K676,$J676&lt;$K676),"Green","Red")</f>
        <v>Red</v>
      </c>
      <c r="U676" t="str">
        <f>IF($H676&gt;$I676,"Green","Red")</f>
        <v>Red</v>
      </c>
      <c r="V676" t="str">
        <f>IF($H676=$I676,"Green","Red")</f>
        <v>Green</v>
      </c>
      <c r="W676" t="str">
        <f>IF($H676&lt;$I676,"Green","Red")</f>
        <v>Red</v>
      </c>
      <c r="X676" t="str">
        <f>IF($H676+$I676&gt;0,"Green","Red")</f>
        <v>Red</v>
      </c>
      <c r="Y676" t="str">
        <f>IF($J676+$K676&gt;1.5,"Green","Red")</f>
        <v>Red</v>
      </c>
      <c r="Z676" t="str">
        <f>IF($J676+$K676&gt;2.5,"Green","Red")</f>
        <v>Red</v>
      </c>
      <c r="AA676" t="str">
        <f>IF($J676+$K676&lt;2.5,"Green","Red")</f>
        <v>Green</v>
      </c>
      <c r="AB676" t="str">
        <f>IF($J676+$K676&lt;3.5,"Green","Red")</f>
        <v>Green</v>
      </c>
      <c r="AC676" t="str">
        <f>IF(AND($J676&gt;0,$K676&gt;0),"Green","Red")</f>
        <v>Red</v>
      </c>
      <c r="AD676" t="str">
        <f>IF(OR($J676=0,$K676=0),"Green","Red")</f>
        <v>Green</v>
      </c>
    </row>
    <row r="677" spans="1:30" x14ac:dyDescent="0.2">
      <c r="A677" t="str">
        <f>L677&amp;F677&amp;G677</f>
        <v>24/07/2026Vysocina JihlavaViktoria Zizkov</v>
      </c>
      <c r="D677" s="2">
        <v>46227</v>
      </c>
      <c r="E677" s="3">
        <v>0.66666666666666663</v>
      </c>
      <c r="F677" t="s">
        <v>2414</v>
      </c>
      <c r="G677" t="s">
        <v>2415</v>
      </c>
      <c r="H677">
        <v>0</v>
      </c>
      <c r="I677">
        <v>0</v>
      </c>
      <c r="J677">
        <v>1</v>
      </c>
      <c r="K677">
        <v>0</v>
      </c>
      <c r="L677" s="22" t="str">
        <f>DAY(D677)&amp;"/"&amp;"07"&amp;"/"&amp;YEAR(D677)</f>
        <v>24/07/2026</v>
      </c>
      <c r="M677" s="23">
        <f>E677-TIME(3,0,0)</f>
        <v>0.54166666666666663</v>
      </c>
      <c r="N677" t="str">
        <f>J677&amp;" - "&amp;K677</f>
        <v>1 - 0</v>
      </c>
      <c r="O677" t="str">
        <f>IF($J677&gt;$K677,"Green","Red")</f>
        <v>Green</v>
      </c>
      <c r="P677" t="str">
        <f>IF($J677=$K677,"Green","Red")</f>
        <v>Red</v>
      </c>
      <c r="Q677" t="str">
        <f>IF($J677&lt;$K677,"Green","Red")</f>
        <v>Red</v>
      </c>
      <c r="R677" t="str">
        <f>IF($J677&gt;=$K677,"Green","Red")</f>
        <v>Green</v>
      </c>
      <c r="S677" t="str">
        <f>IF($J677&lt;=$K677,"Green","Red")</f>
        <v>Red</v>
      </c>
      <c r="T677" t="str">
        <f>IF(OR($J677&gt;$K677,$J677&lt;$K677),"Green","Red")</f>
        <v>Green</v>
      </c>
      <c r="U677" t="str">
        <f>IF($H677&gt;$I677,"Green","Red")</f>
        <v>Red</v>
      </c>
      <c r="V677" t="str">
        <f>IF($H677=$I677,"Green","Red")</f>
        <v>Green</v>
      </c>
      <c r="W677" t="str">
        <f>IF($H677&lt;$I677,"Green","Red")</f>
        <v>Red</v>
      </c>
      <c r="X677" t="str">
        <f>IF($H677+$I677&gt;0,"Green","Red")</f>
        <v>Red</v>
      </c>
      <c r="Y677" t="str">
        <f>IF($J677+$K677&gt;1.5,"Green","Red")</f>
        <v>Red</v>
      </c>
      <c r="Z677" t="str">
        <f>IF($J677+$K677&gt;2.5,"Green","Red")</f>
        <v>Red</v>
      </c>
      <c r="AA677" t="str">
        <f>IF($J677+$K677&lt;2.5,"Green","Red")</f>
        <v>Green</v>
      </c>
      <c r="AB677" t="str">
        <f>IF($J677+$K677&lt;3.5,"Green","Red")</f>
        <v>Green</v>
      </c>
      <c r="AC677" t="str">
        <f>IF(AND($J677&gt;0,$K677&gt;0),"Green","Red")</f>
        <v>Red</v>
      </c>
      <c r="AD677" t="str">
        <f>IF(OR($J677=0,$K677=0),"Green","Red")</f>
        <v>Green</v>
      </c>
    </row>
    <row r="678" spans="1:30" x14ac:dyDescent="0.2">
      <c r="A678" t="str">
        <f>L678&amp;F678&amp;G678</f>
        <v>24/07/2026FC StraniFC Vsetin</v>
      </c>
      <c r="D678" s="2">
        <v>46227</v>
      </c>
      <c r="E678" s="3">
        <v>0.66666666666666663</v>
      </c>
      <c r="F678" t="s">
        <v>2416</v>
      </c>
      <c r="G678" t="s">
        <v>2417</v>
      </c>
      <c r="H678">
        <v>0</v>
      </c>
      <c r="I678">
        <v>0</v>
      </c>
      <c r="J678">
        <v>1</v>
      </c>
      <c r="K678">
        <v>2</v>
      </c>
      <c r="L678" s="22" t="str">
        <f>DAY(D678)&amp;"/"&amp;"07"&amp;"/"&amp;YEAR(D678)</f>
        <v>24/07/2026</v>
      </c>
      <c r="M678" s="23">
        <f>E678-TIME(3,0,0)</f>
        <v>0.54166666666666663</v>
      </c>
      <c r="N678" t="str">
        <f>J678&amp;" - "&amp;K678</f>
        <v>1 - 2</v>
      </c>
      <c r="O678" t="str">
        <f>IF($J678&gt;$K678,"Green","Red")</f>
        <v>Red</v>
      </c>
      <c r="P678" t="str">
        <f>IF($J678=$K678,"Green","Red")</f>
        <v>Red</v>
      </c>
      <c r="Q678" t="str">
        <f>IF($J678&lt;$K678,"Green","Red")</f>
        <v>Green</v>
      </c>
      <c r="R678" t="str">
        <f>IF($J678&gt;=$K678,"Green","Red")</f>
        <v>Red</v>
      </c>
      <c r="S678" t="str">
        <f>IF($J678&lt;=$K678,"Green","Red")</f>
        <v>Green</v>
      </c>
      <c r="T678" t="str">
        <f>IF(OR($J678&gt;$K678,$J678&lt;$K678),"Green","Red")</f>
        <v>Green</v>
      </c>
      <c r="U678" t="str">
        <f>IF($H678&gt;$I678,"Green","Red")</f>
        <v>Red</v>
      </c>
      <c r="V678" t="str">
        <f>IF($H678=$I678,"Green","Red")</f>
        <v>Green</v>
      </c>
      <c r="W678" t="str">
        <f>IF($H678&lt;$I678,"Green","Red")</f>
        <v>Red</v>
      </c>
      <c r="X678" t="str">
        <f>IF($H678+$I678&gt;0,"Green","Red")</f>
        <v>Red</v>
      </c>
      <c r="Y678" t="str">
        <f>IF($J678+$K678&gt;1.5,"Green","Red")</f>
        <v>Green</v>
      </c>
      <c r="Z678" t="str">
        <f>IF($J678+$K678&gt;2.5,"Green","Red")</f>
        <v>Green</v>
      </c>
      <c r="AA678" t="str">
        <f>IF($J678+$K678&lt;2.5,"Green","Red")</f>
        <v>Red</v>
      </c>
      <c r="AB678" t="str">
        <f>IF($J678+$K678&lt;3.5,"Green","Red")</f>
        <v>Green</v>
      </c>
      <c r="AC678" t="str">
        <f>IF(AND($J678&gt;0,$K678&gt;0),"Green","Red")</f>
        <v>Green</v>
      </c>
      <c r="AD678" t="str">
        <f>IF(OR($J678=0,$K678=0),"Green","Red")</f>
        <v>Red</v>
      </c>
    </row>
    <row r="679" spans="1:30" x14ac:dyDescent="0.2">
      <c r="A679" t="str">
        <f>L679&amp;F679&amp;G679</f>
        <v>24/07/2026TJ Tatran VsechoviceTJ Unie Hlubina</v>
      </c>
      <c r="D679" s="2">
        <v>46227</v>
      </c>
      <c r="E679" s="3">
        <v>0.66666666666666663</v>
      </c>
      <c r="F679" t="s">
        <v>2418</v>
      </c>
      <c r="G679" t="s">
        <v>2419</v>
      </c>
      <c r="H679">
        <v>0</v>
      </c>
      <c r="I679">
        <v>0</v>
      </c>
      <c r="J679">
        <v>1</v>
      </c>
      <c r="K679">
        <v>1</v>
      </c>
      <c r="L679" s="22" t="str">
        <f>DAY(D679)&amp;"/"&amp;"07"&amp;"/"&amp;YEAR(D679)</f>
        <v>24/07/2026</v>
      </c>
      <c r="M679" s="23">
        <f>E679-TIME(3,0,0)</f>
        <v>0.54166666666666663</v>
      </c>
      <c r="N679" t="str">
        <f>J679&amp;" - "&amp;K679</f>
        <v>1 - 1</v>
      </c>
      <c r="O679" t="str">
        <f>IF($J679&gt;$K679,"Green","Red")</f>
        <v>Red</v>
      </c>
      <c r="P679" t="str">
        <f>IF($J679=$K679,"Green","Red")</f>
        <v>Green</v>
      </c>
      <c r="Q679" t="str">
        <f>IF($J679&lt;$K679,"Green","Red")</f>
        <v>Red</v>
      </c>
      <c r="R679" t="str">
        <f>IF($J679&gt;=$K679,"Green","Red")</f>
        <v>Green</v>
      </c>
      <c r="S679" t="str">
        <f>IF($J679&lt;=$K679,"Green","Red")</f>
        <v>Green</v>
      </c>
      <c r="T679" t="str">
        <f>IF(OR($J679&gt;$K679,$J679&lt;$K679),"Green","Red")</f>
        <v>Red</v>
      </c>
      <c r="U679" t="str">
        <f>IF($H679&gt;$I679,"Green","Red")</f>
        <v>Red</v>
      </c>
      <c r="V679" t="str">
        <f>IF($H679=$I679,"Green","Red")</f>
        <v>Green</v>
      </c>
      <c r="W679" t="str">
        <f>IF($H679&lt;$I679,"Green","Red")</f>
        <v>Red</v>
      </c>
      <c r="X679" t="str">
        <f>IF($H679+$I679&gt;0,"Green","Red")</f>
        <v>Red</v>
      </c>
      <c r="Y679" t="str">
        <f>IF($J679+$K679&gt;1.5,"Green","Red")</f>
        <v>Green</v>
      </c>
      <c r="Z679" t="str">
        <f>IF($J679+$K679&gt;2.5,"Green","Red")</f>
        <v>Red</v>
      </c>
      <c r="AA679" t="str">
        <f>IF($J679+$K679&lt;2.5,"Green","Red")</f>
        <v>Green</v>
      </c>
      <c r="AB679" t="str">
        <f>IF($J679+$K679&lt;3.5,"Green","Red")</f>
        <v>Green</v>
      </c>
      <c r="AC679" t="str">
        <f>IF(AND($J679&gt;0,$K679&gt;0),"Green","Red")</f>
        <v>Green</v>
      </c>
      <c r="AD679" t="str">
        <f>IF(OR($J679=0,$K679=0),"Green","Red")</f>
        <v>Red</v>
      </c>
    </row>
    <row r="680" spans="1:30" x14ac:dyDescent="0.2">
      <c r="A680" t="str">
        <f>L680&amp;F680&amp;G680</f>
        <v>24/07/2026Vejle BKAB Gladsaxe</v>
      </c>
      <c r="D680" s="2">
        <v>46227</v>
      </c>
      <c r="E680" s="3">
        <v>0.66666666666666663</v>
      </c>
      <c r="F680" t="s">
        <v>2422</v>
      </c>
      <c r="G680" t="s">
        <v>2423</v>
      </c>
      <c r="H680">
        <v>1</v>
      </c>
      <c r="I680">
        <v>1</v>
      </c>
      <c r="J680">
        <v>2</v>
      </c>
      <c r="K680">
        <v>2</v>
      </c>
      <c r="L680" s="22" t="str">
        <f>DAY(D680)&amp;"/"&amp;"07"&amp;"/"&amp;YEAR(D680)</f>
        <v>24/07/2026</v>
      </c>
      <c r="M680" s="23">
        <f>E680-TIME(3,0,0)</f>
        <v>0.54166666666666663</v>
      </c>
      <c r="N680" t="str">
        <f>J680&amp;" - "&amp;K680</f>
        <v>2 - 2</v>
      </c>
      <c r="O680" t="str">
        <f>IF($J680&gt;$K680,"Green","Red")</f>
        <v>Red</v>
      </c>
      <c r="P680" t="str">
        <f>IF($J680=$K680,"Green","Red")</f>
        <v>Green</v>
      </c>
      <c r="Q680" t="str">
        <f>IF($J680&lt;$K680,"Green","Red")</f>
        <v>Red</v>
      </c>
      <c r="R680" t="str">
        <f>IF($J680&gt;=$K680,"Green","Red")</f>
        <v>Green</v>
      </c>
      <c r="S680" t="str">
        <f>IF($J680&lt;=$K680,"Green","Red")</f>
        <v>Green</v>
      </c>
      <c r="T680" t="str">
        <f>IF(OR($J680&gt;$K680,$J680&lt;$K680),"Green","Red")</f>
        <v>Red</v>
      </c>
      <c r="U680" t="str">
        <f>IF($H680&gt;$I680,"Green","Red")</f>
        <v>Red</v>
      </c>
      <c r="V680" t="str">
        <f>IF($H680=$I680,"Green","Red")</f>
        <v>Green</v>
      </c>
      <c r="W680" t="str">
        <f>IF($H680&lt;$I680,"Green","Red")</f>
        <v>Red</v>
      </c>
      <c r="X680" t="str">
        <f>IF($H680+$I680&gt;0,"Green","Red")</f>
        <v>Green</v>
      </c>
      <c r="Y680" t="str">
        <f>IF($J680+$K680&gt;1.5,"Green","Red")</f>
        <v>Green</v>
      </c>
      <c r="Z680" t="str">
        <f>IF($J680+$K680&gt;2.5,"Green","Red")</f>
        <v>Green</v>
      </c>
      <c r="AA680" t="str">
        <f>IF($J680+$K680&lt;2.5,"Green","Red")</f>
        <v>Red</v>
      </c>
      <c r="AB680" t="str">
        <f>IF($J680+$K680&lt;3.5,"Green","Red")</f>
        <v>Red</v>
      </c>
      <c r="AC680" t="str">
        <f>IF(AND($J680&gt;0,$K680&gt;0),"Green","Red")</f>
        <v>Green</v>
      </c>
      <c r="AD680" t="str">
        <f>IF(OR($J680=0,$K680=0),"Green","Red")</f>
        <v>Red</v>
      </c>
    </row>
    <row r="681" spans="1:30" x14ac:dyDescent="0.2">
      <c r="A681" t="str">
        <f>L681&amp;F681&amp;G681</f>
        <v>24/07/2026FF JaroSeinajoen JK</v>
      </c>
      <c r="D681" s="2">
        <v>46227</v>
      </c>
      <c r="E681" s="3">
        <v>0.66666666666666663</v>
      </c>
      <c r="F681" t="s">
        <v>141</v>
      </c>
      <c r="G681" t="s">
        <v>2430</v>
      </c>
      <c r="H681">
        <v>1</v>
      </c>
      <c r="I681">
        <v>0</v>
      </c>
      <c r="J681">
        <v>2</v>
      </c>
      <c r="K681">
        <v>1</v>
      </c>
      <c r="L681" s="22" t="str">
        <f>DAY(D681)&amp;"/"&amp;"07"&amp;"/"&amp;YEAR(D681)</f>
        <v>24/07/2026</v>
      </c>
      <c r="M681" s="23">
        <f>E681-TIME(3,0,0)</f>
        <v>0.54166666666666663</v>
      </c>
      <c r="N681" t="str">
        <f>J681&amp;" - "&amp;K681</f>
        <v>2 - 1</v>
      </c>
      <c r="O681" t="str">
        <f>IF($J681&gt;$K681,"Green","Red")</f>
        <v>Green</v>
      </c>
      <c r="P681" t="str">
        <f>IF($J681=$K681,"Green","Red")</f>
        <v>Red</v>
      </c>
      <c r="Q681" t="str">
        <f>IF($J681&lt;$K681,"Green","Red")</f>
        <v>Red</v>
      </c>
      <c r="R681" t="str">
        <f>IF($J681&gt;=$K681,"Green","Red")</f>
        <v>Green</v>
      </c>
      <c r="S681" t="str">
        <f>IF($J681&lt;=$K681,"Green","Red")</f>
        <v>Red</v>
      </c>
      <c r="T681" t="str">
        <f>IF(OR($J681&gt;$K681,$J681&lt;$K681),"Green","Red")</f>
        <v>Green</v>
      </c>
      <c r="U681" t="str">
        <f>IF($H681&gt;$I681,"Green","Red")</f>
        <v>Green</v>
      </c>
      <c r="V681" t="str">
        <f>IF($H681=$I681,"Green","Red")</f>
        <v>Red</v>
      </c>
      <c r="W681" t="str">
        <f>IF($H681&lt;$I681,"Green","Red")</f>
        <v>Red</v>
      </c>
      <c r="X681" t="str">
        <f>IF($H681+$I681&gt;0,"Green","Red")</f>
        <v>Green</v>
      </c>
      <c r="Y681" t="str">
        <f>IF($J681+$K681&gt;1.5,"Green","Red")</f>
        <v>Green</v>
      </c>
      <c r="Z681" t="str">
        <f>IF($J681+$K681&gt;2.5,"Green","Red")</f>
        <v>Green</v>
      </c>
      <c r="AA681" t="str">
        <f>IF($J681+$K681&lt;2.5,"Green","Red")</f>
        <v>Red</v>
      </c>
      <c r="AB681" t="str">
        <f>IF($J681+$K681&lt;3.5,"Green","Red")</f>
        <v>Green</v>
      </c>
      <c r="AC681" t="str">
        <f>IF(AND($J681&gt;0,$K681&gt;0),"Green","Red")</f>
        <v>Green</v>
      </c>
      <c r="AD681" t="str">
        <f>IF(OR($J681=0,$K681=0),"Green","Red")</f>
        <v>Red</v>
      </c>
    </row>
    <row r="682" spans="1:30" x14ac:dyDescent="0.2">
      <c r="A682" t="str">
        <f>L682&amp;F682&amp;G682</f>
        <v>24/07/2026Jazz PoriTPV</v>
      </c>
      <c r="D682" s="2">
        <v>46227</v>
      </c>
      <c r="E682" s="3">
        <v>0.66666666666666663</v>
      </c>
      <c r="F682" t="s">
        <v>2431</v>
      </c>
      <c r="G682" t="s">
        <v>2432</v>
      </c>
      <c r="H682">
        <v>1</v>
      </c>
      <c r="I682">
        <v>0</v>
      </c>
      <c r="J682">
        <v>4</v>
      </c>
      <c r="K682">
        <v>0</v>
      </c>
      <c r="L682" s="22" t="str">
        <f>DAY(D682)&amp;"/"&amp;"07"&amp;"/"&amp;YEAR(D682)</f>
        <v>24/07/2026</v>
      </c>
      <c r="M682" s="23">
        <f>E682-TIME(3,0,0)</f>
        <v>0.54166666666666663</v>
      </c>
      <c r="N682" t="str">
        <f>J682&amp;" - "&amp;K682</f>
        <v>4 - 0</v>
      </c>
      <c r="O682" t="str">
        <f>IF($J682&gt;$K682,"Green","Red")</f>
        <v>Green</v>
      </c>
      <c r="P682" t="str">
        <f>IF($J682=$K682,"Green","Red")</f>
        <v>Red</v>
      </c>
      <c r="Q682" t="str">
        <f>IF($J682&lt;$K682,"Green","Red")</f>
        <v>Red</v>
      </c>
      <c r="R682" t="str">
        <f>IF($J682&gt;=$K682,"Green","Red")</f>
        <v>Green</v>
      </c>
      <c r="S682" t="str">
        <f>IF($J682&lt;=$K682,"Green","Red")</f>
        <v>Red</v>
      </c>
      <c r="T682" t="str">
        <f>IF(OR($J682&gt;$K682,$J682&lt;$K682),"Green","Red")</f>
        <v>Green</v>
      </c>
      <c r="U682" t="str">
        <f>IF($H682&gt;$I682,"Green","Red")</f>
        <v>Green</v>
      </c>
      <c r="V682" t="str">
        <f>IF($H682=$I682,"Green","Red")</f>
        <v>Red</v>
      </c>
      <c r="W682" t="str">
        <f>IF($H682&lt;$I682,"Green","Red")</f>
        <v>Red</v>
      </c>
      <c r="X682" t="str">
        <f>IF($H682+$I682&gt;0,"Green","Red")</f>
        <v>Green</v>
      </c>
      <c r="Y682" t="str">
        <f>IF($J682+$K682&gt;1.5,"Green","Red")</f>
        <v>Green</v>
      </c>
      <c r="Z682" t="str">
        <f>IF($J682+$K682&gt;2.5,"Green","Red")</f>
        <v>Green</v>
      </c>
      <c r="AA682" t="str">
        <f>IF($J682+$K682&lt;2.5,"Green","Red")</f>
        <v>Red</v>
      </c>
      <c r="AB682" t="str">
        <f>IF($J682+$K682&lt;3.5,"Green","Red")</f>
        <v>Red</v>
      </c>
      <c r="AC682" t="str">
        <f>IF(AND($J682&gt;0,$K682&gt;0),"Green","Red")</f>
        <v>Red</v>
      </c>
      <c r="AD682" t="str">
        <f>IF(OR($J682=0,$K682=0),"Green","Red")</f>
        <v>Green</v>
      </c>
    </row>
    <row r="683" spans="1:30" x14ac:dyDescent="0.2">
      <c r="A683" t="str">
        <f>L683&amp;F683&amp;G683</f>
        <v>24/07/2026Tampere UnitedInter Turku II</v>
      </c>
      <c r="D683" s="2">
        <v>46227</v>
      </c>
      <c r="E683" s="3">
        <v>0.66666666666666663</v>
      </c>
      <c r="F683" t="s">
        <v>2433</v>
      </c>
      <c r="G683" t="s">
        <v>2434</v>
      </c>
      <c r="H683">
        <v>2</v>
      </c>
      <c r="I683">
        <v>0</v>
      </c>
      <c r="J683">
        <v>2</v>
      </c>
      <c r="K683">
        <v>2</v>
      </c>
      <c r="L683" s="22" t="str">
        <f>DAY(D683)&amp;"/"&amp;"07"&amp;"/"&amp;YEAR(D683)</f>
        <v>24/07/2026</v>
      </c>
      <c r="M683" s="23">
        <f>E683-TIME(3,0,0)</f>
        <v>0.54166666666666663</v>
      </c>
      <c r="N683" t="str">
        <f>J683&amp;" - "&amp;K683</f>
        <v>2 - 2</v>
      </c>
      <c r="O683" t="str">
        <f>IF($J683&gt;$K683,"Green","Red")</f>
        <v>Red</v>
      </c>
      <c r="P683" t="str">
        <f>IF($J683=$K683,"Green","Red")</f>
        <v>Green</v>
      </c>
      <c r="Q683" t="str">
        <f>IF($J683&lt;$K683,"Green","Red")</f>
        <v>Red</v>
      </c>
      <c r="R683" t="str">
        <f>IF($J683&gt;=$K683,"Green","Red")</f>
        <v>Green</v>
      </c>
      <c r="S683" t="str">
        <f>IF($J683&lt;=$K683,"Green","Red")</f>
        <v>Green</v>
      </c>
      <c r="T683" t="str">
        <f>IF(OR($J683&gt;$K683,$J683&lt;$K683),"Green","Red")</f>
        <v>Red</v>
      </c>
      <c r="U683" t="str">
        <f>IF($H683&gt;$I683,"Green","Red")</f>
        <v>Green</v>
      </c>
      <c r="V683" t="str">
        <f>IF($H683=$I683,"Green","Red")</f>
        <v>Red</v>
      </c>
      <c r="W683" t="str">
        <f>IF($H683&lt;$I683,"Green","Red")</f>
        <v>Red</v>
      </c>
      <c r="X683" t="str">
        <f>IF($H683+$I683&gt;0,"Green","Red")</f>
        <v>Green</v>
      </c>
      <c r="Y683" t="str">
        <f>IF($J683+$K683&gt;1.5,"Green","Red")</f>
        <v>Green</v>
      </c>
      <c r="Z683" t="str">
        <f>IF($J683+$K683&gt;2.5,"Green","Red")</f>
        <v>Green</v>
      </c>
      <c r="AA683" t="str">
        <f>IF($J683+$K683&lt;2.5,"Green","Red")</f>
        <v>Red</v>
      </c>
      <c r="AB683" t="str">
        <f>IF($J683+$K683&lt;3.5,"Green","Red")</f>
        <v>Red</v>
      </c>
      <c r="AC683" t="str">
        <f>IF(AND($J683&gt;0,$K683&gt;0),"Green","Red")</f>
        <v>Green</v>
      </c>
      <c r="AD683" t="str">
        <f>IF(OR($J683=0,$K683=0),"Green","Red")</f>
        <v>Red</v>
      </c>
    </row>
    <row r="684" spans="1:30" x14ac:dyDescent="0.2">
      <c r="A684" t="str">
        <f>L684&amp;F684&amp;G684</f>
        <v>24/07/2026Nurmijarven JalkapalloseuraAbo IFK</v>
      </c>
      <c r="D684" s="2">
        <v>46227</v>
      </c>
      <c r="E684" s="3">
        <v>0.66666666666666663</v>
      </c>
      <c r="F684" t="s">
        <v>2437</v>
      </c>
      <c r="G684" t="s">
        <v>2438</v>
      </c>
      <c r="H684">
        <v>1</v>
      </c>
      <c r="I684">
        <v>0</v>
      </c>
      <c r="J684">
        <v>1</v>
      </c>
      <c r="K684">
        <v>2</v>
      </c>
      <c r="L684" s="22" t="str">
        <f>DAY(D684)&amp;"/"&amp;"07"&amp;"/"&amp;YEAR(D684)</f>
        <v>24/07/2026</v>
      </c>
      <c r="M684" s="23">
        <f>E684-TIME(3,0,0)</f>
        <v>0.54166666666666663</v>
      </c>
      <c r="N684" t="str">
        <f>J684&amp;" - "&amp;K684</f>
        <v>1 - 2</v>
      </c>
      <c r="O684" t="str">
        <f>IF($J684&gt;$K684,"Green","Red")</f>
        <v>Red</v>
      </c>
      <c r="P684" t="str">
        <f>IF($J684=$K684,"Green","Red")</f>
        <v>Red</v>
      </c>
      <c r="Q684" t="str">
        <f>IF($J684&lt;$K684,"Green","Red")</f>
        <v>Green</v>
      </c>
      <c r="R684" t="str">
        <f>IF($J684&gt;=$K684,"Green","Red")</f>
        <v>Red</v>
      </c>
      <c r="S684" t="str">
        <f>IF($J684&lt;=$K684,"Green","Red")</f>
        <v>Green</v>
      </c>
      <c r="T684" t="str">
        <f>IF(OR($J684&gt;$K684,$J684&lt;$K684),"Green","Red")</f>
        <v>Green</v>
      </c>
      <c r="U684" t="str">
        <f>IF($H684&gt;$I684,"Green","Red")</f>
        <v>Green</v>
      </c>
      <c r="V684" t="str">
        <f>IF($H684=$I684,"Green","Red")</f>
        <v>Red</v>
      </c>
      <c r="W684" t="str">
        <f>IF($H684&lt;$I684,"Green","Red")</f>
        <v>Red</v>
      </c>
      <c r="X684" t="str">
        <f>IF($H684+$I684&gt;0,"Green","Red")</f>
        <v>Green</v>
      </c>
      <c r="Y684" t="str">
        <f>IF($J684+$K684&gt;1.5,"Green","Red")</f>
        <v>Green</v>
      </c>
      <c r="Z684" t="str">
        <f>IF($J684+$K684&gt;2.5,"Green","Red")</f>
        <v>Green</v>
      </c>
      <c r="AA684" t="str">
        <f>IF($J684+$K684&lt;2.5,"Green","Red")</f>
        <v>Red</v>
      </c>
      <c r="AB684" t="str">
        <f>IF($J684+$K684&lt;3.5,"Green","Red")</f>
        <v>Green</v>
      </c>
      <c r="AC684" t="str">
        <f>IF(AND($J684&gt;0,$K684&gt;0),"Green","Red")</f>
        <v>Green</v>
      </c>
      <c r="AD684" t="str">
        <f>IF(OR($J684=0,$K684=0),"Green","Red")</f>
        <v>Red</v>
      </c>
    </row>
    <row r="685" spans="1:30" x14ac:dyDescent="0.2">
      <c r="A685" t="str">
        <f>L685&amp;F685&amp;G685</f>
        <v>24/07/2026Pallo-IirotIlves II</v>
      </c>
      <c r="D685" s="2">
        <v>46227</v>
      </c>
      <c r="E685" s="3">
        <v>0.66666666666666663</v>
      </c>
      <c r="F685" t="s">
        <v>2439</v>
      </c>
      <c r="G685" t="s">
        <v>2440</v>
      </c>
      <c r="H685">
        <v>2</v>
      </c>
      <c r="I685">
        <v>0</v>
      </c>
      <c r="J685">
        <v>2</v>
      </c>
      <c r="K685">
        <v>1</v>
      </c>
      <c r="L685" s="22" t="str">
        <f>DAY(D685)&amp;"/"&amp;"07"&amp;"/"&amp;YEAR(D685)</f>
        <v>24/07/2026</v>
      </c>
      <c r="M685" s="23">
        <f>E685-TIME(3,0,0)</f>
        <v>0.54166666666666663</v>
      </c>
      <c r="N685" t="str">
        <f>J685&amp;" - "&amp;K685</f>
        <v>2 - 1</v>
      </c>
      <c r="O685" t="str">
        <f>IF($J685&gt;$K685,"Green","Red")</f>
        <v>Green</v>
      </c>
      <c r="P685" t="str">
        <f>IF($J685=$K685,"Green","Red")</f>
        <v>Red</v>
      </c>
      <c r="Q685" t="str">
        <f>IF($J685&lt;$K685,"Green","Red")</f>
        <v>Red</v>
      </c>
      <c r="R685" t="str">
        <f>IF($J685&gt;=$K685,"Green","Red")</f>
        <v>Green</v>
      </c>
      <c r="S685" t="str">
        <f>IF($J685&lt;=$K685,"Green","Red")</f>
        <v>Red</v>
      </c>
      <c r="T685" t="str">
        <f>IF(OR($J685&gt;$K685,$J685&lt;$K685),"Green","Red")</f>
        <v>Green</v>
      </c>
      <c r="U685" t="str">
        <f>IF($H685&gt;$I685,"Green","Red")</f>
        <v>Green</v>
      </c>
      <c r="V685" t="str">
        <f>IF($H685=$I685,"Green","Red")</f>
        <v>Red</v>
      </c>
      <c r="W685" t="str">
        <f>IF($H685&lt;$I685,"Green","Red")</f>
        <v>Red</v>
      </c>
      <c r="X685" t="str">
        <f>IF($H685+$I685&gt;0,"Green","Red")</f>
        <v>Green</v>
      </c>
      <c r="Y685" t="str">
        <f>IF($J685+$K685&gt;1.5,"Green","Red")</f>
        <v>Green</v>
      </c>
      <c r="Z685" t="str">
        <f>IF($J685+$K685&gt;2.5,"Green","Red")</f>
        <v>Green</v>
      </c>
      <c r="AA685" t="str">
        <f>IF($J685+$K685&lt;2.5,"Green","Red")</f>
        <v>Red</v>
      </c>
      <c r="AB685" t="str">
        <f>IF($J685+$K685&lt;3.5,"Green","Red")</f>
        <v>Green</v>
      </c>
      <c r="AC685" t="str">
        <f>IF(AND($J685&gt;0,$K685&gt;0),"Green","Red")</f>
        <v>Green</v>
      </c>
      <c r="AD685" t="str">
        <f>IF(OR($J685=0,$K685=0),"Green","Red")</f>
        <v>Red</v>
      </c>
    </row>
    <row r="686" spans="1:30" x14ac:dyDescent="0.2">
      <c r="A686" t="str">
        <f>L686&amp;F686&amp;G686</f>
        <v>24/07/2026PEPO LappeenrantaPuistolan Urheilijat</v>
      </c>
      <c r="D686" s="2">
        <v>46227</v>
      </c>
      <c r="E686" s="3">
        <v>0.66666666666666663</v>
      </c>
      <c r="F686" t="s">
        <v>2441</v>
      </c>
      <c r="G686" t="s">
        <v>2442</v>
      </c>
      <c r="H686">
        <v>1</v>
      </c>
      <c r="I686">
        <v>2</v>
      </c>
      <c r="J686">
        <v>3</v>
      </c>
      <c r="K686">
        <v>2</v>
      </c>
      <c r="L686" s="22" t="str">
        <f>DAY(D686)&amp;"/"&amp;"07"&amp;"/"&amp;YEAR(D686)</f>
        <v>24/07/2026</v>
      </c>
      <c r="M686" s="23">
        <f>E686-TIME(3,0,0)</f>
        <v>0.54166666666666663</v>
      </c>
      <c r="N686" t="str">
        <f>J686&amp;" - "&amp;K686</f>
        <v>3 - 2</v>
      </c>
      <c r="O686" t="str">
        <f>IF($J686&gt;$K686,"Green","Red")</f>
        <v>Green</v>
      </c>
      <c r="P686" t="str">
        <f>IF($J686=$K686,"Green","Red")</f>
        <v>Red</v>
      </c>
      <c r="Q686" t="str">
        <f>IF($J686&lt;$K686,"Green","Red")</f>
        <v>Red</v>
      </c>
      <c r="R686" t="str">
        <f>IF($J686&gt;=$K686,"Green","Red")</f>
        <v>Green</v>
      </c>
      <c r="S686" t="str">
        <f>IF($J686&lt;=$K686,"Green","Red")</f>
        <v>Red</v>
      </c>
      <c r="T686" t="str">
        <f>IF(OR($J686&gt;$K686,$J686&lt;$K686),"Green","Red")</f>
        <v>Green</v>
      </c>
      <c r="U686" t="str">
        <f>IF($H686&gt;$I686,"Green","Red")</f>
        <v>Red</v>
      </c>
      <c r="V686" t="str">
        <f>IF($H686=$I686,"Green","Red")</f>
        <v>Red</v>
      </c>
      <c r="W686" t="str">
        <f>IF($H686&lt;$I686,"Green","Red")</f>
        <v>Green</v>
      </c>
      <c r="X686" t="str">
        <f>IF($H686+$I686&gt;0,"Green","Red")</f>
        <v>Green</v>
      </c>
      <c r="Y686" t="str">
        <f>IF($J686+$K686&gt;1.5,"Green","Red")</f>
        <v>Green</v>
      </c>
      <c r="Z686" t="str">
        <f>IF($J686+$K686&gt;2.5,"Green","Red")</f>
        <v>Green</v>
      </c>
      <c r="AA686" t="str">
        <f>IF($J686+$K686&lt;2.5,"Green","Red")</f>
        <v>Red</v>
      </c>
      <c r="AB686" t="str">
        <f>IF($J686+$K686&lt;3.5,"Green","Red")</f>
        <v>Red</v>
      </c>
      <c r="AC686" t="str">
        <f>IF(AND($J686&gt;0,$K686&gt;0),"Green","Red")</f>
        <v>Green</v>
      </c>
      <c r="AD686" t="str">
        <f>IF(OR($J686=0,$K686=0),"Green","Red")</f>
        <v>Red</v>
      </c>
    </row>
    <row r="687" spans="1:30" x14ac:dyDescent="0.2">
      <c r="A687" t="str">
        <f>L687&amp;F687&amp;G687</f>
        <v>24/07/2026PPJUnion Plaani</v>
      </c>
      <c r="D687" s="2">
        <v>46227</v>
      </c>
      <c r="E687" s="3">
        <v>0.66666666666666663</v>
      </c>
      <c r="F687" t="s">
        <v>2443</v>
      </c>
      <c r="G687" t="s">
        <v>2444</v>
      </c>
      <c r="H687">
        <v>0</v>
      </c>
      <c r="I687">
        <v>0</v>
      </c>
      <c r="J687">
        <v>0</v>
      </c>
      <c r="K687">
        <v>1</v>
      </c>
      <c r="L687" s="22" t="str">
        <f>DAY(D687)&amp;"/"&amp;"07"&amp;"/"&amp;YEAR(D687)</f>
        <v>24/07/2026</v>
      </c>
      <c r="M687" s="23">
        <f>E687-TIME(3,0,0)</f>
        <v>0.54166666666666663</v>
      </c>
      <c r="N687" t="str">
        <f>J687&amp;" - "&amp;K687</f>
        <v>0 - 1</v>
      </c>
      <c r="O687" t="str">
        <f>IF($J687&gt;$K687,"Green","Red")</f>
        <v>Red</v>
      </c>
      <c r="P687" t="str">
        <f>IF($J687=$K687,"Green","Red")</f>
        <v>Red</v>
      </c>
      <c r="Q687" t="str">
        <f>IF($J687&lt;$K687,"Green","Red")</f>
        <v>Green</v>
      </c>
      <c r="R687" t="str">
        <f>IF($J687&gt;=$K687,"Green","Red")</f>
        <v>Red</v>
      </c>
      <c r="S687" t="str">
        <f>IF($J687&lt;=$K687,"Green","Red")</f>
        <v>Green</v>
      </c>
      <c r="T687" t="str">
        <f>IF(OR($J687&gt;$K687,$J687&lt;$K687),"Green","Red")</f>
        <v>Green</v>
      </c>
      <c r="U687" t="str">
        <f>IF($H687&gt;$I687,"Green","Red")</f>
        <v>Red</v>
      </c>
      <c r="V687" t="str">
        <f>IF($H687=$I687,"Green","Red")</f>
        <v>Green</v>
      </c>
      <c r="W687" t="str">
        <f>IF($H687&lt;$I687,"Green","Red")</f>
        <v>Red</v>
      </c>
      <c r="X687" t="str">
        <f>IF($H687+$I687&gt;0,"Green","Red")</f>
        <v>Red</v>
      </c>
      <c r="Y687" t="str">
        <f>IF($J687+$K687&gt;1.5,"Green","Red")</f>
        <v>Red</v>
      </c>
      <c r="Z687" t="str">
        <f>IF($J687+$K687&gt;2.5,"Green","Red")</f>
        <v>Red</v>
      </c>
      <c r="AA687" t="str">
        <f>IF($J687+$K687&lt;2.5,"Green","Red")</f>
        <v>Green</v>
      </c>
      <c r="AB687" t="str">
        <f>IF($J687+$K687&lt;3.5,"Green","Red")</f>
        <v>Green</v>
      </c>
      <c r="AC687" t="str">
        <f>IF(AND($J687&gt;0,$K687&gt;0),"Green","Red")</f>
        <v>Red</v>
      </c>
      <c r="AD687" t="str">
        <f>IF(OR($J687=0,$K687=0),"Green","Red")</f>
        <v>Green</v>
      </c>
    </row>
    <row r="688" spans="1:30" x14ac:dyDescent="0.2">
      <c r="A688" t="str">
        <f>L688&amp;F688&amp;G688</f>
        <v>24/07/2026MPS Atletico/MalmiPPS/Old Stars</v>
      </c>
      <c r="D688" s="2">
        <v>46227</v>
      </c>
      <c r="E688" s="3">
        <v>0.66666666666666663</v>
      </c>
      <c r="F688" t="s">
        <v>2449</v>
      </c>
      <c r="G688" t="s">
        <v>2450</v>
      </c>
      <c r="H688">
        <v>0</v>
      </c>
      <c r="I688">
        <v>0</v>
      </c>
      <c r="J688">
        <v>2</v>
      </c>
      <c r="K688">
        <v>1</v>
      </c>
      <c r="L688" s="22" t="str">
        <f>DAY(D688)&amp;"/"&amp;"07"&amp;"/"&amp;YEAR(D688)</f>
        <v>24/07/2026</v>
      </c>
      <c r="M688" s="23">
        <f>E688-TIME(3,0,0)</f>
        <v>0.54166666666666663</v>
      </c>
      <c r="N688" t="str">
        <f>J688&amp;" - "&amp;K688</f>
        <v>2 - 1</v>
      </c>
      <c r="O688" t="str">
        <f>IF($J688&gt;$K688,"Green","Red")</f>
        <v>Green</v>
      </c>
      <c r="P688" t="str">
        <f>IF($J688=$K688,"Green","Red")</f>
        <v>Red</v>
      </c>
      <c r="Q688" t="str">
        <f>IF($J688&lt;$K688,"Green","Red")</f>
        <v>Red</v>
      </c>
      <c r="R688" t="str">
        <f>IF($J688&gt;=$K688,"Green","Red")</f>
        <v>Green</v>
      </c>
      <c r="S688" t="str">
        <f>IF($J688&lt;=$K688,"Green","Red")</f>
        <v>Red</v>
      </c>
      <c r="T688" t="str">
        <f>IF(OR($J688&gt;$K688,$J688&lt;$K688),"Green","Red")</f>
        <v>Green</v>
      </c>
      <c r="U688" t="str">
        <f>IF($H688&gt;$I688,"Green","Red")</f>
        <v>Red</v>
      </c>
      <c r="V688" t="str">
        <f>IF($H688=$I688,"Green","Red")</f>
        <v>Green</v>
      </c>
      <c r="W688" t="str">
        <f>IF($H688&lt;$I688,"Green","Red")</f>
        <v>Red</v>
      </c>
      <c r="X688" t="str">
        <f>IF($H688+$I688&gt;0,"Green","Red")</f>
        <v>Red</v>
      </c>
      <c r="Y688" t="str">
        <f>IF($J688+$K688&gt;1.5,"Green","Red")</f>
        <v>Green</v>
      </c>
      <c r="Z688" t="str">
        <f>IF($J688+$K688&gt;2.5,"Green","Red")</f>
        <v>Green</v>
      </c>
      <c r="AA688" t="str">
        <f>IF($J688+$K688&lt;2.5,"Green","Red")</f>
        <v>Red</v>
      </c>
      <c r="AB688" t="str">
        <f>IF($J688+$K688&lt;3.5,"Green","Red")</f>
        <v>Green</v>
      </c>
      <c r="AC688" t="str">
        <f>IF(AND($J688&gt;0,$K688&gt;0),"Green","Red")</f>
        <v>Green</v>
      </c>
      <c r="AD688" t="str">
        <f>IF(OR($J688=0,$K688=0),"Green","Red")</f>
        <v>Red</v>
      </c>
    </row>
    <row r="689" spans="1:30" x14ac:dyDescent="0.2">
      <c r="A689" t="str">
        <f>L689&amp;F689&amp;G689</f>
        <v>24/07/2026Nokian PalloseuraHaka Juniorit</v>
      </c>
      <c r="D689" s="2">
        <v>46227</v>
      </c>
      <c r="E689" s="3">
        <v>0.66666666666666663</v>
      </c>
      <c r="F689" t="s">
        <v>2451</v>
      </c>
      <c r="G689" t="s">
        <v>2452</v>
      </c>
      <c r="H689">
        <v>0</v>
      </c>
      <c r="I689">
        <v>0</v>
      </c>
      <c r="J689">
        <v>7</v>
      </c>
      <c r="K689">
        <v>0</v>
      </c>
      <c r="L689" s="22" t="str">
        <f>DAY(D689)&amp;"/"&amp;"07"&amp;"/"&amp;YEAR(D689)</f>
        <v>24/07/2026</v>
      </c>
      <c r="M689" s="23">
        <f>E689-TIME(3,0,0)</f>
        <v>0.54166666666666663</v>
      </c>
      <c r="N689" t="str">
        <f>J689&amp;" - "&amp;K689</f>
        <v>7 - 0</v>
      </c>
      <c r="O689" t="str">
        <f>IF($J689&gt;$K689,"Green","Red")</f>
        <v>Green</v>
      </c>
      <c r="P689" t="str">
        <f>IF($J689=$K689,"Green","Red")</f>
        <v>Red</v>
      </c>
      <c r="Q689" t="str">
        <f>IF($J689&lt;$K689,"Green","Red")</f>
        <v>Red</v>
      </c>
      <c r="R689" t="str">
        <f>IF($J689&gt;=$K689,"Green","Red")</f>
        <v>Green</v>
      </c>
      <c r="S689" t="str">
        <f>IF($J689&lt;=$K689,"Green","Red")</f>
        <v>Red</v>
      </c>
      <c r="T689" t="str">
        <f>IF(OR($J689&gt;$K689,$J689&lt;$K689),"Green","Red")</f>
        <v>Green</v>
      </c>
      <c r="U689" t="str">
        <f>IF($H689&gt;$I689,"Green","Red")</f>
        <v>Red</v>
      </c>
      <c r="V689" t="str">
        <f>IF($H689=$I689,"Green","Red")</f>
        <v>Green</v>
      </c>
      <c r="W689" t="str">
        <f>IF($H689&lt;$I689,"Green","Red")</f>
        <v>Red</v>
      </c>
      <c r="X689" t="str">
        <f>IF($H689+$I689&gt;0,"Green","Red")</f>
        <v>Red</v>
      </c>
      <c r="Y689" t="str">
        <f>IF($J689+$K689&gt;1.5,"Green","Red")</f>
        <v>Green</v>
      </c>
      <c r="Z689" t="str">
        <f>IF($J689+$K689&gt;2.5,"Green","Red")</f>
        <v>Green</v>
      </c>
      <c r="AA689" t="str">
        <f>IF($J689+$K689&lt;2.5,"Green","Red")</f>
        <v>Red</v>
      </c>
      <c r="AB689" t="str">
        <f>IF($J689+$K689&lt;3.5,"Green","Red")</f>
        <v>Red</v>
      </c>
      <c r="AC689" t="str">
        <f>IF(AND($J689&gt;0,$K689&gt;0),"Green","Red")</f>
        <v>Red</v>
      </c>
      <c r="AD689" t="str">
        <f>IF(OR($J689=0,$K689=0),"Green","Red")</f>
        <v>Green</v>
      </c>
    </row>
    <row r="690" spans="1:30" x14ac:dyDescent="0.2">
      <c r="A690" t="str">
        <f>L690&amp;F690&amp;G690</f>
        <v>24/07/2026ToTe/TapioTuusulan Palloseura</v>
      </c>
      <c r="D690" s="2">
        <v>46227</v>
      </c>
      <c r="E690" s="3">
        <v>0.66666666666666663</v>
      </c>
      <c r="F690" t="s">
        <v>2453</v>
      </c>
      <c r="G690" t="s">
        <v>2454</v>
      </c>
      <c r="H690">
        <v>0</v>
      </c>
      <c r="I690">
        <v>0</v>
      </c>
      <c r="J690">
        <v>3</v>
      </c>
      <c r="K690">
        <v>1</v>
      </c>
      <c r="L690" s="22" t="str">
        <f>DAY(D690)&amp;"/"&amp;"07"&amp;"/"&amp;YEAR(D690)</f>
        <v>24/07/2026</v>
      </c>
      <c r="M690" s="23">
        <f>E690-TIME(3,0,0)</f>
        <v>0.54166666666666663</v>
      </c>
      <c r="N690" t="str">
        <f>J690&amp;" - "&amp;K690</f>
        <v>3 - 1</v>
      </c>
      <c r="O690" t="str">
        <f>IF($J690&gt;$K690,"Green","Red")</f>
        <v>Green</v>
      </c>
      <c r="P690" t="str">
        <f>IF($J690=$K690,"Green","Red")</f>
        <v>Red</v>
      </c>
      <c r="Q690" t="str">
        <f>IF($J690&lt;$K690,"Green","Red")</f>
        <v>Red</v>
      </c>
      <c r="R690" t="str">
        <f>IF($J690&gt;=$K690,"Green","Red")</f>
        <v>Green</v>
      </c>
      <c r="S690" t="str">
        <f>IF($J690&lt;=$K690,"Green","Red")</f>
        <v>Red</v>
      </c>
      <c r="T690" t="str">
        <f>IF(OR($J690&gt;$K690,$J690&lt;$K690),"Green","Red")</f>
        <v>Green</v>
      </c>
      <c r="U690" t="str">
        <f>IF($H690&gt;$I690,"Green","Red")</f>
        <v>Red</v>
      </c>
      <c r="V690" t="str">
        <f>IF($H690=$I690,"Green","Red")</f>
        <v>Green</v>
      </c>
      <c r="W690" t="str">
        <f>IF($H690&lt;$I690,"Green","Red")</f>
        <v>Red</v>
      </c>
      <c r="X690" t="str">
        <f>IF($H690+$I690&gt;0,"Green","Red")</f>
        <v>Red</v>
      </c>
      <c r="Y690" t="str">
        <f>IF($J690+$K690&gt;1.5,"Green","Red")</f>
        <v>Green</v>
      </c>
      <c r="Z690" t="str">
        <f>IF($J690+$K690&gt;2.5,"Green","Red")</f>
        <v>Green</v>
      </c>
      <c r="AA690" t="str">
        <f>IF($J690+$K690&lt;2.5,"Green","Red")</f>
        <v>Red</v>
      </c>
      <c r="AB690" t="str">
        <f>IF($J690+$K690&lt;3.5,"Green","Red")</f>
        <v>Red</v>
      </c>
      <c r="AC690" t="str">
        <f>IF(AND($J690&gt;0,$K690&gt;0),"Green","Red")</f>
        <v>Green</v>
      </c>
      <c r="AD690" t="str">
        <f>IF(OR($J690=0,$K690=0),"Green","Red")</f>
        <v>Red</v>
      </c>
    </row>
    <row r="691" spans="1:30" x14ac:dyDescent="0.2">
      <c r="A691" t="str">
        <f>L691&amp;F691&amp;G691</f>
        <v>24/07/2026FC MetsoJPS</v>
      </c>
      <c r="D691" s="2">
        <v>46227</v>
      </c>
      <c r="E691" s="3">
        <v>0.66666666666666663</v>
      </c>
      <c r="F691" t="s">
        <v>2463</v>
      </c>
      <c r="G691" t="s">
        <v>2464</v>
      </c>
      <c r="L691" s="22" t="str">
        <f>DAY(D691)&amp;"/"&amp;"07"&amp;"/"&amp;YEAR(D691)</f>
        <v>24/07/2026</v>
      </c>
      <c r="M691" s="23">
        <f>E691-TIME(3,0,0)</f>
        <v>0.54166666666666663</v>
      </c>
      <c r="N691" t="str">
        <f>J691&amp;" - "&amp;K691</f>
        <v xml:space="preserve"> - </v>
      </c>
      <c r="O691" t="str">
        <f>IF($J691&gt;$K691,"Green","Red")</f>
        <v>Red</v>
      </c>
      <c r="P691" t="str">
        <f>IF($J691=$K691,"Green","Red")</f>
        <v>Green</v>
      </c>
      <c r="Q691" t="str">
        <f>IF($J691&lt;$K691,"Green","Red")</f>
        <v>Red</v>
      </c>
      <c r="R691" t="str">
        <f>IF($J691&gt;=$K691,"Green","Red")</f>
        <v>Green</v>
      </c>
      <c r="S691" t="str">
        <f>IF($J691&lt;=$K691,"Green","Red")</f>
        <v>Green</v>
      </c>
      <c r="T691" t="str">
        <f>IF(OR($J691&gt;$K691,$J691&lt;$K691),"Green","Red")</f>
        <v>Red</v>
      </c>
      <c r="U691" t="str">
        <f>IF($H691&gt;$I691,"Green","Red")</f>
        <v>Red</v>
      </c>
      <c r="V691" t="str">
        <f>IF($H691=$I691,"Green","Red")</f>
        <v>Green</v>
      </c>
      <c r="W691" t="str">
        <f>IF($H691&lt;$I691,"Green","Red")</f>
        <v>Red</v>
      </c>
      <c r="X691" t="str">
        <f>IF($H691+$I691&gt;0,"Green","Red")</f>
        <v>Red</v>
      </c>
      <c r="Y691" t="str">
        <f>IF($J691+$K691&gt;1.5,"Green","Red")</f>
        <v>Red</v>
      </c>
      <c r="Z691" t="str">
        <f>IF($J691+$K691&gt;2.5,"Green","Red")</f>
        <v>Red</v>
      </c>
      <c r="AA691" t="str">
        <f>IF($J691+$K691&lt;2.5,"Green","Red")</f>
        <v>Green</v>
      </c>
      <c r="AB691" t="str">
        <f>IF($J691+$K691&lt;3.5,"Green","Red")</f>
        <v>Green</v>
      </c>
      <c r="AC691" t="str">
        <f>IF(AND($J691&gt;0,$K691&gt;0),"Green","Red")</f>
        <v>Red</v>
      </c>
      <c r="AD691" t="str">
        <f>IF(OR($J691=0,$K691=0),"Green","Red")</f>
        <v>Green</v>
      </c>
    </row>
    <row r="692" spans="1:30" x14ac:dyDescent="0.2">
      <c r="A692" t="str">
        <f>L692&amp;F692&amp;G692</f>
        <v>24/07/2026JJK Jyvaskyla IISavannan Pallo</v>
      </c>
      <c r="D692" s="2">
        <v>46227</v>
      </c>
      <c r="E692" s="3">
        <v>0.66666666666666663</v>
      </c>
      <c r="F692" t="s">
        <v>2465</v>
      </c>
      <c r="G692" t="s">
        <v>2466</v>
      </c>
      <c r="H692">
        <v>0</v>
      </c>
      <c r="I692">
        <v>0</v>
      </c>
      <c r="J692">
        <v>2</v>
      </c>
      <c r="K692">
        <v>0</v>
      </c>
      <c r="L692" s="22" t="str">
        <f>DAY(D692)&amp;"/"&amp;"07"&amp;"/"&amp;YEAR(D692)</f>
        <v>24/07/2026</v>
      </c>
      <c r="M692" s="23">
        <f>E692-TIME(3,0,0)</f>
        <v>0.54166666666666663</v>
      </c>
      <c r="N692" t="str">
        <f>J692&amp;" - "&amp;K692</f>
        <v>2 - 0</v>
      </c>
      <c r="O692" t="str">
        <f>IF($J692&gt;$K692,"Green","Red")</f>
        <v>Green</v>
      </c>
      <c r="P692" t="str">
        <f>IF($J692=$K692,"Green","Red")</f>
        <v>Red</v>
      </c>
      <c r="Q692" t="str">
        <f>IF($J692&lt;$K692,"Green","Red")</f>
        <v>Red</v>
      </c>
      <c r="R692" t="str">
        <f>IF($J692&gt;=$K692,"Green","Red")</f>
        <v>Green</v>
      </c>
      <c r="S692" t="str">
        <f>IF($J692&lt;=$K692,"Green","Red")</f>
        <v>Red</v>
      </c>
      <c r="T692" t="str">
        <f>IF(OR($J692&gt;$K692,$J692&lt;$K692),"Green","Red")</f>
        <v>Green</v>
      </c>
      <c r="U692" t="str">
        <f>IF($H692&gt;$I692,"Green","Red")</f>
        <v>Red</v>
      </c>
      <c r="V692" t="str">
        <f>IF($H692=$I692,"Green","Red")</f>
        <v>Green</v>
      </c>
      <c r="W692" t="str">
        <f>IF($H692&lt;$I692,"Green","Red")</f>
        <v>Red</v>
      </c>
      <c r="X692" t="str">
        <f>IF($H692+$I692&gt;0,"Green","Red")</f>
        <v>Red</v>
      </c>
      <c r="Y692" t="str">
        <f>IF($J692+$K692&gt;1.5,"Green","Red")</f>
        <v>Green</v>
      </c>
      <c r="Z692" t="str">
        <f>IF($J692+$K692&gt;2.5,"Green","Red")</f>
        <v>Red</v>
      </c>
      <c r="AA692" t="str">
        <f>IF($J692+$K692&lt;2.5,"Green","Red")</f>
        <v>Green</v>
      </c>
      <c r="AB692" t="str">
        <f>IF($J692+$K692&lt;3.5,"Green","Red")</f>
        <v>Green</v>
      </c>
      <c r="AC692" t="str">
        <f>IF(AND($J692&gt;0,$K692&gt;0),"Green","Red")</f>
        <v>Red</v>
      </c>
      <c r="AD692" t="str">
        <f>IF(OR($J692=0,$K692=0),"Green","Red")</f>
        <v>Green</v>
      </c>
    </row>
    <row r="693" spans="1:30" x14ac:dyDescent="0.2">
      <c r="A693" t="str">
        <f>L693&amp;F693&amp;G693</f>
        <v>24/07/2026Toivalan UrheilijatNiemU</v>
      </c>
      <c r="D693" s="2">
        <v>46227</v>
      </c>
      <c r="E693" s="3">
        <v>0.66666666666666663</v>
      </c>
      <c r="F693" t="s">
        <v>2467</v>
      </c>
      <c r="G693" t="s">
        <v>2468</v>
      </c>
      <c r="H693">
        <v>0</v>
      </c>
      <c r="I693">
        <v>0</v>
      </c>
      <c r="J693">
        <v>1</v>
      </c>
      <c r="K693">
        <v>3</v>
      </c>
      <c r="L693" s="22" t="str">
        <f>DAY(D693)&amp;"/"&amp;"07"&amp;"/"&amp;YEAR(D693)</f>
        <v>24/07/2026</v>
      </c>
      <c r="M693" s="23">
        <f>E693-TIME(3,0,0)</f>
        <v>0.54166666666666663</v>
      </c>
      <c r="N693" t="str">
        <f>J693&amp;" - "&amp;K693</f>
        <v>1 - 3</v>
      </c>
      <c r="O693" t="str">
        <f>IF($J693&gt;$K693,"Green","Red")</f>
        <v>Red</v>
      </c>
      <c r="P693" t="str">
        <f>IF($J693=$K693,"Green","Red")</f>
        <v>Red</v>
      </c>
      <c r="Q693" t="str">
        <f>IF($J693&lt;$K693,"Green","Red")</f>
        <v>Green</v>
      </c>
      <c r="R693" t="str">
        <f>IF($J693&gt;=$K693,"Green","Red")</f>
        <v>Red</v>
      </c>
      <c r="S693" t="str">
        <f>IF($J693&lt;=$K693,"Green","Red")</f>
        <v>Green</v>
      </c>
      <c r="T693" t="str">
        <f>IF(OR($J693&gt;$K693,$J693&lt;$K693),"Green","Red")</f>
        <v>Green</v>
      </c>
      <c r="U693" t="str">
        <f>IF($H693&gt;$I693,"Green","Red")</f>
        <v>Red</v>
      </c>
      <c r="V693" t="str">
        <f>IF($H693=$I693,"Green","Red")</f>
        <v>Green</v>
      </c>
      <c r="W693" t="str">
        <f>IF($H693&lt;$I693,"Green","Red")</f>
        <v>Red</v>
      </c>
      <c r="X693" t="str">
        <f>IF($H693+$I693&gt;0,"Green","Red")</f>
        <v>Red</v>
      </c>
      <c r="Y693" t="str">
        <f>IF($J693+$K693&gt;1.5,"Green","Red")</f>
        <v>Green</v>
      </c>
      <c r="Z693" t="str">
        <f>IF($J693+$K693&gt;2.5,"Green","Red")</f>
        <v>Green</v>
      </c>
      <c r="AA693" t="str">
        <f>IF($J693+$K693&lt;2.5,"Green","Red")</f>
        <v>Red</v>
      </c>
      <c r="AB693" t="str">
        <f>IF($J693+$K693&lt;3.5,"Green","Red")</f>
        <v>Red</v>
      </c>
      <c r="AC693" t="str">
        <f>IF(AND($J693&gt;0,$K693&gt;0),"Green","Red")</f>
        <v>Green</v>
      </c>
      <c r="AD693" t="str">
        <f>IF(OR($J693=0,$K693=0),"Green","Red")</f>
        <v>Red</v>
      </c>
    </row>
    <row r="694" spans="1:30" x14ac:dyDescent="0.2">
      <c r="A694" t="str">
        <f>L694&amp;F694&amp;G694</f>
        <v>24/07/2026FA SiauliaiHegelmann Litauen</v>
      </c>
      <c r="D694" s="2">
        <v>46227</v>
      </c>
      <c r="E694" s="3">
        <v>0.66666666666666663</v>
      </c>
      <c r="F694" t="s">
        <v>2515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>DAY(D694)&amp;"/"&amp;"07"&amp;"/"&amp;YEAR(D694)</f>
        <v>24/07/2026</v>
      </c>
      <c r="M694" s="23">
        <f>E694-TIME(3,0,0)</f>
        <v>0.54166666666666663</v>
      </c>
      <c r="N694" t="str">
        <f>J694&amp;" - "&amp;K694</f>
        <v>0 - 2</v>
      </c>
      <c r="O694" t="str">
        <f>IF($J694&gt;$K694,"Green","Red")</f>
        <v>Red</v>
      </c>
      <c r="P694" t="str">
        <f>IF($J694=$K694,"Green","Red")</f>
        <v>Red</v>
      </c>
      <c r="Q694" t="str">
        <f>IF($J694&lt;$K694,"Green","Red")</f>
        <v>Green</v>
      </c>
      <c r="R694" t="str">
        <f>IF($J694&gt;=$K694,"Green","Red")</f>
        <v>Red</v>
      </c>
      <c r="S694" t="str">
        <f>IF($J694&lt;=$K694,"Green","Red")</f>
        <v>Green</v>
      </c>
      <c r="T694" t="str">
        <f>IF(OR($J694&gt;$K694,$J694&lt;$K694),"Green","Red")</f>
        <v>Green</v>
      </c>
      <c r="U694" t="str">
        <f>IF($H694&gt;$I694,"Green","Red")</f>
        <v>Red</v>
      </c>
      <c r="V694" t="str">
        <f>IF($H694=$I694,"Green","Red")</f>
        <v>Red</v>
      </c>
      <c r="W694" t="str">
        <f>IF($H694&lt;$I694,"Green","Red")</f>
        <v>Green</v>
      </c>
      <c r="X694" t="str">
        <f>IF($H694+$I694&gt;0,"Green","Red")</f>
        <v>Green</v>
      </c>
      <c r="Y694" t="str">
        <f>IF($J694+$K694&gt;1.5,"Green","Red")</f>
        <v>Green</v>
      </c>
      <c r="Z694" t="str">
        <f>IF($J694+$K694&gt;2.5,"Green","Red")</f>
        <v>Red</v>
      </c>
      <c r="AA694" t="str">
        <f>IF($J694+$K694&lt;2.5,"Green","Red")</f>
        <v>Green</v>
      </c>
      <c r="AB694" t="str">
        <f>IF($J694+$K694&lt;3.5,"Green","Red")</f>
        <v>Green</v>
      </c>
      <c r="AC694" t="str">
        <f>IF(AND($J694&gt;0,$K694&gt;0),"Green","Red")</f>
        <v>Red</v>
      </c>
      <c r="AD694" t="str">
        <f>IF(OR($J694=0,$K694=0),"Green","Red")</f>
        <v>Green</v>
      </c>
    </row>
    <row r="695" spans="1:30" x14ac:dyDescent="0.2">
      <c r="A695" t="str">
        <f>L695&amp;F695&amp;G695</f>
        <v>24/07/2026Black BullsFerroviario Lichinga</v>
      </c>
      <c r="D695" s="2">
        <v>46227</v>
      </c>
      <c r="E695" s="3">
        <v>0.66666666666666663</v>
      </c>
      <c r="F695" t="s">
        <v>2529</v>
      </c>
      <c r="G695" t="s">
        <v>2530</v>
      </c>
      <c r="H695">
        <v>1</v>
      </c>
      <c r="I695">
        <v>0</v>
      </c>
      <c r="J695">
        <v>1</v>
      </c>
      <c r="K695">
        <v>0</v>
      </c>
      <c r="L695" s="22" t="str">
        <f>DAY(D695)&amp;"/"&amp;"07"&amp;"/"&amp;YEAR(D695)</f>
        <v>24/07/2026</v>
      </c>
      <c r="M695" s="23">
        <f>E695-TIME(3,0,0)</f>
        <v>0.54166666666666663</v>
      </c>
      <c r="N695" t="str">
        <f>J695&amp;" - "&amp;K695</f>
        <v>1 - 0</v>
      </c>
      <c r="O695" t="str">
        <f>IF($J695&gt;$K695,"Green","Red")</f>
        <v>Green</v>
      </c>
      <c r="P695" t="str">
        <f>IF($J695=$K695,"Green","Red")</f>
        <v>Red</v>
      </c>
      <c r="Q695" t="str">
        <f>IF($J695&lt;$K695,"Green","Red")</f>
        <v>Red</v>
      </c>
      <c r="R695" t="str">
        <f>IF($J695&gt;=$K695,"Green","Red")</f>
        <v>Green</v>
      </c>
      <c r="S695" t="str">
        <f>IF($J695&lt;=$K695,"Green","Red")</f>
        <v>Red</v>
      </c>
      <c r="T695" t="str">
        <f>IF(OR($J695&gt;$K695,$J695&lt;$K695),"Green","Red")</f>
        <v>Green</v>
      </c>
      <c r="U695" t="str">
        <f>IF($H695&gt;$I695,"Green","Red")</f>
        <v>Green</v>
      </c>
      <c r="V695" t="str">
        <f>IF($H695=$I695,"Green","Red")</f>
        <v>Red</v>
      </c>
      <c r="W695" t="str">
        <f>IF($H695&lt;$I695,"Green","Red")</f>
        <v>Red</v>
      </c>
      <c r="X695" t="str">
        <f>IF($H695+$I695&gt;0,"Green","Red")</f>
        <v>Green</v>
      </c>
      <c r="Y695" t="str">
        <f>IF($J695+$K695&gt;1.5,"Green","Red")</f>
        <v>Red</v>
      </c>
      <c r="Z695" t="str">
        <f>IF($J695+$K695&gt;2.5,"Green","Red")</f>
        <v>Red</v>
      </c>
      <c r="AA695" t="str">
        <f>IF($J695+$K695&lt;2.5,"Green","Red")</f>
        <v>Green</v>
      </c>
      <c r="AB695" t="str">
        <f>IF($J695+$K695&lt;3.5,"Green","Red")</f>
        <v>Green</v>
      </c>
      <c r="AC695" t="str">
        <f>IF(AND($J695&gt;0,$K695&gt;0),"Green","Red")</f>
        <v>Red</v>
      </c>
      <c r="AD695" t="str">
        <f>IF(OR($J695=0,$K695=0),"Green","Red")</f>
        <v>Green</v>
      </c>
    </row>
    <row r="696" spans="1:30" x14ac:dyDescent="0.2">
      <c r="A696" t="str">
        <f>L696&amp;F696&amp;G696</f>
        <v>24/07/2026Radomiak RadomKS Wieczysta Krakow</v>
      </c>
      <c r="D696" s="2">
        <v>46227</v>
      </c>
      <c r="E696" s="3">
        <v>0.66666666666666663</v>
      </c>
      <c r="F696" t="s">
        <v>2557</v>
      </c>
      <c r="G696" t="s">
        <v>2558</v>
      </c>
      <c r="H696">
        <v>1</v>
      </c>
      <c r="I696">
        <v>0</v>
      </c>
      <c r="J696">
        <v>2</v>
      </c>
      <c r="K696">
        <v>1</v>
      </c>
      <c r="L696" s="22" t="str">
        <f>DAY(D696)&amp;"/"&amp;"07"&amp;"/"&amp;YEAR(D696)</f>
        <v>24/07/2026</v>
      </c>
      <c r="M696" s="23">
        <f>E696-TIME(3,0,0)</f>
        <v>0.54166666666666663</v>
      </c>
      <c r="N696" t="str">
        <f>J696&amp;" - "&amp;K696</f>
        <v>2 - 1</v>
      </c>
      <c r="O696" t="str">
        <f>IF($J696&gt;$K696,"Green","Red")</f>
        <v>Green</v>
      </c>
      <c r="P696" t="str">
        <f>IF($J696=$K696,"Green","Red")</f>
        <v>Red</v>
      </c>
      <c r="Q696" t="str">
        <f>IF($J696&lt;$K696,"Green","Red")</f>
        <v>Red</v>
      </c>
      <c r="R696" t="str">
        <f>IF($J696&gt;=$K696,"Green","Red")</f>
        <v>Green</v>
      </c>
      <c r="S696" t="str">
        <f>IF($J696&lt;=$K696,"Green","Red")</f>
        <v>Red</v>
      </c>
      <c r="T696" t="str">
        <f>IF(OR($J696&gt;$K696,$J696&lt;$K696),"Green","Red")</f>
        <v>Green</v>
      </c>
      <c r="U696" t="str">
        <f>IF($H696&gt;$I696,"Green","Red")</f>
        <v>Green</v>
      </c>
      <c r="V696" t="str">
        <f>IF($H696=$I696,"Green","Red")</f>
        <v>Red</v>
      </c>
      <c r="W696" t="str">
        <f>IF($H696&lt;$I696,"Green","Red")</f>
        <v>Red</v>
      </c>
      <c r="X696" t="str">
        <f>IF($H696+$I696&gt;0,"Green","Red")</f>
        <v>Green</v>
      </c>
      <c r="Y696" t="str">
        <f>IF($J696+$K696&gt;1.5,"Green","Red")</f>
        <v>Green</v>
      </c>
      <c r="Z696" t="str">
        <f>IF($J696+$K696&gt;2.5,"Green","Red")</f>
        <v>Green</v>
      </c>
      <c r="AA696" t="str">
        <f>IF($J696+$K696&lt;2.5,"Green","Red")</f>
        <v>Red</v>
      </c>
      <c r="AB696" t="str">
        <f>IF($J696+$K696&lt;3.5,"Green","Red")</f>
        <v>Green</v>
      </c>
      <c r="AC696" t="str">
        <f>IF(AND($J696&gt;0,$K696&gt;0),"Green","Red")</f>
        <v>Green</v>
      </c>
      <c r="AD696" t="str">
        <f>IF(OR($J696=0,$K696=0),"Green","Red")</f>
        <v>Red</v>
      </c>
    </row>
    <row r="697" spans="1:30" x14ac:dyDescent="0.2">
      <c r="A697" t="str">
        <f>L697&amp;F697&amp;G697</f>
        <v>24/07/2026Polonia BytomWarta Poznan</v>
      </c>
      <c r="D697" s="2">
        <v>46227</v>
      </c>
      <c r="E697" s="3">
        <v>0.66666666666666663</v>
      </c>
      <c r="F697" t="s">
        <v>2561</v>
      </c>
      <c r="G697" t="s">
        <v>2562</v>
      </c>
      <c r="H697">
        <v>2</v>
      </c>
      <c r="I697">
        <v>1</v>
      </c>
      <c r="J697">
        <v>4</v>
      </c>
      <c r="K697">
        <v>3</v>
      </c>
      <c r="L697" s="22" t="str">
        <f>DAY(D697)&amp;"/"&amp;"07"&amp;"/"&amp;YEAR(D697)</f>
        <v>24/07/2026</v>
      </c>
      <c r="M697" s="23">
        <f>E697-TIME(3,0,0)</f>
        <v>0.54166666666666663</v>
      </c>
      <c r="N697" t="str">
        <f>J697&amp;" - "&amp;K697</f>
        <v>4 - 3</v>
      </c>
      <c r="O697" t="str">
        <f>IF($J697&gt;$K697,"Green","Red")</f>
        <v>Green</v>
      </c>
      <c r="P697" t="str">
        <f>IF($J697=$K697,"Green","Red")</f>
        <v>Red</v>
      </c>
      <c r="Q697" t="str">
        <f>IF($J697&lt;$K697,"Green","Red")</f>
        <v>Red</v>
      </c>
      <c r="R697" t="str">
        <f>IF($J697&gt;=$K697,"Green","Red")</f>
        <v>Green</v>
      </c>
      <c r="S697" t="str">
        <f>IF($J697&lt;=$K697,"Green","Red")</f>
        <v>Red</v>
      </c>
      <c r="T697" t="str">
        <f>IF(OR($J697&gt;$K697,$J697&lt;$K697),"Green","Red")</f>
        <v>Green</v>
      </c>
      <c r="U697" t="str">
        <f>IF($H697&gt;$I697,"Green","Red")</f>
        <v>Green</v>
      </c>
      <c r="V697" t="str">
        <f>IF($H697=$I697,"Green","Red")</f>
        <v>Red</v>
      </c>
      <c r="W697" t="str">
        <f>IF($H697&lt;$I697,"Green","Red")</f>
        <v>Red</v>
      </c>
      <c r="X697" t="str">
        <f>IF($H697+$I697&gt;0,"Green","Red")</f>
        <v>Green</v>
      </c>
      <c r="Y697" t="str">
        <f>IF($J697+$K697&gt;1.5,"Green","Red")</f>
        <v>Green</v>
      </c>
      <c r="Z697" t="str">
        <f>IF($J697+$K697&gt;2.5,"Green","Red")</f>
        <v>Green</v>
      </c>
      <c r="AA697" t="str">
        <f>IF($J697+$K697&lt;2.5,"Green","Red")</f>
        <v>Red</v>
      </c>
      <c r="AB697" t="str">
        <f>IF($J697+$K697&lt;3.5,"Green","Red")</f>
        <v>Red</v>
      </c>
      <c r="AC697" t="str">
        <f>IF(AND($J697&gt;0,$K697&gt;0),"Green","Red")</f>
        <v>Green</v>
      </c>
      <c r="AD697" t="str">
        <f>IF(OR($J697=0,$K697=0),"Green","Red")</f>
        <v>Red</v>
      </c>
    </row>
    <row r="698" spans="1:30" x14ac:dyDescent="0.2">
      <c r="A698" t="str">
        <f>L698&amp;F698&amp;G698</f>
        <v>24/07/2026Znicz PruszkowResovia Rzeszow</v>
      </c>
      <c r="D698" s="2">
        <v>46227</v>
      </c>
      <c r="E698" s="3">
        <v>0.66666666666666663</v>
      </c>
      <c r="F698" t="s">
        <v>2565</v>
      </c>
      <c r="G698" t="s">
        <v>2566</v>
      </c>
      <c r="H698">
        <v>0</v>
      </c>
      <c r="I698">
        <v>0</v>
      </c>
      <c r="J698">
        <v>1</v>
      </c>
      <c r="K698">
        <v>0</v>
      </c>
      <c r="L698" s="22" t="str">
        <f>DAY(D698)&amp;"/"&amp;"07"&amp;"/"&amp;YEAR(D698)</f>
        <v>24/07/2026</v>
      </c>
      <c r="M698" s="23">
        <f>E698-TIME(3,0,0)</f>
        <v>0.54166666666666663</v>
      </c>
      <c r="N698" t="str">
        <f>J698&amp;" - "&amp;K698</f>
        <v>1 - 0</v>
      </c>
      <c r="O698" t="str">
        <f>IF($J698&gt;$K698,"Green","Red")</f>
        <v>Green</v>
      </c>
      <c r="P698" t="str">
        <f>IF($J698=$K698,"Green","Red")</f>
        <v>Red</v>
      </c>
      <c r="Q698" t="str">
        <f>IF($J698&lt;$K698,"Green","Red")</f>
        <v>Red</v>
      </c>
      <c r="R698" t="str">
        <f>IF($J698&gt;=$K698,"Green","Red")</f>
        <v>Green</v>
      </c>
      <c r="S698" t="str">
        <f>IF($J698&lt;=$K698,"Green","Red")</f>
        <v>Red</v>
      </c>
      <c r="T698" t="str">
        <f>IF(OR($J698&gt;$K698,$J698&lt;$K698),"Green","Red")</f>
        <v>Green</v>
      </c>
      <c r="U698" t="str">
        <f>IF($H698&gt;$I698,"Green","Red")</f>
        <v>Red</v>
      </c>
      <c r="V698" t="str">
        <f>IF($H698=$I698,"Green","Red")</f>
        <v>Green</v>
      </c>
      <c r="W698" t="str">
        <f>IF($H698&lt;$I698,"Green","Red")</f>
        <v>Red</v>
      </c>
      <c r="X698" t="str">
        <f>IF($H698+$I698&gt;0,"Green","Red")</f>
        <v>Red</v>
      </c>
      <c r="Y698" t="str">
        <f>IF($J698+$K698&gt;1.5,"Green","Red")</f>
        <v>Red</v>
      </c>
      <c r="Z698" t="str">
        <f>IF($J698+$K698&gt;2.5,"Green","Red")</f>
        <v>Red</v>
      </c>
      <c r="AA698" t="str">
        <f>IF($J698+$K698&lt;2.5,"Green","Red")</f>
        <v>Green</v>
      </c>
      <c r="AB698" t="str">
        <f>IF($J698+$K698&lt;3.5,"Green","Red")</f>
        <v>Green</v>
      </c>
      <c r="AC698" t="str">
        <f>IF(AND($J698&gt;0,$K698&gt;0),"Green","Red")</f>
        <v>Red</v>
      </c>
      <c r="AD698" t="str">
        <f>IF(OR($J698=0,$K698=0),"Green","Red")</f>
        <v>Green</v>
      </c>
    </row>
    <row r="699" spans="1:30" x14ac:dyDescent="0.2">
      <c r="A699" t="str">
        <f>L699&amp;F699&amp;G699</f>
        <v>24/07/2026Dynamo Moscow YouthDynamo Makhachkala Youth</v>
      </c>
      <c r="D699" s="2">
        <v>46227</v>
      </c>
      <c r="E699" s="3">
        <v>0.66666666666666663</v>
      </c>
      <c r="F699" t="s">
        <v>2587</v>
      </c>
      <c r="G699" t="s">
        <v>2588</v>
      </c>
      <c r="H699">
        <v>0</v>
      </c>
      <c r="I699">
        <v>0</v>
      </c>
      <c r="J699">
        <v>4</v>
      </c>
      <c r="K699">
        <v>1</v>
      </c>
      <c r="L699" s="22" t="str">
        <f>DAY(D699)&amp;"/"&amp;"07"&amp;"/"&amp;YEAR(D699)</f>
        <v>24/07/2026</v>
      </c>
      <c r="M699" s="23">
        <f>E699-TIME(3,0,0)</f>
        <v>0.54166666666666663</v>
      </c>
      <c r="N699" t="str">
        <f>J699&amp;" - "&amp;K699</f>
        <v>4 - 1</v>
      </c>
      <c r="O699" t="str">
        <f>IF($J699&gt;$K699,"Green","Red")</f>
        <v>Green</v>
      </c>
      <c r="P699" t="str">
        <f>IF($J699=$K699,"Green","Red")</f>
        <v>Red</v>
      </c>
      <c r="Q699" t="str">
        <f>IF($J699&lt;$K699,"Green","Red")</f>
        <v>Red</v>
      </c>
      <c r="R699" t="str">
        <f>IF($J699&gt;=$K699,"Green","Red")</f>
        <v>Green</v>
      </c>
      <c r="S699" t="str">
        <f>IF($J699&lt;=$K699,"Green","Red")</f>
        <v>Red</v>
      </c>
      <c r="T699" t="str">
        <f>IF(OR($J699&gt;$K699,$J699&lt;$K699),"Green","Red")</f>
        <v>Green</v>
      </c>
      <c r="U699" t="str">
        <f>IF($H699&gt;$I699,"Green","Red")</f>
        <v>Red</v>
      </c>
      <c r="V699" t="str">
        <f>IF($H699=$I699,"Green","Red")</f>
        <v>Green</v>
      </c>
      <c r="W699" t="str">
        <f>IF($H699&lt;$I699,"Green","Red")</f>
        <v>Red</v>
      </c>
      <c r="X699" t="str">
        <f>IF($H699+$I699&gt;0,"Green","Red")</f>
        <v>Red</v>
      </c>
      <c r="Y699" t="str">
        <f>IF($J699+$K699&gt;1.5,"Green","Red")</f>
        <v>Green</v>
      </c>
      <c r="Z699" t="str">
        <f>IF($J699+$K699&gt;2.5,"Green","Red")</f>
        <v>Green</v>
      </c>
      <c r="AA699" t="str">
        <f>IF($J699+$K699&lt;2.5,"Green","Red")</f>
        <v>Red</v>
      </c>
      <c r="AB699" t="str">
        <f>IF($J699+$K699&lt;3.5,"Green","Red")</f>
        <v>Red</v>
      </c>
      <c r="AC699" t="str">
        <f>IF(AND($J699&gt;0,$K699&gt;0),"Green","Red")</f>
        <v>Green</v>
      </c>
      <c r="AD699" t="str">
        <f>IF(OR($J699=0,$K699=0),"Green","Red")</f>
        <v>Red</v>
      </c>
    </row>
    <row r="700" spans="1:30" x14ac:dyDescent="0.2">
      <c r="A700" t="str">
        <f>L700&amp;F700&amp;G700</f>
        <v>24/07/2026Rodina YouthKrasnodar Youth</v>
      </c>
      <c r="D700" s="2">
        <v>46227</v>
      </c>
      <c r="E700" s="3">
        <v>0.66666666666666663</v>
      </c>
      <c r="F700" t="s">
        <v>2589</v>
      </c>
      <c r="G700" t="s">
        <v>2590</v>
      </c>
      <c r="H700">
        <v>2</v>
      </c>
      <c r="I700">
        <v>1</v>
      </c>
      <c r="J700">
        <v>6</v>
      </c>
      <c r="K700">
        <v>1</v>
      </c>
      <c r="L700" s="22" t="str">
        <f>DAY(D700)&amp;"/"&amp;"07"&amp;"/"&amp;YEAR(D700)</f>
        <v>24/07/2026</v>
      </c>
      <c r="M700" s="23">
        <f>E700-TIME(3,0,0)</f>
        <v>0.54166666666666663</v>
      </c>
      <c r="N700" t="str">
        <f>J700&amp;" - "&amp;K700</f>
        <v>6 - 1</v>
      </c>
      <c r="O700" t="str">
        <f>IF($J700&gt;$K700,"Green","Red")</f>
        <v>Green</v>
      </c>
      <c r="P700" t="str">
        <f>IF($J700=$K700,"Green","Red")</f>
        <v>Red</v>
      </c>
      <c r="Q700" t="str">
        <f>IF($J700&lt;$K700,"Green","Red")</f>
        <v>Red</v>
      </c>
      <c r="R700" t="str">
        <f>IF($J700&gt;=$K700,"Green","Red")</f>
        <v>Green</v>
      </c>
      <c r="S700" t="str">
        <f>IF($J700&lt;=$K700,"Green","Red")</f>
        <v>Red</v>
      </c>
      <c r="T700" t="str">
        <f>IF(OR($J700&gt;$K700,$J700&lt;$K700),"Green","Red")</f>
        <v>Green</v>
      </c>
      <c r="U700" t="str">
        <f>IF($H700&gt;$I700,"Green","Red")</f>
        <v>Green</v>
      </c>
      <c r="V700" t="str">
        <f>IF($H700=$I700,"Green","Red")</f>
        <v>Red</v>
      </c>
      <c r="W700" t="str">
        <f>IF($H700&lt;$I700,"Green","Red")</f>
        <v>Red</v>
      </c>
      <c r="X700" t="str">
        <f>IF($H700+$I700&gt;0,"Green","Red")</f>
        <v>Green</v>
      </c>
      <c r="Y700" t="str">
        <f>IF($J700+$K700&gt;1.5,"Green","Red")</f>
        <v>Green</v>
      </c>
      <c r="Z700" t="str">
        <f>IF($J700+$K700&gt;2.5,"Green","Red")</f>
        <v>Green</v>
      </c>
      <c r="AA700" t="str">
        <f>IF($J700+$K700&lt;2.5,"Green","Red")</f>
        <v>Red</v>
      </c>
      <c r="AB700" t="str">
        <f>IF($J700+$K700&lt;3.5,"Green","Red")</f>
        <v>Red</v>
      </c>
      <c r="AC700" t="str">
        <f>IF(AND($J700&gt;0,$K700&gt;0),"Green","Red")</f>
        <v>Green</v>
      </c>
      <c r="AD700" t="str">
        <f>IF(OR($J700=0,$K700=0),"Green","Red")</f>
        <v>Red</v>
      </c>
    </row>
    <row r="701" spans="1:30" x14ac:dyDescent="0.2">
      <c r="A701" t="str">
        <f>L701&amp;F701&amp;G701</f>
        <v>24/07/2026CremoneseGiana Erminio</v>
      </c>
      <c r="D701" s="2">
        <v>46227</v>
      </c>
      <c r="E701" s="3">
        <v>0.66666666666666663</v>
      </c>
      <c r="F701" t="s">
        <v>2662</v>
      </c>
      <c r="G701" t="s">
        <v>2663</v>
      </c>
      <c r="H701">
        <v>2</v>
      </c>
      <c r="I701">
        <v>0</v>
      </c>
      <c r="J701">
        <v>4</v>
      </c>
      <c r="K701">
        <v>0</v>
      </c>
      <c r="L701" s="22" t="str">
        <f>DAY(D701)&amp;"/"&amp;"07"&amp;"/"&amp;YEAR(D701)</f>
        <v>24/07/2026</v>
      </c>
      <c r="M701" s="23">
        <f>E701-TIME(3,0,0)</f>
        <v>0.54166666666666663</v>
      </c>
      <c r="N701" t="str">
        <f>J701&amp;" - "&amp;K701</f>
        <v>4 - 0</v>
      </c>
      <c r="O701" t="str">
        <f>IF($J701&gt;$K701,"Green","Red")</f>
        <v>Green</v>
      </c>
      <c r="P701" t="str">
        <f>IF($J701=$K701,"Green","Red")</f>
        <v>Red</v>
      </c>
      <c r="Q701" t="str">
        <f>IF($J701&lt;$K701,"Green","Red")</f>
        <v>Red</v>
      </c>
      <c r="R701" t="str">
        <f>IF($J701&gt;=$K701,"Green","Red")</f>
        <v>Green</v>
      </c>
      <c r="S701" t="str">
        <f>IF($J701&lt;=$K701,"Green","Red")</f>
        <v>Red</v>
      </c>
      <c r="T701" t="str">
        <f>IF(OR($J701&gt;$K701,$J701&lt;$K701),"Green","Red")</f>
        <v>Green</v>
      </c>
      <c r="U701" t="str">
        <f>IF($H701&gt;$I701,"Green","Red")</f>
        <v>Green</v>
      </c>
      <c r="V701" t="str">
        <f>IF($H701=$I701,"Green","Red")</f>
        <v>Red</v>
      </c>
      <c r="W701" t="str">
        <f>IF($H701&lt;$I701,"Green","Red")</f>
        <v>Red</v>
      </c>
      <c r="X701" t="str">
        <f>IF($H701+$I701&gt;0,"Green","Red")</f>
        <v>Green</v>
      </c>
      <c r="Y701" t="str">
        <f>IF($J701+$K701&gt;1.5,"Green","Red")</f>
        <v>Green</v>
      </c>
      <c r="Z701" t="str">
        <f>IF($J701+$K701&gt;2.5,"Green","Red")</f>
        <v>Green</v>
      </c>
      <c r="AA701" t="str">
        <f>IF($J701+$K701&lt;2.5,"Green","Red")</f>
        <v>Red</v>
      </c>
      <c r="AB701" t="str">
        <f>IF($J701+$K701&lt;3.5,"Green","Red")</f>
        <v>Red</v>
      </c>
      <c r="AC701" t="str">
        <f>IF(AND($J701&gt;0,$K701&gt;0),"Green","Red")</f>
        <v>Red</v>
      </c>
      <c r="AD701" t="str">
        <f>IF(OR($J701=0,$K701=0),"Green","Red")</f>
        <v>Green</v>
      </c>
    </row>
    <row r="702" spans="1:30" x14ac:dyDescent="0.2">
      <c r="A702" t="str">
        <f>L702&amp;F702&amp;G702</f>
        <v>24/07/2026NK Triglav KranjHNK Segesta</v>
      </c>
      <c r="D702" s="2">
        <v>46227</v>
      </c>
      <c r="E702" s="3">
        <v>0.66666666666666663</v>
      </c>
      <c r="F702" t="s">
        <v>2664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>DAY(D702)&amp;"/"&amp;"07"&amp;"/"&amp;YEAR(D702)</f>
        <v>24/07/2026</v>
      </c>
      <c r="M702" s="23">
        <f>E702-TIME(3,0,0)</f>
        <v>0.54166666666666663</v>
      </c>
      <c r="N702" t="str">
        <f>J702&amp;" - "&amp;K702</f>
        <v>2 - 2</v>
      </c>
      <c r="O702" t="str">
        <f>IF($J702&gt;$K702,"Green","Red")</f>
        <v>Red</v>
      </c>
      <c r="P702" t="str">
        <f>IF($J702=$K702,"Green","Red")</f>
        <v>Green</v>
      </c>
      <c r="Q702" t="str">
        <f>IF($J702&lt;$K702,"Green","Red")</f>
        <v>Red</v>
      </c>
      <c r="R702" t="str">
        <f>IF($J702&gt;=$K702,"Green","Red")</f>
        <v>Green</v>
      </c>
      <c r="S702" t="str">
        <f>IF($J702&lt;=$K702,"Green","Red")</f>
        <v>Green</v>
      </c>
      <c r="T702" t="str">
        <f>IF(OR($J702&gt;$K702,$J702&lt;$K702),"Green","Red")</f>
        <v>Red</v>
      </c>
      <c r="U702" t="str">
        <f>IF($H702&gt;$I702,"Green","Red")</f>
        <v>Red</v>
      </c>
      <c r="V702" t="str">
        <f>IF($H702=$I702,"Green","Red")</f>
        <v>Green</v>
      </c>
      <c r="W702" t="str">
        <f>IF($H702&lt;$I702,"Green","Red")</f>
        <v>Red</v>
      </c>
      <c r="X702" t="str">
        <f>IF($H702+$I702&gt;0,"Green","Red")</f>
        <v>Green</v>
      </c>
      <c r="Y702" t="str">
        <f>IF($J702+$K702&gt;1.5,"Green","Red")</f>
        <v>Green</v>
      </c>
      <c r="Z702" t="str">
        <f>IF($J702+$K702&gt;2.5,"Green","Red")</f>
        <v>Green</v>
      </c>
      <c r="AA702" t="str">
        <f>IF($J702+$K702&lt;2.5,"Green","Red")</f>
        <v>Red</v>
      </c>
      <c r="AB702" t="str">
        <f>IF($J702+$K702&lt;3.5,"Green","Red")</f>
        <v>Red</v>
      </c>
      <c r="AC702" t="str">
        <f>IF(AND($J702&gt;0,$K702&gt;0),"Green","Red")</f>
        <v>Green</v>
      </c>
      <c r="AD702" t="str">
        <f>IF(OR($J702=0,$K702=0),"Green","Red")</f>
        <v>Red</v>
      </c>
    </row>
    <row r="703" spans="1:30" x14ac:dyDescent="0.2">
      <c r="A703" t="str">
        <f>L703&amp;F703&amp;G703</f>
        <v>24/07/2026RosenborgMan Utd</v>
      </c>
      <c r="D703" s="2">
        <v>46227</v>
      </c>
      <c r="E703" s="3">
        <v>0.66666666666666663</v>
      </c>
      <c r="F703" t="s">
        <v>1248</v>
      </c>
      <c r="G703" t="s">
        <v>2665</v>
      </c>
      <c r="H703">
        <v>0</v>
      </c>
      <c r="I703">
        <v>1</v>
      </c>
      <c r="J703">
        <v>0</v>
      </c>
      <c r="K703">
        <v>5</v>
      </c>
      <c r="L703" s="22" t="str">
        <f>DAY(D703)&amp;"/"&amp;"07"&amp;"/"&amp;YEAR(D703)</f>
        <v>24/07/2026</v>
      </c>
      <c r="M703" s="23">
        <f>E703-TIME(3,0,0)</f>
        <v>0.54166666666666663</v>
      </c>
      <c r="N703" t="str">
        <f>J703&amp;" - "&amp;K703</f>
        <v>0 - 5</v>
      </c>
      <c r="O703" t="str">
        <f>IF($J703&gt;$K703,"Green","Red")</f>
        <v>Red</v>
      </c>
      <c r="P703" t="str">
        <f>IF($J703=$K703,"Green","Red")</f>
        <v>Red</v>
      </c>
      <c r="Q703" t="str">
        <f>IF($J703&lt;$K703,"Green","Red")</f>
        <v>Green</v>
      </c>
      <c r="R703" t="str">
        <f>IF($J703&gt;=$K703,"Green","Red")</f>
        <v>Red</v>
      </c>
      <c r="S703" t="str">
        <f>IF($J703&lt;=$K703,"Green","Red")</f>
        <v>Green</v>
      </c>
      <c r="T703" t="str">
        <f>IF(OR($J703&gt;$K703,$J703&lt;$K703),"Green","Red")</f>
        <v>Green</v>
      </c>
      <c r="U703" t="str">
        <f>IF($H703&gt;$I703,"Green","Red")</f>
        <v>Red</v>
      </c>
      <c r="V703" t="str">
        <f>IF($H703=$I703,"Green","Red")</f>
        <v>Red</v>
      </c>
      <c r="W703" t="str">
        <f>IF($H703&lt;$I703,"Green","Red")</f>
        <v>Green</v>
      </c>
      <c r="X703" t="str">
        <f>IF($H703+$I703&gt;0,"Green","Red")</f>
        <v>Green</v>
      </c>
      <c r="Y703" t="str">
        <f>IF($J703+$K703&gt;1.5,"Green","Red")</f>
        <v>Green</v>
      </c>
      <c r="Z703" t="str">
        <f>IF($J703+$K703&gt;2.5,"Green","Red")</f>
        <v>Green</v>
      </c>
      <c r="AA703" t="str">
        <f>IF($J703+$K703&lt;2.5,"Green","Red")</f>
        <v>Red</v>
      </c>
      <c r="AB703" t="str">
        <f>IF($J703+$K703&lt;3.5,"Green","Red")</f>
        <v>Red</v>
      </c>
      <c r="AC703" t="str">
        <f>IF(AND($J703&gt;0,$K703&gt;0),"Green","Red")</f>
        <v>Red</v>
      </c>
      <c r="AD703" t="str">
        <f>IF(OR($J703=0,$K703=0),"Green","Red")</f>
        <v>Green</v>
      </c>
    </row>
    <row r="704" spans="1:30" x14ac:dyDescent="0.2">
      <c r="A704" t="str">
        <f>L704&amp;F704&amp;G704</f>
        <v>24/07/2026Dornbirn 1913SV Ried</v>
      </c>
      <c r="B704" t="s">
        <v>2331</v>
      </c>
      <c r="C704" t="s">
        <v>2332</v>
      </c>
      <c r="D704" s="2">
        <v>46227</v>
      </c>
      <c r="E704" s="3">
        <v>0.6875</v>
      </c>
      <c r="F704" t="s">
        <v>2333</v>
      </c>
      <c r="G704" t="s">
        <v>2334</v>
      </c>
      <c r="H704">
        <v>0</v>
      </c>
      <c r="I704">
        <v>2</v>
      </c>
      <c r="J704">
        <v>1</v>
      </c>
      <c r="K704">
        <v>5</v>
      </c>
      <c r="L704" s="22" t="str">
        <f>DAY(D704)&amp;"/"&amp;"07"&amp;"/"&amp;YEAR(D704)</f>
        <v>24/07/2026</v>
      </c>
      <c r="M704" s="23">
        <f>E704-TIME(3,0,0)</f>
        <v>0.5625</v>
      </c>
      <c r="N704" t="str">
        <f>J704&amp;" - "&amp;K704</f>
        <v>1 - 5</v>
      </c>
      <c r="O704" t="str">
        <f>IF($J704&gt;$K704,"Green","Red")</f>
        <v>Red</v>
      </c>
      <c r="P704" t="str">
        <f>IF($J704=$K704,"Green","Red")</f>
        <v>Red</v>
      </c>
      <c r="Q704" t="str">
        <f>IF($J704&lt;$K704,"Green","Red")</f>
        <v>Green</v>
      </c>
      <c r="R704" t="str">
        <f>IF($J704&gt;=$K704,"Green","Red")</f>
        <v>Red</v>
      </c>
      <c r="S704" t="str">
        <f>IF($J704&lt;=$K704,"Green","Red")</f>
        <v>Green</v>
      </c>
      <c r="T704" t="str">
        <f>IF(OR($J704&gt;$K704,$J704&lt;$K704),"Green","Red")</f>
        <v>Green</v>
      </c>
      <c r="U704" t="str">
        <f>IF($H704&gt;$I704,"Green","Red")</f>
        <v>Red</v>
      </c>
      <c r="V704" t="str">
        <f>IF($H704=$I704,"Green","Red")</f>
        <v>Red</v>
      </c>
      <c r="W704" t="str">
        <f>IF($H704&lt;$I704,"Green","Red")</f>
        <v>Green</v>
      </c>
      <c r="X704" t="str">
        <f>IF($H704+$I704&gt;0,"Green","Red")</f>
        <v>Green</v>
      </c>
      <c r="Y704" t="str">
        <f>IF($J704+$K704&gt;1.5,"Green","Red")</f>
        <v>Green</v>
      </c>
      <c r="Z704" t="str">
        <f>IF($J704+$K704&gt;2.5,"Green","Red")</f>
        <v>Green</v>
      </c>
      <c r="AA704" t="str">
        <f>IF($J704+$K704&lt;2.5,"Green","Red")</f>
        <v>Red</v>
      </c>
      <c r="AB704" t="str">
        <f>IF($J704+$K704&lt;3.5,"Green","Red")</f>
        <v>Red</v>
      </c>
      <c r="AC704" t="str">
        <f>IF(AND($J704&gt;0,$K704&gt;0),"Green","Red")</f>
        <v>Green</v>
      </c>
      <c r="AD704" t="str">
        <f>IF(OR($J704=0,$K704=0),"Green","Red")</f>
        <v>Red</v>
      </c>
    </row>
    <row r="705" spans="1:30" x14ac:dyDescent="0.2">
      <c r="A705" t="str">
        <f>L705&amp;F705&amp;G705</f>
        <v>24/07/2026SC WieselburgWSG Wattens</v>
      </c>
      <c r="B705" t="s">
        <v>2331</v>
      </c>
      <c r="C705" t="s">
        <v>2332</v>
      </c>
      <c r="D705" s="2">
        <v>46227</v>
      </c>
      <c r="E705" s="3">
        <v>0.6875</v>
      </c>
      <c r="F705" t="s">
        <v>2335</v>
      </c>
      <c r="G705" t="s">
        <v>2336</v>
      </c>
      <c r="H705">
        <v>0</v>
      </c>
      <c r="I705">
        <v>2</v>
      </c>
      <c r="J705">
        <v>0</v>
      </c>
      <c r="K705">
        <v>6</v>
      </c>
      <c r="L705" s="22" t="str">
        <f>DAY(D705)&amp;"/"&amp;"07"&amp;"/"&amp;YEAR(D705)</f>
        <v>24/07/2026</v>
      </c>
      <c r="M705" s="23">
        <f>E705-TIME(3,0,0)</f>
        <v>0.5625</v>
      </c>
      <c r="N705" t="str">
        <f>J705&amp;" - "&amp;K705</f>
        <v>0 - 6</v>
      </c>
      <c r="O705" t="str">
        <f>IF($J705&gt;$K705,"Green","Red")</f>
        <v>Red</v>
      </c>
      <c r="P705" t="str">
        <f>IF($J705=$K705,"Green","Red")</f>
        <v>Red</v>
      </c>
      <c r="Q705" t="str">
        <f>IF($J705&lt;$K705,"Green","Red")</f>
        <v>Green</v>
      </c>
      <c r="R705" t="str">
        <f>IF($J705&gt;=$K705,"Green","Red")</f>
        <v>Red</v>
      </c>
      <c r="S705" t="str">
        <f>IF($J705&lt;=$K705,"Green","Red")</f>
        <v>Green</v>
      </c>
      <c r="T705" t="str">
        <f>IF(OR($J705&gt;$K705,$J705&lt;$K705),"Green","Red")</f>
        <v>Green</v>
      </c>
      <c r="U705" t="str">
        <f>IF($H705&gt;$I705,"Green","Red")</f>
        <v>Red</v>
      </c>
      <c r="V705" t="str">
        <f>IF($H705=$I705,"Green","Red")</f>
        <v>Red</v>
      </c>
      <c r="W705" t="str">
        <f>IF($H705&lt;$I705,"Green","Red")</f>
        <v>Green</v>
      </c>
      <c r="X705" t="str">
        <f>IF($H705+$I705&gt;0,"Green","Red")</f>
        <v>Green</v>
      </c>
      <c r="Y705" t="str">
        <f>IF($J705+$K705&gt;1.5,"Green","Red")</f>
        <v>Green</v>
      </c>
      <c r="Z705" t="str">
        <f>IF($J705+$K705&gt;2.5,"Green","Red")</f>
        <v>Green</v>
      </c>
      <c r="AA705" t="str">
        <f>IF($J705+$K705&lt;2.5,"Green","Red")</f>
        <v>Red</v>
      </c>
      <c r="AB705" t="str">
        <f>IF($J705+$K705&lt;3.5,"Green","Red")</f>
        <v>Red</v>
      </c>
      <c r="AC705" t="str">
        <f>IF(AND($J705&gt;0,$K705&gt;0),"Green","Red")</f>
        <v>Red</v>
      </c>
      <c r="AD705" t="str">
        <f>IF(OR($J705=0,$K705=0),"Green","Red")</f>
        <v>Green</v>
      </c>
    </row>
    <row r="706" spans="1:30" x14ac:dyDescent="0.2">
      <c r="A706" t="str">
        <f>L706&amp;F706&amp;G706</f>
        <v>24/07/2026FC Lahti 69MK-United</v>
      </c>
      <c r="D706" s="2">
        <v>46227</v>
      </c>
      <c r="E706" s="3">
        <v>0.6875</v>
      </c>
      <c r="F706" t="s">
        <v>2455</v>
      </c>
      <c r="G706" t="s">
        <v>2456</v>
      </c>
      <c r="L706" s="22" t="str">
        <f>DAY(D706)&amp;"/"&amp;"07"&amp;"/"&amp;YEAR(D706)</f>
        <v>24/07/2026</v>
      </c>
      <c r="M706" s="23">
        <f>E706-TIME(3,0,0)</f>
        <v>0.5625</v>
      </c>
      <c r="N706" t="str">
        <f>J706&amp;" - "&amp;K706</f>
        <v xml:space="preserve"> - </v>
      </c>
      <c r="O706" t="str">
        <f>IF($J706&gt;$K706,"Green","Red")</f>
        <v>Red</v>
      </c>
      <c r="P706" t="str">
        <f>IF($J706=$K706,"Green","Red")</f>
        <v>Green</v>
      </c>
      <c r="Q706" t="str">
        <f>IF($J706&lt;$K706,"Green","Red")</f>
        <v>Red</v>
      </c>
      <c r="R706" t="str">
        <f>IF($J706&gt;=$K706,"Green","Red")</f>
        <v>Green</v>
      </c>
      <c r="S706" t="str">
        <f>IF($J706&lt;=$K706,"Green","Red")</f>
        <v>Green</v>
      </c>
      <c r="T706" t="str">
        <f>IF(OR($J706&gt;$K706,$J706&lt;$K706),"Green","Red")</f>
        <v>Red</v>
      </c>
      <c r="U706" t="str">
        <f>IF($H706&gt;$I706,"Green","Red")</f>
        <v>Red</v>
      </c>
      <c r="V706" t="str">
        <f>IF($H706=$I706,"Green","Red")</f>
        <v>Green</v>
      </c>
      <c r="W706" t="str">
        <f>IF($H706&lt;$I706,"Green","Red")</f>
        <v>Red</v>
      </c>
      <c r="X706" t="str">
        <f>IF($H706+$I706&gt;0,"Green","Red")</f>
        <v>Red</v>
      </c>
      <c r="Y706" t="str">
        <f>IF($J706+$K706&gt;1.5,"Green","Red")</f>
        <v>Red</v>
      </c>
      <c r="Z706" t="str">
        <f>IF($J706+$K706&gt;2.5,"Green","Red")</f>
        <v>Red</v>
      </c>
      <c r="AA706" t="str">
        <f>IF($J706+$K706&lt;2.5,"Green","Red")</f>
        <v>Green</v>
      </c>
      <c r="AB706" t="str">
        <f>IF($J706+$K706&lt;3.5,"Green","Red")</f>
        <v>Green</v>
      </c>
      <c r="AC706" t="str">
        <f>IF(AND($J706&gt;0,$K706&gt;0),"Green","Red")</f>
        <v>Red</v>
      </c>
      <c r="AD706" t="str">
        <f>IF(OR($J706=0,$K706=0),"Green","Red")</f>
        <v>Green</v>
      </c>
    </row>
    <row r="707" spans="1:30" x14ac:dyDescent="0.2">
      <c r="A707" t="str">
        <f>L707&amp;F707&amp;G707</f>
        <v>24/07/2026Puotinkylan ValttiToTe</v>
      </c>
      <c r="D707" s="2">
        <v>46227</v>
      </c>
      <c r="E707" s="3">
        <v>0.6875</v>
      </c>
      <c r="F707" t="s">
        <v>2457</v>
      </c>
      <c r="G707" t="s">
        <v>2458</v>
      </c>
      <c r="H707">
        <v>0</v>
      </c>
      <c r="I707">
        <v>0</v>
      </c>
      <c r="J707">
        <v>0</v>
      </c>
      <c r="K707">
        <v>2</v>
      </c>
      <c r="L707" s="22" t="str">
        <f>DAY(D707)&amp;"/"&amp;"07"&amp;"/"&amp;YEAR(D707)</f>
        <v>24/07/2026</v>
      </c>
      <c r="M707" s="23">
        <f>E707-TIME(3,0,0)</f>
        <v>0.5625</v>
      </c>
      <c r="N707" t="str">
        <f>J707&amp;" - "&amp;K707</f>
        <v>0 - 2</v>
      </c>
      <c r="O707" t="str">
        <f>IF($J707&gt;$K707,"Green","Red")</f>
        <v>Red</v>
      </c>
      <c r="P707" t="str">
        <f>IF($J707=$K707,"Green","Red")</f>
        <v>Red</v>
      </c>
      <c r="Q707" t="str">
        <f>IF($J707&lt;$K707,"Green","Red")</f>
        <v>Green</v>
      </c>
      <c r="R707" t="str">
        <f>IF($J707&gt;=$K707,"Green","Red")</f>
        <v>Red</v>
      </c>
      <c r="S707" t="str">
        <f>IF($J707&lt;=$K707,"Green","Red")</f>
        <v>Green</v>
      </c>
      <c r="T707" t="str">
        <f>IF(OR($J707&gt;$K707,$J707&lt;$K707),"Green","Red")</f>
        <v>Green</v>
      </c>
      <c r="U707" t="str">
        <f>IF($H707&gt;$I707,"Green","Red")</f>
        <v>Red</v>
      </c>
      <c r="V707" t="str">
        <f>IF($H707=$I707,"Green","Red")</f>
        <v>Green</v>
      </c>
      <c r="W707" t="str">
        <f>IF($H707&lt;$I707,"Green","Red")</f>
        <v>Red</v>
      </c>
      <c r="X707" t="str">
        <f>IF($H707+$I707&gt;0,"Green","Red")</f>
        <v>Red</v>
      </c>
      <c r="Y707" t="str">
        <f>IF($J707+$K707&gt;1.5,"Green","Red")</f>
        <v>Green</v>
      </c>
      <c r="Z707" t="str">
        <f>IF($J707+$K707&gt;2.5,"Green","Red")</f>
        <v>Red</v>
      </c>
      <c r="AA707" t="str">
        <f>IF($J707+$K707&lt;2.5,"Green","Red")</f>
        <v>Green</v>
      </c>
      <c r="AB707" t="str">
        <f>IF($J707+$K707&lt;3.5,"Green","Red")</f>
        <v>Green</v>
      </c>
      <c r="AC707" t="str">
        <f>IF(AND($J707&gt;0,$K707&gt;0),"Green","Red")</f>
        <v>Red</v>
      </c>
      <c r="AD707" t="str">
        <f>IF(OR($J707=0,$K707=0),"Green","Red")</f>
        <v>Green</v>
      </c>
    </row>
    <row r="708" spans="1:30" x14ac:dyDescent="0.2">
      <c r="A708" t="str">
        <f>L708&amp;F708&amp;G708</f>
        <v>24/07/2026Hankofen-HailingIsmaning</v>
      </c>
      <c r="D708" s="2">
        <v>46227</v>
      </c>
      <c r="E708" s="3">
        <v>0.6875</v>
      </c>
      <c r="F708" t="s">
        <v>2482</v>
      </c>
      <c r="G708" t="s">
        <v>2483</v>
      </c>
      <c r="H708">
        <v>1</v>
      </c>
      <c r="I708">
        <v>0</v>
      </c>
      <c r="J708">
        <v>2</v>
      </c>
      <c r="K708">
        <v>0</v>
      </c>
      <c r="L708" s="22" t="str">
        <f>DAY(D708)&amp;"/"&amp;"07"&amp;"/"&amp;YEAR(D708)</f>
        <v>24/07/2026</v>
      </c>
      <c r="M708" s="23">
        <f>E708-TIME(3,0,0)</f>
        <v>0.5625</v>
      </c>
      <c r="N708" t="str">
        <f>J708&amp;" - "&amp;K708</f>
        <v>2 - 0</v>
      </c>
      <c r="O708" t="str">
        <f>IF($J708&gt;$K708,"Green","Red")</f>
        <v>Green</v>
      </c>
      <c r="P708" t="str">
        <f>IF($J708=$K708,"Green","Red")</f>
        <v>Red</v>
      </c>
      <c r="Q708" t="str">
        <f>IF($J708&lt;$K708,"Green","Red")</f>
        <v>Red</v>
      </c>
      <c r="R708" t="str">
        <f>IF($J708&gt;=$K708,"Green","Red")</f>
        <v>Green</v>
      </c>
      <c r="S708" t="str">
        <f>IF($J708&lt;=$K708,"Green","Red")</f>
        <v>Red</v>
      </c>
      <c r="T708" t="str">
        <f>IF(OR($J708&gt;$K708,$J708&lt;$K708),"Green","Red")</f>
        <v>Green</v>
      </c>
      <c r="U708" t="str">
        <f>IF($H708&gt;$I708,"Green","Red")</f>
        <v>Green</v>
      </c>
      <c r="V708" t="str">
        <f>IF($H708=$I708,"Green","Red")</f>
        <v>Red</v>
      </c>
      <c r="W708" t="str">
        <f>IF($H708&lt;$I708,"Green","Red")</f>
        <v>Red</v>
      </c>
      <c r="X708" t="str">
        <f>IF($H708+$I708&gt;0,"Green","Red")</f>
        <v>Green</v>
      </c>
      <c r="Y708" t="str">
        <f>IF($J708+$K708&gt;1.5,"Green","Red")</f>
        <v>Green</v>
      </c>
      <c r="Z708" t="str">
        <f>IF($J708+$K708&gt;2.5,"Green","Red")</f>
        <v>Red</v>
      </c>
      <c r="AA708" t="str">
        <f>IF($J708+$K708&lt;2.5,"Green","Red")</f>
        <v>Green</v>
      </c>
      <c r="AB708" t="str">
        <f>IF($J708+$K708&lt;3.5,"Green","Red")</f>
        <v>Green</v>
      </c>
      <c r="AC708" t="str">
        <f>IF(AND($J708&gt;0,$K708&gt;0),"Green","Red")</f>
        <v>Red</v>
      </c>
      <c r="AD708" t="str">
        <f>IF(OR($J708=0,$K708=0),"Green","Red")</f>
        <v>Green</v>
      </c>
    </row>
    <row r="709" spans="1:30" x14ac:dyDescent="0.2">
      <c r="A709" t="str">
        <f>L709&amp;F709&amp;G709</f>
        <v>24/07/2026LandshutSV Erlbach</v>
      </c>
      <c r="D709" s="2">
        <v>46227</v>
      </c>
      <c r="E709" s="3">
        <v>0.6875</v>
      </c>
      <c r="F709" t="s">
        <v>2484</v>
      </c>
      <c r="G709" t="s">
        <v>2485</v>
      </c>
      <c r="H709">
        <v>0</v>
      </c>
      <c r="I709">
        <v>0</v>
      </c>
      <c r="J709">
        <v>1</v>
      </c>
      <c r="K709">
        <v>0</v>
      </c>
      <c r="L709" s="22" t="str">
        <f>DAY(D709)&amp;"/"&amp;"07"&amp;"/"&amp;YEAR(D709)</f>
        <v>24/07/2026</v>
      </c>
      <c r="M709" s="23">
        <f>E709-TIME(3,0,0)</f>
        <v>0.5625</v>
      </c>
      <c r="N709" t="str">
        <f>J709&amp;" - "&amp;K709</f>
        <v>1 - 0</v>
      </c>
      <c r="O709" t="str">
        <f>IF($J709&gt;$K709,"Green","Red")</f>
        <v>Green</v>
      </c>
      <c r="P709" t="str">
        <f>IF($J709=$K709,"Green","Red")</f>
        <v>Red</v>
      </c>
      <c r="Q709" t="str">
        <f>IF($J709&lt;$K709,"Green","Red")</f>
        <v>Red</v>
      </c>
      <c r="R709" t="str">
        <f>IF($J709&gt;=$K709,"Green","Red")</f>
        <v>Green</v>
      </c>
      <c r="S709" t="str">
        <f>IF($J709&lt;=$K709,"Green","Red")</f>
        <v>Red</v>
      </c>
      <c r="T709" t="str">
        <f>IF(OR($J709&gt;$K709,$J709&lt;$K709),"Green","Red")</f>
        <v>Green</v>
      </c>
      <c r="U709" t="str">
        <f>IF($H709&gt;$I709,"Green","Red")</f>
        <v>Red</v>
      </c>
      <c r="V709" t="str">
        <f>IF($H709=$I709,"Green","Red")</f>
        <v>Green</v>
      </c>
      <c r="W709" t="str">
        <f>IF($H709&lt;$I709,"Green","Red")</f>
        <v>Red</v>
      </c>
      <c r="X709" t="str">
        <f>IF($H709+$I709&gt;0,"Green","Red")</f>
        <v>Red</v>
      </c>
      <c r="Y709" t="str">
        <f>IF($J709+$K709&gt;1.5,"Green","Red")</f>
        <v>Red</v>
      </c>
      <c r="Z709" t="str">
        <f>IF($J709+$K709&gt;2.5,"Green","Red")</f>
        <v>Red</v>
      </c>
      <c r="AA709" t="str">
        <f>IF($J709+$K709&lt;2.5,"Green","Red")</f>
        <v>Green</v>
      </c>
      <c r="AB709" t="str">
        <f>IF($J709+$K709&lt;3.5,"Green","Red")</f>
        <v>Green</v>
      </c>
      <c r="AC709" t="str">
        <f>IF(AND($J709&gt;0,$K709&gt;0),"Green","Red")</f>
        <v>Red</v>
      </c>
      <c r="AD709" t="str">
        <f>IF(OR($J709=0,$K709=0),"Green","Red")</f>
        <v>Green</v>
      </c>
    </row>
    <row r="710" spans="1:30" x14ac:dyDescent="0.2">
      <c r="A710" t="str">
        <f>L710&amp;F710&amp;G710</f>
        <v>24/07/2026GleisdorfSturm Graz II</v>
      </c>
      <c r="D710" s="2">
        <v>46227</v>
      </c>
      <c r="E710" s="3">
        <v>0.6875</v>
      </c>
      <c r="F710" t="s">
        <v>2666</v>
      </c>
      <c r="G710" t="s">
        <v>2667</v>
      </c>
      <c r="H710">
        <v>1</v>
      </c>
      <c r="I710">
        <v>0</v>
      </c>
      <c r="J710">
        <v>2</v>
      </c>
      <c r="K710">
        <v>1</v>
      </c>
      <c r="L710" s="22" t="str">
        <f>DAY(D710)&amp;"/"&amp;"07"&amp;"/"&amp;YEAR(D710)</f>
        <v>24/07/2026</v>
      </c>
      <c r="M710" s="23">
        <f>E710-TIME(3,0,0)</f>
        <v>0.5625</v>
      </c>
      <c r="N710" t="str">
        <f>J710&amp;" - "&amp;K710</f>
        <v>2 - 1</v>
      </c>
      <c r="O710" t="str">
        <f>IF($J710&gt;$K710,"Green","Red")</f>
        <v>Green</v>
      </c>
      <c r="P710" t="str">
        <f>IF($J710=$K710,"Green","Red")</f>
        <v>Red</v>
      </c>
      <c r="Q710" t="str">
        <f>IF($J710&lt;$K710,"Green","Red")</f>
        <v>Red</v>
      </c>
      <c r="R710" t="str">
        <f>IF($J710&gt;=$K710,"Green","Red")</f>
        <v>Green</v>
      </c>
      <c r="S710" t="str">
        <f>IF($J710&lt;=$K710,"Green","Red")</f>
        <v>Red</v>
      </c>
      <c r="T710" t="str">
        <f>IF(OR($J710&gt;$K710,$J710&lt;$K710),"Green","Red")</f>
        <v>Green</v>
      </c>
      <c r="U710" t="str">
        <f>IF($H710&gt;$I710,"Green","Red")</f>
        <v>Green</v>
      </c>
      <c r="V710" t="str">
        <f>IF($H710=$I710,"Green","Red")</f>
        <v>Red</v>
      </c>
      <c r="W710" t="str">
        <f>IF($H710&lt;$I710,"Green","Red")</f>
        <v>Red</v>
      </c>
      <c r="X710" t="str">
        <f>IF($H710+$I710&gt;0,"Green","Red")</f>
        <v>Green</v>
      </c>
      <c r="Y710" t="str">
        <f>IF($J710+$K710&gt;1.5,"Green","Red")</f>
        <v>Green</v>
      </c>
      <c r="Z710" t="str">
        <f>IF($J710+$K710&gt;2.5,"Green","Red")</f>
        <v>Green</v>
      </c>
      <c r="AA710" t="str">
        <f>IF($J710+$K710&lt;2.5,"Green","Red")</f>
        <v>Red</v>
      </c>
      <c r="AB710" t="str">
        <f>IF($J710+$K710&lt;3.5,"Green","Red")</f>
        <v>Green</v>
      </c>
      <c r="AC710" t="str">
        <f>IF(AND($J710&gt;0,$K710&gt;0),"Green","Red")</f>
        <v>Green</v>
      </c>
      <c r="AD710" t="str">
        <f>IF(OR($J710=0,$K710=0),"Green","Red")</f>
        <v>Red</v>
      </c>
    </row>
    <row r="711" spans="1:30" x14ac:dyDescent="0.2">
      <c r="A711" t="str">
        <f>L711&amp;F711&amp;G711</f>
        <v>24/07/2026Heracles AlmeloS.B.V. Excelsior</v>
      </c>
      <c r="D711" s="2">
        <v>46227</v>
      </c>
      <c r="E711" s="3">
        <v>0.6875</v>
      </c>
      <c r="F711" t="s">
        <v>2668</v>
      </c>
      <c r="G711" t="s">
        <v>2669</v>
      </c>
      <c r="L711" s="22" t="str">
        <f>DAY(D711)&amp;"/"&amp;"07"&amp;"/"&amp;YEAR(D711)</f>
        <v>24/07/2026</v>
      </c>
      <c r="M711" s="23">
        <f>E711-TIME(3,0,0)</f>
        <v>0.5625</v>
      </c>
      <c r="N711" t="str">
        <f>J711&amp;" - "&amp;K711</f>
        <v xml:space="preserve"> - </v>
      </c>
      <c r="O711" t="str">
        <f>IF($J711&gt;$K711,"Green","Red")</f>
        <v>Red</v>
      </c>
      <c r="P711" t="str">
        <f>IF($J711=$K711,"Green","Red")</f>
        <v>Green</v>
      </c>
      <c r="Q711" t="str">
        <f>IF($J711&lt;$K711,"Green","Red")</f>
        <v>Red</v>
      </c>
      <c r="R711" t="str">
        <f>IF($J711&gt;=$K711,"Green","Red")</f>
        <v>Green</v>
      </c>
      <c r="S711" t="str">
        <f>IF($J711&lt;=$K711,"Green","Red")</f>
        <v>Green</v>
      </c>
      <c r="T711" t="str">
        <f>IF(OR($J711&gt;$K711,$J711&lt;$K711),"Green","Red")</f>
        <v>Red</v>
      </c>
      <c r="U711" t="str">
        <f>IF($H711&gt;$I711,"Green","Red")</f>
        <v>Red</v>
      </c>
      <c r="V711" t="str">
        <f>IF($H711=$I711,"Green","Red")</f>
        <v>Green</v>
      </c>
      <c r="W711" t="str">
        <f>IF($H711&lt;$I711,"Green","Red")</f>
        <v>Red</v>
      </c>
      <c r="X711" t="str">
        <f>IF($H711+$I711&gt;0,"Green","Red")</f>
        <v>Red</v>
      </c>
      <c r="Y711" t="str">
        <f>IF($J711+$K711&gt;1.5,"Green","Red")</f>
        <v>Red</v>
      </c>
      <c r="Z711" t="str">
        <f>IF($J711+$K711&gt;2.5,"Green","Red")</f>
        <v>Red</v>
      </c>
      <c r="AA711" t="str">
        <f>IF($J711+$K711&lt;2.5,"Green","Red")</f>
        <v>Green</v>
      </c>
      <c r="AB711" t="str">
        <f>IF($J711+$K711&lt;3.5,"Green","Red")</f>
        <v>Green</v>
      </c>
      <c r="AC711" t="str">
        <f>IF(AND($J711&gt;0,$K711&gt;0),"Green","Red")</f>
        <v>Red</v>
      </c>
      <c r="AD711" t="str">
        <f>IF(OR($J711=0,$K711=0),"Green","Red")</f>
        <v>Green</v>
      </c>
    </row>
    <row r="712" spans="1:30" x14ac:dyDescent="0.2">
      <c r="A712" t="str">
        <f>L712&amp;F712&amp;G712</f>
        <v>24/07/2026Karlstad BKOrebro Syrianska IF</v>
      </c>
      <c r="D712" s="2">
        <v>46227</v>
      </c>
      <c r="E712" s="3">
        <v>0.6875</v>
      </c>
      <c r="F712" t="s">
        <v>2670</v>
      </c>
      <c r="G712" t="s">
        <v>2671</v>
      </c>
      <c r="H712">
        <v>2</v>
      </c>
      <c r="I712">
        <v>1</v>
      </c>
      <c r="J712">
        <v>4</v>
      </c>
      <c r="K712">
        <v>1</v>
      </c>
      <c r="L712" s="22" t="str">
        <f>DAY(D712)&amp;"/"&amp;"07"&amp;"/"&amp;YEAR(D712)</f>
        <v>24/07/2026</v>
      </c>
      <c r="M712" s="23">
        <f>E712-TIME(3,0,0)</f>
        <v>0.5625</v>
      </c>
      <c r="N712" t="str">
        <f>J712&amp;" - "&amp;K712</f>
        <v>4 - 1</v>
      </c>
      <c r="O712" t="str">
        <f>IF($J712&gt;$K712,"Green","Red")</f>
        <v>Green</v>
      </c>
      <c r="P712" t="str">
        <f>IF($J712=$K712,"Green","Red")</f>
        <v>Red</v>
      </c>
      <c r="Q712" t="str">
        <f>IF($J712&lt;$K712,"Green","Red")</f>
        <v>Red</v>
      </c>
      <c r="R712" t="str">
        <f>IF($J712&gt;=$K712,"Green","Red")</f>
        <v>Green</v>
      </c>
      <c r="S712" t="str">
        <f>IF($J712&lt;=$K712,"Green","Red")</f>
        <v>Red</v>
      </c>
      <c r="T712" t="str">
        <f>IF(OR($J712&gt;$K712,$J712&lt;$K712),"Green","Red")</f>
        <v>Green</v>
      </c>
      <c r="U712" t="str">
        <f>IF($H712&gt;$I712,"Green","Red")</f>
        <v>Green</v>
      </c>
      <c r="V712" t="str">
        <f>IF($H712=$I712,"Green","Red")</f>
        <v>Red</v>
      </c>
      <c r="W712" t="str">
        <f>IF($H712&lt;$I712,"Green","Red")</f>
        <v>Red</v>
      </c>
      <c r="X712" t="str">
        <f>IF($H712+$I712&gt;0,"Green","Red")</f>
        <v>Green</v>
      </c>
      <c r="Y712" t="str">
        <f>IF($J712+$K712&gt;1.5,"Green","Red")</f>
        <v>Green</v>
      </c>
      <c r="Z712" t="str">
        <f>IF($J712+$K712&gt;2.5,"Green","Red")</f>
        <v>Green</v>
      </c>
      <c r="AA712" t="str">
        <f>IF($J712+$K712&lt;2.5,"Green","Red")</f>
        <v>Red</v>
      </c>
      <c r="AB712" t="str">
        <f>IF($J712+$K712&lt;3.5,"Green","Red")</f>
        <v>Red</v>
      </c>
      <c r="AC712" t="str">
        <f>IF(AND($J712&gt;0,$K712&gt;0),"Green","Red")</f>
        <v>Green</v>
      </c>
      <c r="AD712" t="str">
        <f>IF(OR($J712=0,$K712=0),"Green","Red")</f>
        <v>Red</v>
      </c>
    </row>
    <row r="713" spans="1:30" x14ac:dyDescent="0.2">
      <c r="A713" t="str">
        <f>L713&amp;F713&amp;G713</f>
        <v>24/07/2026LAC-InterFavoritner AC</v>
      </c>
      <c r="D713" s="2">
        <v>46227</v>
      </c>
      <c r="E713" s="3">
        <v>0.6875</v>
      </c>
      <c r="F713" t="s">
        <v>2672</v>
      </c>
      <c r="G713" t="s">
        <v>2673</v>
      </c>
      <c r="H713">
        <v>0</v>
      </c>
      <c r="I713">
        <v>0</v>
      </c>
      <c r="J713">
        <v>0</v>
      </c>
      <c r="K713">
        <v>0</v>
      </c>
      <c r="L713" s="22" t="str">
        <f>DAY(D713)&amp;"/"&amp;"07"&amp;"/"&amp;YEAR(D713)</f>
        <v>24/07/2026</v>
      </c>
      <c r="M713" s="23">
        <f>E713-TIME(3,0,0)</f>
        <v>0.5625</v>
      </c>
      <c r="N713" t="str">
        <f>J713&amp;" - "&amp;K713</f>
        <v>0 - 0</v>
      </c>
      <c r="O713" t="str">
        <f>IF($J713&gt;$K713,"Green","Red")</f>
        <v>Red</v>
      </c>
      <c r="P713" t="str">
        <f>IF($J713=$K713,"Green","Red")</f>
        <v>Green</v>
      </c>
      <c r="Q713" t="str">
        <f>IF($J713&lt;$K713,"Green","Red")</f>
        <v>Red</v>
      </c>
      <c r="R713" t="str">
        <f>IF($J713&gt;=$K713,"Green","Red")</f>
        <v>Green</v>
      </c>
      <c r="S713" t="str">
        <f>IF($J713&lt;=$K713,"Green","Red")</f>
        <v>Green</v>
      </c>
      <c r="T713" t="str">
        <f>IF(OR($J713&gt;$K713,$J713&lt;$K713),"Green","Red")</f>
        <v>Red</v>
      </c>
      <c r="U713" t="str">
        <f>IF($H713&gt;$I713,"Green","Red")</f>
        <v>Red</v>
      </c>
      <c r="V713" t="str">
        <f>IF($H713=$I713,"Green","Red")</f>
        <v>Green</v>
      </c>
      <c r="W713" t="str">
        <f>IF($H713&lt;$I713,"Green","Red")</f>
        <v>Red</v>
      </c>
      <c r="X713" t="str">
        <f>IF($H713+$I713&gt;0,"Green","Red")</f>
        <v>Red</v>
      </c>
      <c r="Y713" t="str">
        <f>IF($J713+$K713&gt;1.5,"Green","Red")</f>
        <v>Red</v>
      </c>
      <c r="Z713" t="str">
        <f>IF($J713+$K713&gt;2.5,"Green","Red")</f>
        <v>Red</v>
      </c>
      <c r="AA713" t="str">
        <f>IF($J713+$K713&lt;2.5,"Green","Red")</f>
        <v>Green</v>
      </c>
      <c r="AB713" t="str">
        <f>IF($J713+$K713&lt;3.5,"Green","Red")</f>
        <v>Green</v>
      </c>
      <c r="AC713" t="str">
        <f>IF(AND($J713&gt;0,$K713&gt;0),"Green","Red")</f>
        <v>Red</v>
      </c>
      <c r="AD713" t="str">
        <f>IF(OR($J713=0,$K713=0),"Green","Red")</f>
        <v>Green</v>
      </c>
    </row>
    <row r="714" spans="1:30" x14ac:dyDescent="0.2">
      <c r="A714" t="str">
        <f>L714&amp;F714&amp;G714</f>
        <v>24/07/2026Kings SCZulimanit</v>
      </c>
      <c r="D714" s="2">
        <v>46227</v>
      </c>
      <c r="E714" s="3">
        <v>0.69791666666666663</v>
      </c>
      <c r="F714" t="s">
        <v>2469</v>
      </c>
      <c r="G714" t="s">
        <v>2470</v>
      </c>
      <c r="H714">
        <v>0</v>
      </c>
      <c r="I714">
        <v>0</v>
      </c>
      <c r="J714">
        <v>3</v>
      </c>
      <c r="K714">
        <v>2</v>
      </c>
      <c r="L714" s="22" t="str">
        <f>DAY(D714)&amp;"/"&amp;"07"&amp;"/"&amp;YEAR(D714)</f>
        <v>24/07/2026</v>
      </c>
      <c r="M714" s="23">
        <f>E714-TIME(3,0,0)</f>
        <v>0.57291666666666663</v>
      </c>
      <c r="N714" t="str">
        <f>J714&amp;" - "&amp;K714</f>
        <v>3 - 2</v>
      </c>
      <c r="O714" t="str">
        <f>IF($J714&gt;$K714,"Green","Red")</f>
        <v>Green</v>
      </c>
      <c r="P714" t="str">
        <f>IF($J714=$K714,"Green","Red")</f>
        <v>Red</v>
      </c>
      <c r="Q714" t="str">
        <f>IF($J714&lt;$K714,"Green","Red")</f>
        <v>Red</v>
      </c>
      <c r="R714" t="str">
        <f>IF($J714&gt;=$K714,"Green","Red")</f>
        <v>Green</v>
      </c>
      <c r="S714" t="str">
        <f>IF($J714&lt;=$K714,"Green","Red")</f>
        <v>Red</v>
      </c>
      <c r="T714" t="str">
        <f>IF(OR($J714&gt;$K714,$J714&lt;$K714),"Green","Red")</f>
        <v>Green</v>
      </c>
      <c r="U714" t="str">
        <f>IF($H714&gt;$I714,"Green","Red")</f>
        <v>Red</v>
      </c>
      <c r="V714" t="str">
        <f>IF($H714=$I714,"Green","Red")</f>
        <v>Green</v>
      </c>
      <c r="W714" t="str">
        <f>IF($H714&lt;$I714,"Green","Red")</f>
        <v>Red</v>
      </c>
      <c r="X714" t="str">
        <f>IF($H714+$I714&gt;0,"Green","Red")</f>
        <v>Red</v>
      </c>
      <c r="Y714" t="str">
        <f>IF($J714+$K714&gt;1.5,"Green","Red")</f>
        <v>Green</v>
      </c>
      <c r="Z714" t="str">
        <f>IF($J714+$K714&gt;2.5,"Green","Red")</f>
        <v>Green</v>
      </c>
      <c r="AA714" t="str">
        <f>IF($J714+$K714&lt;2.5,"Green","Red")</f>
        <v>Red</v>
      </c>
      <c r="AB714" t="str">
        <f>IF($J714+$K714&lt;3.5,"Green","Red")</f>
        <v>Red</v>
      </c>
      <c r="AC714" t="str">
        <f>IF(AND($J714&gt;0,$K714&gt;0),"Green","Red")</f>
        <v>Green</v>
      </c>
      <c r="AD714" t="str">
        <f>IF(OR($J714=0,$K714=0),"Green","Red")</f>
        <v>Red</v>
      </c>
    </row>
    <row r="715" spans="1:30" x14ac:dyDescent="0.2">
      <c r="A715" t="str">
        <f>L715&amp;F715&amp;G715</f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>DAY(D715)&amp;"/"&amp;"07"&amp;"/"&amp;YEAR(D715)</f>
        <v>24/07/2026</v>
      </c>
      <c r="M715" s="23">
        <f>E715-TIME(3,0,0)</f>
        <v>0.58333333333333337</v>
      </c>
      <c r="N715" t="str">
        <f>J715&amp;" - "&amp;K715</f>
        <v>2 - 0</v>
      </c>
      <c r="O715" t="str">
        <f>IF($J715&gt;$K715,"Green","Red")</f>
        <v>Green</v>
      </c>
      <c r="P715" t="str">
        <f>IF($J715=$K715,"Green","Red")</f>
        <v>Red</v>
      </c>
      <c r="Q715" t="str">
        <f>IF($J715&lt;$K715,"Green","Red")</f>
        <v>Red</v>
      </c>
      <c r="R715" t="str">
        <f>IF($J715&gt;=$K715,"Green","Red")</f>
        <v>Green</v>
      </c>
      <c r="S715" t="str">
        <f>IF($J715&lt;=$K715,"Green","Red")</f>
        <v>Red</v>
      </c>
      <c r="T715" t="str">
        <f>IF(OR($J715&gt;$K715,$J715&lt;$K715),"Green","Red")</f>
        <v>Green</v>
      </c>
      <c r="U715" t="str">
        <f>IF($H715&gt;$I715,"Green","Red")</f>
        <v>Green</v>
      </c>
      <c r="V715" t="str">
        <f>IF($H715=$I715,"Green","Red")</f>
        <v>Red</v>
      </c>
      <c r="W715" t="str">
        <f>IF($H715&lt;$I715,"Green","Red")</f>
        <v>Red</v>
      </c>
      <c r="X715" t="str">
        <f>IF($H715+$I715&gt;0,"Green","Red")</f>
        <v>Green</v>
      </c>
      <c r="Y715" t="str">
        <f>IF($J715+$K715&gt;1.5,"Green","Red")</f>
        <v>Green</v>
      </c>
      <c r="Z715" t="str">
        <f>IF($J715+$K715&gt;2.5,"Green","Red")</f>
        <v>Red</v>
      </c>
      <c r="AA715" t="str">
        <f>IF($J715+$K715&lt;2.5,"Green","Red")</f>
        <v>Green</v>
      </c>
      <c r="AB715" t="str">
        <f>IF($J715+$K715&lt;3.5,"Green","Red")</f>
        <v>Green</v>
      </c>
      <c r="AC715" t="str">
        <f>IF(AND($J715&gt;0,$K715&gt;0),"Green","Red")</f>
        <v>Red</v>
      </c>
      <c r="AD715" t="str">
        <f>IF(OR($J715=0,$K715=0),"Green","Red")</f>
        <v>Green</v>
      </c>
    </row>
    <row r="716" spans="1:30" x14ac:dyDescent="0.2">
      <c r="A716" t="str">
        <f>L716&amp;F716&amp;G716</f>
        <v>24/07/2026ATUS VeldenAustria Klagenfurt</v>
      </c>
      <c r="B716" t="s">
        <v>2331</v>
      </c>
      <c r="C716" t="s">
        <v>2332</v>
      </c>
      <c r="D716" s="2">
        <v>46227</v>
      </c>
      <c r="E716" s="3">
        <v>0.70833333333333337</v>
      </c>
      <c r="F716" t="s">
        <v>1296</v>
      </c>
      <c r="G716" t="s">
        <v>2337</v>
      </c>
      <c r="H716">
        <v>1</v>
      </c>
      <c r="I716">
        <v>0</v>
      </c>
      <c r="J716">
        <v>1</v>
      </c>
      <c r="K716">
        <v>2</v>
      </c>
      <c r="L716" s="22" t="str">
        <f>DAY(D716)&amp;"/"&amp;"07"&amp;"/"&amp;YEAR(D716)</f>
        <v>24/07/2026</v>
      </c>
      <c r="M716" s="23">
        <f>E716-TIME(3,0,0)</f>
        <v>0.58333333333333337</v>
      </c>
      <c r="N716" t="str">
        <f>J716&amp;" - "&amp;K716</f>
        <v>1 - 2</v>
      </c>
      <c r="O716" t="str">
        <f>IF($J716&gt;$K716,"Green","Red")</f>
        <v>Red</v>
      </c>
      <c r="P716" t="str">
        <f>IF($J716=$K716,"Green","Red")</f>
        <v>Red</v>
      </c>
      <c r="Q716" t="str">
        <f>IF($J716&lt;$K716,"Green","Red")</f>
        <v>Green</v>
      </c>
      <c r="R716" t="str">
        <f>IF($J716&gt;=$K716,"Green","Red")</f>
        <v>Red</v>
      </c>
      <c r="S716" t="str">
        <f>IF($J716&lt;=$K716,"Green","Red")</f>
        <v>Green</v>
      </c>
      <c r="T716" t="str">
        <f>IF(OR($J716&gt;$K716,$J716&lt;$K716),"Green","Red")</f>
        <v>Green</v>
      </c>
      <c r="U716" t="str">
        <f>IF($H716&gt;$I716,"Green","Red")</f>
        <v>Green</v>
      </c>
      <c r="V716" t="str">
        <f>IF($H716=$I716,"Green","Red")</f>
        <v>Red</v>
      </c>
      <c r="W716" t="str">
        <f>IF($H716&lt;$I716,"Green","Red")</f>
        <v>Red</v>
      </c>
      <c r="X716" t="str">
        <f>IF($H716+$I716&gt;0,"Green","Red")</f>
        <v>Green</v>
      </c>
      <c r="Y716" t="str">
        <f>IF($J716+$K716&gt;1.5,"Green","Red")</f>
        <v>Green</v>
      </c>
      <c r="Z716" t="str">
        <f>IF($J716+$K716&gt;2.5,"Green","Red")</f>
        <v>Green</v>
      </c>
      <c r="AA716" t="str">
        <f>IF($J716+$K716&lt;2.5,"Green","Red")</f>
        <v>Red</v>
      </c>
      <c r="AB716" t="str">
        <f>IF($J716+$K716&lt;3.5,"Green","Red")</f>
        <v>Green</v>
      </c>
      <c r="AC716" t="str">
        <f>IF(AND($J716&gt;0,$K716&gt;0),"Green","Red")</f>
        <v>Green</v>
      </c>
      <c r="AD716" t="str">
        <f>IF(OR($J716=0,$K716=0),"Green","Red")</f>
        <v>Red</v>
      </c>
    </row>
    <row r="717" spans="1:30" x14ac:dyDescent="0.2">
      <c r="A717" t="str">
        <f>L717&amp;F717&amp;G717</f>
        <v>24/07/2026Deutschlandsberger SCAmstetten</v>
      </c>
      <c r="B717" t="s">
        <v>2331</v>
      </c>
      <c r="C717" t="s">
        <v>2332</v>
      </c>
      <c r="D717" s="2">
        <v>46227</v>
      </c>
      <c r="E717" s="3">
        <v>0.70833333333333337</v>
      </c>
      <c r="F717" t="s">
        <v>2338</v>
      </c>
      <c r="G717" t="s">
        <v>2339</v>
      </c>
      <c r="H717">
        <v>1</v>
      </c>
      <c r="I717">
        <v>0</v>
      </c>
      <c r="J717">
        <v>1</v>
      </c>
      <c r="K717">
        <v>1</v>
      </c>
      <c r="L717" s="22" t="str">
        <f>DAY(D717)&amp;"/"&amp;"07"&amp;"/"&amp;YEAR(D717)</f>
        <v>24/07/2026</v>
      </c>
      <c r="M717" s="23">
        <f>E717-TIME(3,0,0)</f>
        <v>0.58333333333333337</v>
      </c>
      <c r="N717" t="str">
        <f>J717&amp;" - "&amp;K717</f>
        <v>1 - 1</v>
      </c>
      <c r="O717" t="str">
        <f>IF($J717&gt;$K717,"Green","Red")</f>
        <v>Red</v>
      </c>
      <c r="P717" t="str">
        <f>IF($J717=$K717,"Green","Red")</f>
        <v>Green</v>
      </c>
      <c r="Q717" t="str">
        <f>IF($J717&lt;$K717,"Green","Red")</f>
        <v>Red</v>
      </c>
      <c r="R717" t="str">
        <f>IF($J717&gt;=$K717,"Green","Red")</f>
        <v>Green</v>
      </c>
      <c r="S717" t="str">
        <f>IF($J717&lt;=$K717,"Green","Red")</f>
        <v>Green</v>
      </c>
      <c r="T717" t="str">
        <f>IF(OR($J717&gt;$K717,$J717&lt;$K717),"Green","Red")</f>
        <v>Red</v>
      </c>
      <c r="U717" t="str">
        <f>IF($H717&gt;$I717,"Green","Red")</f>
        <v>Green</v>
      </c>
      <c r="V717" t="str">
        <f>IF($H717=$I717,"Green","Red")</f>
        <v>Red</v>
      </c>
      <c r="W717" t="str">
        <f>IF($H717&lt;$I717,"Green","Red")</f>
        <v>Red</v>
      </c>
      <c r="X717" t="str">
        <f>IF($H717+$I717&gt;0,"Green","Red")</f>
        <v>Green</v>
      </c>
      <c r="Y717" t="str">
        <f>IF($J717+$K717&gt;1.5,"Green","Red")</f>
        <v>Green</v>
      </c>
      <c r="Z717" t="str">
        <f>IF($J717+$K717&gt;2.5,"Green","Red")</f>
        <v>Red</v>
      </c>
      <c r="AA717" t="str">
        <f>IF($J717+$K717&lt;2.5,"Green","Red")</f>
        <v>Green</v>
      </c>
      <c r="AB717" t="str">
        <f>IF($J717+$K717&lt;3.5,"Green","Red")</f>
        <v>Green</v>
      </c>
      <c r="AC717" t="str">
        <f>IF(AND($J717&gt;0,$K717&gt;0),"Green","Red")</f>
        <v>Green</v>
      </c>
      <c r="AD717" t="str">
        <f>IF(OR($J717=0,$K717=0),"Green","Red")</f>
        <v>Red</v>
      </c>
    </row>
    <row r="718" spans="1:30" x14ac:dyDescent="0.2">
      <c r="A718" t="str">
        <f>L718&amp;F718&amp;G718</f>
        <v>24/07/2026FC LauterachWolfsberger AC</v>
      </c>
      <c r="B718" t="s">
        <v>2331</v>
      </c>
      <c r="C718" t="s">
        <v>2332</v>
      </c>
      <c r="D718" s="2">
        <v>46227</v>
      </c>
      <c r="E718" s="3">
        <v>0.70833333333333337</v>
      </c>
      <c r="F718" t="s">
        <v>2340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>DAY(D718)&amp;"/"&amp;"07"&amp;"/"&amp;YEAR(D718)</f>
        <v>24/07/2026</v>
      </c>
      <c r="M718" s="23">
        <f>E718-TIME(3,0,0)</f>
        <v>0.58333333333333337</v>
      </c>
      <c r="N718" t="str">
        <f>J718&amp;" - "&amp;K718</f>
        <v>1 - 5</v>
      </c>
      <c r="O718" t="str">
        <f>IF($J718&gt;$K718,"Green","Red")</f>
        <v>Red</v>
      </c>
      <c r="P718" t="str">
        <f>IF($J718=$K718,"Green","Red")</f>
        <v>Red</v>
      </c>
      <c r="Q718" t="str">
        <f>IF($J718&lt;$K718,"Green","Red")</f>
        <v>Green</v>
      </c>
      <c r="R718" t="str">
        <f>IF($J718&gt;=$K718,"Green","Red")</f>
        <v>Red</v>
      </c>
      <c r="S718" t="str">
        <f>IF($J718&lt;=$K718,"Green","Red")</f>
        <v>Green</v>
      </c>
      <c r="T718" t="str">
        <f>IF(OR($J718&gt;$K718,$J718&lt;$K718),"Green","Red")</f>
        <v>Green</v>
      </c>
      <c r="U718" t="str">
        <f>IF($H718&gt;$I718,"Green","Red")</f>
        <v>Red</v>
      </c>
      <c r="V718" t="str">
        <f>IF($H718=$I718,"Green","Red")</f>
        <v>Red</v>
      </c>
      <c r="W718" t="str">
        <f>IF($H718&lt;$I718,"Green","Red")</f>
        <v>Green</v>
      </c>
      <c r="X718" t="str">
        <f>IF($H718+$I718&gt;0,"Green","Red")</f>
        <v>Green</v>
      </c>
      <c r="Y718" t="str">
        <f>IF($J718+$K718&gt;1.5,"Green","Red")</f>
        <v>Green</v>
      </c>
      <c r="Z718" t="str">
        <f>IF($J718+$K718&gt;2.5,"Green","Red")</f>
        <v>Green</v>
      </c>
      <c r="AA718" t="str">
        <f>IF($J718+$K718&lt;2.5,"Green","Red")</f>
        <v>Red</v>
      </c>
      <c r="AB718" t="str">
        <f>IF($J718+$K718&lt;3.5,"Green","Red")</f>
        <v>Red</v>
      </c>
      <c r="AC718" t="str">
        <f>IF(AND($J718&gt;0,$K718&gt;0),"Green","Red")</f>
        <v>Green</v>
      </c>
      <c r="AD718" t="str">
        <f>IF(OR($J718=0,$K718=0),"Green","Red")</f>
        <v>Red</v>
      </c>
    </row>
    <row r="719" spans="1:30" x14ac:dyDescent="0.2">
      <c r="A719" t="str">
        <f>L719&amp;F719&amp;G719</f>
        <v>24/07/2026SV LafnitzUSV Scheiblingkirchen</v>
      </c>
      <c r="B719" t="s">
        <v>2331</v>
      </c>
      <c r="C719" t="s">
        <v>2332</v>
      </c>
      <c r="D719" s="2">
        <v>46227</v>
      </c>
      <c r="E719" s="3">
        <v>0.70833333333333337</v>
      </c>
      <c r="F719" t="s">
        <v>2341</v>
      </c>
      <c r="G719" t="s">
        <v>2342</v>
      </c>
      <c r="H719">
        <v>2</v>
      </c>
      <c r="I719">
        <v>0</v>
      </c>
      <c r="J719">
        <v>3</v>
      </c>
      <c r="K719">
        <v>1</v>
      </c>
      <c r="L719" s="22" t="str">
        <f>DAY(D719)&amp;"/"&amp;"07"&amp;"/"&amp;YEAR(D719)</f>
        <v>24/07/2026</v>
      </c>
      <c r="M719" s="23">
        <f>E719-TIME(3,0,0)</f>
        <v>0.58333333333333337</v>
      </c>
      <c r="N719" t="str">
        <f>J719&amp;" - "&amp;K719</f>
        <v>3 - 1</v>
      </c>
      <c r="O719" t="str">
        <f>IF($J719&gt;$K719,"Green","Red")</f>
        <v>Green</v>
      </c>
      <c r="P719" t="str">
        <f>IF($J719=$K719,"Green","Red")</f>
        <v>Red</v>
      </c>
      <c r="Q719" t="str">
        <f>IF($J719&lt;$K719,"Green","Red")</f>
        <v>Red</v>
      </c>
      <c r="R719" t="str">
        <f>IF($J719&gt;=$K719,"Green","Red")</f>
        <v>Green</v>
      </c>
      <c r="S719" t="str">
        <f>IF($J719&lt;=$K719,"Green","Red")</f>
        <v>Red</v>
      </c>
      <c r="T719" t="str">
        <f>IF(OR($J719&gt;$K719,$J719&lt;$K719),"Green","Red")</f>
        <v>Green</v>
      </c>
      <c r="U719" t="str">
        <f>IF($H719&gt;$I719,"Green","Red")</f>
        <v>Green</v>
      </c>
      <c r="V719" t="str">
        <f>IF($H719=$I719,"Green","Red")</f>
        <v>Red</v>
      </c>
      <c r="W719" t="str">
        <f>IF($H719&lt;$I719,"Green","Red")</f>
        <v>Red</v>
      </c>
      <c r="X719" t="str">
        <f>IF($H719+$I719&gt;0,"Green","Red")</f>
        <v>Green</v>
      </c>
      <c r="Y719" t="str">
        <f>IF($J719+$K719&gt;1.5,"Green","Red")</f>
        <v>Green</v>
      </c>
      <c r="Z719" t="str">
        <f>IF($J719+$K719&gt;2.5,"Green","Red")</f>
        <v>Green</v>
      </c>
      <c r="AA719" t="str">
        <f>IF($J719+$K719&lt;2.5,"Green","Red")</f>
        <v>Red</v>
      </c>
      <c r="AB719" t="str">
        <f>IF($J719+$K719&lt;3.5,"Green","Red")</f>
        <v>Red</v>
      </c>
      <c r="AC719" t="str">
        <f>IF(AND($J719&gt;0,$K719&gt;0),"Green","Red")</f>
        <v>Green</v>
      </c>
      <c r="AD719" t="str">
        <f>IF(OR($J719=0,$K719=0),"Green","Red")</f>
        <v>Red</v>
      </c>
    </row>
    <row r="720" spans="1:30" x14ac:dyDescent="0.2">
      <c r="A720" t="str">
        <f>L720&amp;F720&amp;G720</f>
        <v>24/07/2026SV LeobendorfSCR Altach</v>
      </c>
      <c r="B720" t="s">
        <v>2331</v>
      </c>
      <c r="C720" t="s">
        <v>2332</v>
      </c>
      <c r="D720" s="2">
        <v>46227</v>
      </c>
      <c r="E720" s="3">
        <v>0.70833333333333337</v>
      </c>
      <c r="F720" t="s">
        <v>2343</v>
      </c>
      <c r="G720" t="s">
        <v>2344</v>
      </c>
      <c r="H720">
        <v>0</v>
      </c>
      <c r="I720">
        <v>0</v>
      </c>
      <c r="J720">
        <v>0</v>
      </c>
      <c r="K720">
        <v>1</v>
      </c>
      <c r="L720" s="22" t="str">
        <f>DAY(D720)&amp;"/"&amp;"07"&amp;"/"&amp;YEAR(D720)</f>
        <v>24/07/2026</v>
      </c>
      <c r="M720" s="23">
        <f>E720-TIME(3,0,0)</f>
        <v>0.58333333333333337</v>
      </c>
      <c r="N720" t="str">
        <f>J720&amp;" - "&amp;K720</f>
        <v>0 - 1</v>
      </c>
      <c r="O720" t="str">
        <f>IF($J720&gt;$K720,"Green","Red")</f>
        <v>Red</v>
      </c>
      <c r="P720" t="str">
        <f>IF($J720=$K720,"Green","Red")</f>
        <v>Red</v>
      </c>
      <c r="Q720" t="str">
        <f>IF($J720&lt;$K720,"Green","Red")</f>
        <v>Green</v>
      </c>
      <c r="R720" t="str">
        <f>IF($J720&gt;=$K720,"Green","Red")</f>
        <v>Red</v>
      </c>
      <c r="S720" t="str">
        <f>IF($J720&lt;=$K720,"Green","Red")</f>
        <v>Green</v>
      </c>
      <c r="T720" t="str">
        <f>IF(OR($J720&gt;$K720,$J720&lt;$K720),"Green","Red")</f>
        <v>Green</v>
      </c>
      <c r="U720" t="str">
        <f>IF($H720&gt;$I720,"Green","Red")</f>
        <v>Red</v>
      </c>
      <c r="V720" t="str">
        <f>IF($H720=$I720,"Green","Red")</f>
        <v>Green</v>
      </c>
      <c r="W720" t="str">
        <f>IF($H720&lt;$I720,"Green","Red")</f>
        <v>Red</v>
      </c>
      <c r="X720" t="str">
        <f>IF($H720+$I720&gt;0,"Green","Red")</f>
        <v>Red</v>
      </c>
      <c r="Y720" t="str">
        <f>IF($J720+$K720&gt;1.5,"Green","Red")</f>
        <v>Red</v>
      </c>
      <c r="Z720" t="str">
        <f>IF($J720+$K720&gt;2.5,"Green","Red")</f>
        <v>Red</v>
      </c>
      <c r="AA720" t="str">
        <f>IF($J720+$K720&lt;2.5,"Green","Red")</f>
        <v>Green</v>
      </c>
      <c r="AB720" t="str">
        <f>IF($J720+$K720&lt;3.5,"Green","Red")</f>
        <v>Green</v>
      </c>
      <c r="AC720" t="str">
        <f>IF(AND($J720&gt;0,$K720&gt;0),"Green","Red")</f>
        <v>Red</v>
      </c>
      <c r="AD720" t="str">
        <f>IF(OR($J720=0,$K720=0),"Green","Red")</f>
        <v>Green</v>
      </c>
    </row>
    <row r="721" spans="1:30" x14ac:dyDescent="0.2">
      <c r="A721" t="str">
        <f>L721&amp;F721&amp;G721</f>
        <v>24/07/2026ViborgOB Odense</v>
      </c>
      <c r="D721" s="2">
        <v>46227</v>
      </c>
      <c r="E721" s="3">
        <v>0.70833333333333337</v>
      </c>
      <c r="F721" t="s">
        <v>2420</v>
      </c>
      <c r="G721" t="s">
        <v>2421</v>
      </c>
      <c r="H721">
        <v>0</v>
      </c>
      <c r="I721">
        <v>0</v>
      </c>
      <c r="J721">
        <v>1</v>
      </c>
      <c r="K721">
        <v>0</v>
      </c>
      <c r="L721" s="22" t="str">
        <f>DAY(D721)&amp;"/"&amp;"07"&amp;"/"&amp;YEAR(D721)</f>
        <v>24/07/2026</v>
      </c>
      <c r="M721" s="23">
        <f>E721-TIME(3,0,0)</f>
        <v>0.58333333333333337</v>
      </c>
      <c r="N721" t="str">
        <f>J721&amp;" - "&amp;K721</f>
        <v>1 - 0</v>
      </c>
      <c r="O721" t="str">
        <f>IF($J721&gt;$K721,"Green","Red")</f>
        <v>Green</v>
      </c>
      <c r="P721" t="str">
        <f>IF($J721=$K721,"Green","Red")</f>
        <v>Red</v>
      </c>
      <c r="Q721" t="str">
        <f>IF($J721&lt;$K721,"Green","Red")</f>
        <v>Red</v>
      </c>
      <c r="R721" t="str">
        <f>IF($J721&gt;=$K721,"Green","Red")</f>
        <v>Green</v>
      </c>
      <c r="S721" t="str">
        <f>IF($J721&lt;=$K721,"Green","Red")</f>
        <v>Red</v>
      </c>
      <c r="T721" t="str">
        <f>IF(OR($J721&gt;$K721,$J721&lt;$K721),"Green","Red")</f>
        <v>Green</v>
      </c>
      <c r="U721" t="str">
        <f>IF($H721&gt;$I721,"Green","Red")</f>
        <v>Red</v>
      </c>
      <c r="V721" t="str">
        <f>IF($H721=$I721,"Green","Red")</f>
        <v>Green</v>
      </c>
      <c r="W721" t="str">
        <f>IF($H721&lt;$I721,"Green","Red")</f>
        <v>Red</v>
      </c>
      <c r="X721" t="str">
        <f>IF($H721+$I721&gt;0,"Green","Red")</f>
        <v>Red</v>
      </c>
      <c r="Y721" t="str">
        <f>IF($J721+$K721&gt;1.5,"Green","Red")</f>
        <v>Red</v>
      </c>
      <c r="Z721" t="str">
        <f>IF($J721+$K721&gt;2.5,"Green","Red")</f>
        <v>Red</v>
      </c>
      <c r="AA721" t="str">
        <f>IF($J721+$K721&lt;2.5,"Green","Red")</f>
        <v>Green</v>
      </c>
      <c r="AB721" t="str">
        <f>IF($J721+$K721&lt;3.5,"Green","Red")</f>
        <v>Green</v>
      </c>
      <c r="AC721" t="str">
        <f>IF(AND($J721&gt;0,$K721&gt;0),"Green","Red")</f>
        <v>Red</v>
      </c>
      <c r="AD721" t="str">
        <f>IF(OR($J721=0,$K721=0),"Green","Red")</f>
        <v>Green</v>
      </c>
    </row>
    <row r="722" spans="1:30" x14ac:dyDescent="0.2">
      <c r="A722" t="str">
        <f>L722&amp;F722&amp;G722</f>
        <v>24/07/2026AaB AalborgHillerod</v>
      </c>
      <c r="D722" s="2">
        <v>46227</v>
      </c>
      <c r="E722" s="3">
        <v>0.70833333333333337</v>
      </c>
      <c r="F722" t="s">
        <v>2424</v>
      </c>
      <c r="G722" t="s">
        <v>2425</v>
      </c>
      <c r="H722">
        <v>0</v>
      </c>
      <c r="I722">
        <v>0</v>
      </c>
      <c r="J722">
        <v>1</v>
      </c>
      <c r="K722">
        <v>0</v>
      </c>
      <c r="L722" s="22" t="str">
        <f>DAY(D722)&amp;"/"&amp;"07"&amp;"/"&amp;YEAR(D722)</f>
        <v>24/07/2026</v>
      </c>
      <c r="M722" s="23">
        <f>E722-TIME(3,0,0)</f>
        <v>0.58333333333333337</v>
      </c>
      <c r="N722" t="str">
        <f>J722&amp;" - "&amp;K722</f>
        <v>1 - 0</v>
      </c>
      <c r="O722" t="str">
        <f>IF($J722&gt;$K722,"Green","Red")</f>
        <v>Green</v>
      </c>
      <c r="P722" t="str">
        <f>IF($J722=$K722,"Green","Red")</f>
        <v>Red</v>
      </c>
      <c r="Q722" t="str">
        <f>IF($J722&lt;$K722,"Green","Red")</f>
        <v>Red</v>
      </c>
      <c r="R722" t="str">
        <f>IF($J722&gt;=$K722,"Green","Red")</f>
        <v>Green</v>
      </c>
      <c r="S722" t="str">
        <f>IF($J722&lt;=$K722,"Green","Red")</f>
        <v>Red</v>
      </c>
      <c r="T722" t="str">
        <f>IF(OR($J722&gt;$K722,$J722&lt;$K722),"Green","Red")</f>
        <v>Green</v>
      </c>
      <c r="U722" t="str">
        <f>IF($H722&gt;$I722,"Green","Red")</f>
        <v>Red</v>
      </c>
      <c r="V722" t="str">
        <f>IF($H722=$I722,"Green","Red")</f>
        <v>Green</v>
      </c>
      <c r="W722" t="str">
        <f>IF($H722&lt;$I722,"Green","Red")</f>
        <v>Red</v>
      </c>
      <c r="X722" t="str">
        <f>IF($H722+$I722&gt;0,"Green","Red")</f>
        <v>Red</v>
      </c>
      <c r="Y722" t="str">
        <f>IF($J722+$K722&gt;1.5,"Green","Red")</f>
        <v>Red</v>
      </c>
      <c r="Z722" t="str">
        <f>IF($J722+$K722&gt;2.5,"Green","Red")</f>
        <v>Red</v>
      </c>
      <c r="AA722" t="str">
        <f>IF($J722+$K722&lt;2.5,"Green","Red")</f>
        <v>Green</v>
      </c>
      <c r="AB722" t="str">
        <f>IF($J722+$K722&lt;3.5,"Green","Red")</f>
        <v>Green</v>
      </c>
      <c r="AC722" t="str">
        <f>IF(AND($J722&gt;0,$K722&gt;0),"Green","Red")</f>
        <v>Red</v>
      </c>
      <c r="AD722" t="str">
        <f>IF(OR($J722=0,$K722=0),"Green","Red")</f>
        <v>Green</v>
      </c>
    </row>
    <row r="723" spans="1:30" x14ac:dyDescent="0.2">
      <c r="A723" t="str">
        <f>L723&amp;F723&amp;G723</f>
        <v>24/07/2026Tartu JK TammekaTallinna FC Zealot Sporting</v>
      </c>
      <c r="D723" s="2">
        <v>46227</v>
      </c>
      <c r="E723" s="3">
        <v>0.70833333333333337</v>
      </c>
      <c r="F723" t="s">
        <v>2428</v>
      </c>
      <c r="G723" t="s">
        <v>2429</v>
      </c>
      <c r="H723">
        <v>9</v>
      </c>
      <c r="I723">
        <v>0</v>
      </c>
      <c r="J723">
        <v>19</v>
      </c>
      <c r="K723">
        <v>0</v>
      </c>
      <c r="L723" s="22" t="str">
        <f>DAY(D723)&amp;"/"&amp;"07"&amp;"/"&amp;YEAR(D723)</f>
        <v>24/07/2026</v>
      </c>
      <c r="M723" s="23">
        <f>E723-TIME(3,0,0)</f>
        <v>0.58333333333333337</v>
      </c>
      <c r="N723" t="str">
        <f>J723&amp;" - "&amp;K723</f>
        <v>19 - 0</v>
      </c>
      <c r="O723" t="str">
        <f>IF($J723&gt;$K723,"Green","Red")</f>
        <v>Green</v>
      </c>
      <c r="P723" t="str">
        <f>IF($J723=$K723,"Green","Red")</f>
        <v>Red</v>
      </c>
      <c r="Q723" t="str">
        <f>IF($J723&lt;$K723,"Green","Red")</f>
        <v>Red</v>
      </c>
      <c r="R723" t="str">
        <f>IF($J723&gt;=$K723,"Green","Red")</f>
        <v>Green</v>
      </c>
      <c r="S723" t="str">
        <f>IF($J723&lt;=$K723,"Green","Red")</f>
        <v>Red</v>
      </c>
      <c r="T723" t="str">
        <f>IF(OR($J723&gt;$K723,$J723&lt;$K723),"Green","Red")</f>
        <v>Green</v>
      </c>
      <c r="U723" t="str">
        <f>IF($H723&gt;$I723,"Green","Red")</f>
        <v>Green</v>
      </c>
      <c r="V723" t="str">
        <f>IF($H723=$I723,"Green","Red")</f>
        <v>Red</v>
      </c>
      <c r="W723" t="str">
        <f>IF($H723&lt;$I723,"Green","Red")</f>
        <v>Red</v>
      </c>
      <c r="X723" t="str">
        <f>IF($H723+$I723&gt;0,"Green","Red")</f>
        <v>Green</v>
      </c>
      <c r="Y723" t="str">
        <f>IF($J723+$K723&gt;1.5,"Green","Red")</f>
        <v>Green</v>
      </c>
      <c r="Z723" t="str">
        <f>IF($J723+$K723&gt;2.5,"Green","Red")</f>
        <v>Green</v>
      </c>
      <c r="AA723" t="str">
        <f>IF($J723+$K723&lt;2.5,"Green","Red")</f>
        <v>Red</v>
      </c>
      <c r="AB723" t="str">
        <f>IF($J723+$K723&lt;3.5,"Green","Red")</f>
        <v>Red</v>
      </c>
      <c r="AC723" t="str">
        <f>IF(AND($J723&gt;0,$K723&gt;0),"Green","Red")</f>
        <v>Red</v>
      </c>
      <c r="AD723" t="str">
        <f>IF(OR($J723=0,$K723=0),"Green","Red")</f>
        <v>Green</v>
      </c>
    </row>
    <row r="724" spans="1:30" x14ac:dyDescent="0.2">
      <c r="A724" t="str">
        <f>L724&amp;F724&amp;G724</f>
        <v>24/07/2026FSV 63 LuckenwaldeLokomotive Leipzig</v>
      </c>
      <c r="D724" s="2">
        <v>46227</v>
      </c>
      <c r="E724" s="3">
        <v>0.70833333333333337</v>
      </c>
      <c r="F724" t="s">
        <v>2472</v>
      </c>
      <c r="G724" t="s">
        <v>2473</v>
      </c>
      <c r="H724">
        <v>1</v>
      </c>
      <c r="I724">
        <v>1</v>
      </c>
      <c r="J724">
        <v>1</v>
      </c>
      <c r="K724">
        <v>3</v>
      </c>
      <c r="L724" s="22" t="str">
        <f>DAY(D724)&amp;"/"&amp;"07"&amp;"/"&amp;YEAR(D724)</f>
        <v>24/07/2026</v>
      </c>
      <c r="M724" s="23">
        <f>E724-TIME(3,0,0)</f>
        <v>0.58333333333333337</v>
      </c>
      <c r="N724" t="str">
        <f>J724&amp;" - "&amp;K724</f>
        <v>1 - 3</v>
      </c>
      <c r="O724" t="str">
        <f>IF($J724&gt;$K724,"Green","Red")</f>
        <v>Red</v>
      </c>
      <c r="P724" t="str">
        <f>IF($J724=$K724,"Green","Red")</f>
        <v>Red</v>
      </c>
      <c r="Q724" t="str">
        <f>IF($J724&lt;$K724,"Green","Red")</f>
        <v>Green</v>
      </c>
      <c r="R724" t="str">
        <f>IF($J724&gt;=$K724,"Green","Red")</f>
        <v>Red</v>
      </c>
      <c r="S724" t="str">
        <f>IF($J724&lt;=$K724,"Green","Red")</f>
        <v>Green</v>
      </c>
      <c r="T724" t="str">
        <f>IF(OR($J724&gt;$K724,$J724&lt;$K724),"Green","Red")</f>
        <v>Green</v>
      </c>
      <c r="U724" t="str">
        <f>IF($H724&gt;$I724,"Green","Red")</f>
        <v>Red</v>
      </c>
      <c r="V724" t="str">
        <f>IF($H724=$I724,"Green","Red")</f>
        <v>Green</v>
      </c>
      <c r="W724" t="str">
        <f>IF($H724&lt;$I724,"Green","Red")</f>
        <v>Red</v>
      </c>
      <c r="X724" t="str">
        <f>IF($H724+$I724&gt;0,"Green","Red")</f>
        <v>Green</v>
      </c>
      <c r="Y724" t="str">
        <f>IF($J724+$K724&gt;1.5,"Green","Red")</f>
        <v>Green</v>
      </c>
      <c r="Z724" t="str">
        <f>IF($J724+$K724&gt;2.5,"Green","Red")</f>
        <v>Green</v>
      </c>
      <c r="AA724" t="str">
        <f>IF($J724+$K724&lt;2.5,"Green","Red")</f>
        <v>Red</v>
      </c>
      <c r="AB724" t="str">
        <f>IF($J724+$K724&lt;3.5,"Green","Red")</f>
        <v>Red</v>
      </c>
      <c r="AC724" t="str">
        <f>IF(AND($J724&gt;0,$K724&gt;0),"Green","Red")</f>
        <v>Green</v>
      </c>
      <c r="AD724" t="str">
        <f>IF(OR($J724=0,$K724=0),"Green","Red")</f>
        <v>Red</v>
      </c>
    </row>
    <row r="725" spans="1:30" x14ac:dyDescent="0.2">
      <c r="A725" t="str">
        <f>L725&amp;F725&amp;G725</f>
        <v>24/07/2026Rot Weiss ErfurtBerliner Dynamo</v>
      </c>
      <c r="D725" s="2">
        <v>46227</v>
      </c>
      <c r="E725" s="3">
        <v>0.70833333333333337</v>
      </c>
      <c r="F725" t="s">
        <v>2474</v>
      </c>
      <c r="G725" t="s">
        <v>2475</v>
      </c>
      <c r="H725">
        <v>4</v>
      </c>
      <c r="I725">
        <v>0</v>
      </c>
      <c r="J725">
        <v>4</v>
      </c>
      <c r="K725">
        <v>1</v>
      </c>
      <c r="L725" s="22" t="str">
        <f>DAY(D725)&amp;"/"&amp;"07"&amp;"/"&amp;YEAR(D725)</f>
        <v>24/07/2026</v>
      </c>
      <c r="M725" s="23">
        <f>E725-TIME(3,0,0)</f>
        <v>0.58333333333333337</v>
      </c>
      <c r="N725" t="str">
        <f>J725&amp;" - "&amp;K725</f>
        <v>4 - 1</v>
      </c>
      <c r="O725" t="str">
        <f>IF($J725&gt;$K725,"Green","Red")</f>
        <v>Green</v>
      </c>
      <c r="P725" t="str">
        <f>IF($J725=$K725,"Green","Red")</f>
        <v>Red</v>
      </c>
      <c r="Q725" t="str">
        <f>IF($J725&lt;$K725,"Green","Red")</f>
        <v>Red</v>
      </c>
      <c r="R725" t="str">
        <f>IF($J725&gt;=$K725,"Green","Red")</f>
        <v>Green</v>
      </c>
      <c r="S725" t="str">
        <f>IF($J725&lt;=$K725,"Green","Red")</f>
        <v>Red</v>
      </c>
      <c r="T725" t="str">
        <f>IF(OR($J725&gt;$K725,$J725&lt;$K725),"Green","Red")</f>
        <v>Green</v>
      </c>
      <c r="U725" t="str">
        <f>IF($H725&gt;$I725,"Green","Red")</f>
        <v>Green</v>
      </c>
      <c r="V725" t="str">
        <f>IF($H725=$I725,"Green","Red")</f>
        <v>Red</v>
      </c>
      <c r="W725" t="str">
        <f>IF($H725&lt;$I725,"Green","Red")</f>
        <v>Red</v>
      </c>
      <c r="X725" t="str">
        <f>IF($H725+$I725&gt;0,"Green","Red")</f>
        <v>Green</v>
      </c>
      <c r="Y725" t="str">
        <f>IF($J725+$K725&gt;1.5,"Green","Red")</f>
        <v>Green</v>
      </c>
      <c r="Z725" t="str">
        <f>IF($J725+$K725&gt;2.5,"Green","Red")</f>
        <v>Green</v>
      </c>
      <c r="AA725" t="str">
        <f>IF($J725+$K725&lt;2.5,"Green","Red")</f>
        <v>Red</v>
      </c>
      <c r="AB725" t="str">
        <f>IF($J725+$K725&lt;3.5,"Green","Red")</f>
        <v>Red</v>
      </c>
      <c r="AC725" t="str">
        <f>IF(AND($J725&gt;0,$K725&gt;0),"Green","Red")</f>
        <v>Green</v>
      </c>
      <c r="AD725" t="str">
        <f>IF(OR($J725=0,$K725=0),"Green","Red")</f>
        <v>Red</v>
      </c>
    </row>
    <row r="726" spans="1:30" x14ac:dyDescent="0.2">
      <c r="A726" t="str">
        <f>L726&amp;F726&amp;G726</f>
        <v>24/07/2026DJK GebenbachIngolstadt II</v>
      </c>
      <c r="D726" s="2">
        <v>46227</v>
      </c>
      <c r="E726" s="3">
        <v>0.70833333333333337</v>
      </c>
      <c r="F726" t="s">
        <v>2478</v>
      </c>
      <c r="G726" t="s">
        <v>2479</v>
      </c>
      <c r="H726">
        <v>1</v>
      </c>
      <c r="I726">
        <v>0</v>
      </c>
      <c r="J726">
        <v>3</v>
      </c>
      <c r="K726">
        <v>1</v>
      </c>
      <c r="L726" s="22" t="str">
        <f>DAY(D726)&amp;"/"&amp;"07"&amp;"/"&amp;YEAR(D726)</f>
        <v>24/07/2026</v>
      </c>
      <c r="M726" s="23">
        <f>E726-TIME(3,0,0)</f>
        <v>0.58333333333333337</v>
      </c>
      <c r="N726" t="str">
        <f>J726&amp;" - "&amp;K726</f>
        <v>3 - 1</v>
      </c>
      <c r="O726" t="str">
        <f>IF($J726&gt;$K726,"Green","Red")</f>
        <v>Green</v>
      </c>
      <c r="P726" t="str">
        <f>IF($J726=$K726,"Green","Red")</f>
        <v>Red</v>
      </c>
      <c r="Q726" t="str">
        <f>IF($J726&lt;$K726,"Green","Red")</f>
        <v>Red</v>
      </c>
      <c r="R726" t="str">
        <f>IF($J726&gt;=$K726,"Green","Red")</f>
        <v>Green</v>
      </c>
      <c r="S726" t="str">
        <f>IF($J726&lt;=$K726,"Green","Red")</f>
        <v>Red</v>
      </c>
      <c r="T726" t="str">
        <f>IF(OR($J726&gt;$K726,$J726&lt;$K726),"Green","Red")</f>
        <v>Green</v>
      </c>
      <c r="U726" t="str">
        <f>IF($H726&gt;$I726,"Green","Red")</f>
        <v>Green</v>
      </c>
      <c r="V726" t="str">
        <f>IF($H726=$I726,"Green","Red")</f>
        <v>Red</v>
      </c>
      <c r="W726" t="str">
        <f>IF($H726&lt;$I726,"Green","Red")</f>
        <v>Red</v>
      </c>
      <c r="X726" t="str">
        <f>IF($H726+$I726&gt;0,"Green","Red")</f>
        <v>Green</v>
      </c>
      <c r="Y726" t="str">
        <f>IF($J726+$K726&gt;1.5,"Green","Red")</f>
        <v>Green</v>
      </c>
      <c r="Z726" t="str">
        <f>IF($J726+$K726&gt;2.5,"Green","Red")</f>
        <v>Green</v>
      </c>
      <c r="AA726" t="str">
        <f>IF($J726+$K726&lt;2.5,"Green","Red")</f>
        <v>Red</v>
      </c>
      <c r="AB726" t="str">
        <f>IF($J726+$K726&lt;3.5,"Green","Red")</f>
        <v>Red</v>
      </c>
      <c r="AC726" t="str">
        <f>IF(AND($J726&gt;0,$K726&gt;0),"Green","Red")</f>
        <v>Green</v>
      </c>
      <c r="AD726" t="str">
        <f>IF(OR($J726=0,$K726=0),"Green","Red")</f>
        <v>Red</v>
      </c>
    </row>
    <row r="727" spans="1:30" x14ac:dyDescent="0.2">
      <c r="A727" t="str">
        <f>L727&amp;F727&amp;G727</f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2480</v>
      </c>
      <c r="H727">
        <v>0</v>
      </c>
      <c r="I727">
        <v>0</v>
      </c>
      <c r="J727">
        <v>0</v>
      </c>
      <c r="K727">
        <v>0</v>
      </c>
      <c r="L727" s="22" t="str">
        <f>DAY(D727)&amp;"/"&amp;"07"&amp;"/"&amp;YEAR(D727)</f>
        <v>24/07/2026</v>
      </c>
      <c r="M727" s="23">
        <f>E727-TIME(3,0,0)</f>
        <v>0.58333333333333337</v>
      </c>
      <c r="N727" t="str">
        <f>J727&amp;" - "&amp;K727</f>
        <v>0 - 0</v>
      </c>
      <c r="O727" t="str">
        <f>IF($J727&gt;$K727,"Green","Red")</f>
        <v>Red</v>
      </c>
      <c r="P727" t="str">
        <f>IF($J727=$K727,"Green","Red")</f>
        <v>Green</v>
      </c>
      <c r="Q727" t="str">
        <f>IF($J727&lt;$K727,"Green","Red")</f>
        <v>Red</v>
      </c>
      <c r="R727" t="str">
        <f>IF($J727&gt;=$K727,"Green","Red")</f>
        <v>Green</v>
      </c>
      <c r="S727" t="str">
        <f>IF($J727&lt;=$K727,"Green","Red")</f>
        <v>Green</v>
      </c>
      <c r="T727" t="str">
        <f>IF(OR($J727&gt;$K727,$J727&lt;$K727),"Green","Red")</f>
        <v>Red</v>
      </c>
      <c r="U727" t="str">
        <f>IF($H727&gt;$I727,"Green","Red")</f>
        <v>Red</v>
      </c>
      <c r="V727" t="str">
        <f>IF($H727=$I727,"Green","Red")</f>
        <v>Green</v>
      </c>
      <c r="W727" t="str">
        <f>IF($H727&lt;$I727,"Green","Red")</f>
        <v>Red</v>
      </c>
      <c r="X727" t="str">
        <f>IF($H727+$I727&gt;0,"Green","Red")</f>
        <v>Red</v>
      </c>
      <c r="Y727" t="str">
        <f>IF($J727+$K727&gt;1.5,"Green","Red")</f>
        <v>Red</v>
      </c>
      <c r="Z727" t="str">
        <f>IF($J727+$K727&gt;2.5,"Green","Red")</f>
        <v>Red</v>
      </c>
      <c r="AA727" t="str">
        <f>IF($J727+$K727&lt;2.5,"Green","Red")</f>
        <v>Green</v>
      </c>
      <c r="AB727" t="str">
        <f>IF($J727+$K727&lt;3.5,"Green","Red")</f>
        <v>Green</v>
      </c>
      <c r="AC727" t="str">
        <f>IF(AND($J727&gt;0,$K727&gt;0),"Green","Red")</f>
        <v>Red</v>
      </c>
      <c r="AD727" t="str">
        <f>IF(OR($J727=0,$K727=0),"Green","Red")</f>
        <v>Green</v>
      </c>
    </row>
    <row r="728" spans="1:30" x14ac:dyDescent="0.2">
      <c r="A728" t="str">
        <f>L728&amp;F728&amp;G728</f>
        <v>24/07/2026WeidenASV Cham</v>
      </c>
      <c r="D728" s="2">
        <v>46227</v>
      </c>
      <c r="E728" s="3">
        <v>0.70833333333333337</v>
      </c>
      <c r="F728" t="s">
        <v>1346</v>
      </c>
      <c r="G728" t="s">
        <v>2481</v>
      </c>
      <c r="H728">
        <v>0</v>
      </c>
      <c r="I728">
        <v>0</v>
      </c>
      <c r="J728">
        <v>0</v>
      </c>
      <c r="K728">
        <v>1</v>
      </c>
      <c r="L728" s="22" t="str">
        <f>DAY(D728)&amp;"/"&amp;"07"&amp;"/"&amp;YEAR(D728)</f>
        <v>24/07/2026</v>
      </c>
      <c r="M728" s="23">
        <f>E728-TIME(3,0,0)</f>
        <v>0.58333333333333337</v>
      </c>
      <c r="N728" t="str">
        <f>J728&amp;" - "&amp;K728</f>
        <v>0 - 1</v>
      </c>
      <c r="O728" t="str">
        <f>IF($J728&gt;$K728,"Green","Red")</f>
        <v>Red</v>
      </c>
      <c r="P728" t="str">
        <f>IF($J728=$K728,"Green","Red")</f>
        <v>Red</v>
      </c>
      <c r="Q728" t="str">
        <f>IF($J728&lt;$K728,"Green","Red")</f>
        <v>Green</v>
      </c>
      <c r="R728" t="str">
        <f>IF($J728&gt;=$K728,"Green","Red")</f>
        <v>Red</v>
      </c>
      <c r="S728" t="str">
        <f>IF($J728&lt;=$K728,"Green","Red")</f>
        <v>Green</v>
      </c>
      <c r="T728" t="str">
        <f>IF(OR($J728&gt;$K728,$J728&lt;$K728),"Green","Red")</f>
        <v>Green</v>
      </c>
      <c r="U728" t="str">
        <f>IF($H728&gt;$I728,"Green","Red")</f>
        <v>Red</v>
      </c>
      <c r="V728" t="str">
        <f>IF($H728=$I728,"Green","Red")</f>
        <v>Green</v>
      </c>
      <c r="W728" t="str">
        <f>IF($H728&lt;$I728,"Green","Red")</f>
        <v>Red</v>
      </c>
      <c r="X728" t="str">
        <f>IF($H728+$I728&gt;0,"Green","Red")</f>
        <v>Red</v>
      </c>
      <c r="Y728" t="str">
        <f>IF($J728+$K728&gt;1.5,"Green","Red")</f>
        <v>Red</v>
      </c>
      <c r="Z728" t="str">
        <f>IF($J728+$K728&gt;2.5,"Green","Red")</f>
        <v>Red</v>
      </c>
      <c r="AA728" t="str">
        <f>IF($J728+$K728&lt;2.5,"Green","Red")</f>
        <v>Green</v>
      </c>
      <c r="AB728" t="str">
        <f>IF($J728+$K728&lt;3.5,"Green","Red")</f>
        <v>Green</v>
      </c>
      <c r="AC728" t="str">
        <f>IF(AND($J728&gt;0,$K728&gt;0),"Green","Red")</f>
        <v>Red</v>
      </c>
      <c r="AD728" t="str">
        <f>IF(OR($J728=0,$K728=0),"Green","Red")</f>
        <v>Green</v>
      </c>
    </row>
    <row r="729" spans="1:30" x14ac:dyDescent="0.2">
      <c r="A729" t="str">
        <f>L729&amp;F729&amp;G729</f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>DAY(D729)&amp;"/"&amp;"07"&amp;"/"&amp;YEAR(D729)</f>
        <v>24/07/2026</v>
      </c>
      <c r="M729" s="23">
        <f>E729-TIME(3,0,0)</f>
        <v>0.58333333333333337</v>
      </c>
      <c r="N729" t="str">
        <f>J729&amp;" - "&amp;K729</f>
        <v>1 - 2</v>
      </c>
      <c r="O729" t="str">
        <f>IF($J729&gt;$K729,"Green","Red")</f>
        <v>Red</v>
      </c>
      <c r="P729" t="str">
        <f>IF($J729=$K729,"Green","Red")</f>
        <v>Red</v>
      </c>
      <c r="Q729" t="str">
        <f>IF($J729&lt;$K729,"Green","Red")</f>
        <v>Green</v>
      </c>
      <c r="R729" t="str">
        <f>IF($J729&gt;=$K729,"Green","Red")</f>
        <v>Red</v>
      </c>
      <c r="S729" t="str">
        <f>IF($J729&lt;=$K729,"Green","Red")</f>
        <v>Green</v>
      </c>
      <c r="T729" t="str">
        <f>IF(OR($J729&gt;$K729,$J729&lt;$K729),"Green","Red")</f>
        <v>Green</v>
      </c>
      <c r="U729" t="str">
        <f>IF($H729&gt;$I729,"Green","Red")</f>
        <v>Red</v>
      </c>
      <c r="V729" t="str">
        <f>IF($H729=$I729,"Green","Red")</f>
        <v>Red</v>
      </c>
      <c r="W729" t="str">
        <f>IF($H729&lt;$I729,"Green","Red")</f>
        <v>Green</v>
      </c>
      <c r="X729" t="str">
        <f>IF($H729+$I729&gt;0,"Green","Red")</f>
        <v>Green</v>
      </c>
      <c r="Y729" t="str">
        <f>IF($J729+$K729&gt;1.5,"Green","Red")</f>
        <v>Green</v>
      </c>
      <c r="Z729" t="str">
        <f>IF($J729+$K729&gt;2.5,"Green","Red")</f>
        <v>Green</v>
      </c>
      <c r="AA729" t="str">
        <f>IF($J729+$K729&lt;2.5,"Green","Red")</f>
        <v>Red</v>
      </c>
      <c r="AB729" t="str">
        <f>IF($J729+$K729&lt;3.5,"Green","Red")</f>
        <v>Green</v>
      </c>
      <c r="AC729" t="str">
        <f>IF(AND($J729&gt;0,$K729&gt;0),"Green","Red")</f>
        <v>Green</v>
      </c>
      <c r="AD729" t="str">
        <f>IF(OR($J729=0,$K729=0),"Green","Red")</f>
        <v>Red</v>
      </c>
    </row>
    <row r="730" spans="1:30" x14ac:dyDescent="0.2">
      <c r="A730" t="str">
        <f>L730&amp;F730&amp;G730</f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2486</v>
      </c>
      <c r="H730">
        <v>1</v>
      </c>
      <c r="I730">
        <v>3</v>
      </c>
      <c r="J730">
        <v>1</v>
      </c>
      <c r="K730">
        <v>3</v>
      </c>
      <c r="L730" s="22" t="str">
        <f>DAY(D730)&amp;"/"&amp;"07"&amp;"/"&amp;YEAR(D730)</f>
        <v>24/07/2026</v>
      </c>
      <c r="M730" s="23">
        <f>E730-TIME(3,0,0)</f>
        <v>0.58333333333333337</v>
      </c>
      <c r="N730" t="str">
        <f>J730&amp;" - "&amp;K730</f>
        <v>1 - 3</v>
      </c>
      <c r="O730" t="str">
        <f>IF($J730&gt;$K730,"Green","Red")</f>
        <v>Red</v>
      </c>
      <c r="P730" t="str">
        <f>IF($J730=$K730,"Green","Red")</f>
        <v>Red</v>
      </c>
      <c r="Q730" t="str">
        <f>IF($J730&lt;$K730,"Green","Red")</f>
        <v>Green</v>
      </c>
      <c r="R730" t="str">
        <f>IF($J730&gt;=$K730,"Green","Red")</f>
        <v>Red</v>
      </c>
      <c r="S730" t="str">
        <f>IF($J730&lt;=$K730,"Green","Red")</f>
        <v>Green</v>
      </c>
      <c r="T730" t="str">
        <f>IF(OR($J730&gt;$K730,$J730&lt;$K730),"Green","Red")</f>
        <v>Green</v>
      </c>
      <c r="U730" t="str">
        <f>IF($H730&gt;$I730,"Green","Red")</f>
        <v>Red</v>
      </c>
      <c r="V730" t="str">
        <f>IF($H730=$I730,"Green","Red")</f>
        <v>Red</v>
      </c>
      <c r="W730" t="str">
        <f>IF($H730&lt;$I730,"Green","Red")</f>
        <v>Green</v>
      </c>
      <c r="X730" t="str">
        <f>IF($H730+$I730&gt;0,"Green","Red")</f>
        <v>Green</v>
      </c>
      <c r="Y730" t="str">
        <f>IF($J730+$K730&gt;1.5,"Green","Red")</f>
        <v>Green</v>
      </c>
      <c r="Z730" t="str">
        <f>IF($J730+$K730&gt;2.5,"Green","Red")</f>
        <v>Green</v>
      </c>
      <c r="AA730" t="str">
        <f>IF($J730+$K730&lt;2.5,"Green","Red")</f>
        <v>Red</v>
      </c>
      <c r="AB730" t="str">
        <f>IF($J730+$K730&lt;3.5,"Green","Red")</f>
        <v>Red</v>
      </c>
      <c r="AC730" t="str">
        <f>IF(AND($J730&gt;0,$K730&gt;0),"Green","Red")</f>
        <v>Green</v>
      </c>
      <c r="AD730" t="str">
        <f>IF(OR($J730=0,$K730=0),"Green","Red")</f>
        <v>Red</v>
      </c>
    </row>
    <row r="731" spans="1:30" x14ac:dyDescent="0.2">
      <c r="A731" t="str">
        <f>L731&amp;F731&amp;G731</f>
        <v>24/07/2026Al EttifaqYork City</v>
      </c>
      <c r="D731" s="2">
        <v>46227</v>
      </c>
      <c r="E731" s="3">
        <v>0.70833333333333337</v>
      </c>
      <c r="F731" t="s">
        <v>2674</v>
      </c>
      <c r="G731" t="s">
        <v>2675</v>
      </c>
      <c r="H731">
        <v>1</v>
      </c>
      <c r="I731">
        <v>1</v>
      </c>
      <c r="J731">
        <v>2</v>
      </c>
      <c r="K731">
        <v>2</v>
      </c>
      <c r="L731" s="22" t="str">
        <f>DAY(D731)&amp;"/"&amp;"07"&amp;"/"&amp;YEAR(D731)</f>
        <v>24/07/2026</v>
      </c>
      <c r="M731" s="23">
        <f>E731-TIME(3,0,0)</f>
        <v>0.58333333333333337</v>
      </c>
      <c r="N731" t="str">
        <f>J731&amp;" - "&amp;K731</f>
        <v>2 - 2</v>
      </c>
      <c r="O731" t="str">
        <f>IF($J731&gt;$K731,"Green","Red")</f>
        <v>Red</v>
      </c>
      <c r="P731" t="str">
        <f>IF($J731=$K731,"Green","Red")</f>
        <v>Green</v>
      </c>
      <c r="Q731" t="str">
        <f>IF($J731&lt;$K731,"Green","Red")</f>
        <v>Red</v>
      </c>
      <c r="R731" t="str">
        <f>IF($J731&gt;=$K731,"Green","Red")</f>
        <v>Green</v>
      </c>
      <c r="S731" t="str">
        <f>IF($J731&lt;=$K731,"Green","Red")</f>
        <v>Green</v>
      </c>
      <c r="T731" t="str">
        <f>IF(OR($J731&gt;$K731,$J731&lt;$K731),"Green","Red")</f>
        <v>Red</v>
      </c>
      <c r="U731" t="str">
        <f>IF($H731&gt;$I731,"Green","Red")</f>
        <v>Red</v>
      </c>
      <c r="V731" t="str">
        <f>IF($H731=$I731,"Green","Red")</f>
        <v>Green</v>
      </c>
      <c r="W731" t="str">
        <f>IF($H731&lt;$I731,"Green","Red")</f>
        <v>Red</v>
      </c>
      <c r="X731" t="str">
        <f>IF($H731+$I731&gt;0,"Green","Red")</f>
        <v>Green</v>
      </c>
      <c r="Y731" t="str">
        <f>IF($J731+$K731&gt;1.5,"Green","Red")</f>
        <v>Green</v>
      </c>
      <c r="Z731" t="str">
        <f>IF($J731+$K731&gt;2.5,"Green","Red")</f>
        <v>Green</v>
      </c>
      <c r="AA731" t="str">
        <f>IF($J731+$K731&lt;2.5,"Green","Red")</f>
        <v>Red</v>
      </c>
      <c r="AB731" t="str">
        <f>IF($J731+$K731&lt;3.5,"Green","Red")</f>
        <v>Red</v>
      </c>
      <c r="AC731" t="str">
        <f>IF(AND($J731&gt;0,$K731&gt;0),"Green","Red")</f>
        <v>Green</v>
      </c>
      <c r="AD731" t="str">
        <f>IF(OR($J731=0,$K731=0),"Green","Red")</f>
        <v>Red</v>
      </c>
    </row>
    <row r="732" spans="1:30" x14ac:dyDescent="0.2">
      <c r="A732" t="str">
        <f>L732&amp;F732&amp;G732</f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2676</v>
      </c>
      <c r="H732">
        <v>3</v>
      </c>
      <c r="I732">
        <v>1</v>
      </c>
      <c r="J732">
        <v>5</v>
      </c>
      <c r="K732">
        <v>1</v>
      </c>
      <c r="L732" s="22" t="str">
        <f>DAY(D732)&amp;"/"&amp;"07"&amp;"/"&amp;YEAR(D732)</f>
        <v>24/07/2026</v>
      </c>
      <c r="M732" s="23">
        <f>E732-TIME(3,0,0)</f>
        <v>0.58333333333333337</v>
      </c>
      <c r="N732" t="str">
        <f>J732&amp;" - "&amp;K732</f>
        <v>5 - 1</v>
      </c>
      <c r="O732" t="str">
        <f>IF($J732&gt;$K732,"Green","Red")</f>
        <v>Green</v>
      </c>
      <c r="P732" t="str">
        <f>IF($J732=$K732,"Green","Red")</f>
        <v>Red</v>
      </c>
      <c r="Q732" t="str">
        <f>IF($J732&lt;$K732,"Green","Red")</f>
        <v>Red</v>
      </c>
      <c r="R732" t="str">
        <f>IF($J732&gt;=$K732,"Green","Red")</f>
        <v>Green</v>
      </c>
      <c r="S732" t="str">
        <f>IF($J732&lt;=$K732,"Green","Red")</f>
        <v>Red</v>
      </c>
      <c r="T732" t="str">
        <f>IF(OR($J732&gt;$K732,$J732&lt;$K732),"Green","Red")</f>
        <v>Green</v>
      </c>
      <c r="U732" t="str">
        <f>IF($H732&gt;$I732,"Green","Red")</f>
        <v>Green</v>
      </c>
      <c r="V732" t="str">
        <f>IF($H732=$I732,"Green","Red")</f>
        <v>Red</v>
      </c>
      <c r="W732" t="str">
        <f>IF($H732&lt;$I732,"Green","Red")</f>
        <v>Red</v>
      </c>
      <c r="X732" t="str">
        <f>IF($H732+$I732&gt;0,"Green","Red")</f>
        <v>Green</v>
      </c>
      <c r="Y732" t="str">
        <f>IF($J732+$K732&gt;1.5,"Green","Red")</f>
        <v>Green</v>
      </c>
      <c r="Z732" t="str">
        <f>IF($J732+$K732&gt;2.5,"Green","Red")</f>
        <v>Green</v>
      </c>
      <c r="AA732" t="str">
        <f>IF($J732+$K732&lt;2.5,"Green","Red")</f>
        <v>Red</v>
      </c>
      <c r="AB732" t="str">
        <f>IF($J732+$K732&lt;3.5,"Green","Red")</f>
        <v>Red</v>
      </c>
      <c r="AC732" t="str">
        <f>IF(AND($J732&gt;0,$K732&gt;0),"Green","Red")</f>
        <v>Green</v>
      </c>
      <c r="AD732" t="str">
        <f>IF(OR($J732=0,$K732=0),"Green","Red")</f>
        <v>Red</v>
      </c>
    </row>
    <row r="733" spans="1:30" x14ac:dyDescent="0.2">
      <c r="A733" t="str">
        <f>L733&amp;F733&amp;G733</f>
        <v>24/07/2026Blau-Weiss LohneOsnabruck</v>
      </c>
      <c r="D733" s="2">
        <v>46227</v>
      </c>
      <c r="E733" s="3">
        <v>0.70833333333333337</v>
      </c>
      <c r="F733" t="s">
        <v>2677</v>
      </c>
      <c r="G733" t="s">
        <v>2678</v>
      </c>
      <c r="L733" s="22" t="str">
        <f>DAY(D733)&amp;"/"&amp;"07"&amp;"/"&amp;YEAR(D733)</f>
        <v>24/07/2026</v>
      </c>
      <c r="M733" s="23">
        <f>E733-TIME(3,0,0)</f>
        <v>0.58333333333333337</v>
      </c>
      <c r="N733" t="str">
        <f>J733&amp;" - "&amp;K733</f>
        <v xml:space="preserve"> - </v>
      </c>
      <c r="O733" t="str">
        <f>IF($J733&gt;$K733,"Green","Red")</f>
        <v>Red</v>
      </c>
      <c r="P733" t="str">
        <f>IF($J733=$K733,"Green","Red")</f>
        <v>Green</v>
      </c>
      <c r="Q733" t="str">
        <f>IF($J733&lt;$K733,"Green","Red")</f>
        <v>Red</v>
      </c>
      <c r="R733" t="str">
        <f>IF($J733&gt;=$K733,"Green","Red")</f>
        <v>Green</v>
      </c>
      <c r="S733" t="str">
        <f>IF($J733&lt;=$K733,"Green","Red")</f>
        <v>Green</v>
      </c>
      <c r="T733" t="str">
        <f>IF(OR($J733&gt;$K733,$J733&lt;$K733),"Green","Red")</f>
        <v>Red</v>
      </c>
      <c r="U733" t="str">
        <f>IF($H733&gt;$I733,"Green","Red")</f>
        <v>Red</v>
      </c>
      <c r="V733" t="str">
        <f>IF($H733=$I733,"Green","Red")</f>
        <v>Green</v>
      </c>
      <c r="W733" t="str">
        <f>IF($H733&lt;$I733,"Green","Red")</f>
        <v>Red</v>
      </c>
      <c r="X733" t="str">
        <f>IF($H733+$I733&gt;0,"Green","Red")</f>
        <v>Red</v>
      </c>
      <c r="Y733" t="str">
        <f>IF($J733+$K733&gt;1.5,"Green","Red")</f>
        <v>Red</v>
      </c>
      <c r="Z733" t="str">
        <f>IF($J733+$K733&gt;2.5,"Green","Red")</f>
        <v>Red</v>
      </c>
      <c r="AA733" t="str">
        <f>IF($J733+$K733&lt;2.5,"Green","Red")</f>
        <v>Green</v>
      </c>
      <c r="AB733" t="str">
        <f>IF($J733+$K733&lt;3.5,"Green","Red")</f>
        <v>Green</v>
      </c>
      <c r="AC733" t="str">
        <f>IF(AND($J733&gt;0,$K733&gt;0),"Green","Red")</f>
        <v>Red</v>
      </c>
      <c r="AD733" t="str">
        <f>IF(OR($J733=0,$K733=0),"Green","Red")</f>
        <v>Green</v>
      </c>
    </row>
    <row r="734" spans="1:30" x14ac:dyDescent="0.2">
      <c r="A734" t="str">
        <f>L734&amp;F734&amp;G734</f>
        <v>24/07/2026ElcheJohor Darul</v>
      </c>
      <c r="D734" s="2">
        <v>46227</v>
      </c>
      <c r="E734" s="3">
        <v>0.70833333333333337</v>
      </c>
      <c r="F734" t="s">
        <v>2679</v>
      </c>
      <c r="G734" t="s">
        <v>2680</v>
      </c>
      <c r="H734">
        <v>0</v>
      </c>
      <c r="I734">
        <v>0</v>
      </c>
      <c r="J734">
        <v>0</v>
      </c>
      <c r="K734">
        <v>0</v>
      </c>
      <c r="L734" s="22" t="str">
        <f>DAY(D734)&amp;"/"&amp;"07"&amp;"/"&amp;YEAR(D734)</f>
        <v>24/07/2026</v>
      </c>
      <c r="M734" s="23">
        <f>E734-TIME(3,0,0)</f>
        <v>0.58333333333333337</v>
      </c>
      <c r="N734" t="str">
        <f>J734&amp;" - "&amp;K734</f>
        <v>0 - 0</v>
      </c>
      <c r="O734" t="str">
        <f>IF($J734&gt;$K734,"Green","Red")</f>
        <v>Red</v>
      </c>
      <c r="P734" t="str">
        <f>IF($J734=$K734,"Green","Red")</f>
        <v>Green</v>
      </c>
      <c r="Q734" t="str">
        <f>IF($J734&lt;$K734,"Green","Red")</f>
        <v>Red</v>
      </c>
      <c r="R734" t="str">
        <f>IF($J734&gt;=$K734,"Green","Red")</f>
        <v>Green</v>
      </c>
      <c r="S734" t="str">
        <f>IF($J734&lt;=$K734,"Green","Red")</f>
        <v>Green</v>
      </c>
      <c r="T734" t="str">
        <f>IF(OR($J734&gt;$K734,$J734&lt;$K734),"Green","Red")</f>
        <v>Red</v>
      </c>
      <c r="U734" t="str">
        <f>IF($H734&gt;$I734,"Green","Red")</f>
        <v>Red</v>
      </c>
      <c r="V734" t="str">
        <f>IF($H734=$I734,"Green","Red")</f>
        <v>Green</v>
      </c>
      <c r="W734" t="str">
        <f>IF($H734&lt;$I734,"Green","Red")</f>
        <v>Red</v>
      </c>
      <c r="X734" t="str">
        <f>IF($H734+$I734&gt;0,"Green","Red")</f>
        <v>Red</v>
      </c>
      <c r="Y734" t="str">
        <f>IF($J734+$K734&gt;1.5,"Green","Red")</f>
        <v>Red</v>
      </c>
      <c r="Z734" t="str">
        <f>IF($J734+$K734&gt;2.5,"Green","Red")</f>
        <v>Red</v>
      </c>
      <c r="AA734" t="str">
        <f>IF($J734+$K734&lt;2.5,"Green","Red")</f>
        <v>Green</v>
      </c>
      <c r="AB734" t="str">
        <f>IF($J734+$K734&lt;3.5,"Green","Red")</f>
        <v>Green</v>
      </c>
      <c r="AC734" t="str">
        <f>IF(AND($J734&gt;0,$K734&gt;0),"Green","Red")</f>
        <v>Red</v>
      </c>
      <c r="AD734" t="str">
        <f>IF(OR($J734=0,$K734=0),"Green","Red")</f>
        <v>Green</v>
      </c>
    </row>
    <row r="735" spans="1:30" x14ac:dyDescent="0.2">
      <c r="A735" t="str">
        <f>L735&amp;F735&amp;G735</f>
        <v>24/07/2026EmmenTwente</v>
      </c>
      <c r="D735" s="2">
        <v>46227</v>
      </c>
      <c r="E735" s="3">
        <v>0.70833333333333337</v>
      </c>
      <c r="F735" t="s">
        <v>2681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>DAY(D735)&amp;"/"&amp;"07"&amp;"/"&amp;YEAR(D735)</f>
        <v>24/07/2026</v>
      </c>
      <c r="M735" s="23">
        <f>E735-TIME(3,0,0)</f>
        <v>0.58333333333333337</v>
      </c>
      <c r="N735" t="str">
        <f>J735&amp;" - "&amp;K735</f>
        <v>0 - 3</v>
      </c>
      <c r="O735" t="str">
        <f>IF($J735&gt;$K735,"Green","Red")</f>
        <v>Red</v>
      </c>
      <c r="P735" t="str">
        <f>IF($J735=$K735,"Green","Red")</f>
        <v>Red</v>
      </c>
      <c r="Q735" t="str">
        <f>IF($J735&lt;$K735,"Green","Red")</f>
        <v>Green</v>
      </c>
      <c r="R735" t="str">
        <f>IF($J735&gt;=$K735,"Green","Red")</f>
        <v>Red</v>
      </c>
      <c r="S735" t="str">
        <f>IF($J735&lt;=$K735,"Green","Red")</f>
        <v>Green</v>
      </c>
      <c r="T735" t="str">
        <f>IF(OR($J735&gt;$K735,$J735&lt;$K735),"Green","Red")</f>
        <v>Green</v>
      </c>
      <c r="U735" t="str">
        <f>IF($H735&gt;$I735,"Green","Red")</f>
        <v>Red</v>
      </c>
      <c r="V735" t="str">
        <f>IF($H735=$I735,"Green","Red")</f>
        <v>Red</v>
      </c>
      <c r="W735" t="str">
        <f>IF($H735&lt;$I735,"Green","Red")</f>
        <v>Green</v>
      </c>
      <c r="X735" t="str">
        <f>IF($H735+$I735&gt;0,"Green","Red")</f>
        <v>Green</v>
      </c>
      <c r="Y735" t="str">
        <f>IF($J735+$K735&gt;1.5,"Green","Red")</f>
        <v>Green</v>
      </c>
      <c r="Z735" t="str">
        <f>IF($J735+$K735&gt;2.5,"Green","Red")</f>
        <v>Green</v>
      </c>
      <c r="AA735" t="str">
        <f>IF($J735+$K735&lt;2.5,"Green","Red")</f>
        <v>Red</v>
      </c>
      <c r="AB735" t="str">
        <f>IF($J735+$K735&lt;3.5,"Green","Red")</f>
        <v>Green</v>
      </c>
      <c r="AC735" t="str">
        <f>IF(AND($J735&gt;0,$K735&gt;0),"Green","Red")</f>
        <v>Red</v>
      </c>
      <c r="AD735" t="str">
        <f>IF(OR($J735=0,$K735=0),"Green","Red")</f>
        <v>Green</v>
      </c>
    </row>
    <row r="736" spans="1:30" x14ac:dyDescent="0.2">
      <c r="A736" t="str">
        <f>L736&amp;F736&amp;G736</f>
        <v>24/07/2026Javor IvanjicaMetalac Gornji Milanovac</v>
      </c>
      <c r="D736" s="2">
        <v>46227</v>
      </c>
      <c r="E736" s="3">
        <v>0.70833333333333337</v>
      </c>
      <c r="F736" t="s">
        <v>2682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>DAY(D736)&amp;"/"&amp;"07"&amp;"/"&amp;YEAR(D736)</f>
        <v>24/07/2026</v>
      </c>
      <c r="M736" s="23">
        <f>E736-TIME(3,0,0)</f>
        <v>0.58333333333333337</v>
      </c>
      <c r="N736" t="str">
        <f>J736&amp;" - "&amp;K736</f>
        <v>1 - 1</v>
      </c>
      <c r="O736" t="str">
        <f>IF($J736&gt;$K736,"Green","Red")</f>
        <v>Red</v>
      </c>
      <c r="P736" t="str">
        <f>IF($J736=$K736,"Green","Red")</f>
        <v>Green</v>
      </c>
      <c r="Q736" t="str">
        <f>IF($J736&lt;$K736,"Green","Red")</f>
        <v>Red</v>
      </c>
      <c r="R736" t="str">
        <f>IF($J736&gt;=$K736,"Green","Red")</f>
        <v>Green</v>
      </c>
      <c r="S736" t="str">
        <f>IF($J736&lt;=$K736,"Green","Red")</f>
        <v>Green</v>
      </c>
      <c r="T736" t="str">
        <f>IF(OR($J736&gt;$K736,$J736&lt;$K736),"Green","Red")</f>
        <v>Red</v>
      </c>
      <c r="U736" t="str">
        <f>IF($H736&gt;$I736,"Green","Red")</f>
        <v>Green</v>
      </c>
      <c r="V736" t="str">
        <f>IF($H736=$I736,"Green","Red")</f>
        <v>Red</v>
      </c>
      <c r="W736" t="str">
        <f>IF($H736&lt;$I736,"Green","Red")</f>
        <v>Red</v>
      </c>
      <c r="X736" t="str">
        <f>IF($H736+$I736&gt;0,"Green","Red")</f>
        <v>Green</v>
      </c>
      <c r="Y736" t="str">
        <f>IF($J736+$K736&gt;1.5,"Green","Red")</f>
        <v>Green</v>
      </c>
      <c r="Z736" t="str">
        <f>IF($J736+$K736&gt;2.5,"Green","Red")</f>
        <v>Red</v>
      </c>
      <c r="AA736" t="str">
        <f>IF($J736+$K736&lt;2.5,"Green","Red")</f>
        <v>Green</v>
      </c>
      <c r="AB736" t="str">
        <f>IF($J736+$K736&lt;3.5,"Green","Red")</f>
        <v>Green</v>
      </c>
      <c r="AC736" t="str">
        <f>IF(AND($J736&gt;0,$K736&gt;0),"Green","Red")</f>
        <v>Green</v>
      </c>
      <c r="AD736" t="str">
        <f>IF(OR($J736=0,$K736=0),"Green","Red")</f>
        <v>Red</v>
      </c>
    </row>
    <row r="737" spans="1:30" x14ac:dyDescent="0.2">
      <c r="A737" t="str">
        <f>L737&amp;F737&amp;G737</f>
        <v>24/07/2026KufsteinPinzgau Saalfelden</v>
      </c>
      <c r="D737" s="2">
        <v>46227</v>
      </c>
      <c r="E737" s="3">
        <v>0.70833333333333337</v>
      </c>
      <c r="F737" t="s">
        <v>2683</v>
      </c>
      <c r="G737" t="s">
        <v>2684</v>
      </c>
      <c r="H737">
        <v>1</v>
      </c>
      <c r="I737">
        <v>0</v>
      </c>
      <c r="J737">
        <v>1</v>
      </c>
      <c r="K737">
        <v>1</v>
      </c>
      <c r="L737" s="22" t="str">
        <f>DAY(D737)&amp;"/"&amp;"07"&amp;"/"&amp;YEAR(D737)</f>
        <v>24/07/2026</v>
      </c>
      <c r="M737" s="23">
        <f>E737-TIME(3,0,0)</f>
        <v>0.58333333333333337</v>
      </c>
      <c r="N737" t="str">
        <f>J737&amp;" - "&amp;K737</f>
        <v>1 - 1</v>
      </c>
      <c r="O737" t="str">
        <f>IF($J737&gt;$K737,"Green","Red")</f>
        <v>Red</v>
      </c>
      <c r="P737" t="str">
        <f>IF($J737=$K737,"Green","Red")</f>
        <v>Green</v>
      </c>
      <c r="Q737" t="str">
        <f>IF($J737&lt;$K737,"Green","Red")</f>
        <v>Red</v>
      </c>
      <c r="R737" t="str">
        <f>IF($J737&gt;=$K737,"Green","Red")</f>
        <v>Green</v>
      </c>
      <c r="S737" t="str">
        <f>IF($J737&lt;=$K737,"Green","Red")</f>
        <v>Green</v>
      </c>
      <c r="T737" t="str">
        <f>IF(OR($J737&gt;$K737,$J737&lt;$K737),"Green","Red")</f>
        <v>Red</v>
      </c>
      <c r="U737" t="str">
        <f>IF($H737&gt;$I737,"Green","Red")</f>
        <v>Green</v>
      </c>
      <c r="V737" t="str">
        <f>IF($H737=$I737,"Green","Red")</f>
        <v>Red</v>
      </c>
      <c r="W737" t="str">
        <f>IF($H737&lt;$I737,"Green","Red")</f>
        <v>Red</v>
      </c>
      <c r="X737" t="str">
        <f>IF($H737+$I737&gt;0,"Green","Red")</f>
        <v>Green</v>
      </c>
      <c r="Y737" t="str">
        <f>IF($J737+$K737&gt;1.5,"Green","Red")</f>
        <v>Green</v>
      </c>
      <c r="Z737" t="str">
        <f>IF($J737+$K737&gt;2.5,"Green","Red")</f>
        <v>Red</v>
      </c>
      <c r="AA737" t="str">
        <f>IF($J737+$K737&lt;2.5,"Green","Red")</f>
        <v>Green</v>
      </c>
      <c r="AB737" t="str">
        <f>IF($J737+$K737&lt;3.5,"Green","Red")</f>
        <v>Green</v>
      </c>
      <c r="AC737" t="str">
        <f>IF(AND($J737&gt;0,$K737&gt;0),"Green","Red")</f>
        <v>Green</v>
      </c>
      <c r="AD737" t="str">
        <f>IF(OR($J737=0,$K737=0),"Green","Red")</f>
        <v>Red</v>
      </c>
    </row>
    <row r="738" spans="1:30" x14ac:dyDescent="0.2">
      <c r="A738" t="str">
        <f>L738&amp;F738&amp;G738</f>
        <v>24/07/2026Roda JCAlemannia Aachen</v>
      </c>
      <c r="D738" s="2">
        <v>46227</v>
      </c>
      <c r="E738" s="3">
        <v>0.70833333333333337</v>
      </c>
      <c r="F738" t="s">
        <v>2685</v>
      </c>
      <c r="G738" t="s">
        <v>2686</v>
      </c>
      <c r="L738" s="22" t="str">
        <f>DAY(D738)&amp;"/"&amp;"07"&amp;"/"&amp;YEAR(D738)</f>
        <v>24/07/2026</v>
      </c>
      <c r="M738" s="23">
        <f>E738-TIME(3,0,0)</f>
        <v>0.58333333333333337</v>
      </c>
      <c r="N738" t="str">
        <f>J738&amp;" - "&amp;K738</f>
        <v xml:space="preserve"> - </v>
      </c>
      <c r="O738" t="str">
        <f>IF($J738&gt;$K738,"Green","Red")</f>
        <v>Red</v>
      </c>
      <c r="P738" t="str">
        <f>IF($J738=$K738,"Green","Red")</f>
        <v>Green</v>
      </c>
      <c r="Q738" t="str">
        <f>IF($J738&lt;$K738,"Green","Red")</f>
        <v>Red</v>
      </c>
      <c r="R738" t="str">
        <f>IF($J738&gt;=$K738,"Green","Red")</f>
        <v>Green</v>
      </c>
      <c r="S738" t="str">
        <f>IF($J738&lt;=$K738,"Green","Red")</f>
        <v>Green</v>
      </c>
      <c r="T738" t="str">
        <f>IF(OR($J738&gt;$K738,$J738&lt;$K738),"Green","Red")</f>
        <v>Red</v>
      </c>
      <c r="U738" t="str">
        <f>IF($H738&gt;$I738,"Green","Red")</f>
        <v>Red</v>
      </c>
      <c r="V738" t="str">
        <f>IF($H738=$I738,"Green","Red")</f>
        <v>Green</v>
      </c>
      <c r="W738" t="str">
        <f>IF($H738&lt;$I738,"Green","Red")</f>
        <v>Red</v>
      </c>
      <c r="X738" t="str">
        <f>IF($H738+$I738&gt;0,"Green","Red")</f>
        <v>Red</v>
      </c>
      <c r="Y738" t="str">
        <f>IF($J738+$K738&gt;1.5,"Green","Red")</f>
        <v>Red</v>
      </c>
      <c r="Z738" t="str">
        <f>IF($J738+$K738&gt;2.5,"Green","Red")</f>
        <v>Red</v>
      </c>
      <c r="AA738" t="str">
        <f>IF($J738+$K738&lt;2.5,"Green","Red")</f>
        <v>Green</v>
      </c>
      <c r="AB738" t="str">
        <f>IF($J738+$K738&lt;3.5,"Green","Red")</f>
        <v>Green</v>
      </c>
      <c r="AC738" t="str">
        <f>IF(AND($J738&gt;0,$K738&gt;0),"Green","Red")</f>
        <v>Red</v>
      </c>
      <c r="AD738" t="str">
        <f>IF(OR($J738=0,$K738=0),"Green","Red")</f>
        <v>Green</v>
      </c>
    </row>
    <row r="739" spans="1:30" x14ac:dyDescent="0.2">
      <c r="A739" t="str">
        <f>L739&amp;F739&amp;G739</f>
        <v>24/07/2026Royal AntwerpOlympiacos</v>
      </c>
      <c r="D739" s="2">
        <v>46227</v>
      </c>
      <c r="E739" s="3">
        <v>0.70833333333333337</v>
      </c>
      <c r="F739" t="s">
        <v>2687</v>
      </c>
      <c r="G739" t="s">
        <v>2688</v>
      </c>
      <c r="H739">
        <v>0</v>
      </c>
      <c r="I739">
        <v>0</v>
      </c>
      <c r="J739">
        <v>3</v>
      </c>
      <c r="K739">
        <v>0</v>
      </c>
      <c r="L739" s="22" t="str">
        <f>DAY(D739)&amp;"/"&amp;"07"&amp;"/"&amp;YEAR(D739)</f>
        <v>24/07/2026</v>
      </c>
      <c r="M739" s="23">
        <f>E739-TIME(3,0,0)</f>
        <v>0.58333333333333337</v>
      </c>
      <c r="N739" t="str">
        <f>J739&amp;" - "&amp;K739</f>
        <v>3 - 0</v>
      </c>
      <c r="O739" t="str">
        <f>IF($J739&gt;$K739,"Green","Red")</f>
        <v>Green</v>
      </c>
      <c r="P739" t="str">
        <f>IF($J739=$K739,"Green","Red")</f>
        <v>Red</v>
      </c>
      <c r="Q739" t="str">
        <f>IF($J739&lt;$K739,"Green","Red")</f>
        <v>Red</v>
      </c>
      <c r="R739" t="str">
        <f>IF($J739&gt;=$K739,"Green","Red")</f>
        <v>Green</v>
      </c>
      <c r="S739" t="str">
        <f>IF($J739&lt;=$K739,"Green","Red")</f>
        <v>Red</v>
      </c>
      <c r="T739" t="str">
        <f>IF(OR($J739&gt;$K739,$J739&lt;$K739),"Green","Red")</f>
        <v>Green</v>
      </c>
      <c r="U739" t="str">
        <f>IF($H739&gt;$I739,"Green","Red")</f>
        <v>Red</v>
      </c>
      <c r="V739" t="str">
        <f>IF($H739=$I739,"Green","Red")</f>
        <v>Green</v>
      </c>
      <c r="W739" t="str">
        <f>IF($H739&lt;$I739,"Green","Red")</f>
        <v>Red</v>
      </c>
      <c r="X739" t="str">
        <f>IF($H739+$I739&gt;0,"Green","Red")</f>
        <v>Red</v>
      </c>
      <c r="Y739" t="str">
        <f>IF($J739+$K739&gt;1.5,"Green","Red")</f>
        <v>Green</v>
      </c>
      <c r="Z739" t="str">
        <f>IF($J739+$K739&gt;2.5,"Green","Red")</f>
        <v>Green</v>
      </c>
      <c r="AA739" t="str">
        <f>IF($J739+$K739&lt;2.5,"Green","Red")</f>
        <v>Red</v>
      </c>
      <c r="AB739" t="str">
        <f>IF($J739+$K739&lt;3.5,"Green","Red")</f>
        <v>Green</v>
      </c>
      <c r="AC739" t="str">
        <f>IF(AND($J739&gt;0,$K739&gt;0),"Green","Red")</f>
        <v>Red</v>
      </c>
      <c r="AD739" t="str">
        <f>IF(OR($J739=0,$K739=0),"Green","Red")</f>
        <v>Green</v>
      </c>
    </row>
    <row r="740" spans="1:30" x14ac:dyDescent="0.2">
      <c r="A740" t="str">
        <f>L740&amp;F740&amp;G740</f>
        <v>24/07/2026HT 16USC Paloma</v>
      </c>
      <c r="D740" s="2">
        <v>46227</v>
      </c>
      <c r="E740" s="3">
        <v>0.71875</v>
      </c>
      <c r="F740" t="s">
        <v>2476</v>
      </c>
      <c r="G740" t="s">
        <v>2477</v>
      </c>
      <c r="H740">
        <v>0</v>
      </c>
      <c r="I740">
        <v>2</v>
      </c>
      <c r="J740">
        <v>2</v>
      </c>
      <c r="K740">
        <v>3</v>
      </c>
      <c r="L740" s="22" t="str">
        <f>DAY(D740)&amp;"/"&amp;"07"&amp;"/"&amp;YEAR(D740)</f>
        <v>24/07/2026</v>
      </c>
      <c r="M740" s="23">
        <f>E740-TIME(3,0,0)</f>
        <v>0.59375</v>
      </c>
      <c r="N740" t="str">
        <f>J740&amp;" - "&amp;K740</f>
        <v>2 - 3</v>
      </c>
      <c r="O740" t="str">
        <f>IF($J740&gt;$K740,"Green","Red")</f>
        <v>Red</v>
      </c>
      <c r="P740" t="str">
        <f>IF($J740=$K740,"Green","Red")</f>
        <v>Red</v>
      </c>
      <c r="Q740" t="str">
        <f>IF($J740&lt;$K740,"Green","Red")</f>
        <v>Green</v>
      </c>
      <c r="R740" t="str">
        <f>IF($J740&gt;=$K740,"Green","Red")</f>
        <v>Red</v>
      </c>
      <c r="S740" t="str">
        <f>IF($J740&lt;=$K740,"Green","Red")</f>
        <v>Green</v>
      </c>
      <c r="T740" t="str">
        <f>IF(OR($J740&gt;$K740,$J740&lt;$K740),"Green","Red")</f>
        <v>Green</v>
      </c>
      <c r="U740" t="str">
        <f>IF($H740&gt;$I740,"Green","Red")</f>
        <v>Red</v>
      </c>
      <c r="V740" t="str">
        <f>IF($H740=$I740,"Green","Red")</f>
        <v>Red</v>
      </c>
      <c r="W740" t="str">
        <f>IF($H740&lt;$I740,"Green","Red")</f>
        <v>Green</v>
      </c>
      <c r="X740" t="str">
        <f>IF($H740+$I740&gt;0,"Green","Red")</f>
        <v>Green</v>
      </c>
      <c r="Y740" t="str">
        <f>IF($J740+$K740&gt;1.5,"Green","Red")</f>
        <v>Green</v>
      </c>
      <c r="Z740" t="str">
        <f>IF($J740+$K740&gt;2.5,"Green","Red")</f>
        <v>Green</v>
      </c>
      <c r="AA740" t="str">
        <f>IF($J740+$K740&lt;2.5,"Green","Red")</f>
        <v>Red</v>
      </c>
      <c r="AB740" t="str">
        <f>IF($J740+$K740&lt;3.5,"Green","Red")</f>
        <v>Red</v>
      </c>
      <c r="AC740" t="str">
        <f>IF(AND($J740&gt;0,$K740&gt;0),"Green","Red")</f>
        <v>Green</v>
      </c>
      <c r="AD740" t="str">
        <f>IF(OR($J740=0,$K740=0),"Green","Red")</f>
        <v>Red</v>
      </c>
    </row>
    <row r="741" spans="1:30" x14ac:dyDescent="0.2">
      <c r="A741" t="str">
        <f>L741&amp;F741&amp;G741</f>
        <v>24/07/2026TuS KoblenzVfB Giessen</v>
      </c>
      <c r="D741" s="2">
        <v>46227</v>
      </c>
      <c r="E741" s="3">
        <v>0.71875</v>
      </c>
      <c r="F741" t="s">
        <v>2689</v>
      </c>
      <c r="G741" t="s">
        <v>2690</v>
      </c>
      <c r="H741">
        <v>2</v>
      </c>
      <c r="I741">
        <v>0</v>
      </c>
      <c r="J741">
        <v>2</v>
      </c>
      <c r="K741">
        <v>1</v>
      </c>
      <c r="L741" s="22" t="str">
        <f>DAY(D741)&amp;"/"&amp;"07"&amp;"/"&amp;YEAR(D741)</f>
        <v>24/07/2026</v>
      </c>
      <c r="M741" s="23">
        <f>E741-TIME(3,0,0)</f>
        <v>0.59375</v>
      </c>
      <c r="N741" t="str">
        <f>J741&amp;" - "&amp;K741</f>
        <v>2 - 1</v>
      </c>
      <c r="O741" t="str">
        <f>IF($J741&gt;$K741,"Green","Red")</f>
        <v>Green</v>
      </c>
      <c r="P741" t="str">
        <f>IF($J741=$K741,"Green","Red")</f>
        <v>Red</v>
      </c>
      <c r="Q741" t="str">
        <f>IF($J741&lt;$K741,"Green","Red")</f>
        <v>Red</v>
      </c>
      <c r="R741" t="str">
        <f>IF($J741&gt;=$K741,"Green","Red")</f>
        <v>Green</v>
      </c>
      <c r="S741" t="str">
        <f>IF($J741&lt;=$K741,"Green","Red")</f>
        <v>Red</v>
      </c>
      <c r="T741" t="str">
        <f>IF(OR($J741&gt;$K741,$J741&lt;$K741),"Green","Red")</f>
        <v>Green</v>
      </c>
      <c r="U741" t="str">
        <f>IF($H741&gt;$I741,"Green","Red")</f>
        <v>Green</v>
      </c>
      <c r="V741" t="str">
        <f>IF($H741=$I741,"Green","Red")</f>
        <v>Red</v>
      </c>
      <c r="W741" t="str">
        <f>IF($H741&lt;$I741,"Green","Red")</f>
        <v>Red</v>
      </c>
      <c r="X741" t="str">
        <f>IF($H741+$I741&gt;0,"Green","Red")</f>
        <v>Green</v>
      </c>
      <c r="Y741" t="str">
        <f>IF($J741+$K741&gt;1.5,"Green","Red")</f>
        <v>Green</v>
      </c>
      <c r="Z741" t="str">
        <f>IF($J741+$K741&gt;2.5,"Green","Red")</f>
        <v>Green</v>
      </c>
      <c r="AA741" t="str">
        <f>IF($J741+$K741&lt;2.5,"Green","Red")</f>
        <v>Red</v>
      </c>
      <c r="AB741" t="str">
        <f>IF($J741+$K741&lt;3.5,"Green","Red")</f>
        <v>Green</v>
      </c>
      <c r="AC741" t="str">
        <f>IF(AND($J741&gt;0,$K741&gt;0),"Green","Red")</f>
        <v>Green</v>
      </c>
      <c r="AD741" t="str">
        <f>IF(OR($J741=0,$K741=0),"Green","Red")</f>
        <v>Red</v>
      </c>
    </row>
    <row r="742" spans="1:30" x14ac:dyDescent="0.2">
      <c r="A742" t="str">
        <f>L742&amp;F742&amp;G742</f>
        <v>24/07/2026Vanersborgs FKIK Kongahalla</v>
      </c>
      <c r="D742" s="2">
        <v>46227</v>
      </c>
      <c r="E742" s="3">
        <v>0.71875</v>
      </c>
      <c r="F742" t="s">
        <v>2691</v>
      </c>
      <c r="G742" t="s">
        <v>2692</v>
      </c>
      <c r="H742">
        <v>1</v>
      </c>
      <c r="I742">
        <v>1</v>
      </c>
      <c r="J742">
        <v>1</v>
      </c>
      <c r="K742">
        <v>2</v>
      </c>
      <c r="L742" s="22" t="str">
        <f>DAY(D742)&amp;"/"&amp;"07"&amp;"/"&amp;YEAR(D742)</f>
        <v>24/07/2026</v>
      </c>
      <c r="M742" s="23">
        <f>E742-TIME(3,0,0)</f>
        <v>0.59375</v>
      </c>
      <c r="N742" t="str">
        <f>J742&amp;" - "&amp;K742</f>
        <v>1 - 2</v>
      </c>
      <c r="O742" t="str">
        <f>IF($J742&gt;$K742,"Green","Red")</f>
        <v>Red</v>
      </c>
      <c r="P742" t="str">
        <f>IF($J742=$K742,"Green","Red")</f>
        <v>Red</v>
      </c>
      <c r="Q742" t="str">
        <f>IF($J742&lt;$K742,"Green","Red")</f>
        <v>Green</v>
      </c>
      <c r="R742" t="str">
        <f>IF($J742&gt;=$K742,"Green","Red")</f>
        <v>Red</v>
      </c>
      <c r="S742" t="str">
        <f>IF($J742&lt;=$K742,"Green","Red")</f>
        <v>Green</v>
      </c>
      <c r="T742" t="str">
        <f>IF(OR($J742&gt;$K742,$J742&lt;$K742),"Green","Red")</f>
        <v>Green</v>
      </c>
      <c r="U742" t="str">
        <f>IF($H742&gt;$I742,"Green","Red")</f>
        <v>Red</v>
      </c>
      <c r="V742" t="str">
        <f>IF($H742=$I742,"Green","Red")</f>
        <v>Green</v>
      </c>
      <c r="W742" t="str">
        <f>IF($H742&lt;$I742,"Green","Red")</f>
        <v>Red</v>
      </c>
      <c r="X742" t="str">
        <f>IF($H742+$I742&gt;0,"Green","Red")</f>
        <v>Green</v>
      </c>
      <c r="Y742" t="str">
        <f>IF($J742+$K742&gt;1.5,"Green","Red")</f>
        <v>Green</v>
      </c>
      <c r="Z742" t="str">
        <f>IF($J742+$K742&gt;2.5,"Green","Red")</f>
        <v>Green</v>
      </c>
      <c r="AA742" t="str">
        <f>IF($J742+$K742&lt;2.5,"Green","Red")</f>
        <v>Red</v>
      </c>
      <c r="AB742" t="str">
        <f>IF($J742+$K742&lt;3.5,"Green","Red")</f>
        <v>Green</v>
      </c>
      <c r="AC742" t="str">
        <f>IF(AND($J742&gt;0,$K742&gt;0),"Green","Red")</f>
        <v>Green</v>
      </c>
      <c r="AD742" t="str">
        <f>IF(OR($J742=0,$K742=0),"Green","Red")</f>
        <v>Red</v>
      </c>
    </row>
    <row r="743" spans="1:30" x14ac:dyDescent="0.2">
      <c r="A743" t="str">
        <f>L743&amp;F743&amp;G743</f>
        <v>24/07/2026DSV LeobenVoitsberg</v>
      </c>
      <c r="B743" t="s">
        <v>2331</v>
      </c>
      <c r="C743" t="s">
        <v>2332</v>
      </c>
      <c r="D743" s="2">
        <v>46227</v>
      </c>
      <c r="E743" s="3">
        <v>0.72916666666666663</v>
      </c>
      <c r="F743" t="s">
        <v>2345</v>
      </c>
      <c r="G743" t="s">
        <v>2346</v>
      </c>
      <c r="H743">
        <v>0</v>
      </c>
      <c r="I743">
        <v>5</v>
      </c>
      <c r="J743">
        <v>0</v>
      </c>
      <c r="K743">
        <v>6</v>
      </c>
      <c r="L743" s="22" t="str">
        <f>DAY(D743)&amp;"/"&amp;"07"&amp;"/"&amp;YEAR(D743)</f>
        <v>24/07/2026</v>
      </c>
      <c r="M743" s="23">
        <f>E743-TIME(3,0,0)</f>
        <v>0.60416666666666663</v>
      </c>
      <c r="N743" t="str">
        <f>J743&amp;" - "&amp;K743</f>
        <v>0 - 6</v>
      </c>
      <c r="O743" t="str">
        <f>IF($J743&gt;$K743,"Green","Red")</f>
        <v>Red</v>
      </c>
      <c r="P743" t="str">
        <f>IF($J743=$K743,"Green","Red")</f>
        <v>Red</v>
      </c>
      <c r="Q743" t="str">
        <f>IF($J743&lt;$K743,"Green","Red")</f>
        <v>Green</v>
      </c>
      <c r="R743" t="str">
        <f>IF($J743&gt;=$K743,"Green","Red")</f>
        <v>Red</v>
      </c>
      <c r="S743" t="str">
        <f>IF($J743&lt;=$K743,"Green","Red")</f>
        <v>Green</v>
      </c>
      <c r="T743" t="str">
        <f>IF(OR($J743&gt;$K743,$J743&lt;$K743),"Green","Red")</f>
        <v>Green</v>
      </c>
      <c r="U743" t="str">
        <f>IF($H743&gt;$I743,"Green","Red")</f>
        <v>Red</v>
      </c>
      <c r="V743" t="str">
        <f>IF($H743=$I743,"Green","Red")</f>
        <v>Red</v>
      </c>
      <c r="W743" t="str">
        <f>IF($H743&lt;$I743,"Green","Red")</f>
        <v>Green</v>
      </c>
      <c r="X743" t="str">
        <f>IF($H743+$I743&gt;0,"Green","Red")</f>
        <v>Green</v>
      </c>
      <c r="Y743" t="str">
        <f>IF($J743+$K743&gt;1.5,"Green","Red")</f>
        <v>Green</v>
      </c>
      <c r="Z743" t="str">
        <f>IF($J743+$K743&gt;2.5,"Green","Red")</f>
        <v>Green</v>
      </c>
      <c r="AA743" t="str">
        <f>IF($J743+$K743&lt;2.5,"Green","Red")</f>
        <v>Red</v>
      </c>
      <c r="AB743" t="str">
        <f>IF($J743+$K743&lt;3.5,"Green","Red")</f>
        <v>Red</v>
      </c>
      <c r="AC743" t="str">
        <f>IF(AND($J743&gt;0,$K743&gt;0),"Green","Red")</f>
        <v>Red</v>
      </c>
      <c r="AD743" t="str">
        <f>IF(OR($J743=0,$K743=0),"Green","Red")</f>
        <v>Green</v>
      </c>
    </row>
    <row r="744" spans="1:30" x14ac:dyDescent="0.2">
      <c r="A744" t="str">
        <f>L744&amp;F744&amp;G744</f>
        <v>24/07/2026FCM TraiskirchenSVG Bleiburg</v>
      </c>
      <c r="B744" t="s">
        <v>2331</v>
      </c>
      <c r="C744" t="s">
        <v>2332</v>
      </c>
      <c r="D744" s="2">
        <v>46227</v>
      </c>
      <c r="E744" s="3">
        <v>0.72916666666666663</v>
      </c>
      <c r="F744" t="s">
        <v>2347</v>
      </c>
      <c r="G744" t="s">
        <v>2348</v>
      </c>
      <c r="H744">
        <v>1</v>
      </c>
      <c r="I744">
        <v>0</v>
      </c>
      <c r="J744">
        <v>4</v>
      </c>
      <c r="K744">
        <v>0</v>
      </c>
      <c r="L744" s="22" t="str">
        <f>DAY(D744)&amp;"/"&amp;"07"&amp;"/"&amp;YEAR(D744)</f>
        <v>24/07/2026</v>
      </c>
      <c r="M744" s="23">
        <f>E744-TIME(3,0,0)</f>
        <v>0.60416666666666663</v>
      </c>
      <c r="N744" t="str">
        <f>J744&amp;" - "&amp;K744</f>
        <v>4 - 0</v>
      </c>
      <c r="O744" t="str">
        <f>IF($J744&gt;$K744,"Green","Red")</f>
        <v>Green</v>
      </c>
      <c r="P744" t="str">
        <f>IF($J744=$K744,"Green","Red")</f>
        <v>Red</v>
      </c>
      <c r="Q744" t="str">
        <f>IF($J744&lt;$K744,"Green","Red")</f>
        <v>Red</v>
      </c>
      <c r="R744" t="str">
        <f>IF($J744&gt;=$K744,"Green","Red")</f>
        <v>Green</v>
      </c>
      <c r="S744" t="str">
        <f>IF($J744&lt;=$K744,"Green","Red")</f>
        <v>Red</v>
      </c>
      <c r="T744" t="str">
        <f>IF(OR($J744&gt;$K744,$J744&lt;$K744),"Green","Red")</f>
        <v>Green</v>
      </c>
      <c r="U744" t="str">
        <f>IF($H744&gt;$I744,"Green","Red")</f>
        <v>Green</v>
      </c>
      <c r="V744" t="str">
        <f>IF($H744=$I744,"Green","Red")</f>
        <v>Red</v>
      </c>
      <c r="W744" t="str">
        <f>IF($H744&lt;$I744,"Green","Red")</f>
        <v>Red</v>
      </c>
      <c r="X744" t="str">
        <f>IF($H744+$I744&gt;0,"Green","Red")</f>
        <v>Green</v>
      </c>
      <c r="Y744" t="str">
        <f>IF($J744+$K744&gt;1.5,"Green","Red")</f>
        <v>Green</v>
      </c>
      <c r="Z744" t="str">
        <f>IF($J744+$K744&gt;2.5,"Green","Red")</f>
        <v>Green</v>
      </c>
      <c r="AA744" t="str">
        <f>IF($J744+$K744&lt;2.5,"Green","Red")</f>
        <v>Red</v>
      </c>
      <c r="AB744" t="str">
        <f>IF($J744+$K744&lt;3.5,"Green","Red")</f>
        <v>Red</v>
      </c>
      <c r="AC744" t="str">
        <f>IF(AND($J744&gt;0,$K744&gt;0),"Green","Red")</f>
        <v>Red</v>
      </c>
      <c r="AD744" t="str">
        <f>IF(OR($J744=0,$K744=0),"Green","Red")</f>
        <v>Green</v>
      </c>
    </row>
    <row r="745" spans="1:30" x14ac:dyDescent="0.2">
      <c r="A745" t="str">
        <f>L745&amp;F745&amp;G745</f>
        <v>24/07/2026SU TillmitschSt Polten</v>
      </c>
      <c r="B745" t="s">
        <v>2331</v>
      </c>
      <c r="C745" t="s">
        <v>2332</v>
      </c>
      <c r="D745" s="2">
        <v>46227</v>
      </c>
      <c r="E745" s="3">
        <v>0.72916666666666663</v>
      </c>
      <c r="F745" t="s">
        <v>2349</v>
      </c>
      <c r="G745" t="s">
        <v>2350</v>
      </c>
      <c r="H745">
        <v>0</v>
      </c>
      <c r="I745">
        <v>0</v>
      </c>
      <c r="J745">
        <v>1</v>
      </c>
      <c r="K745">
        <v>2</v>
      </c>
      <c r="L745" s="22" t="str">
        <f>DAY(D745)&amp;"/"&amp;"07"&amp;"/"&amp;YEAR(D745)</f>
        <v>24/07/2026</v>
      </c>
      <c r="M745" s="23">
        <f>E745-TIME(3,0,0)</f>
        <v>0.60416666666666663</v>
      </c>
      <c r="N745" t="str">
        <f>J745&amp;" - "&amp;K745</f>
        <v>1 - 2</v>
      </c>
      <c r="O745" t="str">
        <f>IF($J745&gt;$K745,"Green","Red")</f>
        <v>Red</v>
      </c>
      <c r="P745" t="str">
        <f>IF($J745=$K745,"Green","Red")</f>
        <v>Red</v>
      </c>
      <c r="Q745" t="str">
        <f>IF($J745&lt;$K745,"Green","Red")</f>
        <v>Green</v>
      </c>
      <c r="R745" t="str">
        <f>IF($J745&gt;=$K745,"Green","Red")</f>
        <v>Red</v>
      </c>
      <c r="S745" t="str">
        <f>IF($J745&lt;=$K745,"Green","Red")</f>
        <v>Green</v>
      </c>
      <c r="T745" t="str">
        <f>IF(OR($J745&gt;$K745,$J745&lt;$K745),"Green","Red")</f>
        <v>Green</v>
      </c>
      <c r="U745" t="str">
        <f>IF($H745&gt;$I745,"Green","Red")</f>
        <v>Red</v>
      </c>
      <c r="V745" t="str">
        <f>IF($H745=$I745,"Green","Red")</f>
        <v>Green</v>
      </c>
      <c r="W745" t="str">
        <f>IF($H745&lt;$I745,"Green","Red")</f>
        <v>Red</v>
      </c>
      <c r="X745" t="str">
        <f>IF($H745+$I745&gt;0,"Green","Red")</f>
        <v>Red</v>
      </c>
      <c r="Y745" t="str">
        <f>IF($J745+$K745&gt;1.5,"Green","Red")</f>
        <v>Green</v>
      </c>
      <c r="Z745" t="str">
        <f>IF($J745+$K745&gt;2.5,"Green","Red")</f>
        <v>Green</v>
      </c>
      <c r="AA745" t="str">
        <f>IF($J745+$K745&lt;2.5,"Green","Red")</f>
        <v>Red</v>
      </c>
      <c r="AB745" t="str">
        <f>IF($J745+$K745&lt;3.5,"Green","Red")</f>
        <v>Green</v>
      </c>
      <c r="AC745" t="str">
        <f>IF(AND($J745&gt;0,$K745&gt;0),"Green","Red")</f>
        <v>Green</v>
      </c>
      <c r="AD745" t="str">
        <f>IF(OR($J745=0,$K745=0),"Green","Red")</f>
        <v>Red</v>
      </c>
    </row>
    <row r="746" spans="1:30" x14ac:dyDescent="0.2">
      <c r="A746" t="str">
        <f>L746&amp;F746&amp;G746</f>
        <v>24/07/2026SV HornFAC Team fur Wien</v>
      </c>
      <c r="B746" t="s">
        <v>2331</v>
      </c>
      <c r="C746" t="s">
        <v>2332</v>
      </c>
      <c r="D746" s="2">
        <v>46227</v>
      </c>
      <c r="E746" s="3">
        <v>0.72916666666666663</v>
      </c>
      <c r="F746" t="s">
        <v>2351</v>
      </c>
      <c r="G746" t="s">
        <v>2352</v>
      </c>
      <c r="H746">
        <v>0</v>
      </c>
      <c r="I746">
        <v>0</v>
      </c>
      <c r="J746">
        <v>1</v>
      </c>
      <c r="K746">
        <v>1</v>
      </c>
      <c r="L746" s="22" t="str">
        <f>DAY(D746)&amp;"/"&amp;"07"&amp;"/"&amp;YEAR(D746)</f>
        <v>24/07/2026</v>
      </c>
      <c r="M746" s="23">
        <f>E746-TIME(3,0,0)</f>
        <v>0.60416666666666663</v>
      </c>
      <c r="N746" t="str">
        <f>J746&amp;" - "&amp;K746</f>
        <v>1 - 1</v>
      </c>
      <c r="O746" t="str">
        <f>IF($J746&gt;$K746,"Green","Red")</f>
        <v>Red</v>
      </c>
      <c r="P746" t="str">
        <f>IF($J746=$K746,"Green","Red")</f>
        <v>Green</v>
      </c>
      <c r="Q746" t="str">
        <f>IF($J746&lt;$K746,"Green","Red")</f>
        <v>Red</v>
      </c>
      <c r="R746" t="str">
        <f>IF($J746&gt;=$K746,"Green","Red")</f>
        <v>Green</v>
      </c>
      <c r="S746" t="str">
        <f>IF($J746&lt;=$K746,"Green","Red")</f>
        <v>Green</v>
      </c>
      <c r="T746" t="str">
        <f>IF(OR($J746&gt;$K746,$J746&lt;$K746),"Green","Red")</f>
        <v>Red</v>
      </c>
      <c r="U746" t="str">
        <f>IF($H746&gt;$I746,"Green","Red")</f>
        <v>Red</v>
      </c>
      <c r="V746" t="str">
        <f>IF($H746=$I746,"Green","Red")</f>
        <v>Green</v>
      </c>
      <c r="W746" t="str">
        <f>IF($H746&lt;$I746,"Green","Red")</f>
        <v>Red</v>
      </c>
      <c r="X746" t="str">
        <f>IF($H746+$I746&gt;0,"Green","Red")</f>
        <v>Red</v>
      </c>
      <c r="Y746" t="str">
        <f>IF($J746+$K746&gt;1.5,"Green","Red")</f>
        <v>Green</v>
      </c>
      <c r="Z746" t="str">
        <f>IF($J746+$K746&gt;2.5,"Green","Red")</f>
        <v>Red</v>
      </c>
      <c r="AA746" t="str">
        <f>IF($J746+$K746&lt;2.5,"Green","Red")</f>
        <v>Green</v>
      </c>
      <c r="AB746" t="str">
        <f>IF($J746+$K746&lt;3.5,"Green","Red")</f>
        <v>Green</v>
      </c>
      <c r="AC746" t="str">
        <f>IF(AND($J746&gt;0,$K746&gt;0),"Green","Red")</f>
        <v>Green</v>
      </c>
      <c r="AD746" t="str">
        <f>IF(OR($J746=0,$K746=0),"Green","Red")</f>
        <v>Red</v>
      </c>
    </row>
    <row r="747" spans="1:30" x14ac:dyDescent="0.2">
      <c r="A747" t="str">
        <f>L747&amp;F747&amp;G747</f>
        <v>24/07/2026Union GurtenBlau Weiss Linz</v>
      </c>
      <c r="B747" t="s">
        <v>2331</v>
      </c>
      <c r="C747" t="s">
        <v>2332</v>
      </c>
      <c r="D747" s="2">
        <v>46227</v>
      </c>
      <c r="E747" s="3">
        <v>0.72916666666666663</v>
      </c>
      <c r="F747" t="s">
        <v>2353</v>
      </c>
      <c r="G747" t="s">
        <v>2354</v>
      </c>
      <c r="H747">
        <v>1</v>
      </c>
      <c r="I747">
        <v>0</v>
      </c>
      <c r="J747">
        <v>1</v>
      </c>
      <c r="K747">
        <v>3</v>
      </c>
      <c r="L747" s="22" t="str">
        <f>DAY(D747)&amp;"/"&amp;"07"&amp;"/"&amp;YEAR(D747)</f>
        <v>24/07/2026</v>
      </c>
      <c r="M747" s="23">
        <f>E747-TIME(3,0,0)</f>
        <v>0.60416666666666663</v>
      </c>
      <c r="N747" t="str">
        <f>J747&amp;" - "&amp;K747</f>
        <v>1 - 3</v>
      </c>
      <c r="O747" t="str">
        <f>IF($J747&gt;$K747,"Green","Red")</f>
        <v>Red</v>
      </c>
      <c r="P747" t="str">
        <f>IF($J747=$K747,"Green","Red")</f>
        <v>Red</v>
      </c>
      <c r="Q747" t="str">
        <f>IF($J747&lt;$K747,"Green","Red")</f>
        <v>Green</v>
      </c>
      <c r="R747" t="str">
        <f>IF($J747&gt;=$K747,"Green","Red")</f>
        <v>Red</v>
      </c>
      <c r="S747" t="str">
        <f>IF($J747&lt;=$K747,"Green","Red")</f>
        <v>Green</v>
      </c>
      <c r="T747" t="str">
        <f>IF(OR($J747&gt;$K747,$J747&lt;$K747),"Green","Red")</f>
        <v>Green</v>
      </c>
      <c r="U747" t="str">
        <f>IF($H747&gt;$I747,"Green","Red")</f>
        <v>Green</v>
      </c>
      <c r="V747" t="str">
        <f>IF($H747=$I747,"Green","Red")</f>
        <v>Red</v>
      </c>
      <c r="W747" t="str">
        <f>IF($H747&lt;$I747,"Green","Red")</f>
        <v>Red</v>
      </c>
      <c r="X747" t="str">
        <f>IF($H747+$I747&gt;0,"Green","Red")</f>
        <v>Green</v>
      </c>
      <c r="Y747" t="str">
        <f>IF($J747+$K747&gt;1.5,"Green","Red")</f>
        <v>Green</v>
      </c>
      <c r="Z747" t="str">
        <f>IF($J747+$K747&gt;2.5,"Green","Red")</f>
        <v>Green</v>
      </c>
      <c r="AA747" t="str">
        <f>IF($J747+$K747&lt;2.5,"Green","Red")</f>
        <v>Red</v>
      </c>
      <c r="AB747" t="str">
        <f>IF($J747+$K747&lt;3.5,"Green","Red")</f>
        <v>Red</v>
      </c>
      <c r="AC747" t="str">
        <f>IF(AND($J747&gt;0,$K747&gt;0),"Green","Red")</f>
        <v>Green</v>
      </c>
      <c r="AD747" t="str">
        <f>IF(OR($J747=0,$K747=0),"Green","Red")</f>
        <v>Red</v>
      </c>
    </row>
    <row r="748" spans="1:30" x14ac:dyDescent="0.2">
      <c r="A748" t="str">
        <f>L748&amp;F748&amp;G748</f>
        <v>24/07/2026FC Rapperswil-JonaFC Wil 1900</v>
      </c>
      <c r="D748" s="2">
        <v>46227</v>
      </c>
      <c r="E748" s="3">
        <v>0.72916666666666663</v>
      </c>
      <c r="F748" t="s">
        <v>2605</v>
      </c>
      <c r="G748" t="s">
        <v>2606</v>
      </c>
      <c r="H748">
        <v>2</v>
      </c>
      <c r="I748">
        <v>3</v>
      </c>
      <c r="J748">
        <v>4</v>
      </c>
      <c r="K748">
        <v>5</v>
      </c>
      <c r="L748" s="22" t="str">
        <f>DAY(D748)&amp;"/"&amp;"07"&amp;"/"&amp;YEAR(D748)</f>
        <v>24/07/2026</v>
      </c>
      <c r="M748" s="23">
        <f>E748-TIME(3,0,0)</f>
        <v>0.60416666666666663</v>
      </c>
      <c r="N748" t="str">
        <f>J748&amp;" - "&amp;K748</f>
        <v>4 - 5</v>
      </c>
      <c r="O748" t="str">
        <f>IF($J748&gt;$K748,"Green","Red")</f>
        <v>Red</v>
      </c>
      <c r="P748" t="str">
        <f>IF($J748=$K748,"Green","Red")</f>
        <v>Red</v>
      </c>
      <c r="Q748" t="str">
        <f>IF($J748&lt;$K748,"Green","Red")</f>
        <v>Green</v>
      </c>
      <c r="R748" t="str">
        <f>IF($J748&gt;=$K748,"Green","Red")</f>
        <v>Red</v>
      </c>
      <c r="S748" t="str">
        <f>IF($J748&lt;=$K748,"Green","Red")</f>
        <v>Green</v>
      </c>
      <c r="T748" t="str">
        <f>IF(OR($J748&gt;$K748,$J748&lt;$K748),"Green","Red")</f>
        <v>Green</v>
      </c>
      <c r="U748" t="str">
        <f>IF($H748&gt;$I748,"Green","Red")</f>
        <v>Red</v>
      </c>
      <c r="V748" t="str">
        <f>IF($H748=$I748,"Green","Red")</f>
        <v>Red</v>
      </c>
      <c r="W748" t="str">
        <f>IF($H748&lt;$I748,"Green","Red")</f>
        <v>Green</v>
      </c>
      <c r="X748" t="str">
        <f>IF($H748+$I748&gt;0,"Green","Red")</f>
        <v>Green</v>
      </c>
      <c r="Y748" t="str">
        <f>IF($J748+$K748&gt;1.5,"Green","Red")</f>
        <v>Green</v>
      </c>
      <c r="Z748" t="str">
        <f>IF($J748+$K748&gt;2.5,"Green","Red")</f>
        <v>Green</v>
      </c>
      <c r="AA748" t="str">
        <f>IF($J748+$K748&lt;2.5,"Green","Red")</f>
        <v>Red</v>
      </c>
      <c r="AB748" t="str">
        <f>IF($J748+$K748&lt;3.5,"Green","Red")</f>
        <v>Red</v>
      </c>
      <c r="AC748" t="str">
        <f>IF(AND($J748&gt;0,$K748&gt;0),"Green","Red")</f>
        <v>Green</v>
      </c>
      <c r="AD748" t="str">
        <f>IF(OR($J748=0,$K748=0),"Green","Red")</f>
        <v>Red</v>
      </c>
    </row>
    <row r="749" spans="1:30" x14ac:dyDescent="0.2">
      <c r="A749" t="str">
        <f>L749&amp;F749&amp;G749</f>
        <v>24/07/2026Neuchatel XamaxSC Kriens</v>
      </c>
      <c r="D749" s="2">
        <v>46227</v>
      </c>
      <c r="E749" s="3">
        <v>0.72916666666666663</v>
      </c>
      <c r="F749" t="s">
        <v>2607</v>
      </c>
      <c r="G749" t="s">
        <v>2608</v>
      </c>
      <c r="H749">
        <v>3</v>
      </c>
      <c r="I749">
        <v>1</v>
      </c>
      <c r="J749">
        <v>3</v>
      </c>
      <c r="K749">
        <v>2</v>
      </c>
      <c r="L749" s="22" t="str">
        <f>DAY(D749)&amp;"/"&amp;"07"&amp;"/"&amp;YEAR(D749)</f>
        <v>24/07/2026</v>
      </c>
      <c r="M749" s="23">
        <f>E749-TIME(3,0,0)</f>
        <v>0.60416666666666663</v>
      </c>
      <c r="N749" t="str">
        <f>J749&amp;" - "&amp;K749</f>
        <v>3 - 2</v>
      </c>
      <c r="O749" t="str">
        <f>IF($J749&gt;$K749,"Green","Red")</f>
        <v>Green</v>
      </c>
      <c r="P749" t="str">
        <f>IF($J749=$K749,"Green","Red")</f>
        <v>Red</v>
      </c>
      <c r="Q749" t="str">
        <f>IF($J749&lt;$K749,"Green","Red")</f>
        <v>Red</v>
      </c>
      <c r="R749" t="str">
        <f>IF($J749&gt;=$K749,"Green","Red")</f>
        <v>Green</v>
      </c>
      <c r="S749" t="str">
        <f>IF($J749&lt;=$K749,"Green","Red")</f>
        <v>Red</v>
      </c>
      <c r="T749" t="str">
        <f>IF(OR($J749&gt;$K749,$J749&lt;$K749),"Green","Red")</f>
        <v>Green</v>
      </c>
      <c r="U749" t="str">
        <f>IF($H749&gt;$I749,"Green","Red")</f>
        <v>Green</v>
      </c>
      <c r="V749" t="str">
        <f>IF($H749=$I749,"Green","Red")</f>
        <v>Red</v>
      </c>
      <c r="W749" t="str">
        <f>IF($H749&lt;$I749,"Green","Red")</f>
        <v>Red</v>
      </c>
      <c r="X749" t="str">
        <f>IF($H749+$I749&gt;0,"Green","Red")</f>
        <v>Green</v>
      </c>
      <c r="Y749" t="str">
        <f>IF($J749+$K749&gt;1.5,"Green","Red")</f>
        <v>Green</v>
      </c>
      <c r="Z749" t="str">
        <f>IF($J749+$K749&gt;2.5,"Green","Red")</f>
        <v>Green</v>
      </c>
      <c r="AA749" t="str">
        <f>IF($J749+$K749&lt;2.5,"Green","Red")</f>
        <v>Red</v>
      </c>
      <c r="AB749" t="str">
        <f>IF($J749+$K749&lt;3.5,"Green","Red")</f>
        <v>Red</v>
      </c>
      <c r="AC749" t="str">
        <f>IF(AND($J749&gt;0,$K749&gt;0),"Green","Red")</f>
        <v>Green</v>
      </c>
      <c r="AD749" t="str">
        <f>IF(OR($J749=0,$K749=0),"Green","Red")</f>
        <v>Red</v>
      </c>
    </row>
    <row r="750" spans="1:30" x14ac:dyDescent="0.2">
      <c r="A750" t="str">
        <f>L750&amp;F750&amp;G750</f>
        <v>24/07/2026Stade Lausanne-OuchyStade Nyonnais</v>
      </c>
      <c r="D750" s="2">
        <v>46227</v>
      </c>
      <c r="E750" s="3">
        <v>0.72916666666666663</v>
      </c>
      <c r="F750" t="s">
        <v>2609</v>
      </c>
      <c r="G750" t="s">
        <v>2610</v>
      </c>
      <c r="H750">
        <v>1</v>
      </c>
      <c r="I750">
        <v>0</v>
      </c>
      <c r="J750">
        <v>2</v>
      </c>
      <c r="K750">
        <v>0</v>
      </c>
      <c r="L750" s="22" t="str">
        <f>DAY(D750)&amp;"/"&amp;"07"&amp;"/"&amp;YEAR(D750)</f>
        <v>24/07/2026</v>
      </c>
      <c r="M750" s="23">
        <f>E750-TIME(3,0,0)</f>
        <v>0.60416666666666663</v>
      </c>
      <c r="N750" t="str">
        <f>J750&amp;" - "&amp;K750</f>
        <v>2 - 0</v>
      </c>
      <c r="O750" t="str">
        <f>IF($J750&gt;$K750,"Green","Red")</f>
        <v>Green</v>
      </c>
      <c r="P750" t="str">
        <f>IF($J750=$K750,"Green","Red")</f>
        <v>Red</v>
      </c>
      <c r="Q750" t="str">
        <f>IF($J750&lt;$K750,"Green","Red")</f>
        <v>Red</v>
      </c>
      <c r="R750" t="str">
        <f>IF($J750&gt;=$K750,"Green","Red")</f>
        <v>Green</v>
      </c>
      <c r="S750" t="str">
        <f>IF($J750&lt;=$K750,"Green","Red")</f>
        <v>Red</v>
      </c>
      <c r="T750" t="str">
        <f>IF(OR($J750&gt;$K750,$J750&lt;$K750),"Green","Red")</f>
        <v>Green</v>
      </c>
      <c r="U750" t="str">
        <f>IF($H750&gt;$I750,"Green","Red")</f>
        <v>Green</v>
      </c>
      <c r="V750" t="str">
        <f>IF($H750=$I750,"Green","Red")</f>
        <v>Red</v>
      </c>
      <c r="W750" t="str">
        <f>IF($H750&lt;$I750,"Green","Red")</f>
        <v>Red</v>
      </c>
      <c r="X750" t="str">
        <f>IF($H750+$I750&gt;0,"Green","Red")</f>
        <v>Green</v>
      </c>
      <c r="Y750" t="str">
        <f>IF($J750+$K750&gt;1.5,"Green","Red")</f>
        <v>Green</v>
      </c>
      <c r="Z750" t="str">
        <f>IF($J750+$K750&gt;2.5,"Green","Red")</f>
        <v>Red</v>
      </c>
      <c r="AA750" t="str">
        <f>IF($J750+$K750&lt;2.5,"Green","Red")</f>
        <v>Green</v>
      </c>
      <c r="AB750" t="str">
        <f>IF($J750+$K750&lt;3.5,"Green","Red")</f>
        <v>Green</v>
      </c>
      <c r="AC750" t="str">
        <f>IF(AND($J750&gt;0,$K750&gt;0),"Green","Red")</f>
        <v>Red</v>
      </c>
      <c r="AD750" t="str">
        <f>IF(OR($J750=0,$K750=0),"Green","Red")</f>
        <v>Green</v>
      </c>
    </row>
    <row r="751" spans="1:30" x14ac:dyDescent="0.2">
      <c r="A751" t="str">
        <f>L751&amp;F751&amp;G751</f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>DAY(D751)&amp;"/"&amp;"07"&amp;"/"&amp;YEAR(D751)</f>
        <v>24/07/2026</v>
      </c>
      <c r="M751" s="23">
        <f>E751-TIME(3,0,0)</f>
        <v>0.60416666666666663</v>
      </c>
      <c r="N751" t="str">
        <f>J751&amp;" - "&amp;K751</f>
        <v>2 - 2</v>
      </c>
      <c r="O751" t="str">
        <f>IF($J751&gt;$K751,"Green","Red")</f>
        <v>Red</v>
      </c>
      <c r="P751" t="str">
        <f>IF($J751=$K751,"Green","Red")</f>
        <v>Green</v>
      </c>
      <c r="Q751" t="str">
        <f>IF($J751&lt;$K751,"Green","Red")</f>
        <v>Red</v>
      </c>
      <c r="R751" t="str">
        <f>IF($J751&gt;=$K751,"Green","Red")</f>
        <v>Green</v>
      </c>
      <c r="S751" t="str">
        <f>IF($J751&lt;=$K751,"Green","Red")</f>
        <v>Green</v>
      </c>
      <c r="T751" t="str">
        <f>IF(OR($J751&gt;$K751,$J751&lt;$K751),"Green","Red")</f>
        <v>Red</v>
      </c>
      <c r="U751" t="str">
        <f>IF($H751&gt;$I751,"Green","Red")</f>
        <v>Red</v>
      </c>
      <c r="V751" t="str">
        <f>IF($H751=$I751,"Green","Red")</f>
        <v>Red</v>
      </c>
      <c r="W751" t="str">
        <f>IF($H751&lt;$I751,"Green","Red")</f>
        <v>Green</v>
      </c>
      <c r="X751" t="str">
        <f>IF($H751+$I751&gt;0,"Green","Red")</f>
        <v>Green</v>
      </c>
      <c r="Y751" t="str">
        <f>IF($J751+$K751&gt;1.5,"Green","Red")</f>
        <v>Green</v>
      </c>
      <c r="Z751" t="str">
        <f>IF($J751+$K751&gt;2.5,"Green","Red")</f>
        <v>Green</v>
      </c>
      <c r="AA751" t="str">
        <f>IF($J751+$K751&lt;2.5,"Green","Red")</f>
        <v>Red</v>
      </c>
      <c r="AB751" t="str">
        <f>IF($J751+$K751&lt;3.5,"Green","Red")</f>
        <v>Red</v>
      </c>
      <c r="AC751" t="str">
        <f>IF(AND($J751&gt;0,$K751&gt;0),"Green","Red")</f>
        <v>Green</v>
      </c>
      <c r="AD751" t="str">
        <f>IF(OR($J751=0,$K751=0),"Green","Red")</f>
        <v>Red</v>
      </c>
    </row>
    <row r="752" spans="1:30" x14ac:dyDescent="0.2">
      <c r="A752" t="str">
        <f>L752&amp;F752&amp;G752</f>
        <v>24/07/2026OsasunaRacing Santander</v>
      </c>
      <c r="D752" s="2">
        <v>46227</v>
      </c>
      <c r="E752" s="3">
        <v>0.72916666666666663</v>
      </c>
      <c r="F752" t="s">
        <v>2693</v>
      </c>
      <c r="G752" t="s">
        <v>2694</v>
      </c>
      <c r="H752">
        <v>0</v>
      </c>
      <c r="I752">
        <v>0</v>
      </c>
      <c r="J752">
        <v>2</v>
      </c>
      <c r="K752">
        <v>0</v>
      </c>
      <c r="L752" s="22" t="str">
        <f>DAY(D752)&amp;"/"&amp;"07"&amp;"/"&amp;YEAR(D752)</f>
        <v>24/07/2026</v>
      </c>
      <c r="M752" s="23">
        <f>E752-TIME(3,0,0)</f>
        <v>0.60416666666666663</v>
      </c>
      <c r="N752" t="str">
        <f>J752&amp;" - "&amp;K752</f>
        <v>2 - 0</v>
      </c>
      <c r="O752" t="str">
        <f>IF($J752&gt;$K752,"Green","Red")</f>
        <v>Green</v>
      </c>
      <c r="P752" t="str">
        <f>IF($J752=$K752,"Green","Red")</f>
        <v>Red</v>
      </c>
      <c r="Q752" t="str">
        <f>IF($J752&lt;$K752,"Green","Red")</f>
        <v>Red</v>
      </c>
      <c r="R752" t="str">
        <f>IF($J752&gt;=$K752,"Green","Red")</f>
        <v>Green</v>
      </c>
      <c r="S752" t="str">
        <f>IF($J752&lt;=$K752,"Green","Red")</f>
        <v>Red</v>
      </c>
      <c r="T752" t="str">
        <f>IF(OR($J752&gt;$K752,$J752&lt;$K752),"Green","Red")</f>
        <v>Green</v>
      </c>
      <c r="U752" t="str">
        <f>IF($H752&gt;$I752,"Green","Red")</f>
        <v>Red</v>
      </c>
      <c r="V752" t="str">
        <f>IF($H752=$I752,"Green","Red")</f>
        <v>Green</v>
      </c>
      <c r="W752" t="str">
        <f>IF($H752&lt;$I752,"Green","Red")</f>
        <v>Red</v>
      </c>
      <c r="X752" t="str">
        <f>IF($H752+$I752&gt;0,"Green","Red")</f>
        <v>Red</v>
      </c>
      <c r="Y752" t="str">
        <f>IF($J752+$K752&gt;1.5,"Green","Red")</f>
        <v>Green</v>
      </c>
      <c r="Z752" t="str">
        <f>IF($J752+$K752&gt;2.5,"Green","Red")</f>
        <v>Red</v>
      </c>
      <c r="AA752" t="str">
        <f>IF($J752+$K752&lt;2.5,"Green","Red")</f>
        <v>Green</v>
      </c>
      <c r="AB752" t="str">
        <f>IF($J752+$K752&lt;3.5,"Green","Red")</f>
        <v>Green</v>
      </c>
      <c r="AC752" t="str">
        <f>IF(AND($J752&gt;0,$K752&gt;0),"Green","Red")</f>
        <v>Red</v>
      </c>
      <c r="AD752" t="str">
        <f>IF(OR($J752=0,$K752=0),"Green","Red")</f>
        <v>Green</v>
      </c>
    </row>
    <row r="753" spans="1:30" x14ac:dyDescent="0.2">
      <c r="A753" t="str">
        <f>L753&amp;F753&amp;G753</f>
        <v>24/07/2026Kimberley Mar del PlataClub Circulo Deportivo</v>
      </c>
      <c r="B753" t="s">
        <v>806</v>
      </c>
      <c r="C753" t="s">
        <v>2243</v>
      </c>
      <c r="D753" s="2">
        <v>46227</v>
      </c>
      <c r="E753" s="3">
        <v>0.75</v>
      </c>
      <c r="F753" t="s">
        <v>2244</v>
      </c>
      <c r="G753" t="s">
        <v>2245</v>
      </c>
      <c r="H753">
        <v>0</v>
      </c>
      <c r="I753">
        <v>0</v>
      </c>
      <c r="J753">
        <v>1</v>
      </c>
      <c r="K753">
        <v>1</v>
      </c>
      <c r="L753" s="22" t="str">
        <f>DAY(D753)&amp;"/"&amp;"07"&amp;"/"&amp;YEAR(D753)</f>
        <v>24/07/2026</v>
      </c>
      <c r="M753" s="23">
        <f>E753-TIME(3,0,0)</f>
        <v>0.625</v>
      </c>
      <c r="N753" t="str">
        <f>J753&amp;" - "&amp;K753</f>
        <v>1 - 1</v>
      </c>
      <c r="O753" t="str">
        <f>IF($J753&gt;$K753,"Green","Red")</f>
        <v>Red</v>
      </c>
      <c r="P753" t="str">
        <f>IF($J753=$K753,"Green","Red")</f>
        <v>Green</v>
      </c>
      <c r="Q753" t="str">
        <f>IF($J753&lt;$K753,"Green","Red")</f>
        <v>Red</v>
      </c>
      <c r="R753" t="str">
        <f>IF($J753&gt;=$K753,"Green","Red")</f>
        <v>Green</v>
      </c>
      <c r="S753" t="str">
        <f>IF($J753&lt;=$K753,"Green","Red")</f>
        <v>Green</v>
      </c>
      <c r="T753" t="str">
        <f>IF(OR($J753&gt;$K753,$J753&lt;$K753),"Green","Red")</f>
        <v>Red</v>
      </c>
      <c r="U753" t="str">
        <f>IF($H753&gt;$I753,"Green","Red")</f>
        <v>Red</v>
      </c>
      <c r="V753" t="str">
        <f>IF($H753=$I753,"Green","Red")</f>
        <v>Green</v>
      </c>
      <c r="W753" t="str">
        <f>IF($H753&lt;$I753,"Green","Red")</f>
        <v>Red</v>
      </c>
      <c r="X753" t="str">
        <f>IF($H753+$I753&gt;0,"Green","Red")</f>
        <v>Red</v>
      </c>
      <c r="Y753" t="str">
        <f>IF($J753+$K753&gt;1.5,"Green","Red")</f>
        <v>Green</v>
      </c>
      <c r="Z753" t="str">
        <f>IF($J753+$K753&gt;2.5,"Green","Red")</f>
        <v>Red</v>
      </c>
      <c r="AA753" t="str">
        <f>IF($J753+$K753&lt;2.5,"Green","Red")</f>
        <v>Green</v>
      </c>
      <c r="AB753" t="str">
        <f>IF($J753+$K753&lt;3.5,"Green","Red")</f>
        <v>Green</v>
      </c>
      <c r="AC753" t="str">
        <f>IF(AND($J753&gt;0,$K753&gt;0),"Green","Red")</f>
        <v>Green</v>
      </c>
      <c r="AD753" t="str">
        <f>IF(OR($J753=0,$K753=0),"Green","Red")</f>
        <v>Red</v>
      </c>
    </row>
    <row r="754" spans="1:30" x14ac:dyDescent="0.2">
      <c r="A754" t="str">
        <f>L754&amp;F754&amp;G754</f>
        <v>24/07/2026Ponte Preta U20Suzano SP U20</v>
      </c>
      <c r="D754" s="2">
        <v>46227</v>
      </c>
      <c r="E754" s="3">
        <v>0.75</v>
      </c>
      <c r="F754" t="s">
        <v>2369</v>
      </c>
      <c r="G754" t="s">
        <v>2370</v>
      </c>
      <c r="H754">
        <v>2</v>
      </c>
      <c r="I754">
        <v>0</v>
      </c>
      <c r="J754">
        <v>2</v>
      </c>
      <c r="K754">
        <v>0</v>
      </c>
      <c r="L754" s="22" t="str">
        <f>DAY(D754)&amp;"/"&amp;"07"&amp;"/"&amp;YEAR(D754)</f>
        <v>24/07/2026</v>
      </c>
      <c r="M754" s="23">
        <f>E754-TIME(3,0,0)</f>
        <v>0.625</v>
      </c>
      <c r="N754" t="str">
        <f>J754&amp;" - "&amp;K754</f>
        <v>2 - 0</v>
      </c>
      <c r="O754" t="str">
        <f>IF($J754&gt;$K754,"Green","Red")</f>
        <v>Green</v>
      </c>
      <c r="P754" t="str">
        <f>IF($J754=$K754,"Green","Red")</f>
        <v>Red</v>
      </c>
      <c r="Q754" t="str">
        <f>IF($J754&lt;$K754,"Green","Red")</f>
        <v>Red</v>
      </c>
      <c r="R754" t="str">
        <f>IF($J754&gt;=$K754,"Green","Red")</f>
        <v>Green</v>
      </c>
      <c r="S754" t="str">
        <f>IF($J754&lt;=$K754,"Green","Red")</f>
        <v>Red</v>
      </c>
      <c r="T754" t="str">
        <f>IF(OR($J754&gt;$K754,$J754&lt;$K754),"Green","Red")</f>
        <v>Green</v>
      </c>
      <c r="U754" t="str">
        <f>IF($H754&gt;$I754,"Green","Red")</f>
        <v>Green</v>
      </c>
      <c r="V754" t="str">
        <f>IF($H754=$I754,"Green","Red")</f>
        <v>Red</v>
      </c>
      <c r="W754" t="str">
        <f>IF($H754&lt;$I754,"Green","Red")</f>
        <v>Red</v>
      </c>
      <c r="X754" t="str">
        <f>IF($H754+$I754&gt;0,"Green","Red")</f>
        <v>Green</v>
      </c>
      <c r="Y754" t="str">
        <f>IF($J754+$K754&gt;1.5,"Green","Red")</f>
        <v>Green</v>
      </c>
      <c r="Z754" t="str">
        <f>IF($J754+$K754&gt;2.5,"Green","Red")</f>
        <v>Red</v>
      </c>
      <c r="AA754" t="str">
        <f>IF($J754+$K754&lt;2.5,"Green","Red")</f>
        <v>Green</v>
      </c>
      <c r="AB754" t="str">
        <f>IF($J754+$K754&lt;3.5,"Green","Red")</f>
        <v>Green</v>
      </c>
      <c r="AC754" t="str">
        <f>IF(AND($J754&gt;0,$K754&gt;0),"Green","Red")</f>
        <v>Red</v>
      </c>
      <c r="AD754" t="str">
        <f>IF(OR($J754=0,$K754=0),"Green","Red")</f>
        <v>Green</v>
      </c>
    </row>
    <row r="755" spans="1:30" x14ac:dyDescent="0.2">
      <c r="A755" t="str">
        <f>L755&amp;F755&amp;G755</f>
        <v>24/07/2026Portuguesa RJ U20Juventus SP U20</v>
      </c>
      <c r="D755" s="2">
        <v>46227</v>
      </c>
      <c r="E755" s="3">
        <v>0.75</v>
      </c>
      <c r="F755" t="s">
        <v>2371</v>
      </c>
      <c r="G755" t="s">
        <v>2372</v>
      </c>
      <c r="L755" s="22" t="str">
        <f>DAY(D755)&amp;"/"&amp;"07"&amp;"/"&amp;YEAR(D755)</f>
        <v>24/07/2026</v>
      </c>
      <c r="M755" s="23">
        <f>E755-TIME(3,0,0)</f>
        <v>0.625</v>
      </c>
      <c r="N755" t="str">
        <f>J755&amp;" - "&amp;K755</f>
        <v xml:space="preserve"> - </v>
      </c>
      <c r="O755" t="str">
        <f>IF($J755&gt;$K755,"Green","Red")</f>
        <v>Red</v>
      </c>
      <c r="P755" t="str">
        <f>IF($J755=$K755,"Green","Red")</f>
        <v>Green</v>
      </c>
      <c r="Q755" t="str">
        <f>IF($J755&lt;$K755,"Green","Red")</f>
        <v>Red</v>
      </c>
      <c r="R755" t="str">
        <f>IF($J755&gt;=$K755,"Green","Red")</f>
        <v>Green</v>
      </c>
      <c r="S755" t="str">
        <f>IF($J755&lt;=$K755,"Green","Red")</f>
        <v>Green</v>
      </c>
      <c r="T755" t="str">
        <f>IF(OR($J755&gt;$K755,$J755&lt;$K755),"Green","Red")</f>
        <v>Red</v>
      </c>
      <c r="U755" t="str">
        <f>IF($H755&gt;$I755,"Green","Red")</f>
        <v>Red</v>
      </c>
      <c r="V755" t="str">
        <f>IF($H755=$I755,"Green","Red")</f>
        <v>Green</v>
      </c>
      <c r="W755" t="str">
        <f>IF($H755&lt;$I755,"Green","Red")</f>
        <v>Red</v>
      </c>
      <c r="X755" t="str">
        <f>IF($H755+$I755&gt;0,"Green","Red")</f>
        <v>Red</v>
      </c>
      <c r="Y755" t="str">
        <f>IF($J755+$K755&gt;1.5,"Green","Red")</f>
        <v>Red</v>
      </c>
      <c r="Z755" t="str">
        <f>IF($J755+$K755&gt;2.5,"Green","Red")</f>
        <v>Red</v>
      </c>
      <c r="AA755" t="str">
        <f>IF($J755+$K755&lt;2.5,"Green","Red")</f>
        <v>Green</v>
      </c>
      <c r="AB755" t="str">
        <f>IF($J755+$K755&lt;3.5,"Green","Red")</f>
        <v>Green</v>
      </c>
      <c r="AC755" t="str">
        <f>IF(AND($J755&gt;0,$K755&gt;0),"Green","Red")</f>
        <v>Red</v>
      </c>
      <c r="AD755" t="str">
        <f>IF(OR($J755=0,$K755=0),"Green","Red")</f>
        <v>Green</v>
      </c>
    </row>
    <row r="756" spans="1:30" x14ac:dyDescent="0.2">
      <c r="A756" t="str">
        <f>L756&amp;F756&amp;G756</f>
        <v>24/07/2026Portuguesa Santista U20Juventus SP U20</v>
      </c>
      <c r="D756" s="2">
        <v>46227</v>
      </c>
      <c r="E756" s="3">
        <v>0.75</v>
      </c>
      <c r="F756" t="s">
        <v>2373</v>
      </c>
      <c r="G756" t="s">
        <v>2372</v>
      </c>
      <c r="H756">
        <v>2</v>
      </c>
      <c r="I756">
        <v>2</v>
      </c>
      <c r="J756">
        <v>2</v>
      </c>
      <c r="K756">
        <v>3</v>
      </c>
      <c r="L756" s="22" t="str">
        <f>DAY(D756)&amp;"/"&amp;"07"&amp;"/"&amp;YEAR(D756)</f>
        <v>24/07/2026</v>
      </c>
      <c r="M756" s="23">
        <f>E756-TIME(3,0,0)</f>
        <v>0.625</v>
      </c>
      <c r="N756" t="str">
        <f>J756&amp;" - "&amp;K756</f>
        <v>2 - 3</v>
      </c>
      <c r="O756" t="str">
        <f>IF($J756&gt;$K756,"Green","Red")</f>
        <v>Red</v>
      </c>
      <c r="P756" t="str">
        <f>IF($J756=$K756,"Green","Red")</f>
        <v>Red</v>
      </c>
      <c r="Q756" t="str">
        <f>IF($J756&lt;$K756,"Green","Red")</f>
        <v>Green</v>
      </c>
      <c r="R756" t="str">
        <f>IF($J756&gt;=$K756,"Green","Red")</f>
        <v>Red</v>
      </c>
      <c r="S756" t="str">
        <f>IF($J756&lt;=$K756,"Green","Red")</f>
        <v>Green</v>
      </c>
      <c r="T756" t="str">
        <f>IF(OR($J756&gt;$K756,$J756&lt;$K756),"Green","Red")</f>
        <v>Green</v>
      </c>
      <c r="U756" t="str">
        <f>IF($H756&gt;$I756,"Green","Red")</f>
        <v>Red</v>
      </c>
      <c r="V756" t="str">
        <f>IF($H756=$I756,"Green","Red")</f>
        <v>Green</v>
      </c>
      <c r="W756" t="str">
        <f>IF($H756&lt;$I756,"Green","Red")</f>
        <v>Red</v>
      </c>
      <c r="X756" t="str">
        <f>IF($H756+$I756&gt;0,"Green","Red")</f>
        <v>Green</v>
      </c>
      <c r="Y756" t="str">
        <f>IF($J756+$K756&gt;1.5,"Green","Red")</f>
        <v>Green</v>
      </c>
      <c r="Z756" t="str">
        <f>IF($J756+$K756&gt;2.5,"Green","Red")</f>
        <v>Green</v>
      </c>
      <c r="AA756" t="str">
        <f>IF($J756+$K756&lt;2.5,"Green","Red")</f>
        <v>Red</v>
      </c>
      <c r="AB756" t="str">
        <f>IF($J756+$K756&lt;3.5,"Green","Red")</f>
        <v>Red</v>
      </c>
      <c r="AC756" t="str">
        <f>IF(AND($J756&gt;0,$K756&gt;0),"Green","Red")</f>
        <v>Green</v>
      </c>
      <c r="AD756" t="str">
        <f>IF(OR($J756=0,$K756=0),"Green","Red")</f>
        <v>Red</v>
      </c>
    </row>
    <row r="757" spans="1:30" x14ac:dyDescent="0.2">
      <c r="A757" t="str">
        <f>L757&amp;F757&amp;G757</f>
        <v>24/07/2026Agua Santa SP U20Ituano U20</v>
      </c>
      <c r="D757" s="2">
        <v>46227</v>
      </c>
      <c r="E757" s="3">
        <v>0.75</v>
      </c>
      <c r="F757" t="s">
        <v>2374</v>
      </c>
      <c r="G757" t="s">
        <v>2375</v>
      </c>
      <c r="H757">
        <v>0</v>
      </c>
      <c r="I757">
        <v>0</v>
      </c>
      <c r="J757">
        <v>0</v>
      </c>
      <c r="K757">
        <v>0</v>
      </c>
      <c r="L757" s="22" t="str">
        <f>DAY(D757)&amp;"/"&amp;"07"&amp;"/"&amp;YEAR(D757)</f>
        <v>24/07/2026</v>
      </c>
      <c r="M757" s="23">
        <f>E757-TIME(3,0,0)</f>
        <v>0.625</v>
      </c>
      <c r="N757" t="str">
        <f>J757&amp;" - "&amp;K757</f>
        <v>0 - 0</v>
      </c>
      <c r="O757" t="str">
        <f>IF($J757&gt;$K757,"Green","Red")</f>
        <v>Red</v>
      </c>
      <c r="P757" t="str">
        <f>IF($J757=$K757,"Green","Red")</f>
        <v>Green</v>
      </c>
      <c r="Q757" t="str">
        <f>IF($J757&lt;$K757,"Green","Red")</f>
        <v>Red</v>
      </c>
      <c r="R757" t="str">
        <f>IF($J757&gt;=$K757,"Green","Red")</f>
        <v>Green</v>
      </c>
      <c r="S757" t="str">
        <f>IF($J757&lt;=$K757,"Green","Red")</f>
        <v>Green</v>
      </c>
      <c r="T757" t="str">
        <f>IF(OR($J757&gt;$K757,$J757&lt;$K757),"Green","Red")</f>
        <v>Red</v>
      </c>
      <c r="U757" t="str">
        <f>IF($H757&gt;$I757,"Green","Red")</f>
        <v>Red</v>
      </c>
      <c r="V757" t="str">
        <f>IF($H757=$I757,"Green","Red")</f>
        <v>Green</v>
      </c>
      <c r="W757" t="str">
        <f>IF($H757&lt;$I757,"Green","Red")</f>
        <v>Red</v>
      </c>
      <c r="X757" t="str">
        <f>IF($H757+$I757&gt;0,"Green","Red")</f>
        <v>Red</v>
      </c>
      <c r="Y757" t="str">
        <f>IF($J757+$K757&gt;1.5,"Green","Red")</f>
        <v>Red</v>
      </c>
      <c r="Z757" t="str">
        <f>IF($J757+$K757&gt;2.5,"Green","Red")</f>
        <v>Red</v>
      </c>
      <c r="AA757" t="str">
        <f>IF($J757+$K757&lt;2.5,"Green","Red")</f>
        <v>Green</v>
      </c>
      <c r="AB757" t="str">
        <f>IF($J757+$K757&lt;3.5,"Green","Red")</f>
        <v>Green</v>
      </c>
      <c r="AC757" t="str">
        <f>IF(AND($J757&gt;0,$K757&gt;0),"Green","Red")</f>
        <v>Red</v>
      </c>
      <c r="AD757" t="str">
        <f>IF(OR($J757=0,$K757=0),"Green","Red")</f>
        <v>Green</v>
      </c>
    </row>
    <row r="758" spans="1:30" x14ac:dyDescent="0.2">
      <c r="A758" t="str">
        <f>L758&amp;F758&amp;G758</f>
        <v>24/07/2026Gremio Prudente SP U20XV de Jau U20</v>
      </c>
      <c r="D758" s="2">
        <v>46227</v>
      </c>
      <c r="E758" s="3">
        <v>0.75</v>
      </c>
      <c r="F758" t="s">
        <v>2376</v>
      </c>
      <c r="G758" t="s">
        <v>2377</v>
      </c>
      <c r="H758">
        <v>1</v>
      </c>
      <c r="I758">
        <v>0</v>
      </c>
      <c r="J758">
        <v>1</v>
      </c>
      <c r="K758">
        <v>1</v>
      </c>
      <c r="L758" s="22" t="str">
        <f>DAY(D758)&amp;"/"&amp;"07"&amp;"/"&amp;YEAR(D758)</f>
        <v>24/07/2026</v>
      </c>
      <c r="M758" s="23">
        <f>E758-TIME(3,0,0)</f>
        <v>0.625</v>
      </c>
      <c r="N758" t="str">
        <f>J758&amp;" - "&amp;K758</f>
        <v>1 - 1</v>
      </c>
      <c r="O758" t="str">
        <f>IF($J758&gt;$K758,"Green","Red")</f>
        <v>Red</v>
      </c>
      <c r="P758" t="str">
        <f>IF($J758=$K758,"Green","Red")</f>
        <v>Green</v>
      </c>
      <c r="Q758" t="str">
        <f>IF($J758&lt;$K758,"Green","Red")</f>
        <v>Red</v>
      </c>
      <c r="R758" t="str">
        <f>IF($J758&gt;=$K758,"Green","Red")</f>
        <v>Green</v>
      </c>
      <c r="S758" t="str">
        <f>IF($J758&lt;=$K758,"Green","Red")</f>
        <v>Green</v>
      </c>
      <c r="T758" t="str">
        <f>IF(OR($J758&gt;$K758,$J758&lt;$K758),"Green","Red")</f>
        <v>Red</v>
      </c>
      <c r="U758" t="str">
        <f>IF($H758&gt;$I758,"Green","Red")</f>
        <v>Green</v>
      </c>
      <c r="V758" t="str">
        <f>IF($H758=$I758,"Green","Red")</f>
        <v>Red</v>
      </c>
      <c r="W758" t="str">
        <f>IF($H758&lt;$I758,"Green","Red")</f>
        <v>Red</v>
      </c>
      <c r="X758" t="str">
        <f>IF($H758+$I758&gt;0,"Green","Red")</f>
        <v>Green</v>
      </c>
      <c r="Y758" t="str">
        <f>IF($J758+$K758&gt;1.5,"Green","Red")</f>
        <v>Green</v>
      </c>
      <c r="Z758" t="str">
        <f>IF($J758+$K758&gt;2.5,"Green","Red")</f>
        <v>Red</v>
      </c>
      <c r="AA758" t="str">
        <f>IF($J758+$K758&lt;2.5,"Green","Red")</f>
        <v>Green</v>
      </c>
      <c r="AB758" t="str">
        <f>IF($J758+$K758&lt;3.5,"Green","Red")</f>
        <v>Green</v>
      </c>
      <c r="AC758" t="str">
        <f>IF(AND($J758&gt;0,$K758&gt;0),"Green","Red")</f>
        <v>Green</v>
      </c>
      <c r="AD758" t="str">
        <f>IF(OR($J758=0,$K758=0),"Green","Red")</f>
        <v>Red</v>
      </c>
    </row>
    <row r="759" spans="1:30" x14ac:dyDescent="0.2">
      <c r="A759" t="str">
        <f>L759&amp;F759&amp;G759</f>
        <v>24/07/2026Guarani SP U20Tanabi EC U20</v>
      </c>
      <c r="D759" s="2">
        <v>46227</v>
      </c>
      <c r="E759" s="3">
        <v>0.75</v>
      </c>
      <c r="F759" t="s">
        <v>2378</v>
      </c>
      <c r="G759" t="s">
        <v>2379</v>
      </c>
      <c r="H759">
        <v>0</v>
      </c>
      <c r="I759">
        <v>0</v>
      </c>
      <c r="J759">
        <v>1</v>
      </c>
      <c r="K759">
        <v>0</v>
      </c>
      <c r="L759" s="22" t="str">
        <f>DAY(D759)&amp;"/"&amp;"07"&amp;"/"&amp;YEAR(D759)</f>
        <v>24/07/2026</v>
      </c>
      <c r="M759" s="23">
        <f>E759-TIME(3,0,0)</f>
        <v>0.625</v>
      </c>
      <c r="N759" t="str">
        <f>J759&amp;" - "&amp;K759</f>
        <v>1 - 0</v>
      </c>
      <c r="O759" t="str">
        <f>IF($J759&gt;$K759,"Green","Red")</f>
        <v>Green</v>
      </c>
      <c r="P759" t="str">
        <f>IF($J759=$K759,"Green","Red")</f>
        <v>Red</v>
      </c>
      <c r="Q759" t="str">
        <f>IF($J759&lt;$K759,"Green","Red")</f>
        <v>Red</v>
      </c>
      <c r="R759" t="str">
        <f>IF($J759&gt;=$K759,"Green","Red")</f>
        <v>Green</v>
      </c>
      <c r="S759" t="str">
        <f>IF($J759&lt;=$K759,"Green","Red")</f>
        <v>Red</v>
      </c>
      <c r="T759" t="str">
        <f>IF(OR($J759&gt;$K759,$J759&lt;$K759),"Green","Red")</f>
        <v>Green</v>
      </c>
      <c r="U759" t="str">
        <f>IF($H759&gt;$I759,"Green","Red")</f>
        <v>Red</v>
      </c>
      <c r="V759" t="str">
        <f>IF($H759=$I759,"Green","Red")</f>
        <v>Green</v>
      </c>
      <c r="W759" t="str">
        <f>IF($H759&lt;$I759,"Green","Red")</f>
        <v>Red</v>
      </c>
      <c r="X759" t="str">
        <f>IF($H759+$I759&gt;0,"Green","Red")</f>
        <v>Red</v>
      </c>
      <c r="Y759" t="str">
        <f>IF($J759+$K759&gt;1.5,"Green","Red")</f>
        <v>Red</v>
      </c>
      <c r="Z759" t="str">
        <f>IF($J759+$K759&gt;2.5,"Green","Red")</f>
        <v>Red</v>
      </c>
      <c r="AA759" t="str">
        <f>IF($J759+$K759&lt;2.5,"Green","Red")</f>
        <v>Green</v>
      </c>
      <c r="AB759" t="str">
        <f>IF($J759+$K759&lt;3.5,"Green","Red")</f>
        <v>Green</v>
      </c>
      <c r="AC759" t="str">
        <f>IF(AND($J759&gt;0,$K759&gt;0),"Green","Red")</f>
        <v>Red</v>
      </c>
      <c r="AD759" t="str">
        <f>IF(OR($J759=0,$K759=0),"Green","Red")</f>
        <v>Green</v>
      </c>
    </row>
    <row r="760" spans="1:30" x14ac:dyDescent="0.2">
      <c r="A760" t="str">
        <f>L760&amp;F760&amp;G760</f>
        <v>24/07/2026Ibrachina SP U20Velo Clube SP U20</v>
      </c>
      <c r="D760" s="2">
        <v>46227</v>
      </c>
      <c r="E760" s="3">
        <v>0.75</v>
      </c>
      <c r="F760" t="s">
        <v>2380</v>
      </c>
      <c r="G760" t="s">
        <v>2381</v>
      </c>
      <c r="H760">
        <v>3</v>
      </c>
      <c r="I760">
        <v>0</v>
      </c>
      <c r="J760">
        <v>5</v>
      </c>
      <c r="K760">
        <v>0</v>
      </c>
      <c r="L760" s="22" t="str">
        <f>DAY(D760)&amp;"/"&amp;"07"&amp;"/"&amp;YEAR(D760)</f>
        <v>24/07/2026</v>
      </c>
      <c r="M760" s="23">
        <f>E760-TIME(3,0,0)</f>
        <v>0.625</v>
      </c>
      <c r="N760" t="str">
        <f>J760&amp;" - "&amp;K760</f>
        <v>5 - 0</v>
      </c>
      <c r="O760" t="str">
        <f>IF($J760&gt;$K760,"Green","Red")</f>
        <v>Green</v>
      </c>
      <c r="P760" t="str">
        <f>IF($J760=$K760,"Green","Red")</f>
        <v>Red</v>
      </c>
      <c r="Q760" t="str">
        <f>IF($J760&lt;$K760,"Green","Red")</f>
        <v>Red</v>
      </c>
      <c r="R760" t="str">
        <f>IF($J760&gt;=$K760,"Green","Red")</f>
        <v>Green</v>
      </c>
      <c r="S760" t="str">
        <f>IF($J760&lt;=$K760,"Green","Red")</f>
        <v>Red</v>
      </c>
      <c r="T760" t="str">
        <f>IF(OR($J760&gt;$K760,$J760&lt;$K760),"Green","Red")</f>
        <v>Green</v>
      </c>
      <c r="U760" t="str">
        <f>IF($H760&gt;$I760,"Green","Red")</f>
        <v>Green</v>
      </c>
      <c r="V760" t="str">
        <f>IF($H760=$I760,"Green","Red")</f>
        <v>Red</v>
      </c>
      <c r="W760" t="str">
        <f>IF($H760&lt;$I760,"Green","Red")</f>
        <v>Red</v>
      </c>
      <c r="X760" t="str">
        <f>IF($H760+$I760&gt;0,"Green","Red")</f>
        <v>Green</v>
      </c>
      <c r="Y760" t="str">
        <f>IF($J760+$K760&gt;1.5,"Green","Red")</f>
        <v>Green</v>
      </c>
      <c r="Z760" t="str">
        <f>IF($J760+$K760&gt;2.5,"Green","Red")</f>
        <v>Green</v>
      </c>
      <c r="AA760" t="str">
        <f>IF($J760+$K760&lt;2.5,"Green","Red")</f>
        <v>Red</v>
      </c>
      <c r="AB760" t="str">
        <f>IF($J760+$K760&lt;3.5,"Green","Red")</f>
        <v>Red</v>
      </c>
      <c r="AC760" t="str">
        <f>IF(AND($J760&gt;0,$K760&gt;0),"Green","Red")</f>
        <v>Red</v>
      </c>
      <c r="AD760" t="str">
        <f>IF(OR($J760=0,$K760=0),"Green","Red")</f>
        <v>Green</v>
      </c>
    </row>
    <row r="761" spans="1:30" x14ac:dyDescent="0.2">
      <c r="A761" t="str">
        <f>L761&amp;F761&amp;G761</f>
        <v>24/07/2026Maua FC U20Flamengo SP U20</v>
      </c>
      <c r="D761" s="2">
        <v>46227</v>
      </c>
      <c r="E761" s="3">
        <v>0.75</v>
      </c>
      <c r="F761" t="s">
        <v>2382</v>
      </c>
      <c r="G761" t="s">
        <v>2383</v>
      </c>
      <c r="H761">
        <v>1</v>
      </c>
      <c r="I761">
        <v>0</v>
      </c>
      <c r="J761">
        <v>1</v>
      </c>
      <c r="K761">
        <v>2</v>
      </c>
      <c r="L761" s="22" t="str">
        <f>DAY(D761)&amp;"/"&amp;"07"&amp;"/"&amp;YEAR(D761)</f>
        <v>24/07/2026</v>
      </c>
      <c r="M761" s="23">
        <f>E761-TIME(3,0,0)</f>
        <v>0.625</v>
      </c>
      <c r="N761" t="str">
        <f>J761&amp;" - "&amp;K761</f>
        <v>1 - 2</v>
      </c>
      <c r="O761" t="str">
        <f>IF($J761&gt;$K761,"Green","Red")</f>
        <v>Red</v>
      </c>
      <c r="P761" t="str">
        <f>IF($J761=$K761,"Green","Red")</f>
        <v>Red</v>
      </c>
      <c r="Q761" t="str">
        <f>IF($J761&lt;$K761,"Green","Red")</f>
        <v>Green</v>
      </c>
      <c r="R761" t="str">
        <f>IF($J761&gt;=$K761,"Green","Red")</f>
        <v>Red</v>
      </c>
      <c r="S761" t="str">
        <f>IF($J761&lt;=$K761,"Green","Red")</f>
        <v>Green</v>
      </c>
      <c r="T761" t="str">
        <f>IF(OR($J761&gt;$K761,$J761&lt;$K761),"Green","Red")</f>
        <v>Green</v>
      </c>
      <c r="U761" t="str">
        <f>IF($H761&gt;$I761,"Green","Red")</f>
        <v>Green</v>
      </c>
      <c r="V761" t="str">
        <f>IF($H761=$I761,"Green","Red")</f>
        <v>Red</v>
      </c>
      <c r="W761" t="str">
        <f>IF($H761&lt;$I761,"Green","Red")</f>
        <v>Red</v>
      </c>
      <c r="X761" t="str">
        <f>IF($H761+$I761&gt;0,"Green","Red")</f>
        <v>Green</v>
      </c>
      <c r="Y761" t="str">
        <f>IF($J761+$K761&gt;1.5,"Green","Red")</f>
        <v>Green</v>
      </c>
      <c r="Z761" t="str">
        <f>IF($J761+$K761&gt;2.5,"Green","Red")</f>
        <v>Green</v>
      </c>
      <c r="AA761" t="str">
        <f>IF($J761+$K761&lt;2.5,"Green","Red")</f>
        <v>Red</v>
      </c>
      <c r="AB761" t="str">
        <f>IF($J761+$K761&lt;3.5,"Green","Red")</f>
        <v>Green</v>
      </c>
      <c r="AC761" t="str">
        <f>IF(AND($J761&gt;0,$K761&gt;0),"Green","Red")</f>
        <v>Green</v>
      </c>
      <c r="AD761" t="str">
        <f>IF(OR($J761=0,$K761=0),"Green","Red")</f>
        <v>Red</v>
      </c>
    </row>
    <row r="762" spans="1:30" x14ac:dyDescent="0.2">
      <c r="A762" t="str">
        <f>L762&amp;F762&amp;G762</f>
        <v>24/07/2026Paulinense SP U20Sao Caetano U20</v>
      </c>
      <c r="D762" s="2">
        <v>46227</v>
      </c>
      <c r="E762" s="3">
        <v>0.75</v>
      </c>
      <c r="F762" t="s">
        <v>2384</v>
      </c>
      <c r="G762" t="s">
        <v>2385</v>
      </c>
      <c r="H762">
        <v>0</v>
      </c>
      <c r="I762">
        <v>0</v>
      </c>
      <c r="J762">
        <v>2</v>
      </c>
      <c r="K762">
        <v>0</v>
      </c>
      <c r="L762" s="22" t="str">
        <f>DAY(D762)&amp;"/"&amp;"07"&amp;"/"&amp;YEAR(D762)</f>
        <v>24/07/2026</v>
      </c>
      <c r="M762" s="23">
        <f>E762-TIME(3,0,0)</f>
        <v>0.625</v>
      </c>
      <c r="N762" t="str">
        <f>J762&amp;" - "&amp;K762</f>
        <v>2 - 0</v>
      </c>
      <c r="O762" t="str">
        <f>IF($J762&gt;$K762,"Green","Red")</f>
        <v>Green</v>
      </c>
      <c r="P762" t="str">
        <f>IF($J762=$K762,"Green","Red")</f>
        <v>Red</v>
      </c>
      <c r="Q762" t="str">
        <f>IF($J762&lt;$K762,"Green","Red")</f>
        <v>Red</v>
      </c>
      <c r="R762" t="str">
        <f>IF($J762&gt;=$K762,"Green","Red")</f>
        <v>Green</v>
      </c>
      <c r="S762" t="str">
        <f>IF($J762&lt;=$K762,"Green","Red")</f>
        <v>Red</v>
      </c>
      <c r="T762" t="str">
        <f>IF(OR($J762&gt;$K762,$J762&lt;$K762),"Green","Red")</f>
        <v>Green</v>
      </c>
      <c r="U762" t="str">
        <f>IF($H762&gt;$I762,"Green","Red")</f>
        <v>Red</v>
      </c>
      <c r="V762" t="str">
        <f>IF($H762=$I762,"Green","Red")</f>
        <v>Green</v>
      </c>
      <c r="W762" t="str">
        <f>IF($H762&lt;$I762,"Green","Red")</f>
        <v>Red</v>
      </c>
      <c r="X762" t="str">
        <f>IF($H762+$I762&gt;0,"Green","Red")</f>
        <v>Red</v>
      </c>
      <c r="Y762" t="str">
        <f>IF($J762+$K762&gt;1.5,"Green","Red")</f>
        <v>Green</v>
      </c>
      <c r="Z762" t="str">
        <f>IF($J762+$K762&gt;2.5,"Green","Red")</f>
        <v>Red</v>
      </c>
      <c r="AA762" t="str">
        <f>IF($J762+$K762&lt;2.5,"Green","Red")</f>
        <v>Green</v>
      </c>
      <c r="AB762" t="str">
        <f>IF($J762+$K762&lt;3.5,"Green","Red")</f>
        <v>Green</v>
      </c>
      <c r="AC762" t="str">
        <f>IF(AND($J762&gt;0,$K762&gt;0),"Green","Red")</f>
        <v>Red</v>
      </c>
      <c r="AD762" t="str">
        <f>IF(OR($J762=0,$K762=0),"Green","Red")</f>
        <v>Green</v>
      </c>
    </row>
    <row r="763" spans="1:30" x14ac:dyDescent="0.2">
      <c r="A763" t="str">
        <f>L763&amp;F763&amp;G763</f>
        <v>24/07/2026SC Aguai SP U20Bandeirante U20</v>
      </c>
      <c r="D763" s="2">
        <v>46227</v>
      </c>
      <c r="E763" s="3">
        <v>0.75</v>
      </c>
      <c r="F763" t="s">
        <v>2386</v>
      </c>
      <c r="G763" t="s">
        <v>2387</v>
      </c>
      <c r="H763">
        <v>2</v>
      </c>
      <c r="I763">
        <v>1</v>
      </c>
      <c r="J763">
        <v>2</v>
      </c>
      <c r="K763">
        <v>3</v>
      </c>
      <c r="L763" s="22" t="str">
        <f>DAY(D763)&amp;"/"&amp;"07"&amp;"/"&amp;YEAR(D763)</f>
        <v>24/07/2026</v>
      </c>
      <c r="M763" s="23">
        <f>E763-TIME(3,0,0)</f>
        <v>0.625</v>
      </c>
      <c r="N763" t="str">
        <f>J763&amp;" - "&amp;K763</f>
        <v>2 - 3</v>
      </c>
      <c r="O763" t="str">
        <f>IF($J763&gt;$K763,"Green","Red")</f>
        <v>Red</v>
      </c>
      <c r="P763" t="str">
        <f>IF($J763=$K763,"Green","Red")</f>
        <v>Red</v>
      </c>
      <c r="Q763" t="str">
        <f>IF($J763&lt;$K763,"Green","Red")</f>
        <v>Green</v>
      </c>
      <c r="R763" t="str">
        <f>IF($J763&gt;=$K763,"Green","Red")</f>
        <v>Red</v>
      </c>
      <c r="S763" t="str">
        <f>IF($J763&lt;=$K763,"Green","Red")</f>
        <v>Green</v>
      </c>
      <c r="T763" t="str">
        <f>IF(OR($J763&gt;$K763,$J763&lt;$K763),"Green","Red")</f>
        <v>Green</v>
      </c>
      <c r="U763" t="str">
        <f>IF($H763&gt;$I763,"Green","Red")</f>
        <v>Green</v>
      </c>
      <c r="V763" t="str">
        <f>IF($H763=$I763,"Green","Red")</f>
        <v>Red</v>
      </c>
      <c r="W763" t="str">
        <f>IF($H763&lt;$I763,"Green","Red")</f>
        <v>Red</v>
      </c>
      <c r="X763" t="str">
        <f>IF($H763+$I763&gt;0,"Green","Red")</f>
        <v>Green</v>
      </c>
      <c r="Y763" t="str">
        <f>IF($J763+$K763&gt;1.5,"Green","Red")</f>
        <v>Green</v>
      </c>
      <c r="Z763" t="str">
        <f>IF($J763+$K763&gt;2.5,"Green","Red")</f>
        <v>Green</v>
      </c>
      <c r="AA763" t="str">
        <f>IF($J763+$K763&lt;2.5,"Green","Red")</f>
        <v>Red</v>
      </c>
      <c r="AB763" t="str">
        <f>IF($J763+$K763&lt;3.5,"Green","Red")</f>
        <v>Red</v>
      </c>
      <c r="AC763" t="str">
        <f>IF(AND($J763&gt;0,$K763&gt;0),"Green","Red")</f>
        <v>Green</v>
      </c>
      <c r="AD763" t="str">
        <f>IF(OR($J763=0,$K763=0),"Green","Red")</f>
        <v>Red</v>
      </c>
    </row>
    <row r="764" spans="1:30" x14ac:dyDescent="0.2">
      <c r="A764" t="str">
        <f>L764&amp;F764&amp;G764</f>
        <v>24/07/2026Sfera SP U20Audax SP U20</v>
      </c>
      <c r="D764" s="2">
        <v>46227</v>
      </c>
      <c r="E764" s="3">
        <v>0.75</v>
      </c>
      <c r="F764" t="s">
        <v>2388</v>
      </c>
      <c r="G764" t="s">
        <v>2389</v>
      </c>
      <c r="H764">
        <v>0</v>
      </c>
      <c r="I764">
        <v>0</v>
      </c>
      <c r="J764">
        <v>0</v>
      </c>
      <c r="K764">
        <v>1</v>
      </c>
      <c r="L764" s="22" t="str">
        <f>DAY(D764)&amp;"/"&amp;"07"&amp;"/"&amp;YEAR(D764)</f>
        <v>24/07/2026</v>
      </c>
      <c r="M764" s="23">
        <f>E764-TIME(3,0,0)</f>
        <v>0.625</v>
      </c>
      <c r="N764" t="str">
        <f>J764&amp;" - "&amp;K764</f>
        <v>0 - 1</v>
      </c>
      <c r="O764" t="str">
        <f>IF($J764&gt;$K764,"Green","Red")</f>
        <v>Red</v>
      </c>
      <c r="P764" t="str">
        <f>IF($J764=$K764,"Green","Red")</f>
        <v>Red</v>
      </c>
      <c r="Q764" t="str">
        <f>IF($J764&lt;$K764,"Green","Red")</f>
        <v>Green</v>
      </c>
      <c r="R764" t="str">
        <f>IF($J764&gt;=$K764,"Green","Red")</f>
        <v>Red</v>
      </c>
      <c r="S764" t="str">
        <f>IF($J764&lt;=$K764,"Green","Red")</f>
        <v>Green</v>
      </c>
      <c r="T764" t="str">
        <f>IF(OR($J764&gt;$K764,$J764&lt;$K764),"Green","Red")</f>
        <v>Green</v>
      </c>
      <c r="U764" t="str">
        <f>IF($H764&gt;$I764,"Green","Red")</f>
        <v>Red</v>
      </c>
      <c r="V764" t="str">
        <f>IF($H764=$I764,"Green","Red")</f>
        <v>Green</v>
      </c>
      <c r="W764" t="str">
        <f>IF($H764&lt;$I764,"Green","Red")</f>
        <v>Red</v>
      </c>
      <c r="X764" t="str">
        <f>IF($H764+$I764&gt;0,"Green","Red")</f>
        <v>Red</v>
      </c>
      <c r="Y764" t="str">
        <f>IF($J764+$K764&gt;1.5,"Green","Red")</f>
        <v>Red</v>
      </c>
      <c r="Z764" t="str">
        <f>IF($J764+$K764&gt;2.5,"Green","Red")</f>
        <v>Red</v>
      </c>
      <c r="AA764" t="str">
        <f>IF($J764+$K764&lt;2.5,"Green","Red")</f>
        <v>Green</v>
      </c>
      <c r="AB764" t="str">
        <f>IF($J764+$K764&lt;3.5,"Green","Red")</f>
        <v>Green</v>
      </c>
      <c r="AC764" t="str">
        <f>IF(AND($J764&gt;0,$K764&gt;0),"Green","Red")</f>
        <v>Red</v>
      </c>
      <c r="AD764" t="str">
        <f>IF(OR($J764=0,$K764=0),"Green","Red")</f>
        <v>Green</v>
      </c>
    </row>
    <row r="765" spans="1:30" x14ac:dyDescent="0.2">
      <c r="A765" t="str">
        <f>L765&amp;F765&amp;G765</f>
        <v>24/07/2026Uniao Sao Joao U20EC Sao Bernardo U20</v>
      </c>
      <c r="D765" s="2">
        <v>46227</v>
      </c>
      <c r="E765" s="3">
        <v>0.75</v>
      </c>
      <c r="F765" t="s">
        <v>2390</v>
      </c>
      <c r="G765" t="s">
        <v>2391</v>
      </c>
      <c r="H765">
        <v>0</v>
      </c>
      <c r="I765">
        <v>0</v>
      </c>
      <c r="J765">
        <v>1</v>
      </c>
      <c r="K765">
        <v>1</v>
      </c>
      <c r="L765" s="22" t="str">
        <f>DAY(D765)&amp;"/"&amp;"07"&amp;"/"&amp;YEAR(D765)</f>
        <v>24/07/2026</v>
      </c>
      <c r="M765" s="23">
        <f>E765-TIME(3,0,0)</f>
        <v>0.625</v>
      </c>
      <c r="N765" t="str">
        <f>J765&amp;" - "&amp;K765</f>
        <v>1 - 1</v>
      </c>
      <c r="O765" t="str">
        <f>IF($J765&gt;$K765,"Green","Red")</f>
        <v>Red</v>
      </c>
      <c r="P765" t="str">
        <f>IF($J765=$K765,"Green","Red")</f>
        <v>Green</v>
      </c>
      <c r="Q765" t="str">
        <f>IF($J765&lt;$K765,"Green","Red")</f>
        <v>Red</v>
      </c>
      <c r="R765" t="str">
        <f>IF($J765&gt;=$K765,"Green","Red")</f>
        <v>Green</v>
      </c>
      <c r="S765" t="str">
        <f>IF($J765&lt;=$K765,"Green","Red")</f>
        <v>Green</v>
      </c>
      <c r="T765" t="str">
        <f>IF(OR($J765&gt;$K765,$J765&lt;$K765),"Green","Red")</f>
        <v>Red</v>
      </c>
      <c r="U765" t="str">
        <f>IF($H765&gt;$I765,"Green","Red")</f>
        <v>Red</v>
      </c>
      <c r="V765" t="str">
        <f>IF($H765=$I765,"Green","Red")</f>
        <v>Green</v>
      </c>
      <c r="W765" t="str">
        <f>IF($H765&lt;$I765,"Green","Red")</f>
        <v>Red</v>
      </c>
      <c r="X765" t="str">
        <f>IF($H765+$I765&gt;0,"Green","Red")</f>
        <v>Red</v>
      </c>
      <c r="Y765" t="str">
        <f>IF($J765+$K765&gt;1.5,"Green","Red")</f>
        <v>Green</v>
      </c>
      <c r="Z765" t="str">
        <f>IF($J765+$K765&gt;2.5,"Green","Red")</f>
        <v>Red</v>
      </c>
      <c r="AA765" t="str">
        <f>IF($J765+$K765&lt;2.5,"Green","Red")</f>
        <v>Green</v>
      </c>
      <c r="AB765" t="str">
        <f>IF($J765+$K765&lt;3.5,"Green","Red")</f>
        <v>Green</v>
      </c>
      <c r="AC765" t="str">
        <f>IF(AND($J765&gt;0,$K765&gt;0),"Green","Red")</f>
        <v>Green</v>
      </c>
      <c r="AD765" t="str">
        <f>IF(OR($J765=0,$K765=0),"Green","Red")</f>
        <v>Red</v>
      </c>
    </row>
    <row r="766" spans="1:30" x14ac:dyDescent="0.2">
      <c r="A766" t="str">
        <f>L766&amp;F766&amp;G766</f>
        <v>24/07/2026Nyiregyhaza SpartacusUjpest FC</v>
      </c>
      <c r="D766" s="2">
        <v>46227</v>
      </c>
      <c r="E766" s="3">
        <v>0.75</v>
      </c>
      <c r="F766" t="s">
        <v>2491</v>
      </c>
      <c r="G766" t="s">
        <v>2492</v>
      </c>
      <c r="H766">
        <v>0</v>
      </c>
      <c r="I766">
        <v>1</v>
      </c>
      <c r="J766">
        <v>2</v>
      </c>
      <c r="K766">
        <v>1</v>
      </c>
      <c r="L766" s="22" t="str">
        <f>DAY(D766)&amp;"/"&amp;"07"&amp;"/"&amp;YEAR(D766)</f>
        <v>24/07/2026</v>
      </c>
      <c r="M766" s="23">
        <f>E766-TIME(3,0,0)</f>
        <v>0.625</v>
      </c>
      <c r="N766" t="str">
        <f>J766&amp;" - "&amp;K766</f>
        <v>2 - 1</v>
      </c>
      <c r="O766" t="str">
        <f>IF($J766&gt;$K766,"Green","Red")</f>
        <v>Green</v>
      </c>
      <c r="P766" t="str">
        <f>IF($J766=$K766,"Green","Red")</f>
        <v>Red</v>
      </c>
      <c r="Q766" t="str">
        <f>IF($J766&lt;$K766,"Green","Red")</f>
        <v>Red</v>
      </c>
      <c r="R766" t="str">
        <f>IF($J766&gt;=$K766,"Green","Red")</f>
        <v>Green</v>
      </c>
      <c r="S766" t="str">
        <f>IF($J766&lt;=$K766,"Green","Red")</f>
        <v>Red</v>
      </c>
      <c r="T766" t="str">
        <f>IF(OR($J766&gt;$K766,$J766&lt;$K766),"Green","Red")</f>
        <v>Green</v>
      </c>
      <c r="U766" t="str">
        <f>IF($H766&gt;$I766,"Green","Red")</f>
        <v>Red</v>
      </c>
      <c r="V766" t="str">
        <f>IF($H766=$I766,"Green","Red")</f>
        <v>Red</v>
      </c>
      <c r="W766" t="str">
        <f>IF($H766&lt;$I766,"Green","Red")</f>
        <v>Green</v>
      </c>
      <c r="X766" t="str">
        <f>IF($H766+$I766&gt;0,"Green","Red")</f>
        <v>Green</v>
      </c>
      <c r="Y766" t="str">
        <f>IF($J766+$K766&gt;1.5,"Green","Red")</f>
        <v>Green</v>
      </c>
      <c r="Z766" t="str">
        <f>IF($J766+$K766&gt;2.5,"Green","Red")</f>
        <v>Green</v>
      </c>
      <c r="AA766" t="str">
        <f>IF($J766+$K766&lt;2.5,"Green","Red")</f>
        <v>Red</v>
      </c>
      <c r="AB766" t="str">
        <f>IF($J766+$K766&lt;3.5,"Green","Red")</f>
        <v>Green</v>
      </c>
      <c r="AC766" t="str">
        <f>IF(AND($J766&gt;0,$K766&gt;0),"Green","Red")</f>
        <v>Green</v>
      </c>
      <c r="AD766" t="str">
        <f>IF(OR($J766=0,$K766=0),"Green","Red")</f>
        <v>Red</v>
      </c>
    </row>
    <row r="767" spans="1:30" x14ac:dyDescent="0.2">
      <c r="A767" t="str">
        <f>L767&amp;F767&amp;G767</f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>DAY(D767)&amp;"/"&amp;"07"&amp;"/"&amp;YEAR(D767)</f>
        <v>24/07/2026</v>
      </c>
      <c r="M767" s="23">
        <f>E767-TIME(3,0,0)</f>
        <v>0.625</v>
      </c>
      <c r="N767" t="str">
        <f>J767&amp;" - "&amp;K767</f>
        <v>2 - 0</v>
      </c>
      <c r="O767" t="str">
        <f>IF($J767&gt;$K767,"Green","Red")</f>
        <v>Green</v>
      </c>
      <c r="P767" t="str">
        <f>IF($J767=$K767,"Green","Red")</f>
        <v>Red</v>
      </c>
      <c r="Q767" t="str">
        <f>IF($J767&lt;$K767,"Green","Red")</f>
        <v>Red</v>
      </c>
      <c r="R767" t="str">
        <f>IF($J767&gt;=$K767,"Green","Red")</f>
        <v>Green</v>
      </c>
      <c r="S767" t="str">
        <f>IF($J767&lt;=$K767,"Green","Red")</f>
        <v>Red</v>
      </c>
      <c r="T767" t="str">
        <f>IF(OR($J767&gt;$K767,$J767&lt;$K767),"Green","Red")</f>
        <v>Green</v>
      </c>
      <c r="U767" t="str">
        <f>IF($H767&gt;$I767,"Green","Red")</f>
        <v>Green</v>
      </c>
      <c r="V767" t="str">
        <f>IF($H767=$I767,"Green","Red")</f>
        <v>Red</v>
      </c>
      <c r="W767" t="str">
        <f>IF($H767&lt;$I767,"Green","Red")</f>
        <v>Red</v>
      </c>
      <c r="X767" t="str">
        <f>IF($H767+$I767&gt;0,"Green","Red")</f>
        <v>Green</v>
      </c>
      <c r="Y767" t="str">
        <f>IF($J767+$K767&gt;1.5,"Green","Red")</f>
        <v>Green</v>
      </c>
      <c r="Z767" t="str">
        <f>IF($J767+$K767&gt;2.5,"Green","Red")</f>
        <v>Red</v>
      </c>
      <c r="AA767" t="str">
        <f>IF($J767+$K767&lt;2.5,"Green","Red")</f>
        <v>Green</v>
      </c>
      <c r="AB767" t="str">
        <f>IF($J767+$K767&lt;3.5,"Green","Red")</f>
        <v>Green</v>
      </c>
      <c r="AC767" t="str">
        <f>IF(AND($J767&gt;0,$K767&gt;0),"Green","Red")</f>
        <v>Red</v>
      </c>
      <c r="AD767" t="str">
        <f>IF(OR($J767=0,$K767=0),"Green","Red")</f>
        <v>Green</v>
      </c>
    </row>
    <row r="768" spans="1:30" x14ac:dyDescent="0.2">
      <c r="A768" t="str">
        <f>L768&amp;F768&amp;G768</f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2501</v>
      </c>
      <c r="H768">
        <v>0</v>
      </c>
      <c r="I768">
        <v>0</v>
      </c>
      <c r="J768">
        <v>1</v>
      </c>
      <c r="K768">
        <v>0</v>
      </c>
      <c r="L768" s="22" t="str">
        <f>DAY(D768)&amp;"/"&amp;"07"&amp;"/"&amp;YEAR(D768)</f>
        <v>24/07/2026</v>
      </c>
      <c r="M768" s="23">
        <f>E768-TIME(3,0,0)</f>
        <v>0.625</v>
      </c>
      <c r="N768" t="str">
        <f>J768&amp;" - "&amp;K768</f>
        <v>1 - 0</v>
      </c>
      <c r="O768" t="str">
        <f>IF($J768&gt;$K768,"Green","Red")</f>
        <v>Green</v>
      </c>
      <c r="P768" t="str">
        <f>IF($J768=$K768,"Green","Red")</f>
        <v>Red</v>
      </c>
      <c r="Q768" t="str">
        <f>IF($J768&lt;$K768,"Green","Red")</f>
        <v>Red</v>
      </c>
      <c r="R768" t="str">
        <f>IF($J768&gt;=$K768,"Green","Red")</f>
        <v>Green</v>
      </c>
      <c r="S768" t="str">
        <f>IF($J768&lt;=$K768,"Green","Red")</f>
        <v>Red</v>
      </c>
      <c r="T768" t="str">
        <f>IF(OR($J768&gt;$K768,$J768&lt;$K768),"Green","Red")</f>
        <v>Green</v>
      </c>
      <c r="U768" t="str">
        <f>IF($H768&gt;$I768,"Green","Red")</f>
        <v>Red</v>
      </c>
      <c r="V768" t="str">
        <f>IF($H768=$I768,"Green","Red")</f>
        <v>Green</v>
      </c>
      <c r="W768" t="str">
        <f>IF($H768&lt;$I768,"Green","Red")</f>
        <v>Red</v>
      </c>
      <c r="X768" t="str">
        <f>IF($H768+$I768&gt;0,"Green","Red")</f>
        <v>Red</v>
      </c>
      <c r="Y768" t="str">
        <f>IF($J768+$K768&gt;1.5,"Green","Red")</f>
        <v>Red</v>
      </c>
      <c r="Z768" t="str">
        <f>IF($J768+$K768&gt;2.5,"Green","Red")</f>
        <v>Red</v>
      </c>
      <c r="AA768" t="str">
        <f>IF($J768+$K768&lt;2.5,"Green","Red")</f>
        <v>Green</v>
      </c>
      <c r="AB768" t="str">
        <f>IF($J768+$K768&lt;3.5,"Green","Red")</f>
        <v>Green</v>
      </c>
      <c r="AC768" t="str">
        <f>IF(AND($J768&gt;0,$K768&gt;0),"Green","Red")</f>
        <v>Red</v>
      </c>
      <c r="AD768" t="str">
        <f>IF(OR($J768=0,$K768=0),"Green","Red")</f>
        <v>Green</v>
      </c>
    </row>
    <row r="769" spans="1:30" x14ac:dyDescent="0.2">
      <c r="A769" t="str">
        <f>L769&amp;F769&amp;G769</f>
        <v>24/07/2026Atlante U21Club America U21</v>
      </c>
      <c r="D769" s="2">
        <v>46227</v>
      </c>
      <c r="E769" s="3">
        <v>0.75</v>
      </c>
      <c r="F769" t="s">
        <v>2525</v>
      </c>
      <c r="G769" t="s">
        <v>2526</v>
      </c>
      <c r="H769">
        <v>0</v>
      </c>
      <c r="I769">
        <v>0</v>
      </c>
      <c r="J769">
        <v>2</v>
      </c>
      <c r="K769">
        <v>3</v>
      </c>
      <c r="L769" s="22" t="str">
        <f>DAY(D769)&amp;"/"&amp;"07"&amp;"/"&amp;YEAR(D769)</f>
        <v>24/07/2026</v>
      </c>
      <c r="M769" s="23">
        <f>E769-TIME(3,0,0)</f>
        <v>0.625</v>
      </c>
      <c r="N769" t="str">
        <f>J769&amp;" - "&amp;K769</f>
        <v>2 - 3</v>
      </c>
      <c r="O769" t="str">
        <f>IF($J769&gt;$K769,"Green","Red")</f>
        <v>Red</v>
      </c>
      <c r="P769" t="str">
        <f>IF($J769=$K769,"Green","Red")</f>
        <v>Red</v>
      </c>
      <c r="Q769" t="str">
        <f>IF($J769&lt;$K769,"Green","Red")</f>
        <v>Green</v>
      </c>
      <c r="R769" t="str">
        <f>IF($J769&gt;=$K769,"Green","Red")</f>
        <v>Red</v>
      </c>
      <c r="S769" t="str">
        <f>IF($J769&lt;=$K769,"Green","Red")</f>
        <v>Green</v>
      </c>
      <c r="T769" t="str">
        <f>IF(OR($J769&gt;$K769,$J769&lt;$K769),"Green","Red")</f>
        <v>Green</v>
      </c>
      <c r="U769" t="str">
        <f>IF($H769&gt;$I769,"Green","Red")</f>
        <v>Red</v>
      </c>
      <c r="V769" t="str">
        <f>IF($H769=$I769,"Green","Red")</f>
        <v>Green</v>
      </c>
      <c r="W769" t="str">
        <f>IF($H769&lt;$I769,"Green","Red")</f>
        <v>Red</v>
      </c>
      <c r="X769" t="str">
        <f>IF($H769+$I769&gt;0,"Green","Red")</f>
        <v>Red</v>
      </c>
      <c r="Y769" t="str">
        <f>IF($J769+$K769&gt;1.5,"Green","Red")</f>
        <v>Green</v>
      </c>
      <c r="Z769" t="str">
        <f>IF($J769+$K769&gt;2.5,"Green","Red")</f>
        <v>Green</v>
      </c>
      <c r="AA769" t="str">
        <f>IF($J769+$K769&lt;2.5,"Green","Red")</f>
        <v>Red</v>
      </c>
      <c r="AB769" t="str">
        <f>IF($J769+$K769&lt;3.5,"Green","Red")</f>
        <v>Red</v>
      </c>
      <c r="AC769" t="str">
        <f>IF(AND($J769&gt;0,$K769&gt;0),"Green","Red")</f>
        <v>Green</v>
      </c>
      <c r="AD769" t="str">
        <f>IF(OR($J769=0,$K769=0),"Green","Red")</f>
        <v>Red</v>
      </c>
    </row>
    <row r="770" spans="1:30" x14ac:dyDescent="0.2">
      <c r="A770" t="str">
        <f>L770&amp;F770&amp;G770</f>
        <v>24/07/2026Union MinasColegio Nacional De Iquitos</v>
      </c>
      <c r="D770" s="2">
        <v>46227</v>
      </c>
      <c r="E770" s="3">
        <v>0.75</v>
      </c>
      <c r="F770" t="s">
        <v>2551</v>
      </c>
      <c r="G770" t="s">
        <v>2552</v>
      </c>
      <c r="H770">
        <v>1</v>
      </c>
      <c r="I770">
        <v>0</v>
      </c>
      <c r="J770">
        <v>3</v>
      </c>
      <c r="K770">
        <v>0</v>
      </c>
      <c r="L770" s="22" t="str">
        <f>DAY(D770)&amp;"/"&amp;"07"&amp;"/"&amp;YEAR(D770)</f>
        <v>24/07/2026</v>
      </c>
      <c r="M770" s="23">
        <f>E770-TIME(3,0,0)</f>
        <v>0.625</v>
      </c>
      <c r="N770" t="str">
        <f>J770&amp;" - "&amp;K770</f>
        <v>3 - 0</v>
      </c>
      <c r="O770" t="str">
        <f>IF($J770&gt;$K770,"Green","Red")</f>
        <v>Green</v>
      </c>
      <c r="P770" t="str">
        <f>IF($J770=$K770,"Green","Red")</f>
        <v>Red</v>
      </c>
      <c r="Q770" t="str">
        <f>IF($J770&lt;$K770,"Green","Red")</f>
        <v>Red</v>
      </c>
      <c r="R770" t="str">
        <f>IF($J770&gt;=$K770,"Green","Red")</f>
        <v>Green</v>
      </c>
      <c r="S770" t="str">
        <f>IF($J770&lt;=$K770,"Green","Red")</f>
        <v>Red</v>
      </c>
      <c r="T770" t="str">
        <f>IF(OR($J770&gt;$K770,$J770&lt;$K770),"Green","Red")</f>
        <v>Green</v>
      </c>
      <c r="U770" t="str">
        <f>IF($H770&gt;$I770,"Green","Red")</f>
        <v>Green</v>
      </c>
      <c r="V770" t="str">
        <f>IF($H770=$I770,"Green","Red")</f>
        <v>Red</v>
      </c>
      <c r="W770" t="str">
        <f>IF($H770&lt;$I770,"Green","Red")</f>
        <v>Red</v>
      </c>
      <c r="X770" t="str">
        <f>IF($H770+$I770&gt;0,"Green","Red")</f>
        <v>Green</v>
      </c>
      <c r="Y770" t="str">
        <f>IF($J770+$K770&gt;1.5,"Green","Red")</f>
        <v>Green</v>
      </c>
      <c r="Z770" t="str">
        <f>IF($J770+$K770&gt;2.5,"Green","Red")</f>
        <v>Green</v>
      </c>
      <c r="AA770" t="str">
        <f>IF($J770+$K770&lt;2.5,"Green","Red")</f>
        <v>Red</v>
      </c>
      <c r="AB770" t="str">
        <f>IF($J770+$K770&lt;3.5,"Green","Red")</f>
        <v>Green</v>
      </c>
      <c r="AC770" t="str">
        <f>IF(AND($J770&gt;0,$K770&gt;0),"Green","Red")</f>
        <v>Red</v>
      </c>
      <c r="AD770" t="str">
        <f>IF(OR($J770=0,$K770=0),"Green","Red")</f>
        <v>Green</v>
      </c>
    </row>
    <row r="771" spans="1:30" x14ac:dyDescent="0.2">
      <c r="A771" t="str">
        <f>L771&amp;F771&amp;G771</f>
        <v>24/07/2026BarcelonaCE Europa</v>
      </c>
      <c r="D771" s="2">
        <v>46227</v>
      </c>
      <c r="E771" s="3">
        <v>0.75</v>
      </c>
      <c r="F771" t="s">
        <v>2695</v>
      </c>
      <c r="G771" t="s">
        <v>2696</v>
      </c>
      <c r="H771">
        <v>2</v>
      </c>
      <c r="I771">
        <v>1</v>
      </c>
      <c r="J771">
        <v>4</v>
      </c>
      <c r="K771">
        <v>1</v>
      </c>
      <c r="L771" s="22" t="str">
        <f>DAY(D771)&amp;"/"&amp;"07"&amp;"/"&amp;YEAR(D771)</f>
        <v>24/07/2026</v>
      </c>
      <c r="M771" s="23">
        <f>E771-TIME(3,0,0)</f>
        <v>0.625</v>
      </c>
      <c r="N771" t="str">
        <f>J771&amp;" - "&amp;K771</f>
        <v>4 - 1</v>
      </c>
      <c r="O771" t="str">
        <f>IF($J771&gt;$K771,"Green","Red")</f>
        <v>Green</v>
      </c>
      <c r="P771" t="str">
        <f>IF($J771=$K771,"Green","Red")</f>
        <v>Red</v>
      </c>
      <c r="Q771" t="str">
        <f>IF($J771&lt;$K771,"Green","Red")</f>
        <v>Red</v>
      </c>
      <c r="R771" t="str">
        <f>IF($J771&gt;=$K771,"Green","Red")</f>
        <v>Green</v>
      </c>
      <c r="S771" t="str">
        <f>IF($J771&lt;=$K771,"Green","Red")</f>
        <v>Red</v>
      </c>
      <c r="T771" t="str">
        <f>IF(OR($J771&gt;$K771,$J771&lt;$K771),"Green","Red")</f>
        <v>Green</v>
      </c>
      <c r="U771" t="str">
        <f>IF($H771&gt;$I771,"Green","Red")</f>
        <v>Green</v>
      </c>
      <c r="V771" t="str">
        <f>IF($H771=$I771,"Green","Red")</f>
        <v>Red</v>
      </c>
      <c r="W771" t="str">
        <f>IF($H771&lt;$I771,"Green","Red")</f>
        <v>Red</v>
      </c>
      <c r="X771" t="str">
        <f>IF($H771+$I771&gt;0,"Green","Red")</f>
        <v>Green</v>
      </c>
      <c r="Y771" t="str">
        <f>IF($J771+$K771&gt;1.5,"Green","Red")</f>
        <v>Green</v>
      </c>
      <c r="Z771" t="str">
        <f>IF($J771+$K771&gt;2.5,"Green","Red")</f>
        <v>Green</v>
      </c>
      <c r="AA771" t="str">
        <f>IF($J771+$K771&lt;2.5,"Green","Red")</f>
        <v>Red</v>
      </c>
      <c r="AB771" t="str">
        <f>IF($J771+$K771&lt;3.5,"Green","Red")</f>
        <v>Red</v>
      </c>
      <c r="AC771" t="str">
        <f>IF(AND($J771&gt;0,$K771&gt;0),"Green","Red")</f>
        <v>Green</v>
      </c>
      <c r="AD771" t="str">
        <f>IF(OR($J771=0,$K771=0),"Green","Red")</f>
        <v>Red</v>
      </c>
    </row>
    <row r="772" spans="1:30" x14ac:dyDescent="0.2">
      <c r="A772" t="str">
        <f>L772&amp;F772&amp;G772</f>
        <v>24/07/2026CP CacerenoReal Jaen</v>
      </c>
      <c r="D772" s="2">
        <v>46227</v>
      </c>
      <c r="E772" s="3">
        <v>0.75</v>
      </c>
      <c r="F772" t="s">
        <v>2697</v>
      </c>
      <c r="G772" t="s">
        <v>2698</v>
      </c>
      <c r="H772">
        <v>0</v>
      </c>
      <c r="I772">
        <v>0</v>
      </c>
      <c r="J772">
        <v>1</v>
      </c>
      <c r="K772">
        <v>1</v>
      </c>
      <c r="L772" s="22" t="str">
        <f>DAY(D772)&amp;"/"&amp;"07"&amp;"/"&amp;YEAR(D772)</f>
        <v>24/07/2026</v>
      </c>
      <c r="M772" s="23">
        <f>E772-TIME(3,0,0)</f>
        <v>0.625</v>
      </c>
      <c r="N772" t="str">
        <f>J772&amp;" - "&amp;K772</f>
        <v>1 - 1</v>
      </c>
      <c r="O772" t="str">
        <f>IF($J772&gt;$K772,"Green","Red")</f>
        <v>Red</v>
      </c>
      <c r="P772" t="str">
        <f>IF($J772=$K772,"Green","Red")</f>
        <v>Green</v>
      </c>
      <c r="Q772" t="str">
        <f>IF($J772&lt;$K772,"Green","Red")</f>
        <v>Red</v>
      </c>
      <c r="R772" t="str">
        <f>IF($J772&gt;=$K772,"Green","Red")</f>
        <v>Green</v>
      </c>
      <c r="S772" t="str">
        <f>IF($J772&lt;=$K772,"Green","Red")</f>
        <v>Green</v>
      </c>
      <c r="T772" t="str">
        <f>IF(OR($J772&gt;$K772,$J772&lt;$K772),"Green","Red")</f>
        <v>Red</v>
      </c>
      <c r="U772" t="str">
        <f>IF($H772&gt;$I772,"Green","Red")</f>
        <v>Red</v>
      </c>
      <c r="V772" t="str">
        <f>IF($H772=$I772,"Green","Red")</f>
        <v>Green</v>
      </c>
      <c r="W772" t="str">
        <f>IF($H772&lt;$I772,"Green","Red")</f>
        <v>Red</v>
      </c>
      <c r="X772" t="str">
        <f>IF($H772+$I772&gt;0,"Green","Red")</f>
        <v>Red</v>
      </c>
      <c r="Y772" t="str">
        <f>IF($J772+$K772&gt;1.5,"Green","Red")</f>
        <v>Green</v>
      </c>
      <c r="Z772" t="str">
        <f>IF($J772+$K772&gt;2.5,"Green","Red")</f>
        <v>Red</v>
      </c>
      <c r="AA772" t="str">
        <f>IF($J772+$K772&lt;2.5,"Green","Red")</f>
        <v>Green</v>
      </c>
      <c r="AB772" t="str">
        <f>IF($J772+$K772&lt;3.5,"Green","Red")</f>
        <v>Green</v>
      </c>
      <c r="AC772" t="str">
        <f>IF(AND($J772&gt;0,$K772&gt;0),"Green","Red")</f>
        <v>Green</v>
      </c>
      <c r="AD772" t="str">
        <f>IF(OR($J772=0,$K772=0),"Green","Red")</f>
        <v>Red</v>
      </c>
    </row>
    <row r="773" spans="1:30" x14ac:dyDescent="0.2">
      <c r="A773" t="str">
        <f>L773&amp;F773&amp;G773</f>
        <v>24/07/2026Ebbsfleet UnitedCardiff MU</v>
      </c>
      <c r="D773" s="2">
        <v>46227</v>
      </c>
      <c r="E773" s="3">
        <v>0.75</v>
      </c>
      <c r="F773" t="s">
        <v>1473</v>
      </c>
      <c r="G773" t="s">
        <v>2699</v>
      </c>
      <c r="H773">
        <v>1</v>
      </c>
      <c r="I773">
        <v>0</v>
      </c>
      <c r="J773">
        <v>1</v>
      </c>
      <c r="K773">
        <v>1</v>
      </c>
      <c r="L773" s="22" t="str">
        <f>DAY(D773)&amp;"/"&amp;"07"&amp;"/"&amp;YEAR(D773)</f>
        <v>24/07/2026</v>
      </c>
      <c r="M773" s="23">
        <f>E773-TIME(3,0,0)</f>
        <v>0.625</v>
      </c>
      <c r="N773" t="str">
        <f>J773&amp;" - "&amp;K773</f>
        <v>1 - 1</v>
      </c>
      <c r="O773" t="str">
        <f>IF($J773&gt;$K773,"Green","Red")</f>
        <v>Red</v>
      </c>
      <c r="P773" t="str">
        <f>IF($J773=$K773,"Green","Red")</f>
        <v>Green</v>
      </c>
      <c r="Q773" t="str">
        <f>IF($J773&lt;$K773,"Green","Red")</f>
        <v>Red</v>
      </c>
      <c r="R773" t="str">
        <f>IF($J773&gt;=$K773,"Green","Red")</f>
        <v>Green</v>
      </c>
      <c r="S773" t="str">
        <f>IF($J773&lt;=$K773,"Green","Red")</f>
        <v>Green</v>
      </c>
      <c r="T773" t="str">
        <f>IF(OR($J773&gt;$K773,$J773&lt;$K773),"Green","Red")</f>
        <v>Red</v>
      </c>
      <c r="U773" t="str">
        <f>IF($H773&gt;$I773,"Green","Red")</f>
        <v>Green</v>
      </c>
      <c r="V773" t="str">
        <f>IF($H773=$I773,"Green","Red")</f>
        <v>Red</v>
      </c>
      <c r="W773" t="str">
        <f>IF($H773&lt;$I773,"Green","Red")</f>
        <v>Red</v>
      </c>
      <c r="X773" t="str">
        <f>IF($H773+$I773&gt;0,"Green","Red")</f>
        <v>Green</v>
      </c>
      <c r="Y773" t="str">
        <f>IF($J773+$K773&gt;1.5,"Green","Red")</f>
        <v>Green</v>
      </c>
      <c r="Z773" t="str">
        <f>IF($J773+$K773&gt;2.5,"Green","Red")</f>
        <v>Red</v>
      </c>
      <c r="AA773" t="str">
        <f>IF($J773+$K773&lt;2.5,"Green","Red")</f>
        <v>Green</v>
      </c>
      <c r="AB773" t="str">
        <f>IF($J773+$K773&lt;3.5,"Green","Red")</f>
        <v>Green</v>
      </c>
      <c r="AC773" t="str">
        <f>IF(AND($J773&gt;0,$K773&gt;0),"Green","Red")</f>
        <v>Green</v>
      </c>
      <c r="AD773" t="str">
        <f>IF(OR($J773=0,$K773=0),"Green","Red")</f>
        <v>Red</v>
      </c>
    </row>
    <row r="774" spans="1:30" x14ac:dyDescent="0.2">
      <c r="A774" t="str">
        <f>L774&amp;F774&amp;G774</f>
        <v>24/07/2026Eintracht BraunschweigSouthampton</v>
      </c>
      <c r="D774" s="2">
        <v>46227</v>
      </c>
      <c r="E774" s="3">
        <v>0.75</v>
      </c>
      <c r="F774" t="s">
        <v>2079</v>
      </c>
      <c r="G774" t="s">
        <v>2700</v>
      </c>
      <c r="H774">
        <v>0</v>
      </c>
      <c r="I774">
        <v>1</v>
      </c>
      <c r="J774">
        <v>0</v>
      </c>
      <c r="K774">
        <v>1</v>
      </c>
      <c r="L774" s="22" t="str">
        <f>DAY(D774)&amp;"/"&amp;"07"&amp;"/"&amp;YEAR(D774)</f>
        <v>24/07/2026</v>
      </c>
      <c r="M774" s="23">
        <f>E774-TIME(3,0,0)</f>
        <v>0.625</v>
      </c>
      <c r="N774" t="str">
        <f>J774&amp;" - "&amp;K774</f>
        <v>0 - 1</v>
      </c>
      <c r="O774" t="str">
        <f>IF($J774&gt;$K774,"Green","Red")</f>
        <v>Red</v>
      </c>
      <c r="P774" t="str">
        <f>IF($J774=$K774,"Green","Red")</f>
        <v>Red</v>
      </c>
      <c r="Q774" t="str">
        <f>IF($J774&lt;$K774,"Green","Red")</f>
        <v>Green</v>
      </c>
      <c r="R774" t="str">
        <f>IF($J774&gt;=$K774,"Green","Red")</f>
        <v>Red</v>
      </c>
      <c r="S774" t="str">
        <f>IF($J774&lt;=$K774,"Green","Red")</f>
        <v>Green</v>
      </c>
      <c r="T774" t="str">
        <f>IF(OR($J774&gt;$K774,$J774&lt;$K774),"Green","Red")</f>
        <v>Green</v>
      </c>
      <c r="U774" t="str">
        <f>IF($H774&gt;$I774,"Green","Red")</f>
        <v>Red</v>
      </c>
      <c r="V774" t="str">
        <f>IF($H774=$I774,"Green","Red")</f>
        <v>Red</v>
      </c>
      <c r="W774" t="str">
        <f>IF($H774&lt;$I774,"Green","Red")</f>
        <v>Green</v>
      </c>
      <c r="X774" t="str">
        <f>IF($H774+$I774&gt;0,"Green","Red")</f>
        <v>Green</v>
      </c>
      <c r="Y774" t="str">
        <f>IF($J774+$K774&gt;1.5,"Green","Red")</f>
        <v>Red</v>
      </c>
      <c r="Z774" t="str">
        <f>IF($J774+$K774&gt;2.5,"Green","Red")</f>
        <v>Red</v>
      </c>
      <c r="AA774" t="str">
        <f>IF($J774+$K774&lt;2.5,"Green","Red")</f>
        <v>Green</v>
      </c>
      <c r="AB774" t="str">
        <f>IF($J774+$K774&lt;3.5,"Green","Red")</f>
        <v>Green</v>
      </c>
      <c r="AC774" t="str">
        <f>IF(AND($J774&gt;0,$K774&gt;0),"Green","Red")</f>
        <v>Red</v>
      </c>
      <c r="AD774" t="str">
        <f>IF(OR($J774=0,$K774=0),"Green","Red")</f>
        <v>Green</v>
      </c>
    </row>
    <row r="775" spans="1:30" x14ac:dyDescent="0.2">
      <c r="A775" t="str">
        <f>L775&amp;F775&amp;G775</f>
        <v>24/07/2026GalatasaraySSD Monza</v>
      </c>
      <c r="D775" s="2">
        <v>46227</v>
      </c>
      <c r="E775" s="3">
        <v>0.75</v>
      </c>
      <c r="F775" t="s">
        <v>2701</v>
      </c>
      <c r="G775" t="s">
        <v>2702</v>
      </c>
      <c r="H775">
        <v>0</v>
      </c>
      <c r="I775">
        <v>1</v>
      </c>
      <c r="J775">
        <v>0</v>
      </c>
      <c r="K775">
        <v>2</v>
      </c>
      <c r="L775" s="22" t="str">
        <f>DAY(D775)&amp;"/"&amp;"07"&amp;"/"&amp;YEAR(D775)</f>
        <v>24/07/2026</v>
      </c>
      <c r="M775" s="23">
        <f>E775-TIME(3,0,0)</f>
        <v>0.625</v>
      </c>
      <c r="N775" t="str">
        <f>J775&amp;" - "&amp;K775</f>
        <v>0 - 2</v>
      </c>
      <c r="O775" t="str">
        <f>IF($J775&gt;$K775,"Green","Red")</f>
        <v>Red</v>
      </c>
      <c r="P775" t="str">
        <f>IF($J775=$K775,"Green","Red")</f>
        <v>Red</v>
      </c>
      <c r="Q775" t="str">
        <f>IF($J775&lt;$K775,"Green","Red")</f>
        <v>Green</v>
      </c>
      <c r="R775" t="str">
        <f>IF($J775&gt;=$K775,"Green","Red")</f>
        <v>Red</v>
      </c>
      <c r="S775" t="str">
        <f>IF($J775&lt;=$K775,"Green","Red")</f>
        <v>Green</v>
      </c>
      <c r="T775" t="str">
        <f>IF(OR($J775&gt;$K775,$J775&lt;$K775),"Green","Red")</f>
        <v>Green</v>
      </c>
      <c r="U775" t="str">
        <f>IF($H775&gt;$I775,"Green","Red")</f>
        <v>Red</v>
      </c>
      <c r="V775" t="str">
        <f>IF($H775=$I775,"Green","Red")</f>
        <v>Red</v>
      </c>
      <c r="W775" t="str">
        <f>IF($H775&lt;$I775,"Green","Red")</f>
        <v>Green</v>
      </c>
      <c r="X775" t="str">
        <f>IF($H775+$I775&gt;0,"Green","Red")</f>
        <v>Green</v>
      </c>
      <c r="Y775" t="str">
        <f>IF($J775+$K775&gt;1.5,"Green","Red")</f>
        <v>Green</v>
      </c>
      <c r="Z775" t="str">
        <f>IF($J775+$K775&gt;2.5,"Green","Red")</f>
        <v>Red</v>
      </c>
      <c r="AA775" t="str">
        <f>IF($J775+$K775&lt;2.5,"Green","Red")</f>
        <v>Green</v>
      </c>
      <c r="AB775" t="str">
        <f>IF($J775+$K775&lt;3.5,"Green","Red")</f>
        <v>Green</v>
      </c>
      <c r="AC775" t="str">
        <f>IF(AND($J775&gt;0,$K775&gt;0),"Green","Red")</f>
        <v>Red</v>
      </c>
      <c r="AD775" t="str">
        <f>IF(OR($J775=0,$K775=0),"Green","Red")</f>
        <v>Green</v>
      </c>
    </row>
    <row r="776" spans="1:30" x14ac:dyDescent="0.2">
      <c r="A776" t="str">
        <f>L776&amp;F776&amp;G776</f>
        <v>24/07/2026Yate TownBristol Rovers</v>
      </c>
      <c r="D776" s="2">
        <v>46227</v>
      </c>
      <c r="E776" s="3">
        <v>0.75</v>
      </c>
      <c r="F776" t="s">
        <v>2703</v>
      </c>
      <c r="G776" t="s">
        <v>1476</v>
      </c>
      <c r="L776" s="22" t="str">
        <f>DAY(D776)&amp;"/"&amp;"07"&amp;"/"&amp;YEAR(D776)</f>
        <v>24/07/2026</v>
      </c>
      <c r="M776" s="23">
        <f>E776-TIME(3,0,0)</f>
        <v>0.625</v>
      </c>
      <c r="N776" t="str">
        <f>J776&amp;" - "&amp;K776</f>
        <v xml:space="preserve"> - </v>
      </c>
      <c r="O776" t="str">
        <f>IF($J776&gt;$K776,"Green","Red")</f>
        <v>Red</v>
      </c>
      <c r="P776" t="str">
        <f>IF($J776=$K776,"Green","Red")</f>
        <v>Green</v>
      </c>
      <c r="Q776" t="str">
        <f>IF($J776&lt;$K776,"Green","Red")</f>
        <v>Red</v>
      </c>
      <c r="R776" t="str">
        <f>IF($J776&gt;=$K776,"Green","Red")</f>
        <v>Green</v>
      </c>
      <c r="S776" t="str">
        <f>IF($J776&lt;=$K776,"Green","Red")</f>
        <v>Green</v>
      </c>
      <c r="T776" t="str">
        <f>IF(OR($J776&gt;$K776,$J776&lt;$K776),"Green","Red")</f>
        <v>Red</v>
      </c>
      <c r="U776" t="str">
        <f>IF($H776&gt;$I776,"Green","Red")</f>
        <v>Red</v>
      </c>
      <c r="V776" t="str">
        <f>IF($H776=$I776,"Green","Red")</f>
        <v>Green</v>
      </c>
      <c r="W776" t="str">
        <f>IF($H776&lt;$I776,"Green","Red")</f>
        <v>Red</v>
      </c>
      <c r="X776" t="str">
        <f>IF($H776+$I776&gt;0,"Green","Red")</f>
        <v>Red</v>
      </c>
      <c r="Y776" t="str">
        <f>IF($J776+$K776&gt;1.5,"Green","Red")</f>
        <v>Red</v>
      </c>
      <c r="Z776" t="str">
        <f>IF($J776+$K776&gt;2.5,"Green","Red")</f>
        <v>Red</v>
      </c>
      <c r="AA776" t="str">
        <f>IF($J776+$K776&lt;2.5,"Green","Red")</f>
        <v>Green</v>
      </c>
      <c r="AB776" t="str">
        <f>IF($J776+$K776&lt;3.5,"Green","Red")</f>
        <v>Green</v>
      </c>
      <c r="AC776" t="str">
        <f>IF(AND($J776&gt;0,$K776&gt;0),"Green","Red")</f>
        <v>Red</v>
      </c>
      <c r="AD776" t="str">
        <f>IF(OR($J776=0,$K776=0),"Green","Red")</f>
        <v>Green</v>
      </c>
    </row>
    <row r="777" spans="1:30" x14ac:dyDescent="0.2">
      <c r="A777" t="str">
        <f>L777&amp;F777&amp;G777</f>
        <v>24/07/2026Arda KardzhaliSlavia</v>
      </c>
      <c r="D777" s="2">
        <v>46227</v>
      </c>
      <c r="E777" s="3">
        <v>0.76041666666666663</v>
      </c>
      <c r="F777" t="s">
        <v>2392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>DAY(D777)&amp;"/"&amp;"07"&amp;"/"&amp;YEAR(D777)</f>
        <v>24/07/2026</v>
      </c>
      <c r="M777" s="23">
        <f>E777-TIME(3,0,0)</f>
        <v>0.63541666666666663</v>
      </c>
      <c r="N777" t="str">
        <f>J777&amp;" - "&amp;K777</f>
        <v>1 - 0</v>
      </c>
      <c r="O777" t="str">
        <f>IF($J777&gt;$K777,"Green","Red")</f>
        <v>Green</v>
      </c>
      <c r="P777" t="str">
        <f>IF($J777=$K777,"Green","Red")</f>
        <v>Red</v>
      </c>
      <c r="Q777" t="str">
        <f>IF($J777&lt;$K777,"Green","Red")</f>
        <v>Red</v>
      </c>
      <c r="R777" t="str">
        <f>IF($J777&gt;=$K777,"Green","Red")</f>
        <v>Green</v>
      </c>
      <c r="S777" t="str">
        <f>IF($J777&lt;=$K777,"Green","Red")</f>
        <v>Red</v>
      </c>
      <c r="T777" t="str">
        <f>IF(OR($J777&gt;$K777,$J777&lt;$K777),"Green","Red")</f>
        <v>Green</v>
      </c>
      <c r="U777" t="str">
        <f>IF($H777&gt;$I777,"Green","Red")</f>
        <v>Red</v>
      </c>
      <c r="V777" t="str">
        <f>IF($H777=$I777,"Green","Red")</f>
        <v>Green</v>
      </c>
      <c r="W777" t="str">
        <f>IF($H777&lt;$I777,"Green","Red")</f>
        <v>Red</v>
      </c>
      <c r="X777" t="str">
        <f>IF($H777+$I777&gt;0,"Green","Red")</f>
        <v>Red</v>
      </c>
      <c r="Y777" t="str">
        <f>IF($J777+$K777&gt;1.5,"Green","Red")</f>
        <v>Red</v>
      </c>
      <c r="Z777" t="str">
        <f>IF($J777+$K777&gt;2.5,"Green","Red")</f>
        <v>Red</v>
      </c>
      <c r="AA777" t="str">
        <f>IF($J777+$K777&lt;2.5,"Green","Red")</f>
        <v>Green</v>
      </c>
      <c r="AB777" t="str">
        <f>IF($J777+$K777&lt;3.5,"Green","Red")</f>
        <v>Green</v>
      </c>
      <c r="AC777" t="str">
        <f>IF(AND($J777&gt;0,$K777&gt;0),"Green","Red")</f>
        <v>Red</v>
      </c>
      <c r="AD777" t="str">
        <f>IF(OR($J777=0,$K777=0),"Green","Red")</f>
        <v>Green</v>
      </c>
    </row>
    <row r="778" spans="1:30" x14ac:dyDescent="0.2">
      <c r="A778" t="str">
        <f>L778&amp;F778&amp;G778</f>
        <v>24/07/2026Etoile CarougeAarau</v>
      </c>
      <c r="D778" s="2">
        <v>46227</v>
      </c>
      <c r="E778" s="3">
        <v>0.76041666666666663</v>
      </c>
      <c r="F778" t="s">
        <v>2611</v>
      </c>
      <c r="G778" t="s">
        <v>2612</v>
      </c>
      <c r="H778">
        <v>0</v>
      </c>
      <c r="I778">
        <v>0</v>
      </c>
      <c r="J778">
        <v>3</v>
      </c>
      <c r="K778">
        <v>0</v>
      </c>
      <c r="L778" s="22" t="str">
        <f>DAY(D778)&amp;"/"&amp;"07"&amp;"/"&amp;YEAR(D778)</f>
        <v>24/07/2026</v>
      </c>
      <c r="M778" s="23">
        <f>E778-TIME(3,0,0)</f>
        <v>0.63541666666666663</v>
      </c>
      <c r="N778" t="str">
        <f>J778&amp;" - "&amp;K778</f>
        <v>3 - 0</v>
      </c>
      <c r="O778" t="str">
        <f>IF($J778&gt;$K778,"Green","Red")</f>
        <v>Green</v>
      </c>
      <c r="P778" t="str">
        <f>IF($J778=$K778,"Green","Red")</f>
        <v>Red</v>
      </c>
      <c r="Q778" t="str">
        <f>IF($J778&lt;$K778,"Green","Red")</f>
        <v>Red</v>
      </c>
      <c r="R778" t="str">
        <f>IF($J778&gt;=$K778,"Green","Red")</f>
        <v>Green</v>
      </c>
      <c r="S778" t="str">
        <f>IF($J778&lt;=$K778,"Green","Red")</f>
        <v>Red</v>
      </c>
      <c r="T778" t="str">
        <f>IF(OR($J778&gt;$K778,$J778&lt;$K778),"Green","Red")</f>
        <v>Green</v>
      </c>
      <c r="U778" t="str">
        <f>IF($H778&gt;$I778,"Green","Red")</f>
        <v>Red</v>
      </c>
      <c r="V778" t="str">
        <f>IF($H778=$I778,"Green","Red")</f>
        <v>Green</v>
      </c>
      <c r="W778" t="str">
        <f>IF($H778&lt;$I778,"Green","Red")</f>
        <v>Red</v>
      </c>
      <c r="X778" t="str">
        <f>IF($H778+$I778&gt;0,"Green","Red")</f>
        <v>Red</v>
      </c>
      <c r="Y778" t="str">
        <f>IF($J778+$K778&gt;1.5,"Green","Red")</f>
        <v>Green</v>
      </c>
      <c r="Z778" t="str">
        <f>IF($J778+$K778&gt;2.5,"Green","Red")</f>
        <v>Green</v>
      </c>
      <c r="AA778" t="str">
        <f>IF($J778+$K778&lt;2.5,"Green","Red")</f>
        <v>Red</v>
      </c>
      <c r="AB778" t="str">
        <f>IF($J778+$K778&lt;3.5,"Green","Red")</f>
        <v>Green</v>
      </c>
      <c r="AC778" t="str">
        <f>IF(AND($J778&gt;0,$K778&gt;0),"Green","Red")</f>
        <v>Red</v>
      </c>
      <c r="AD778" t="str">
        <f>IF(OR($J778=0,$K778=0),"Green","Red")</f>
        <v>Green</v>
      </c>
    </row>
    <row r="779" spans="1:30" x14ac:dyDescent="0.2">
      <c r="A779" t="str">
        <f>L779&amp;F779&amp;G779</f>
        <v>24/07/2026WinterthurYverdon Sport FC</v>
      </c>
      <c r="D779" s="2">
        <v>46227</v>
      </c>
      <c r="E779" s="3">
        <v>0.76041666666666663</v>
      </c>
      <c r="F779" t="s">
        <v>2613</v>
      </c>
      <c r="G779" t="s">
        <v>2614</v>
      </c>
      <c r="H779">
        <v>0</v>
      </c>
      <c r="I779">
        <v>0</v>
      </c>
      <c r="J779">
        <v>2</v>
      </c>
      <c r="K779">
        <v>2</v>
      </c>
      <c r="L779" s="22" t="str">
        <f>DAY(D779)&amp;"/"&amp;"07"&amp;"/"&amp;YEAR(D779)</f>
        <v>24/07/2026</v>
      </c>
      <c r="M779" s="23">
        <f>E779-TIME(3,0,0)</f>
        <v>0.63541666666666663</v>
      </c>
      <c r="N779" t="str">
        <f>J779&amp;" - "&amp;K779</f>
        <v>2 - 2</v>
      </c>
      <c r="O779" t="str">
        <f>IF($J779&gt;$K779,"Green","Red")</f>
        <v>Red</v>
      </c>
      <c r="P779" t="str">
        <f>IF($J779=$K779,"Green","Red")</f>
        <v>Green</v>
      </c>
      <c r="Q779" t="str">
        <f>IF($J779&lt;$K779,"Green","Red")</f>
        <v>Red</v>
      </c>
      <c r="R779" t="str">
        <f>IF($J779&gt;=$K779,"Green","Red")</f>
        <v>Green</v>
      </c>
      <c r="S779" t="str">
        <f>IF($J779&lt;=$K779,"Green","Red")</f>
        <v>Green</v>
      </c>
      <c r="T779" t="str">
        <f>IF(OR($J779&gt;$K779,$J779&lt;$K779),"Green","Red")</f>
        <v>Red</v>
      </c>
      <c r="U779" t="str">
        <f>IF($H779&gt;$I779,"Green","Red")</f>
        <v>Red</v>
      </c>
      <c r="V779" t="str">
        <f>IF($H779=$I779,"Green","Red")</f>
        <v>Green</v>
      </c>
      <c r="W779" t="str">
        <f>IF($H779&lt;$I779,"Green","Red")</f>
        <v>Red</v>
      </c>
      <c r="X779" t="str">
        <f>IF($H779+$I779&gt;0,"Green","Red")</f>
        <v>Red</v>
      </c>
      <c r="Y779" t="str">
        <f>IF($J779+$K779&gt;1.5,"Green","Red")</f>
        <v>Green</v>
      </c>
      <c r="Z779" t="str">
        <f>IF($J779+$K779&gt;2.5,"Green","Red")</f>
        <v>Green</v>
      </c>
      <c r="AA779" t="str">
        <f>IF($J779+$K779&lt;2.5,"Green","Red")</f>
        <v>Red</v>
      </c>
      <c r="AB779" t="str">
        <f>IF($J779+$K779&lt;3.5,"Green","Red")</f>
        <v>Red</v>
      </c>
      <c r="AC779" t="str">
        <f>IF(AND($J779&gt;0,$K779&gt;0),"Green","Red")</f>
        <v>Green</v>
      </c>
      <c r="AD779" t="str">
        <f>IF(OR($J779=0,$K779=0),"Green","Red")</f>
        <v>Red</v>
      </c>
    </row>
    <row r="780" spans="1:30" x14ac:dyDescent="0.2">
      <c r="A780" t="str">
        <f>L780&amp;F780&amp;G780</f>
        <v>24/07/2026SV SeekirchenSturm Graz</v>
      </c>
      <c r="B780" t="s">
        <v>2331</v>
      </c>
      <c r="C780" t="s">
        <v>2332</v>
      </c>
      <c r="D780" s="2">
        <v>46227</v>
      </c>
      <c r="E780" s="3">
        <v>0.77083333333333337</v>
      </c>
      <c r="F780" t="s">
        <v>2355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>DAY(D780)&amp;"/"&amp;"07"&amp;"/"&amp;YEAR(D780)</f>
        <v>24/07/2026</v>
      </c>
      <c r="M780" s="23">
        <f>E780-TIME(3,0,0)</f>
        <v>0.64583333333333337</v>
      </c>
      <c r="N780" t="str">
        <f>J780&amp;" - "&amp;K780</f>
        <v>0 - 3</v>
      </c>
      <c r="O780" t="str">
        <f>IF($J780&gt;$K780,"Green","Red")</f>
        <v>Red</v>
      </c>
      <c r="P780" t="str">
        <f>IF($J780=$K780,"Green","Red")</f>
        <v>Red</v>
      </c>
      <c r="Q780" t="str">
        <f>IF($J780&lt;$K780,"Green","Red")</f>
        <v>Green</v>
      </c>
      <c r="R780" t="str">
        <f>IF($J780&gt;=$K780,"Green","Red")</f>
        <v>Red</v>
      </c>
      <c r="S780" t="str">
        <f>IF($J780&lt;=$K780,"Green","Red")</f>
        <v>Green</v>
      </c>
      <c r="T780" t="str">
        <f>IF(OR($J780&gt;$K780,$J780&lt;$K780),"Green","Red")</f>
        <v>Green</v>
      </c>
      <c r="U780" t="str">
        <f>IF($H780&gt;$I780,"Green","Red")</f>
        <v>Red</v>
      </c>
      <c r="V780" t="str">
        <f>IF($H780=$I780,"Green","Red")</f>
        <v>Red</v>
      </c>
      <c r="W780" t="str">
        <f>IF($H780&lt;$I780,"Green","Red")</f>
        <v>Green</v>
      </c>
      <c r="X780" t="str">
        <f>IF($H780+$I780&gt;0,"Green","Red")</f>
        <v>Green</v>
      </c>
      <c r="Y780" t="str">
        <f>IF($J780+$K780&gt;1.5,"Green","Red")</f>
        <v>Green</v>
      </c>
      <c r="Z780" t="str">
        <f>IF($J780+$K780&gt;2.5,"Green","Red")</f>
        <v>Green</v>
      </c>
      <c r="AA780" t="str">
        <f>IF($J780+$K780&lt;2.5,"Green","Red")</f>
        <v>Red</v>
      </c>
      <c r="AB780" t="str">
        <f>IF($J780+$K780&lt;3.5,"Green","Red")</f>
        <v>Green</v>
      </c>
      <c r="AC780" t="str">
        <f>IF(AND($J780&gt;0,$K780&gt;0),"Green","Red")</f>
        <v>Red</v>
      </c>
      <c r="AD780" t="str">
        <f>IF(OR($J780=0,$K780=0),"Green","Red")</f>
        <v>Green</v>
      </c>
    </row>
    <row r="781" spans="1:30" x14ac:dyDescent="0.2">
      <c r="A781" t="str">
        <f>L781&amp;F781&amp;G781</f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>DAY(D781)&amp;"/"&amp;"07"&amp;"/"&amp;YEAR(D781)</f>
        <v>24/07/2026</v>
      </c>
      <c r="M781" s="23">
        <f>E781-TIME(3,0,0)</f>
        <v>0.64583333333333337</v>
      </c>
      <c r="N781" t="str">
        <f>J781&amp;" - "&amp;K781</f>
        <v>1 - 1</v>
      </c>
      <c r="O781" t="str">
        <f>IF($J781&gt;$K781,"Green","Red")</f>
        <v>Red</v>
      </c>
      <c r="P781" t="str">
        <f>IF($J781=$K781,"Green","Red")</f>
        <v>Green</v>
      </c>
      <c r="Q781" t="str">
        <f>IF($J781&lt;$K781,"Green","Red")</f>
        <v>Red</v>
      </c>
      <c r="R781" t="str">
        <f>IF($J781&gt;=$K781,"Green","Red")</f>
        <v>Green</v>
      </c>
      <c r="S781" t="str">
        <f>IF($J781&lt;=$K781,"Green","Red")</f>
        <v>Green</v>
      </c>
      <c r="T781" t="str">
        <f>IF(OR($J781&gt;$K781,$J781&lt;$K781),"Green","Red")</f>
        <v>Red</v>
      </c>
      <c r="U781" t="str">
        <f>IF($H781&gt;$I781,"Green","Red")</f>
        <v>Red</v>
      </c>
      <c r="V781" t="str">
        <f>IF($H781=$I781,"Green","Red")</f>
        <v>Green</v>
      </c>
      <c r="W781" t="str">
        <f>IF($H781&lt;$I781,"Green","Red")</f>
        <v>Red</v>
      </c>
      <c r="X781" t="str">
        <f>IF($H781+$I781&gt;0,"Green","Red")</f>
        <v>Red</v>
      </c>
      <c r="Y781" t="str">
        <f>IF($J781+$K781&gt;1.5,"Green","Red")</f>
        <v>Green</v>
      </c>
      <c r="Z781" t="str">
        <f>IF($J781+$K781&gt;2.5,"Green","Red")</f>
        <v>Red</v>
      </c>
      <c r="AA781" t="str">
        <f>IF($J781+$K781&lt;2.5,"Green","Red")</f>
        <v>Green</v>
      </c>
      <c r="AB781" t="str">
        <f>IF($J781+$K781&lt;3.5,"Green","Red")</f>
        <v>Green</v>
      </c>
      <c r="AC781" t="str">
        <f>IF(AND($J781&gt;0,$K781&gt;0),"Green","Red")</f>
        <v>Green</v>
      </c>
      <c r="AD781" t="str">
        <f>IF(OR($J781=0,$K781=0),"Green","Red")</f>
        <v>Red</v>
      </c>
    </row>
    <row r="782" spans="1:30" x14ac:dyDescent="0.2">
      <c r="A782" t="str">
        <f>L782&amp;F782&amp;G782</f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>DAY(D782)&amp;"/"&amp;"07"&amp;"/"&amp;YEAR(D782)</f>
        <v>24/07/2026</v>
      </c>
      <c r="M782" s="23">
        <f>E782-TIME(3,0,0)</f>
        <v>0.64583333333333337</v>
      </c>
      <c r="N782" t="str">
        <f>J782&amp;" - "&amp;K782</f>
        <v>2 - 1</v>
      </c>
      <c r="O782" t="str">
        <f>IF($J782&gt;$K782,"Green","Red")</f>
        <v>Green</v>
      </c>
      <c r="P782" t="str">
        <f>IF($J782=$K782,"Green","Red")</f>
        <v>Red</v>
      </c>
      <c r="Q782" t="str">
        <f>IF($J782&lt;$K782,"Green","Red")</f>
        <v>Red</v>
      </c>
      <c r="R782" t="str">
        <f>IF($J782&gt;=$K782,"Green","Red")</f>
        <v>Green</v>
      </c>
      <c r="S782" t="str">
        <f>IF($J782&lt;=$K782,"Green","Red")</f>
        <v>Red</v>
      </c>
      <c r="T782" t="str">
        <f>IF(OR($J782&gt;$K782,$J782&lt;$K782),"Green","Red")</f>
        <v>Green</v>
      </c>
      <c r="U782" t="str">
        <f>IF($H782&gt;$I782,"Green","Red")</f>
        <v>Red</v>
      </c>
      <c r="V782" t="str">
        <f>IF($H782=$I782,"Green","Red")</f>
        <v>Green</v>
      </c>
      <c r="W782" t="str">
        <f>IF($H782&lt;$I782,"Green","Red")</f>
        <v>Red</v>
      </c>
      <c r="X782" t="str">
        <f>IF($H782+$I782&gt;0,"Green","Red")</f>
        <v>Red</v>
      </c>
      <c r="Y782" t="str">
        <f>IF($J782+$K782&gt;1.5,"Green","Red")</f>
        <v>Green</v>
      </c>
      <c r="Z782" t="str">
        <f>IF($J782+$K782&gt;2.5,"Green","Red")</f>
        <v>Green</v>
      </c>
      <c r="AA782" t="str">
        <f>IF($J782+$K782&lt;2.5,"Green","Red")</f>
        <v>Red</v>
      </c>
      <c r="AB782" t="str">
        <f>IF($J782+$K782&lt;3.5,"Green","Red")</f>
        <v>Green</v>
      </c>
      <c r="AC782" t="str">
        <f>IF(AND($J782&gt;0,$K782&gt;0),"Green","Red")</f>
        <v>Green</v>
      </c>
      <c r="AD782" t="str">
        <f>IF(OR($J782=0,$K782=0),"Green","Red")</f>
        <v>Red</v>
      </c>
    </row>
    <row r="783" spans="1:30" x14ac:dyDescent="0.2">
      <c r="A783" t="str">
        <f>L783&amp;F783&amp;G783</f>
        <v>24/07/2026Pogon SzczecinLegia</v>
      </c>
      <c r="D783" s="2">
        <v>46227</v>
      </c>
      <c r="E783" s="3">
        <v>0.77083333333333337</v>
      </c>
      <c r="F783" t="s">
        <v>2559</v>
      </c>
      <c r="G783" t="s">
        <v>2560</v>
      </c>
      <c r="H783">
        <v>0</v>
      </c>
      <c r="I783">
        <v>0</v>
      </c>
      <c r="J783">
        <v>0</v>
      </c>
      <c r="K783">
        <v>1</v>
      </c>
      <c r="L783" s="22" t="str">
        <f>DAY(D783)&amp;"/"&amp;"07"&amp;"/"&amp;YEAR(D783)</f>
        <v>24/07/2026</v>
      </c>
      <c r="M783" s="23">
        <f>E783-TIME(3,0,0)</f>
        <v>0.64583333333333337</v>
      </c>
      <c r="N783" t="str">
        <f>J783&amp;" - "&amp;K783</f>
        <v>0 - 1</v>
      </c>
      <c r="O783" t="str">
        <f>IF($J783&gt;$K783,"Green","Red")</f>
        <v>Red</v>
      </c>
      <c r="P783" t="str">
        <f>IF($J783=$K783,"Green","Red")</f>
        <v>Red</v>
      </c>
      <c r="Q783" t="str">
        <f>IF($J783&lt;$K783,"Green","Red")</f>
        <v>Green</v>
      </c>
      <c r="R783" t="str">
        <f>IF($J783&gt;=$K783,"Green","Red")</f>
        <v>Red</v>
      </c>
      <c r="S783" t="str">
        <f>IF($J783&lt;=$K783,"Green","Red")</f>
        <v>Green</v>
      </c>
      <c r="T783" t="str">
        <f>IF(OR($J783&gt;$K783,$J783&lt;$K783),"Green","Red")</f>
        <v>Green</v>
      </c>
      <c r="U783" t="str">
        <f>IF($H783&gt;$I783,"Green","Red")</f>
        <v>Red</v>
      </c>
      <c r="V783" t="str">
        <f>IF($H783=$I783,"Green","Red")</f>
        <v>Green</v>
      </c>
      <c r="W783" t="str">
        <f>IF($H783&lt;$I783,"Green","Red")</f>
        <v>Red</v>
      </c>
      <c r="X783" t="str">
        <f>IF($H783+$I783&gt;0,"Green","Red")</f>
        <v>Red</v>
      </c>
      <c r="Y783" t="str">
        <f>IF($J783+$K783&gt;1.5,"Green","Red")</f>
        <v>Red</v>
      </c>
      <c r="Z783" t="str">
        <f>IF($J783+$K783&gt;2.5,"Green","Red")</f>
        <v>Red</v>
      </c>
      <c r="AA783" t="str">
        <f>IF($J783+$K783&lt;2.5,"Green","Red")</f>
        <v>Green</v>
      </c>
      <c r="AB783" t="str">
        <f>IF($J783+$K783&lt;3.5,"Green","Red")</f>
        <v>Green</v>
      </c>
      <c r="AC783" t="str">
        <f>IF(AND($J783&gt;0,$K783&gt;0),"Green","Red")</f>
        <v>Red</v>
      </c>
      <c r="AD783" t="str">
        <f>IF(OR($J783=0,$K783=0),"Green","Red")</f>
        <v>Green</v>
      </c>
    </row>
    <row r="784" spans="1:30" x14ac:dyDescent="0.2">
      <c r="A784" t="str">
        <f>L784&amp;F784&amp;G784</f>
        <v>24/07/2026SCM Argesul PitestiPetrolul Ploiesti</v>
      </c>
      <c r="D784" s="2">
        <v>46227</v>
      </c>
      <c r="E784" s="3">
        <v>0.77083333333333337</v>
      </c>
      <c r="F784" t="s">
        <v>2569</v>
      </c>
      <c r="G784" t="s">
        <v>2570</v>
      </c>
      <c r="H784">
        <v>1</v>
      </c>
      <c r="I784">
        <v>0</v>
      </c>
      <c r="J784">
        <v>1</v>
      </c>
      <c r="K784">
        <v>0</v>
      </c>
      <c r="L784" s="22" t="str">
        <f>DAY(D784)&amp;"/"&amp;"07"&amp;"/"&amp;YEAR(D784)</f>
        <v>24/07/2026</v>
      </c>
      <c r="M784" s="23">
        <f>E784-TIME(3,0,0)</f>
        <v>0.64583333333333337</v>
      </c>
      <c r="N784" t="str">
        <f>J784&amp;" - "&amp;K784</f>
        <v>1 - 0</v>
      </c>
      <c r="O784" t="str">
        <f>IF($J784&gt;$K784,"Green","Red")</f>
        <v>Green</v>
      </c>
      <c r="P784" t="str">
        <f>IF($J784=$K784,"Green","Red")</f>
        <v>Red</v>
      </c>
      <c r="Q784" t="str">
        <f>IF($J784&lt;$K784,"Green","Red")</f>
        <v>Red</v>
      </c>
      <c r="R784" t="str">
        <f>IF($J784&gt;=$K784,"Green","Red")</f>
        <v>Green</v>
      </c>
      <c r="S784" t="str">
        <f>IF($J784&lt;=$K784,"Green","Red")</f>
        <v>Red</v>
      </c>
      <c r="T784" t="str">
        <f>IF(OR($J784&gt;$K784,$J784&lt;$K784),"Green","Red")</f>
        <v>Green</v>
      </c>
      <c r="U784" t="str">
        <f>IF($H784&gt;$I784,"Green","Red")</f>
        <v>Green</v>
      </c>
      <c r="V784" t="str">
        <f>IF($H784=$I784,"Green","Red")</f>
        <v>Red</v>
      </c>
      <c r="W784" t="str">
        <f>IF($H784&lt;$I784,"Green","Red")</f>
        <v>Red</v>
      </c>
      <c r="X784" t="str">
        <f>IF($H784+$I784&gt;0,"Green","Red")</f>
        <v>Green</v>
      </c>
      <c r="Y784" t="str">
        <f>IF($J784+$K784&gt;1.5,"Green","Red")</f>
        <v>Red</v>
      </c>
      <c r="Z784" t="str">
        <f>IF($J784+$K784&gt;2.5,"Green","Red")</f>
        <v>Red</v>
      </c>
      <c r="AA784" t="str">
        <f>IF($J784+$K784&lt;2.5,"Green","Red")</f>
        <v>Green</v>
      </c>
      <c r="AB784" t="str">
        <f>IF($J784+$K784&lt;3.5,"Green","Red")</f>
        <v>Green</v>
      </c>
      <c r="AC784" t="str">
        <f>IF(AND($J784&gt;0,$K784&gt;0),"Green","Red")</f>
        <v>Red</v>
      </c>
      <c r="AD784" t="str">
        <f>IF(OR($J784=0,$K784=0),"Green","Red")</f>
        <v>Green</v>
      </c>
    </row>
    <row r="785" spans="1:30" x14ac:dyDescent="0.2">
      <c r="A785" t="str">
        <f>L785&amp;F785&amp;G785</f>
        <v>24/07/2026Felixstowe &amp; Walton UnitedNeedham Market</v>
      </c>
      <c r="D785" s="2">
        <v>46227</v>
      </c>
      <c r="E785" s="3">
        <v>0.77083333333333337</v>
      </c>
      <c r="F785" t="s">
        <v>2704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>DAY(D785)&amp;"/"&amp;"07"&amp;"/"&amp;YEAR(D785)</f>
        <v>24/07/2026</v>
      </c>
      <c r="M785" s="23">
        <f>E785-TIME(3,0,0)</f>
        <v>0.64583333333333337</v>
      </c>
      <c r="N785" t="str">
        <f>J785&amp;" - "&amp;K785</f>
        <v>1 - 1</v>
      </c>
      <c r="O785" t="str">
        <f>IF($J785&gt;$K785,"Green","Red")</f>
        <v>Red</v>
      </c>
      <c r="P785" t="str">
        <f>IF($J785=$K785,"Green","Red")</f>
        <v>Green</v>
      </c>
      <c r="Q785" t="str">
        <f>IF($J785&lt;$K785,"Green","Red")</f>
        <v>Red</v>
      </c>
      <c r="R785" t="str">
        <f>IF($J785&gt;=$K785,"Green","Red")</f>
        <v>Green</v>
      </c>
      <c r="S785" t="str">
        <f>IF($J785&lt;=$K785,"Green","Red")</f>
        <v>Green</v>
      </c>
      <c r="T785" t="str">
        <f>IF(OR($J785&gt;$K785,$J785&lt;$K785),"Green","Red")</f>
        <v>Red</v>
      </c>
      <c r="U785" t="str">
        <f>IF($H785&gt;$I785,"Green","Red")</f>
        <v>Red</v>
      </c>
      <c r="V785" t="str">
        <f>IF($H785=$I785,"Green","Red")</f>
        <v>Red</v>
      </c>
      <c r="W785" t="str">
        <f>IF($H785&lt;$I785,"Green","Red")</f>
        <v>Green</v>
      </c>
      <c r="X785" t="str">
        <f>IF($H785+$I785&gt;0,"Green","Red")</f>
        <v>Green</v>
      </c>
      <c r="Y785" t="str">
        <f>IF($J785+$K785&gt;1.5,"Green","Red")</f>
        <v>Green</v>
      </c>
      <c r="Z785" t="str">
        <f>IF($J785+$K785&gt;2.5,"Green","Red")</f>
        <v>Red</v>
      </c>
      <c r="AA785" t="str">
        <f>IF($J785+$K785&lt;2.5,"Green","Red")</f>
        <v>Green</v>
      </c>
      <c r="AB785" t="str">
        <f>IF($J785+$K785&lt;3.5,"Green","Red")</f>
        <v>Green</v>
      </c>
      <c r="AC785" t="str">
        <f>IF(AND($J785&gt;0,$K785&gt;0),"Green","Red")</f>
        <v>Green</v>
      </c>
      <c r="AD785" t="str">
        <f>IF(OR($J785=0,$K785=0),"Green","Red")</f>
        <v>Red</v>
      </c>
    </row>
    <row r="786" spans="1:30" x14ac:dyDescent="0.2">
      <c r="A786" t="str">
        <f>L786&amp;F786&amp;G786</f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2705</v>
      </c>
      <c r="H786">
        <v>0</v>
      </c>
      <c r="I786">
        <v>1</v>
      </c>
      <c r="J786">
        <v>3</v>
      </c>
      <c r="K786">
        <v>2</v>
      </c>
      <c r="L786" s="22" t="str">
        <f>DAY(D786)&amp;"/"&amp;"07"&amp;"/"&amp;YEAR(D786)</f>
        <v>24/07/2026</v>
      </c>
      <c r="M786" s="23">
        <f>E786-TIME(3,0,0)</f>
        <v>0.64583333333333337</v>
      </c>
      <c r="N786" t="str">
        <f>J786&amp;" - "&amp;K786</f>
        <v>3 - 2</v>
      </c>
      <c r="O786" t="str">
        <f>IF($J786&gt;$K786,"Green","Red")</f>
        <v>Green</v>
      </c>
      <c r="P786" t="str">
        <f>IF($J786=$K786,"Green","Red")</f>
        <v>Red</v>
      </c>
      <c r="Q786" t="str">
        <f>IF($J786&lt;$K786,"Green","Red")</f>
        <v>Red</v>
      </c>
      <c r="R786" t="str">
        <f>IF($J786&gt;=$K786,"Green","Red")</f>
        <v>Green</v>
      </c>
      <c r="S786" t="str">
        <f>IF($J786&lt;=$K786,"Green","Red")</f>
        <v>Red</v>
      </c>
      <c r="T786" t="str">
        <f>IF(OR($J786&gt;$K786,$J786&lt;$K786),"Green","Red")</f>
        <v>Green</v>
      </c>
      <c r="U786" t="str">
        <f>IF($H786&gt;$I786,"Green","Red")</f>
        <v>Red</v>
      </c>
      <c r="V786" t="str">
        <f>IF($H786=$I786,"Green","Red")</f>
        <v>Red</v>
      </c>
      <c r="W786" t="str">
        <f>IF($H786&lt;$I786,"Green","Red")</f>
        <v>Green</v>
      </c>
      <c r="X786" t="str">
        <f>IF($H786+$I786&gt;0,"Green","Red")</f>
        <v>Green</v>
      </c>
      <c r="Y786" t="str">
        <f>IF($J786+$K786&gt;1.5,"Green","Red")</f>
        <v>Green</v>
      </c>
      <c r="Z786" t="str">
        <f>IF($J786+$K786&gt;2.5,"Green","Red")</f>
        <v>Green</v>
      </c>
      <c r="AA786" t="str">
        <f>IF($J786+$K786&lt;2.5,"Green","Red")</f>
        <v>Red</v>
      </c>
      <c r="AB786" t="str">
        <f>IF($J786+$K786&lt;3.5,"Green","Red")</f>
        <v>Red</v>
      </c>
      <c r="AC786" t="str">
        <f>IF(AND($J786&gt;0,$K786&gt;0),"Green","Red")</f>
        <v>Green</v>
      </c>
      <c r="AD786" t="str">
        <f>IF(OR($J786=0,$K786=0),"Green","Red")</f>
        <v>Red</v>
      </c>
    </row>
    <row r="787" spans="1:30" x14ac:dyDescent="0.2">
      <c r="A787" t="str">
        <f>L787&amp;F787&amp;G787</f>
        <v>24/07/2026Silsden AFCRylands</v>
      </c>
      <c r="D787" s="2">
        <v>46227</v>
      </c>
      <c r="E787" s="3">
        <v>0.77083333333333337</v>
      </c>
      <c r="F787" t="s">
        <v>2706</v>
      </c>
      <c r="G787" t="s">
        <v>2707</v>
      </c>
      <c r="H787">
        <v>0</v>
      </c>
      <c r="I787">
        <v>0</v>
      </c>
      <c r="J787">
        <v>0</v>
      </c>
      <c r="K787">
        <v>1</v>
      </c>
      <c r="L787" s="22" t="str">
        <f>DAY(D787)&amp;"/"&amp;"07"&amp;"/"&amp;YEAR(D787)</f>
        <v>24/07/2026</v>
      </c>
      <c r="M787" s="23">
        <f>E787-TIME(3,0,0)</f>
        <v>0.64583333333333337</v>
      </c>
      <c r="N787" t="str">
        <f>J787&amp;" - "&amp;K787</f>
        <v>0 - 1</v>
      </c>
      <c r="O787" t="str">
        <f>IF($J787&gt;$K787,"Green","Red")</f>
        <v>Red</v>
      </c>
      <c r="P787" t="str">
        <f>IF($J787=$K787,"Green","Red")</f>
        <v>Red</v>
      </c>
      <c r="Q787" t="str">
        <f>IF($J787&lt;$K787,"Green","Red")</f>
        <v>Green</v>
      </c>
      <c r="R787" t="str">
        <f>IF($J787&gt;=$K787,"Green","Red")</f>
        <v>Red</v>
      </c>
      <c r="S787" t="str">
        <f>IF($J787&lt;=$K787,"Green","Red")</f>
        <v>Green</v>
      </c>
      <c r="T787" t="str">
        <f>IF(OR($J787&gt;$K787,$J787&lt;$K787),"Green","Red")</f>
        <v>Green</v>
      </c>
      <c r="U787" t="str">
        <f>IF($H787&gt;$I787,"Green","Red")</f>
        <v>Red</v>
      </c>
      <c r="V787" t="str">
        <f>IF($H787=$I787,"Green","Red")</f>
        <v>Green</v>
      </c>
      <c r="W787" t="str">
        <f>IF($H787&lt;$I787,"Green","Red")</f>
        <v>Red</v>
      </c>
      <c r="X787" t="str">
        <f>IF($H787+$I787&gt;0,"Green","Red")</f>
        <v>Red</v>
      </c>
      <c r="Y787" t="str">
        <f>IF($J787+$K787&gt;1.5,"Green","Red")</f>
        <v>Red</v>
      </c>
      <c r="Z787" t="str">
        <f>IF($J787+$K787&gt;2.5,"Green","Red")</f>
        <v>Red</v>
      </c>
      <c r="AA787" t="str">
        <f>IF($J787+$K787&lt;2.5,"Green","Red")</f>
        <v>Green</v>
      </c>
      <c r="AB787" t="str">
        <f>IF($J787+$K787&lt;3.5,"Green","Red")</f>
        <v>Green</v>
      </c>
      <c r="AC787" t="str">
        <f>IF(AND($J787&gt;0,$K787&gt;0),"Green","Red")</f>
        <v>Red</v>
      </c>
      <c r="AD787" t="str">
        <f>IF(OR($J787=0,$K787=0),"Green","Red")</f>
        <v>Green</v>
      </c>
    </row>
    <row r="788" spans="1:30" x14ac:dyDescent="0.2">
      <c r="A788" t="str">
        <f>L788&amp;F788&amp;G788</f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>DAY(D788)&amp;"/"&amp;"07"&amp;"/"&amp;YEAR(D788)</f>
        <v>24/07/2026</v>
      </c>
      <c r="M788" s="23">
        <f>E788-TIME(3,0,0)</f>
        <v>0.64585648148148145</v>
      </c>
      <c r="N788" t="str">
        <f>J788&amp;" - "&amp;K788</f>
        <v>1 - 1</v>
      </c>
      <c r="O788" t="str">
        <f>IF($J788&gt;$K788,"Green","Red")</f>
        <v>Red</v>
      </c>
      <c r="P788" t="str">
        <f>IF($J788=$K788,"Green","Red")</f>
        <v>Green</v>
      </c>
      <c r="Q788" t="str">
        <f>IF($J788&lt;$K788,"Green","Red")</f>
        <v>Red</v>
      </c>
      <c r="R788" t="str">
        <f>IF($J788&gt;=$K788,"Green","Red")</f>
        <v>Green</v>
      </c>
      <c r="S788" t="str">
        <f>IF($J788&lt;=$K788,"Green","Red")</f>
        <v>Green</v>
      </c>
      <c r="T788" t="str">
        <f>IF(OR($J788&gt;$K788,$J788&lt;$K788),"Green","Red")</f>
        <v>Red</v>
      </c>
      <c r="U788" t="str">
        <f>IF($H788&gt;$I788,"Green","Red")</f>
        <v>Green</v>
      </c>
      <c r="V788" t="str">
        <f>IF($H788=$I788,"Green","Red")</f>
        <v>Red</v>
      </c>
      <c r="W788" t="str">
        <f>IF($H788&lt;$I788,"Green","Red")</f>
        <v>Red</v>
      </c>
      <c r="X788" t="str">
        <f>IF($H788+$I788&gt;0,"Green","Red")</f>
        <v>Green</v>
      </c>
      <c r="Y788" t="str">
        <f>IF($J788+$K788&gt;1.5,"Green","Red")</f>
        <v>Green</v>
      </c>
      <c r="Z788" t="str">
        <f>IF($J788+$K788&gt;2.5,"Green","Red")</f>
        <v>Red</v>
      </c>
      <c r="AA788" t="str">
        <f>IF($J788+$K788&lt;2.5,"Green","Red")</f>
        <v>Green</v>
      </c>
      <c r="AB788" t="str">
        <f>IF($J788+$K788&lt;3.5,"Green","Red")</f>
        <v>Green</v>
      </c>
      <c r="AC788" t="str">
        <f>IF(AND($J788&gt;0,$K788&gt;0),"Green","Red")</f>
        <v>Green</v>
      </c>
      <c r="AD788" t="str">
        <f>IF(OR($J788=0,$K788=0),"Green","Red")</f>
        <v>Red</v>
      </c>
    </row>
    <row r="789" spans="1:30" x14ac:dyDescent="0.2">
      <c r="A789" t="str">
        <f>L789&amp;F789&amp;G789</f>
        <v>24/07/2026Cobh RamblersBray Wanderers</v>
      </c>
      <c r="D789" s="2">
        <v>46227</v>
      </c>
      <c r="E789" s="3">
        <v>0.78125</v>
      </c>
      <c r="F789" t="s">
        <v>149</v>
      </c>
      <c r="G789" t="s">
        <v>2503</v>
      </c>
      <c r="H789">
        <v>1</v>
      </c>
      <c r="I789">
        <v>1</v>
      </c>
      <c r="J789">
        <v>1</v>
      </c>
      <c r="K789">
        <v>2</v>
      </c>
      <c r="L789" s="22" t="str">
        <f>DAY(D789)&amp;"/"&amp;"07"&amp;"/"&amp;YEAR(D789)</f>
        <v>24/07/2026</v>
      </c>
      <c r="M789" s="23">
        <f>E789-TIME(3,0,0)</f>
        <v>0.65625</v>
      </c>
      <c r="N789" t="str">
        <f>J789&amp;" - "&amp;K789</f>
        <v>1 - 2</v>
      </c>
      <c r="O789" t="str">
        <f>IF($J789&gt;$K789,"Green","Red")</f>
        <v>Red</v>
      </c>
      <c r="P789" t="str">
        <f>IF($J789=$K789,"Green","Red")</f>
        <v>Red</v>
      </c>
      <c r="Q789" t="str">
        <f>IF($J789&lt;$K789,"Green","Red")</f>
        <v>Green</v>
      </c>
      <c r="R789" t="str">
        <f>IF($J789&gt;=$K789,"Green","Red")</f>
        <v>Red</v>
      </c>
      <c r="S789" t="str">
        <f>IF($J789&lt;=$K789,"Green","Red")</f>
        <v>Green</v>
      </c>
      <c r="T789" t="str">
        <f>IF(OR($J789&gt;$K789,$J789&lt;$K789),"Green","Red")</f>
        <v>Green</v>
      </c>
      <c r="U789" t="str">
        <f>IF($H789&gt;$I789,"Green","Red")</f>
        <v>Red</v>
      </c>
      <c r="V789" t="str">
        <f>IF($H789=$I789,"Green","Red")</f>
        <v>Green</v>
      </c>
      <c r="W789" t="str">
        <f>IF($H789&lt;$I789,"Green","Red")</f>
        <v>Red</v>
      </c>
      <c r="X789" t="str">
        <f>IF($H789+$I789&gt;0,"Green","Red")</f>
        <v>Green</v>
      </c>
      <c r="Y789" t="str">
        <f>IF($J789+$K789&gt;1.5,"Green","Red")</f>
        <v>Green</v>
      </c>
      <c r="Z789" t="str">
        <f>IF($J789+$K789&gt;2.5,"Green","Red")</f>
        <v>Green</v>
      </c>
      <c r="AA789" t="str">
        <f>IF($J789+$K789&lt;2.5,"Green","Red")</f>
        <v>Red</v>
      </c>
      <c r="AB789" t="str">
        <f>IF($J789+$K789&lt;3.5,"Green","Red")</f>
        <v>Green</v>
      </c>
      <c r="AC789" t="str">
        <f>IF(AND($J789&gt;0,$K789&gt;0),"Green","Red")</f>
        <v>Green</v>
      </c>
      <c r="AD789" t="str">
        <f>IF(OR($J789=0,$K789=0),"Green","Red")</f>
        <v>Red</v>
      </c>
    </row>
    <row r="790" spans="1:30" x14ac:dyDescent="0.2">
      <c r="A790" t="str">
        <f>L790&amp;F790&amp;G790</f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>DAY(D790)&amp;"/"&amp;"07"&amp;"/"&amp;YEAR(D790)</f>
        <v>24/07/2026</v>
      </c>
      <c r="M790" s="23">
        <f>E790-TIME(3,0,0)</f>
        <v>0.65625</v>
      </c>
      <c r="N790" t="str">
        <f>J790&amp;" - "&amp;K790</f>
        <v>2 - 1</v>
      </c>
      <c r="O790" t="str">
        <f>IF($J790&gt;$K790,"Green","Red")</f>
        <v>Green</v>
      </c>
      <c r="P790" t="str">
        <f>IF($J790=$K790,"Green","Red")</f>
        <v>Red</v>
      </c>
      <c r="Q790" t="str">
        <f>IF($J790&lt;$K790,"Green","Red")</f>
        <v>Red</v>
      </c>
      <c r="R790" t="str">
        <f>IF($J790&gt;=$K790,"Green","Red")</f>
        <v>Green</v>
      </c>
      <c r="S790" t="str">
        <f>IF($J790&lt;=$K790,"Green","Red")</f>
        <v>Red</v>
      </c>
      <c r="T790" t="str">
        <f>IF(OR($J790&gt;$K790,$J790&lt;$K790),"Green","Red")</f>
        <v>Green</v>
      </c>
      <c r="U790" t="str">
        <f>IF($H790&gt;$I790,"Green","Red")</f>
        <v>Green</v>
      </c>
      <c r="V790" t="str">
        <f>IF($H790=$I790,"Green","Red")</f>
        <v>Red</v>
      </c>
      <c r="W790" t="str">
        <f>IF($H790&lt;$I790,"Green","Red")</f>
        <v>Red</v>
      </c>
      <c r="X790" t="str">
        <f>IF($H790+$I790&gt;0,"Green","Red")</f>
        <v>Green</v>
      </c>
      <c r="Y790" t="str">
        <f>IF($J790+$K790&gt;1.5,"Green","Red")</f>
        <v>Green</v>
      </c>
      <c r="Z790" t="str">
        <f>IF($J790+$K790&gt;2.5,"Green","Red")</f>
        <v>Green</v>
      </c>
      <c r="AA790" t="str">
        <f>IF($J790+$K790&lt;2.5,"Green","Red")</f>
        <v>Red</v>
      </c>
      <c r="AB790" t="str">
        <f>IF($J790+$K790&lt;3.5,"Green","Red")</f>
        <v>Green</v>
      </c>
      <c r="AC790" t="str">
        <f>IF(AND($J790&gt;0,$K790&gt;0),"Green","Red")</f>
        <v>Green</v>
      </c>
      <c r="AD790" t="str">
        <f>IF(OR($J790=0,$K790=0),"Green","Red")</f>
        <v>Red</v>
      </c>
    </row>
    <row r="791" spans="1:30" x14ac:dyDescent="0.2">
      <c r="A791" t="str">
        <f>L791&amp;F791&amp;G791</f>
        <v>24/07/2026Treaty UnitedAthlone Town</v>
      </c>
      <c r="D791" s="2">
        <v>46227</v>
      </c>
      <c r="E791" s="3">
        <v>0.78125</v>
      </c>
      <c r="F791" t="s">
        <v>2504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>DAY(D791)&amp;"/"&amp;"07"&amp;"/"&amp;YEAR(D791)</f>
        <v>24/07/2026</v>
      </c>
      <c r="M791" s="23">
        <f>E791-TIME(3,0,0)</f>
        <v>0.65625</v>
      </c>
      <c r="N791" t="str">
        <f>J791&amp;" - "&amp;K791</f>
        <v>2 - 1</v>
      </c>
      <c r="O791" t="str">
        <f>IF($J791&gt;$K791,"Green","Red")</f>
        <v>Green</v>
      </c>
      <c r="P791" t="str">
        <f>IF($J791=$K791,"Green","Red")</f>
        <v>Red</v>
      </c>
      <c r="Q791" t="str">
        <f>IF($J791&lt;$K791,"Green","Red")</f>
        <v>Red</v>
      </c>
      <c r="R791" t="str">
        <f>IF($J791&gt;=$K791,"Green","Red")</f>
        <v>Green</v>
      </c>
      <c r="S791" t="str">
        <f>IF($J791&lt;=$K791,"Green","Red")</f>
        <v>Red</v>
      </c>
      <c r="T791" t="str">
        <f>IF(OR($J791&gt;$K791,$J791&lt;$K791),"Green","Red")</f>
        <v>Green</v>
      </c>
      <c r="U791" t="str">
        <f>IF($H791&gt;$I791,"Green","Red")</f>
        <v>Green</v>
      </c>
      <c r="V791" t="str">
        <f>IF($H791=$I791,"Green","Red")</f>
        <v>Red</v>
      </c>
      <c r="W791" t="str">
        <f>IF($H791&lt;$I791,"Green","Red")</f>
        <v>Red</v>
      </c>
      <c r="X791" t="str">
        <f>IF($H791+$I791&gt;0,"Green","Red")</f>
        <v>Green</v>
      </c>
      <c r="Y791" t="str">
        <f>IF($J791+$K791&gt;1.5,"Green","Red")</f>
        <v>Green</v>
      </c>
      <c r="Z791" t="str">
        <f>IF($J791+$K791&gt;2.5,"Green","Red")</f>
        <v>Green</v>
      </c>
      <c r="AA791" t="str">
        <f>IF($J791+$K791&lt;2.5,"Green","Red")</f>
        <v>Red</v>
      </c>
      <c r="AB791" t="str">
        <f>IF($J791+$K791&lt;3.5,"Green","Red")</f>
        <v>Green</v>
      </c>
      <c r="AC791" t="str">
        <f>IF(AND($J791&gt;0,$K791&gt;0),"Green","Red")</f>
        <v>Green</v>
      </c>
      <c r="AD791" t="str">
        <f>IF(OR($J791=0,$K791=0),"Green","Red")</f>
        <v>Red</v>
      </c>
    </row>
    <row r="792" spans="1:30" x14ac:dyDescent="0.2">
      <c r="A792" t="str">
        <f>L792&amp;F792&amp;G792</f>
        <v>24/07/2026UC DublinCork City</v>
      </c>
      <c r="D792" s="2">
        <v>46227</v>
      </c>
      <c r="E792" s="3">
        <v>0.78125</v>
      </c>
      <c r="F792" t="s">
        <v>2505</v>
      </c>
      <c r="G792" t="s">
        <v>2506</v>
      </c>
      <c r="H792">
        <v>2</v>
      </c>
      <c r="I792">
        <v>2</v>
      </c>
      <c r="J792">
        <v>5</v>
      </c>
      <c r="K792">
        <v>2</v>
      </c>
      <c r="L792" s="22" t="str">
        <f>DAY(D792)&amp;"/"&amp;"07"&amp;"/"&amp;YEAR(D792)</f>
        <v>24/07/2026</v>
      </c>
      <c r="M792" s="23">
        <f>E792-TIME(3,0,0)</f>
        <v>0.65625</v>
      </c>
      <c r="N792" t="str">
        <f>J792&amp;" - "&amp;K792</f>
        <v>5 - 2</v>
      </c>
      <c r="O792" t="str">
        <f>IF($J792&gt;$K792,"Green","Red")</f>
        <v>Green</v>
      </c>
      <c r="P792" t="str">
        <f>IF($J792=$K792,"Green","Red")</f>
        <v>Red</v>
      </c>
      <c r="Q792" t="str">
        <f>IF($J792&lt;$K792,"Green","Red")</f>
        <v>Red</v>
      </c>
      <c r="R792" t="str">
        <f>IF($J792&gt;=$K792,"Green","Red")</f>
        <v>Green</v>
      </c>
      <c r="S792" t="str">
        <f>IF($J792&lt;=$K792,"Green","Red")</f>
        <v>Red</v>
      </c>
      <c r="T792" t="str">
        <f>IF(OR($J792&gt;$K792,$J792&lt;$K792),"Green","Red")</f>
        <v>Green</v>
      </c>
      <c r="U792" t="str">
        <f>IF($H792&gt;$I792,"Green","Red")</f>
        <v>Red</v>
      </c>
      <c r="V792" t="str">
        <f>IF($H792=$I792,"Green","Red")</f>
        <v>Green</v>
      </c>
      <c r="W792" t="str">
        <f>IF($H792&lt;$I792,"Green","Red")</f>
        <v>Red</v>
      </c>
      <c r="X792" t="str">
        <f>IF($H792+$I792&gt;0,"Green","Red")</f>
        <v>Green</v>
      </c>
      <c r="Y792" t="str">
        <f>IF($J792+$K792&gt;1.5,"Green","Red")</f>
        <v>Green</v>
      </c>
      <c r="Z792" t="str">
        <f>IF($J792+$K792&gt;2.5,"Green","Red")</f>
        <v>Green</v>
      </c>
      <c r="AA792" t="str">
        <f>IF($J792+$K792&lt;2.5,"Green","Red")</f>
        <v>Red</v>
      </c>
      <c r="AB792" t="str">
        <f>IF($J792+$K792&lt;3.5,"Green","Red")</f>
        <v>Red</v>
      </c>
      <c r="AC792" t="str">
        <f>IF(AND($J792&gt;0,$K792&gt;0),"Green","Red")</f>
        <v>Green</v>
      </c>
      <c r="AD792" t="str">
        <f>IF(OR($J792=0,$K792=0),"Green","Red")</f>
        <v>Red</v>
      </c>
    </row>
    <row r="793" spans="1:30" x14ac:dyDescent="0.2">
      <c r="A793" t="str">
        <f>L793&amp;F793&amp;G793</f>
        <v>24/07/2026Derry City WomenLarne FC Women</v>
      </c>
      <c r="D793" s="2">
        <v>46227</v>
      </c>
      <c r="E793" s="3">
        <v>0.78125</v>
      </c>
      <c r="F793" t="s">
        <v>2537</v>
      </c>
      <c r="G793" t="s">
        <v>2538</v>
      </c>
      <c r="H793">
        <v>4</v>
      </c>
      <c r="I793">
        <v>0</v>
      </c>
      <c r="J793">
        <v>7</v>
      </c>
      <c r="K793">
        <v>0</v>
      </c>
      <c r="L793" s="22" t="str">
        <f>DAY(D793)&amp;"/"&amp;"07"&amp;"/"&amp;YEAR(D793)</f>
        <v>24/07/2026</v>
      </c>
      <c r="M793" s="23">
        <f>E793-TIME(3,0,0)</f>
        <v>0.65625</v>
      </c>
      <c r="N793" t="str">
        <f>J793&amp;" - "&amp;K793</f>
        <v>7 - 0</v>
      </c>
      <c r="O793" t="str">
        <f>IF($J793&gt;$K793,"Green","Red")</f>
        <v>Green</v>
      </c>
      <c r="P793" t="str">
        <f>IF($J793=$K793,"Green","Red")</f>
        <v>Red</v>
      </c>
      <c r="Q793" t="str">
        <f>IF($J793&lt;$K793,"Green","Red")</f>
        <v>Red</v>
      </c>
      <c r="R793" t="str">
        <f>IF($J793&gt;=$K793,"Green","Red")</f>
        <v>Green</v>
      </c>
      <c r="S793" t="str">
        <f>IF($J793&lt;=$K793,"Green","Red")</f>
        <v>Red</v>
      </c>
      <c r="T793" t="str">
        <f>IF(OR($J793&gt;$K793,$J793&lt;$K793),"Green","Red")</f>
        <v>Green</v>
      </c>
      <c r="U793" t="str">
        <f>IF($H793&gt;$I793,"Green","Red")</f>
        <v>Green</v>
      </c>
      <c r="V793" t="str">
        <f>IF($H793=$I793,"Green","Red")</f>
        <v>Red</v>
      </c>
      <c r="W793" t="str">
        <f>IF($H793&lt;$I793,"Green","Red")</f>
        <v>Red</v>
      </c>
      <c r="X793" t="str">
        <f>IF($H793+$I793&gt;0,"Green","Red")</f>
        <v>Green</v>
      </c>
      <c r="Y793" t="str">
        <f>IF($J793+$K793&gt;1.5,"Green","Red")</f>
        <v>Green</v>
      </c>
      <c r="Z793" t="str">
        <f>IF($J793+$K793&gt;2.5,"Green","Red")</f>
        <v>Green</v>
      </c>
      <c r="AA793" t="str">
        <f>IF($J793+$K793&lt;2.5,"Green","Red")</f>
        <v>Red</v>
      </c>
      <c r="AB793" t="str">
        <f>IF($J793+$K793&lt;3.5,"Green","Red")</f>
        <v>Red</v>
      </c>
      <c r="AC793" t="str">
        <f>IF(AND($J793&gt;0,$K793&gt;0),"Green","Red")</f>
        <v>Red</v>
      </c>
      <c r="AD793" t="str">
        <f>IF(OR($J793=0,$K793=0),"Green","Red")</f>
        <v>Green</v>
      </c>
    </row>
    <row r="794" spans="1:30" x14ac:dyDescent="0.2">
      <c r="A794" t="str">
        <f>L794&amp;F794&amp;G794</f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2539</v>
      </c>
      <c r="L794" s="22" t="str">
        <f>DAY(D794)&amp;"/"&amp;"07"&amp;"/"&amp;YEAR(D794)</f>
        <v>24/07/2026</v>
      </c>
      <c r="M794" s="23">
        <f>E794-TIME(3,0,0)</f>
        <v>0.65625</v>
      </c>
      <c r="N794" t="str">
        <f>J794&amp;" - "&amp;K794</f>
        <v xml:space="preserve"> - </v>
      </c>
      <c r="O794" t="str">
        <f>IF($J794&gt;$K794,"Green","Red")</f>
        <v>Red</v>
      </c>
      <c r="P794" t="str">
        <f>IF($J794=$K794,"Green","Red")</f>
        <v>Green</v>
      </c>
      <c r="Q794" t="str">
        <f>IF($J794&lt;$K794,"Green","Red")</f>
        <v>Red</v>
      </c>
      <c r="R794" t="str">
        <f>IF($J794&gt;=$K794,"Green","Red")</f>
        <v>Green</v>
      </c>
      <c r="S794" t="str">
        <f>IF($J794&lt;=$K794,"Green","Red")</f>
        <v>Green</v>
      </c>
      <c r="T794" t="str">
        <f>IF(OR($J794&gt;$K794,$J794&lt;$K794),"Green","Red")</f>
        <v>Red</v>
      </c>
      <c r="U794" t="str">
        <f>IF($H794&gt;$I794,"Green","Red")</f>
        <v>Red</v>
      </c>
      <c r="V794" t="str">
        <f>IF($H794=$I794,"Green","Red")</f>
        <v>Green</v>
      </c>
      <c r="W794" t="str">
        <f>IF($H794&lt;$I794,"Green","Red")</f>
        <v>Red</v>
      </c>
      <c r="X794" t="str">
        <f>IF($H794+$I794&gt;0,"Green","Red")</f>
        <v>Red</v>
      </c>
      <c r="Y794" t="str">
        <f>IF($J794+$K794&gt;1.5,"Green","Red")</f>
        <v>Red</v>
      </c>
      <c r="Z794" t="str">
        <f>IF($J794+$K794&gt;2.5,"Green","Red")</f>
        <v>Red</v>
      </c>
      <c r="AA794" t="str">
        <f>IF($J794+$K794&lt;2.5,"Green","Red")</f>
        <v>Green</v>
      </c>
      <c r="AB794" t="str">
        <f>IF($J794+$K794&lt;3.5,"Green","Red")</f>
        <v>Green</v>
      </c>
      <c r="AC794" t="str">
        <f>IF(AND($J794&gt;0,$K794&gt;0),"Green","Red")</f>
        <v>Red</v>
      </c>
      <c r="AD794" t="str">
        <f>IF(OR($J794=0,$K794=0),"Green","Red")</f>
        <v>Green</v>
      </c>
    </row>
    <row r="795" spans="1:30" x14ac:dyDescent="0.2">
      <c r="A795" t="str">
        <f>L795&amp;F795&amp;G795</f>
        <v>24/07/2026Bedford TownReal Bedford</v>
      </c>
      <c r="D795" s="2">
        <v>46227</v>
      </c>
      <c r="E795" s="3">
        <v>0.78125</v>
      </c>
      <c r="F795" t="s">
        <v>2708</v>
      </c>
      <c r="G795" t="s">
        <v>2709</v>
      </c>
      <c r="H795">
        <v>2</v>
      </c>
      <c r="I795">
        <v>1</v>
      </c>
      <c r="J795">
        <v>2</v>
      </c>
      <c r="K795">
        <v>3</v>
      </c>
      <c r="L795" s="22" t="str">
        <f>DAY(D795)&amp;"/"&amp;"07"&amp;"/"&amp;YEAR(D795)</f>
        <v>24/07/2026</v>
      </c>
      <c r="M795" s="23">
        <f>E795-TIME(3,0,0)</f>
        <v>0.65625</v>
      </c>
      <c r="N795" t="str">
        <f>J795&amp;" - "&amp;K795</f>
        <v>2 - 3</v>
      </c>
      <c r="O795" t="str">
        <f>IF($J795&gt;$K795,"Green","Red")</f>
        <v>Red</v>
      </c>
      <c r="P795" t="str">
        <f>IF($J795=$K795,"Green","Red")</f>
        <v>Red</v>
      </c>
      <c r="Q795" t="str">
        <f>IF($J795&lt;$K795,"Green","Red")</f>
        <v>Green</v>
      </c>
      <c r="R795" t="str">
        <f>IF($J795&gt;=$K795,"Green","Red")</f>
        <v>Red</v>
      </c>
      <c r="S795" t="str">
        <f>IF($J795&lt;=$K795,"Green","Red")</f>
        <v>Green</v>
      </c>
      <c r="T795" t="str">
        <f>IF(OR($J795&gt;$K795,$J795&lt;$K795),"Green","Red")</f>
        <v>Green</v>
      </c>
      <c r="U795" t="str">
        <f>IF($H795&gt;$I795,"Green","Red")</f>
        <v>Green</v>
      </c>
      <c r="V795" t="str">
        <f>IF($H795=$I795,"Green","Red")</f>
        <v>Red</v>
      </c>
      <c r="W795" t="str">
        <f>IF($H795&lt;$I795,"Green","Red")</f>
        <v>Red</v>
      </c>
      <c r="X795" t="str">
        <f>IF($H795+$I795&gt;0,"Green","Red")</f>
        <v>Green</v>
      </c>
      <c r="Y795" t="str">
        <f>IF($J795+$K795&gt;1.5,"Green","Red")</f>
        <v>Green</v>
      </c>
      <c r="Z795" t="str">
        <f>IF($J795+$K795&gt;2.5,"Green","Red")</f>
        <v>Green</v>
      </c>
      <c r="AA795" t="str">
        <f>IF($J795+$K795&lt;2.5,"Green","Red")</f>
        <v>Red</v>
      </c>
      <c r="AB795" t="str">
        <f>IF($J795+$K795&lt;3.5,"Green","Red")</f>
        <v>Red</v>
      </c>
      <c r="AC795" t="str">
        <f>IF(AND($J795&gt;0,$K795&gt;0),"Green","Red")</f>
        <v>Green</v>
      </c>
      <c r="AD795" t="str">
        <f>IF(OR($J795=0,$K795=0),"Green","Red")</f>
        <v>Red</v>
      </c>
    </row>
    <row r="796" spans="1:30" x14ac:dyDescent="0.2">
      <c r="A796" t="str">
        <f>L796&amp;F796&amp;G796</f>
        <v>24/07/2026Enfield TownWorthing</v>
      </c>
      <c r="D796" s="2">
        <v>46227</v>
      </c>
      <c r="E796" s="3">
        <v>0.78125</v>
      </c>
      <c r="F796" t="s">
        <v>2710</v>
      </c>
      <c r="G796" t="s">
        <v>2711</v>
      </c>
      <c r="H796">
        <v>0</v>
      </c>
      <c r="I796">
        <v>1</v>
      </c>
      <c r="J796">
        <v>1</v>
      </c>
      <c r="K796">
        <v>1</v>
      </c>
      <c r="L796" s="22" t="str">
        <f>DAY(D796)&amp;"/"&amp;"07"&amp;"/"&amp;YEAR(D796)</f>
        <v>24/07/2026</v>
      </c>
      <c r="M796" s="23">
        <f>E796-TIME(3,0,0)</f>
        <v>0.65625</v>
      </c>
      <c r="N796" t="str">
        <f>J796&amp;" - "&amp;K796</f>
        <v>1 - 1</v>
      </c>
      <c r="O796" t="str">
        <f>IF($J796&gt;$K796,"Green","Red")</f>
        <v>Red</v>
      </c>
      <c r="P796" t="str">
        <f>IF($J796=$K796,"Green","Red")</f>
        <v>Green</v>
      </c>
      <c r="Q796" t="str">
        <f>IF($J796&lt;$K796,"Green","Red")</f>
        <v>Red</v>
      </c>
      <c r="R796" t="str">
        <f>IF($J796&gt;=$K796,"Green","Red")</f>
        <v>Green</v>
      </c>
      <c r="S796" t="str">
        <f>IF($J796&lt;=$K796,"Green","Red")</f>
        <v>Green</v>
      </c>
      <c r="T796" t="str">
        <f>IF(OR($J796&gt;$K796,$J796&lt;$K796),"Green","Red")</f>
        <v>Red</v>
      </c>
      <c r="U796" t="str">
        <f>IF($H796&gt;$I796,"Green","Red")</f>
        <v>Red</v>
      </c>
      <c r="V796" t="str">
        <f>IF($H796=$I796,"Green","Red")</f>
        <v>Red</v>
      </c>
      <c r="W796" t="str">
        <f>IF($H796&lt;$I796,"Green","Red")</f>
        <v>Green</v>
      </c>
      <c r="X796" t="str">
        <f>IF($H796+$I796&gt;0,"Green","Red")</f>
        <v>Green</v>
      </c>
      <c r="Y796" t="str">
        <f>IF($J796+$K796&gt;1.5,"Green","Red")</f>
        <v>Green</v>
      </c>
      <c r="Z796" t="str">
        <f>IF($J796+$K796&gt;2.5,"Green","Red")</f>
        <v>Red</v>
      </c>
      <c r="AA796" t="str">
        <f>IF($J796+$K796&lt;2.5,"Green","Red")</f>
        <v>Green</v>
      </c>
      <c r="AB796" t="str">
        <f>IF($J796+$K796&lt;3.5,"Green","Red")</f>
        <v>Green</v>
      </c>
      <c r="AC796" t="str">
        <f>IF(AND($J796&gt;0,$K796&gt;0),"Green","Red")</f>
        <v>Green</v>
      </c>
      <c r="AD796" t="str">
        <f>IF(OR($J796=0,$K796=0),"Green","Red")</f>
        <v>Red</v>
      </c>
    </row>
    <row r="797" spans="1:30" x14ac:dyDescent="0.2">
      <c r="A797" t="str">
        <f>L797&amp;F797&amp;G797</f>
        <v>24/07/2026Hyde FCChester</v>
      </c>
      <c r="D797" s="2">
        <v>46227</v>
      </c>
      <c r="E797" s="3">
        <v>0.78125</v>
      </c>
      <c r="F797" t="s">
        <v>2712</v>
      </c>
      <c r="G797" t="s">
        <v>2713</v>
      </c>
      <c r="H797">
        <v>0</v>
      </c>
      <c r="I797">
        <v>1</v>
      </c>
      <c r="J797">
        <v>0</v>
      </c>
      <c r="K797">
        <v>1</v>
      </c>
      <c r="L797" s="22" t="str">
        <f>DAY(D797)&amp;"/"&amp;"07"&amp;"/"&amp;YEAR(D797)</f>
        <v>24/07/2026</v>
      </c>
      <c r="M797" s="23">
        <f>E797-TIME(3,0,0)</f>
        <v>0.65625</v>
      </c>
      <c r="N797" t="str">
        <f>J797&amp;" - "&amp;K797</f>
        <v>0 - 1</v>
      </c>
      <c r="O797" t="str">
        <f>IF($J797&gt;$K797,"Green","Red")</f>
        <v>Red</v>
      </c>
      <c r="P797" t="str">
        <f>IF($J797=$K797,"Green","Red")</f>
        <v>Red</v>
      </c>
      <c r="Q797" t="str">
        <f>IF($J797&lt;$K797,"Green","Red")</f>
        <v>Green</v>
      </c>
      <c r="R797" t="str">
        <f>IF($J797&gt;=$K797,"Green","Red")</f>
        <v>Red</v>
      </c>
      <c r="S797" t="str">
        <f>IF($J797&lt;=$K797,"Green","Red")</f>
        <v>Green</v>
      </c>
      <c r="T797" t="str">
        <f>IF(OR($J797&gt;$K797,$J797&lt;$K797),"Green","Red")</f>
        <v>Green</v>
      </c>
      <c r="U797" t="str">
        <f>IF($H797&gt;$I797,"Green","Red")</f>
        <v>Red</v>
      </c>
      <c r="V797" t="str">
        <f>IF($H797=$I797,"Green","Red")</f>
        <v>Red</v>
      </c>
      <c r="W797" t="str">
        <f>IF($H797&lt;$I797,"Green","Red")</f>
        <v>Green</v>
      </c>
      <c r="X797" t="str">
        <f>IF($H797+$I797&gt;0,"Green","Red")</f>
        <v>Green</v>
      </c>
      <c r="Y797" t="str">
        <f>IF($J797+$K797&gt;1.5,"Green","Red")</f>
        <v>Red</v>
      </c>
      <c r="Z797" t="str">
        <f>IF($J797+$K797&gt;2.5,"Green","Red")</f>
        <v>Red</v>
      </c>
      <c r="AA797" t="str">
        <f>IF($J797+$K797&lt;2.5,"Green","Red")</f>
        <v>Green</v>
      </c>
      <c r="AB797" t="str">
        <f>IF($J797+$K797&lt;3.5,"Green","Red")</f>
        <v>Green</v>
      </c>
      <c r="AC797" t="str">
        <f>IF(AND($J797&gt;0,$K797&gt;0),"Green","Red")</f>
        <v>Red</v>
      </c>
      <c r="AD797" t="str">
        <f>IF(OR($J797=0,$K797=0),"Green","Red")</f>
        <v>Green</v>
      </c>
    </row>
    <row r="798" spans="1:30" x14ac:dyDescent="0.2">
      <c r="A798" t="str">
        <f>L798&amp;F798&amp;G798</f>
        <v>24/07/2026Limavady UnitedLinfield</v>
      </c>
      <c r="D798" s="2">
        <v>46227</v>
      </c>
      <c r="E798" s="3">
        <v>0.78125</v>
      </c>
      <c r="F798" t="s">
        <v>2714</v>
      </c>
      <c r="G798" t="s">
        <v>2715</v>
      </c>
      <c r="H798">
        <v>0</v>
      </c>
      <c r="I798">
        <v>1</v>
      </c>
      <c r="J798">
        <v>0</v>
      </c>
      <c r="K798">
        <v>1</v>
      </c>
      <c r="L798" s="22" t="str">
        <f>DAY(D798)&amp;"/"&amp;"07"&amp;"/"&amp;YEAR(D798)</f>
        <v>24/07/2026</v>
      </c>
      <c r="M798" s="23">
        <f>E798-TIME(3,0,0)</f>
        <v>0.65625</v>
      </c>
      <c r="N798" t="str">
        <f>J798&amp;" - "&amp;K798</f>
        <v>0 - 1</v>
      </c>
      <c r="O798" t="str">
        <f>IF($J798&gt;$K798,"Green","Red")</f>
        <v>Red</v>
      </c>
      <c r="P798" t="str">
        <f>IF($J798=$K798,"Green","Red")</f>
        <v>Red</v>
      </c>
      <c r="Q798" t="str">
        <f>IF($J798&lt;$K798,"Green","Red")</f>
        <v>Green</v>
      </c>
      <c r="R798" t="str">
        <f>IF($J798&gt;=$K798,"Green","Red")</f>
        <v>Red</v>
      </c>
      <c r="S798" t="str">
        <f>IF($J798&lt;=$K798,"Green","Red")</f>
        <v>Green</v>
      </c>
      <c r="T798" t="str">
        <f>IF(OR($J798&gt;$K798,$J798&lt;$K798),"Green","Red")</f>
        <v>Green</v>
      </c>
      <c r="U798" t="str">
        <f>IF($H798&gt;$I798,"Green","Red")</f>
        <v>Red</v>
      </c>
      <c r="V798" t="str">
        <f>IF($H798=$I798,"Green","Red")</f>
        <v>Red</v>
      </c>
      <c r="W798" t="str">
        <f>IF($H798&lt;$I798,"Green","Red")</f>
        <v>Green</v>
      </c>
      <c r="X798" t="str">
        <f>IF($H798+$I798&gt;0,"Green","Red")</f>
        <v>Green</v>
      </c>
      <c r="Y798" t="str">
        <f>IF($J798+$K798&gt;1.5,"Green","Red")</f>
        <v>Red</v>
      </c>
      <c r="Z798" t="str">
        <f>IF($J798+$K798&gt;2.5,"Green","Red")</f>
        <v>Red</v>
      </c>
      <c r="AA798" t="str">
        <f>IF($J798+$K798&lt;2.5,"Green","Red")</f>
        <v>Green</v>
      </c>
      <c r="AB798" t="str">
        <f>IF($J798+$K798&lt;3.5,"Green","Red")</f>
        <v>Green</v>
      </c>
      <c r="AC798" t="str">
        <f>IF(AND($J798&gt;0,$K798&gt;0),"Green","Red")</f>
        <v>Red</v>
      </c>
      <c r="AD798" t="str">
        <f>IF(OR($J798=0,$K798=0),"Green","Red")</f>
        <v>Green</v>
      </c>
    </row>
    <row r="799" spans="1:30" x14ac:dyDescent="0.2">
      <c r="A799" t="str">
        <f>L799&amp;F799&amp;G799</f>
        <v>24/07/2026Mulbarton WanderersLeiston</v>
      </c>
      <c r="D799" s="2">
        <v>46227</v>
      </c>
      <c r="E799" s="3">
        <v>0.78125</v>
      </c>
      <c r="F799" t="s">
        <v>2716</v>
      </c>
      <c r="G799" t="s">
        <v>2717</v>
      </c>
      <c r="H799">
        <v>0</v>
      </c>
      <c r="I799">
        <v>1</v>
      </c>
      <c r="J799">
        <v>0</v>
      </c>
      <c r="K799">
        <v>2</v>
      </c>
      <c r="L799" s="22" t="str">
        <f>DAY(D799)&amp;"/"&amp;"07"&amp;"/"&amp;YEAR(D799)</f>
        <v>24/07/2026</v>
      </c>
      <c r="M799" s="23">
        <f>E799-TIME(3,0,0)</f>
        <v>0.65625</v>
      </c>
      <c r="N799" t="str">
        <f>J799&amp;" - "&amp;K799</f>
        <v>0 - 2</v>
      </c>
      <c r="O799" t="str">
        <f>IF($J799&gt;$K799,"Green","Red")</f>
        <v>Red</v>
      </c>
      <c r="P799" t="str">
        <f>IF($J799=$K799,"Green","Red")</f>
        <v>Red</v>
      </c>
      <c r="Q799" t="str">
        <f>IF($J799&lt;$K799,"Green","Red")</f>
        <v>Green</v>
      </c>
      <c r="R799" t="str">
        <f>IF($J799&gt;=$K799,"Green","Red")</f>
        <v>Red</v>
      </c>
      <c r="S799" t="str">
        <f>IF($J799&lt;=$K799,"Green","Red")</f>
        <v>Green</v>
      </c>
      <c r="T799" t="str">
        <f>IF(OR($J799&gt;$K799,$J799&lt;$K799),"Green","Red")</f>
        <v>Green</v>
      </c>
      <c r="U799" t="str">
        <f>IF($H799&gt;$I799,"Green","Red")</f>
        <v>Red</v>
      </c>
      <c r="V799" t="str">
        <f>IF($H799=$I799,"Green","Red")</f>
        <v>Red</v>
      </c>
      <c r="W799" t="str">
        <f>IF($H799&lt;$I799,"Green","Red")</f>
        <v>Green</v>
      </c>
      <c r="X799" t="str">
        <f>IF($H799+$I799&gt;0,"Green","Red")</f>
        <v>Green</v>
      </c>
      <c r="Y799" t="str">
        <f>IF($J799+$K799&gt;1.5,"Green","Red")</f>
        <v>Green</v>
      </c>
      <c r="Z799" t="str">
        <f>IF($J799+$K799&gt;2.5,"Green","Red")</f>
        <v>Red</v>
      </c>
      <c r="AA799" t="str">
        <f>IF($J799+$K799&lt;2.5,"Green","Red")</f>
        <v>Green</v>
      </c>
      <c r="AB799" t="str">
        <f>IF($J799+$K799&lt;3.5,"Green","Red")</f>
        <v>Green</v>
      </c>
      <c r="AC799" t="str">
        <f>IF(AND($J799&gt;0,$K799&gt;0),"Green","Red")</f>
        <v>Red</v>
      </c>
      <c r="AD799" t="str">
        <f>IF(OR($J799=0,$K799=0),"Green","Red")</f>
        <v>Green</v>
      </c>
    </row>
    <row r="800" spans="1:30" x14ac:dyDescent="0.2">
      <c r="A800" t="str">
        <f>L800&amp;F800&amp;G800</f>
        <v>24/07/2026Rushden &amp; DiamondsBanbury United</v>
      </c>
      <c r="D800" s="2">
        <v>46227</v>
      </c>
      <c r="E800" s="3">
        <v>0.78125</v>
      </c>
      <c r="F800" t="s">
        <v>2718</v>
      </c>
      <c r="G800" t="s">
        <v>2719</v>
      </c>
      <c r="H800">
        <v>0</v>
      </c>
      <c r="I800">
        <v>1</v>
      </c>
      <c r="J800">
        <v>1</v>
      </c>
      <c r="K800">
        <v>2</v>
      </c>
      <c r="L800" s="22" t="str">
        <f>DAY(D800)&amp;"/"&amp;"07"&amp;"/"&amp;YEAR(D800)</f>
        <v>24/07/2026</v>
      </c>
      <c r="M800" s="23">
        <f>E800-TIME(3,0,0)</f>
        <v>0.65625</v>
      </c>
      <c r="N800" t="str">
        <f>J800&amp;" - "&amp;K800</f>
        <v>1 - 2</v>
      </c>
      <c r="O800" t="str">
        <f>IF($J800&gt;$K800,"Green","Red")</f>
        <v>Red</v>
      </c>
      <c r="P800" t="str">
        <f>IF($J800=$K800,"Green","Red")</f>
        <v>Red</v>
      </c>
      <c r="Q800" t="str">
        <f>IF($J800&lt;$K800,"Green","Red")</f>
        <v>Green</v>
      </c>
      <c r="R800" t="str">
        <f>IF($J800&gt;=$K800,"Green","Red")</f>
        <v>Red</v>
      </c>
      <c r="S800" t="str">
        <f>IF($J800&lt;=$K800,"Green","Red")</f>
        <v>Green</v>
      </c>
      <c r="T800" t="str">
        <f>IF(OR($J800&gt;$K800,$J800&lt;$K800),"Green","Red")</f>
        <v>Green</v>
      </c>
      <c r="U800" t="str">
        <f>IF($H800&gt;$I800,"Green","Red")</f>
        <v>Red</v>
      </c>
      <c r="V800" t="str">
        <f>IF($H800=$I800,"Green","Red")</f>
        <v>Red</v>
      </c>
      <c r="W800" t="str">
        <f>IF($H800&lt;$I800,"Green","Red")</f>
        <v>Green</v>
      </c>
      <c r="X800" t="str">
        <f>IF($H800+$I800&gt;0,"Green","Red")</f>
        <v>Green</v>
      </c>
      <c r="Y800" t="str">
        <f>IF($J800+$K800&gt;1.5,"Green","Red")</f>
        <v>Green</v>
      </c>
      <c r="Z800" t="str">
        <f>IF($J800+$K800&gt;2.5,"Green","Red")</f>
        <v>Green</v>
      </c>
      <c r="AA800" t="str">
        <f>IF($J800+$K800&lt;2.5,"Green","Red")</f>
        <v>Red</v>
      </c>
      <c r="AB800" t="str">
        <f>IF($J800+$K800&lt;3.5,"Green","Red")</f>
        <v>Green</v>
      </c>
      <c r="AC800" t="str">
        <f>IF(AND($J800&gt;0,$K800&gt;0),"Green","Red")</f>
        <v>Green</v>
      </c>
      <c r="AD800" t="str">
        <f>IF(OR($J800=0,$K800=0),"Green","Red")</f>
        <v>Red</v>
      </c>
    </row>
    <row r="801" spans="1:30" x14ac:dyDescent="0.2">
      <c r="A801" t="str">
        <f>L801&amp;F801&amp;G801</f>
        <v>24/07/2026SouthportFC United of Manchester</v>
      </c>
      <c r="D801" s="2">
        <v>46227</v>
      </c>
      <c r="E801" s="3">
        <v>0.78125</v>
      </c>
      <c r="F801" t="s">
        <v>2720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>DAY(D801)&amp;"/"&amp;"07"&amp;"/"&amp;YEAR(D801)</f>
        <v>24/07/2026</v>
      </c>
      <c r="M801" s="23">
        <f>E801-TIME(3,0,0)</f>
        <v>0.65625</v>
      </c>
      <c r="N801" t="str">
        <f>J801&amp;" - "&amp;K801</f>
        <v>2 - 0</v>
      </c>
      <c r="O801" t="str">
        <f>IF($J801&gt;$K801,"Green","Red")</f>
        <v>Green</v>
      </c>
      <c r="P801" t="str">
        <f>IF($J801=$K801,"Green","Red")</f>
        <v>Red</v>
      </c>
      <c r="Q801" t="str">
        <f>IF($J801&lt;$K801,"Green","Red")</f>
        <v>Red</v>
      </c>
      <c r="R801" t="str">
        <f>IF($J801&gt;=$K801,"Green","Red")</f>
        <v>Green</v>
      </c>
      <c r="S801" t="str">
        <f>IF($J801&lt;=$K801,"Green","Red")</f>
        <v>Red</v>
      </c>
      <c r="T801" t="str">
        <f>IF(OR($J801&gt;$K801,$J801&lt;$K801),"Green","Red")</f>
        <v>Green</v>
      </c>
      <c r="U801" t="str">
        <f>IF($H801&gt;$I801,"Green","Red")</f>
        <v>Green</v>
      </c>
      <c r="V801" t="str">
        <f>IF($H801=$I801,"Green","Red")</f>
        <v>Red</v>
      </c>
      <c r="W801" t="str">
        <f>IF($H801&lt;$I801,"Green","Red")</f>
        <v>Red</v>
      </c>
      <c r="X801" t="str">
        <f>IF($H801+$I801&gt;0,"Green","Red")</f>
        <v>Green</v>
      </c>
      <c r="Y801" t="str">
        <f>IF($J801+$K801&gt;1.5,"Green","Red")</f>
        <v>Green</v>
      </c>
      <c r="Z801" t="str">
        <f>IF($J801+$K801&gt;2.5,"Green","Red")</f>
        <v>Red</v>
      </c>
      <c r="AA801" t="str">
        <f>IF($J801+$K801&lt;2.5,"Green","Red")</f>
        <v>Green</v>
      </c>
      <c r="AB801" t="str">
        <f>IF($J801+$K801&lt;3.5,"Green","Red")</f>
        <v>Green</v>
      </c>
      <c r="AC801" t="str">
        <f>IF(AND($J801&gt;0,$K801&gt;0),"Green","Red")</f>
        <v>Red</v>
      </c>
      <c r="AD801" t="str">
        <f>IF(OR($J801=0,$K801=0),"Green","Red")</f>
        <v>Green</v>
      </c>
    </row>
    <row r="802" spans="1:30" x14ac:dyDescent="0.2">
      <c r="A802" t="str">
        <f>L802&amp;F802&amp;G802</f>
        <v>24/07/2026SouthportFC United of Manchester</v>
      </c>
      <c r="D802" s="2">
        <v>46227</v>
      </c>
      <c r="E802" s="3">
        <v>0.78127314814814819</v>
      </c>
      <c r="F802" t="s">
        <v>2720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>DAY(D802)&amp;"/"&amp;"07"&amp;"/"&amp;YEAR(D802)</f>
        <v>24/07/2026</v>
      </c>
      <c r="M802" s="23">
        <f>E802-TIME(3,0,0)</f>
        <v>0.65627314814814819</v>
      </c>
      <c r="N802" t="str">
        <f>J802&amp;" - "&amp;K802</f>
        <v>2 - 0</v>
      </c>
      <c r="O802" t="str">
        <f>IF($J802&gt;$K802,"Green","Red")</f>
        <v>Green</v>
      </c>
      <c r="P802" t="str">
        <f>IF($J802=$K802,"Green","Red")</f>
        <v>Red</v>
      </c>
      <c r="Q802" t="str">
        <f>IF($J802&lt;$K802,"Green","Red")</f>
        <v>Red</v>
      </c>
      <c r="R802" t="str">
        <f>IF($J802&gt;=$K802,"Green","Red")</f>
        <v>Green</v>
      </c>
      <c r="S802" t="str">
        <f>IF($J802&lt;=$K802,"Green","Red")</f>
        <v>Red</v>
      </c>
      <c r="T802" t="str">
        <f>IF(OR($J802&gt;$K802,$J802&lt;$K802),"Green","Red")</f>
        <v>Green</v>
      </c>
      <c r="U802" t="str">
        <f>IF($H802&gt;$I802,"Green","Red")</f>
        <v>Green</v>
      </c>
      <c r="V802" t="str">
        <f>IF($H802=$I802,"Green","Red")</f>
        <v>Red</v>
      </c>
      <c r="W802" t="str">
        <f>IF($H802&lt;$I802,"Green","Red")</f>
        <v>Red</v>
      </c>
      <c r="X802" t="str">
        <f>IF($H802+$I802&gt;0,"Green","Red")</f>
        <v>Green</v>
      </c>
      <c r="Y802" t="str">
        <f>IF($J802+$K802&gt;1.5,"Green","Red")</f>
        <v>Green</v>
      </c>
      <c r="Z802" t="str">
        <f>IF($J802+$K802&gt;2.5,"Green","Red")</f>
        <v>Red</v>
      </c>
      <c r="AA802" t="str">
        <f>IF($J802+$K802&lt;2.5,"Green","Red")</f>
        <v>Green</v>
      </c>
      <c r="AB802" t="str">
        <f>IF($J802+$K802&lt;3.5,"Green","Red")</f>
        <v>Green</v>
      </c>
      <c r="AC802" t="str">
        <f>IF(AND($J802&gt;0,$K802&gt;0),"Green","Red")</f>
        <v>Red</v>
      </c>
      <c r="AD802" t="str">
        <f>IF(OR($J802=0,$K802=0),"Green","Red")</f>
        <v>Green</v>
      </c>
    </row>
    <row r="803" spans="1:30" x14ac:dyDescent="0.2">
      <c r="A803" t="str">
        <f>L803&amp;F803&amp;G803</f>
        <v>24/07/2026ReichenauWacker Innsbruck</v>
      </c>
      <c r="B803" t="s">
        <v>2331</v>
      </c>
      <c r="C803" t="s">
        <v>2332</v>
      </c>
      <c r="D803" s="2">
        <v>46227</v>
      </c>
      <c r="E803" s="3">
        <v>0.79166666666666663</v>
      </c>
      <c r="F803" t="s">
        <v>2356</v>
      </c>
      <c r="G803" t="s">
        <v>2357</v>
      </c>
      <c r="L803" s="22" t="str">
        <f>DAY(D803)&amp;"/"&amp;"07"&amp;"/"&amp;YEAR(D803)</f>
        <v>24/07/2026</v>
      </c>
      <c r="M803" s="23">
        <f>E803-TIME(3,0,0)</f>
        <v>0.66666666666666663</v>
      </c>
      <c r="N803" t="str">
        <f>J803&amp;" - "&amp;K803</f>
        <v xml:space="preserve"> - </v>
      </c>
      <c r="O803" t="str">
        <f>IF($J803&gt;$K803,"Green","Red")</f>
        <v>Red</v>
      </c>
      <c r="P803" t="str">
        <f>IF($J803=$K803,"Green","Red")</f>
        <v>Green</v>
      </c>
      <c r="Q803" t="str">
        <f>IF($J803&lt;$K803,"Green","Red")</f>
        <v>Red</v>
      </c>
      <c r="R803" t="str">
        <f>IF($J803&gt;=$K803,"Green","Red")</f>
        <v>Green</v>
      </c>
      <c r="S803" t="str">
        <f>IF($J803&lt;=$K803,"Green","Red")</f>
        <v>Green</v>
      </c>
      <c r="T803" t="str">
        <f>IF(OR($J803&gt;$K803,$J803&lt;$K803),"Green","Red")</f>
        <v>Red</v>
      </c>
      <c r="U803" t="str">
        <f>IF($H803&gt;$I803,"Green","Red")</f>
        <v>Red</v>
      </c>
      <c r="V803" t="str">
        <f>IF($H803=$I803,"Green","Red")</f>
        <v>Green</v>
      </c>
      <c r="W803" t="str">
        <f>IF($H803&lt;$I803,"Green","Red")</f>
        <v>Red</v>
      </c>
      <c r="X803" t="str">
        <f>IF($H803+$I803&gt;0,"Green","Red")</f>
        <v>Red</v>
      </c>
      <c r="Y803" t="str">
        <f>IF($J803+$K803&gt;1.5,"Green","Red")</f>
        <v>Red</v>
      </c>
      <c r="Z803" t="str">
        <f>IF($J803+$K803&gt;2.5,"Green","Red")</f>
        <v>Red</v>
      </c>
      <c r="AA803" t="str">
        <f>IF($J803+$K803&lt;2.5,"Green","Red")</f>
        <v>Green</v>
      </c>
      <c r="AB803" t="str">
        <f>IF($J803+$K803&lt;3.5,"Green","Red")</f>
        <v>Green</v>
      </c>
      <c r="AC803" t="str">
        <f>IF(AND($J803&gt;0,$K803&gt;0),"Green","Red")</f>
        <v>Red</v>
      </c>
      <c r="AD803" t="str">
        <f>IF(OR($J803=0,$K803=0),"Green","Red")</f>
        <v>Green</v>
      </c>
    </row>
    <row r="804" spans="1:30" x14ac:dyDescent="0.2">
      <c r="A804" t="str">
        <f>L804&amp;F804&amp;G804</f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>DAY(D804)&amp;"/"&amp;"07"&amp;"/"&amp;YEAR(D804)</f>
        <v>24/07/2026</v>
      </c>
      <c r="M804" s="23">
        <f>E804-TIME(3,0,0)</f>
        <v>0.66666666666666663</v>
      </c>
      <c r="N804" t="str">
        <f>J804&amp;" - "&amp;K804</f>
        <v>0 - 0</v>
      </c>
      <c r="O804" t="str">
        <f>IF($J804&gt;$K804,"Green","Red")</f>
        <v>Red</v>
      </c>
      <c r="P804" t="str">
        <f>IF($J804=$K804,"Green","Red")</f>
        <v>Green</v>
      </c>
      <c r="Q804" t="str">
        <f>IF($J804&lt;$K804,"Green","Red")</f>
        <v>Red</v>
      </c>
      <c r="R804" t="str">
        <f>IF($J804&gt;=$K804,"Green","Red")</f>
        <v>Green</v>
      </c>
      <c r="S804" t="str">
        <f>IF($J804&lt;=$K804,"Green","Red")</f>
        <v>Green</v>
      </c>
      <c r="T804" t="str">
        <f>IF(OR($J804&gt;$K804,$J804&lt;$K804),"Green","Red")</f>
        <v>Red</v>
      </c>
      <c r="U804" t="str">
        <f>IF($H804&gt;$I804,"Green","Red")</f>
        <v>Red</v>
      </c>
      <c r="V804" t="str">
        <f>IF($H804=$I804,"Green","Red")</f>
        <v>Green</v>
      </c>
      <c r="W804" t="str">
        <f>IF($H804&lt;$I804,"Green","Red")</f>
        <v>Red</v>
      </c>
      <c r="X804" t="str">
        <f>IF($H804+$I804&gt;0,"Green","Red")</f>
        <v>Red</v>
      </c>
      <c r="Y804" t="str">
        <f>IF($J804+$K804&gt;1.5,"Green","Red")</f>
        <v>Red</v>
      </c>
      <c r="Z804" t="str">
        <f>IF($J804+$K804&gt;2.5,"Green","Red")</f>
        <v>Red</v>
      </c>
      <c r="AA804" t="str">
        <f>IF($J804+$K804&lt;2.5,"Green","Red")</f>
        <v>Green</v>
      </c>
      <c r="AB804" t="str">
        <f>IF($J804+$K804&lt;3.5,"Green","Red")</f>
        <v>Green</v>
      </c>
      <c r="AC804" t="str">
        <f>IF(AND($J804&gt;0,$K804&gt;0),"Green","Red")</f>
        <v>Red</v>
      </c>
      <c r="AD804" t="str">
        <f>IF(OR($J804=0,$K804=0),"Green","Red")</f>
        <v>Green</v>
      </c>
    </row>
    <row r="805" spans="1:30" x14ac:dyDescent="0.2">
      <c r="A805" t="str">
        <f>L805&amp;F805&amp;G805</f>
        <v>24/07/2026St Patrick's AthleticDundalk</v>
      </c>
      <c r="D805" s="2">
        <v>46227</v>
      </c>
      <c r="E805" s="3">
        <v>0.79166666666666663</v>
      </c>
      <c r="F805" t="s">
        <v>2502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>DAY(D805)&amp;"/"&amp;"07"&amp;"/"&amp;YEAR(D805)</f>
        <v>24/07/2026</v>
      </c>
      <c r="M805" s="23">
        <f>E805-TIME(3,0,0)</f>
        <v>0.66666666666666663</v>
      </c>
      <c r="N805" t="str">
        <f>J805&amp;" - "&amp;K805</f>
        <v>1 - 1</v>
      </c>
      <c r="O805" t="str">
        <f>IF($J805&gt;$K805,"Green","Red")</f>
        <v>Red</v>
      </c>
      <c r="P805" t="str">
        <f>IF($J805=$K805,"Green","Red")</f>
        <v>Green</v>
      </c>
      <c r="Q805" t="str">
        <f>IF($J805&lt;$K805,"Green","Red")</f>
        <v>Red</v>
      </c>
      <c r="R805" t="str">
        <f>IF($J805&gt;=$K805,"Green","Red")</f>
        <v>Green</v>
      </c>
      <c r="S805" t="str">
        <f>IF($J805&lt;=$K805,"Green","Red")</f>
        <v>Green</v>
      </c>
      <c r="T805" t="str">
        <f>IF(OR($J805&gt;$K805,$J805&lt;$K805),"Green","Red")</f>
        <v>Red</v>
      </c>
      <c r="U805" t="str">
        <f>IF($H805&gt;$I805,"Green","Red")</f>
        <v>Red</v>
      </c>
      <c r="V805" t="str">
        <f>IF($H805=$I805,"Green","Red")</f>
        <v>Red</v>
      </c>
      <c r="W805" t="str">
        <f>IF($H805&lt;$I805,"Green","Red")</f>
        <v>Green</v>
      </c>
      <c r="X805" t="str">
        <f>IF($H805+$I805&gt;0,"Green","Red")</f>
        <v>Green</v>
      </c>
      <c r="Y805" t="str">
        <f>IF($J805+$K805&gt;1.5,"Green","Red")</f>
        <v>Green</v>
      </c>
      <c r="Z805" t="str">
        <f>IF($J805+$K805&gt;2.5,"Green","Red")</f>
        <v>Red</v>
      </c>
      <c r="AA805" t="str">
        <f>IF($J805+$K805&lt;2.5,"Green","Red")</f>
        <v>Green</v>
      </c>
      <c r="AB805" t="str">
        <f>IF($J805+$K805&lt;3.5,"Green","Red")</f>
        <v>Green</v>
      </c>
      <c r="AC805" t="str">
        <f>IF(AND($J805&gt;0,$K805&gt;0),"Green","Red")</f>
        <v>Green</v>
      </c>
      <c r="AD805" t="str">
        <f>IF(OR($J805=0,$K805=0),"Green","Red")</f>
        <v>Red</v>
      </c>
    </row>
    <row r="806" spans="1:30" x14ac:dyDescent="0.2">
      <c r="A806" t="str">
        <f>L806&amp;F806&amp;G806</f>
        <v>24/07/2026Crusaders Newtownabbey Strikers WomenLisburn Rangers Women</v>
      </c>
      <c r="D806" s="2">
        <v>46227</v>
      </c>
      <c r="E806" s="3">
        <v>0.79166666666666663</v>
      </c>
      <c r="F806" t="s">
        <v>2540</v>
      </c>
      <c r="G806" t="s">
        <v>2541</v>
      </c>
      <c r="H806">
        <v>0</v>
      </c>
      <c r="I806">
        <v>0</v>
      </c>
      <c r="J806">
        <v>2</v>
      </c>
      <c r="K806">
        <v>2</v>
      </c>
      <c r="L806" s="22" t="str">
        <f>DAY(D806)&amp;"/"&amp;"07"&amp;"/"&amp;YEAR(D806)</f>
        <v>24/07/2026</v>
      </c>
      <c r="M806" s="23">
        <f>E806-TIME(3,0,0)</f>
        <v>0.66666666666666663</v>
      </c>
      <c r="N806" t="str">
        <f>J806&amp;" - "&amp;K806</f>
        <v>2 - 2</v>
      </c>
      <c r="O806" t="str">
        <f>IF($J806&gt;$K806,"Green","Red")</f>
        <v>Red</v>
      </c>
      <c r="P806" t="str">
        <f>IF($J806=$K806,"Green","Red")</f>
        <v>Green</v>
      </c>
      <c r="Q806" t="str">
        <f>IF($J806&lt;$K806,"Green","Red")</f>
        <v>Red</v>
      </c>
      <c r="R806" t="str">
        <f>IF($J806&gt;=$K806,"Green","Red")</f>
        <v>Green</v>
      </c>
      <c r="S806" t="str">
        <f>IF($J806&lt;=$K806,"Green","Red")</f>
        <v>Green</v>
      </c>
      <c r="T806" t="str">
        <f>IF(OR($J806&gt;$K806,$J806&lt;$K806),"Green","Red")</f>
        <v>Red</v>
      </c>
      <c r="U806" t="str">
        <f>IF($H806&gt;$I806,"Green","Red")</f>
        <v>Red</v>
      </c>
      <c r="V806" t="str">
        <f>IF($H806=$I806,"Green","Red")</f>
        <v>Green</v>
      </c>
      <c r="W806" t="str">
        <f>IF($H806&lt;$I806,"Green","Red")</f>
        <v>Red</v>
      </c>
      <c r="X806" t="str">
        <f>IF($H806+$I806&gt;0,"Green","Red")</f>
        <v>Red</v>
      </c>
      <c r="Y806" t="str">
        <f>IF($J806+$K806&gt;1.5,"Green","Red")</f>
        <v>Green</v>
      </c>
      <c r="Z806" t="str">
        <f>IF($J806+$K806&gt;2.5,"Green","Red")</f>
        <v>Green</v>
      </c>
      <c r="AA806" t="str">
        <f>IF($J806+$K806&lt;2.5,"Green","Red")</f>
        <v>Red</v>
      </c>
      <c r="AB806" t="str">
        <f>IF($J806+$K806&lt;3.5,"Green","Red")</f>
        <v>Red</v>
      </c>
      <c r="AC806" t="str">
        <f>IF(AND($J806&gt;0,$K806&gt;0),"Green","Red")</f>
        <v>Green</v>
      </c>
      <c r="AD806" t="str">
        <f>IF(OR($J806=0,$K806=0),"Green","Red")</f>
        <v>Red</v>
      </c>
    </row>
    <row r="807" spans="1:30" x14ac:dyDescent="0.2">
      <c r="A807" t="str">
        <f>L807&amp;F807&amp;G807</f>
        <v>24/07/2026Lisburn Ladies WomenCliftonville Women</v>
      </c>
      <c r="D807" s="2">
        <v>46227</v>
      </c>
      <c r="E807" s="3">
        <v>0.79166666666666663</v>
      </c>
      <c r="F807" t="s">
        <v>2542</v>
      </c>
      <c r="G807" t="s">
        <v>2543</v>
      </c>
      <c r="H807">
        <v>0</v>
      </c>
      <c r="I807">
        <v>3</v>
      </c>
      <c r="J807">
        <v>0</v>
      </c>
      <c r="K807">
        <v>7</v>
      </c>
      <c r="L807" s="22" t="str">
        <f>DAY(D807)&amp;"/"&amp;"07"&amp;"/"&amp;YEAR(D807)</f>
        <v>24/07/2026</v>
      </c>
      <c r="M807" s="23">
        <f>E807-TIME(3,0,0)</f>
        <v>0.66666666666666663</v>
      </c>
      <c r="N807" t="str">
        <f>J807&amp;" - "&amp;K807</f>
        <v>0 - 7</v>
      </c>
      <c r="O807" t="str">
        <f>IF($J807&gt;$K807,"Green","Red")</f>
        <v>Red</v>
      </c>
      <c r="P807" t="str">
        <f>IF($J807=$K807,"Green","Red")</f>
        <v>Red</v>
      </c>
      <c r="Q807" t="str">
        <f>IF($J807&lt;$K807,"Green","Red")</f>
        <v>Green</v>
      </c>
      <c r="R807" t="str">
        <f>IF($J807&gt;=$K807,"Green","Red")</f>
        <v>Red</v>
      </c>
      <c r="S807" t="str">
        <f>IF($J807&lt;=$K807,"Green","Red")</f>
        <v>Green</v>
      </c>
      <c r="T807" t="str">
        <f>IF(OR($J807&gt;$K807,$J807&lt;$K807),"Green","Red")</f>
        <v>Green</v>
      </c>
      <c r="U807" t="str">
        <f>IF($H807&gt;$I807,"Green","Red")</f>
        <v>Red</v>
      </c>
      <c r="V807" t="str">
        <f>IF($H807=$I807,"Green","Red")</f>
        <v>Red</v>
      </c>
      <c r="W807" t="str">
        <f>IF($H807&lt;$I807,"Green","Red")</f>
        <v>Green</v>
      </c>
      <c r="X807" t="str">
        <f>IF($H807+$I807&gt;0,"Green","Red")</f>
        <v>Green</v>
      </c>
      <c r="Y807" t="str">
        <f>IF($J807+$K807&gt;1.5,"Green","Red")</f>
        <v>Green</v>
      </c>
      <c r="Z807" t="str">
        <f>IF($J807+$K807&gt;2.5,"Green","Red")</f>
        <v>Green</v>
      </c>
      <c r="AA807" t="str">
        <f>IF($J807+$K807&lt;2.5,"Green","Red")</f>
        <v>Red</v>
      </c>
      <c r="AB807" t="str">
        <f>IF($J807+$K807&lt;3.5,"Green","Red")</f>
        <v>Red</v>
      </c>
      <c r="AC807" t="str">
        <f>IF(AND($J807&gt;0,$K807&gt;0),"Green","Red")</f>
        <v>Red</v>
      </c>
      <c r="AD807" t="str">
        <f>IF(OR($J807=0,$K807=0),"Green","Red")</f>
        <v>Green</v>
      </c>
    </row>
    <row r="808" spans="1:30" x14ac:dyDescent="0.2">
      <c r="A808" t="str">
        <f>L808&amp;F808&amp;G808</f>
        <v>24/07/2026CS 2 de MayoRubio Nu</v>
      </c>
      <c r="D808" s="2">
        <v>46227</v>
      </c>
      <c r="E808" s="3">
        <v>0.79166666666666663</v>
      </c>
      <c r="F808" t="s">
        <v>2547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>DAY(D808)&amp;"/"&amp;"07"&amp;"/"&amp;YEAR(D808)</f>
        <v>24/07/2026</v>
      </c>
      <c r="M808" s="23">
        <f>E808-TIME(3,0,0)</f>
        <v>0.66666666666666663</v>
      </c>
      <c r="N808" t="str">
        <f>J808&amp;" - "&amp;K808</f>
        <v>1 - 0</v>
      </c>
      <c r="O808" t="str">
        <f>IF($J808&gt;$K808,"Green","Red")</f>
        <v>Green</v>
      </c>
      <c r="P808" t="str">
        <f>IF($J808=$K808,"Green","Red")</f>
        <v>Red</v>
      </c>
      <c r="Q808" t="str">
        <f>IF($J808&lt;$K808,"Green","Red")</f>
        <v>Red</v>
      </c>
      <c r="R808" t="str">
        <f>IF($J808&gt;=$K808,"Green","Red")</f>
        <v>Green</v>
      </c>
      <c r="S808" t="str">
        <f>IF($J808&lt;=$K808,"Green","Red")</f>
        <v>Red</v>
      </c>
      <c r="T808" t="str">
        <f>IF(OR($J808&gt;$K808,$J808&lt;$K808),"Green","Red")</f>
        <v>Green</v>
      </c>
      <c r="U808" t="str">
        <f>IF($H808&gt;$I808,"Green","Red")</f>
        <v>Red</v>
      </c>
      <c r="V808" t="str">
        <f>IF($H808=$I808,"Green","Red")</f>
        <v>Green</v>
      </c>
      <c r="W808" t="str">
        <f>IF($H808&lt;$I808,"Green","Red")</f>
        <v>Red</v>
      </c>
      <c r="X808" t="str">
        <f>IF($H808+$I808&gt;0,"Green","Red")</f>
        <v>Red</v>
      </c>
      <c r="Y808" t="str">
        <f>IF($J808+$K808&gt;1.5,"Green","Red")</f>
        <v>Red</v>
      </c>
      <c r="Z808" t="str">
        <f>IF($J808+$K808&gt;2.5,"Green","Red")</f>
        <v>Red</v>
      </c>
      <c r="AA808" t="str">
        <f>IF($J808+$K808&lt;2.5,"Green","Red")</f>
        <v>Green</v>
      </c>
      <c r="AB808" t="str">
        <f>IF($J808+$K808&lt;3.5,"Green","Red")</f>
        <v>Green</v>
      </c>
      <c r="AC808" t="str">
        <f>IF(AND($J808&gt;0,$K808&gt;0),"Green","Red")</f>
        <v>Red</v>
      </c>
      <c r="AD808" t="str">
        <f>IF(OR($J808=0,$K808=0),"Green","Red")</f>
        <v>Green</v>
      </c>
    </row>
    <row r="809" spans="1:30" x14ac:dyDescent="0.2">
      <c r="A809" t="str">
        <f>L809&amp;F809&amp;G809</f>
        <v>24/07/2026FBC Melgar WomenSporting Cristal Women</v>
      </c>
      <c r="D809" s="2">
        <v>46227</v>
      </c>
      <c r="E809" s="3">
        <v>0.79166666666666663</v>
      </c>
      <c r="F809" t="s">
        <v>2555</v>
      </c>
      <c r="G809" t="s">
        <v>2556</v>
      </c>
      <c r="H809">
        <v>0</v>
      </c>
      <c r="I809">
        <v>0</v>
      </c>
      <c r="J809">
        <v>0</v>
      </c>
      <c r="K809">
        <v>3</v>
      </c>
      <c r="L809" s="22" t="str">
        <f>DAY(D809)&amp;"/"&amp;"07"&amp;"/"&amp;YEAR(D809)</f>
        <v>24/07/2026</v>
      </c>
      <c r="M809" s="23">
        <f>E809-TIME(3,0,0)</f>
        <v>0.66666666666666663</v>
      </c>
      <c r="N809" t="str">
        <f>J809&amp;" - "&amp;K809</f>
        <v>0 - 3</v>
      </c>
      <c r="O809" t="str">
        <f>IF($J809&gt;$K809,"Green","Red")</f>
        <v>Red</v>
      </c>
      <c r="P809" t="str">
        <f>IF($J809=$K809,"Green","Red")</f>
        <v>Red</v>
      </c>
      <c r="Q809" t="str">
        <f>IF($J809&lt;$K809,"Green","Red")</f>
        <v>Green</v>
      </c>
      <c r="R809" t="str">
        <f>IF($J809&gt;=$K809,"Green","Red")</f>
        <v>Red</v>
      </c>
      <c r="S809" t="str">
        <f>IF($J809&lt;=$K809,"Green","Red")</f>
        <v>Green</v>
      </c>
      <c r="T809" t="str">
        <f>IF(OR($J809&gt;$K809,$J809&lt;$K809),"Green","Red")</f>
        <v>Green</v>
      </c>
      <c r="U809" t="str">
        <f>IF($H809&gt;$I809,"Green","Red")</f>
        <v>Red</v>
      </c>
      <c r="V809" t="str">
        <f>IF($H809=$I809,"Green","Red")</f>
        <v>Green</v>
      </c>
      <c r="W809" t="str">
        <f>IF($H809&lt;$I809,"Green","Red")</f>
        <v>Red</v>
      </c>
      <c r="X809" t="str">
        <f>IF($H809+$I809&gt;0,"Green","Red")</f>
        <v>Red</v>
      </c>
      <c r="Y809" t="str">
        <f>IF($J809+$K809&gt;1.5,"Green","Red")</f>
        <v>Green</v>
      </c>
      <c r="Z809" t="str">
        <f>IF($J809+$K809&gt;2.5,"Green","Red")</f>
        <v>Green</v>
      </c>
      <c r="AA809" t="str">
        <f>IF($J809+$K809&lt;2.5,"Green","Red")</f>
        <v>Red</v>
      </c>
      <c r="AB809" t="str">
        <f>IF($J809+$K809&lt;3.5,"Green","Red")</f>
        <v>Green</v>
      </c>
      <c r="AC809" t="str">
        <f>IF(AND($J809&gt;0,$K809&gt;0),"Green","Red")</f>
        <v>Red</v>
      </c>
      <c r="AD809" t="str">
        <f>IF(OR($J809=0,$K809=0),"Green","Red")</f>
        <v>Green</v>
      </c>
    </row>
    <row r="810" spans="1:30" x14ac:dyDescent="0.2">
      <c r="A810" t="str">
        <f>L810&amp;F810&amp;G810</f>
        <v>24/07/2026Odra OpoleArka Gdynia</v>
      </c>
      <c r="D810" s="2">
        <v>46227</v>
      </c>
      <c r="E810" s="3">
        <v>0.79166666666666663</v>
      </c>
      <c r="F810" t="s">
        <v>2563</v>
      </c>
      <c r="G810" t="s">
        <v>2564</v>
      </c>
      <c r="H810">
        <v>0</v>
      </c>
      <c r="I810">
        <v>1</v>
      </c>
      <c r="J810">
        <v>0</v>
      </c>
      <c r="K810">
        <v>1</v>
      </c>
      <c r="L810" s="22" t="str">
        <f>DAY(D810)&amp;"/"&amp;"07"&amp;"/"&amp;YEAR(D810)</f>
        <v>24/07/2026</v>
      </c>
      <c r="M810" s="23">
        <f>E810-TIME(3,0,0)</f>
        <v>0.66666666666666663</v>
      </c>
      <c r="N810" t="str">
        <f>J810&amp;" - "&amp;K810</f>
        <v>0 - 1</v>
      </c>
      <c r="O810" t="str">
        <f>IF($J810&gt;$K810,"Green","Red")</f>
        <v>Red</v>
      </c>
      <c r="P810" t="str">
        <f>IF($J810=$K810,"Green","Red")</f>
        <v>Red</v>
      </c>
      <c r="Q810" t="str">
        <f>IF($J810&lt;$K810,"Green","Red")</f>
        <v>Green</v>
      </c>
      <c r="R810" t="str">
        <f>IF($J810&gt;=$K810,"Green","Red")</f>
        <v>Red</v>
      </c>
      <c r="S810" t="str">
        <f>IF($J810&lt;=$K810,"Green","Red")</f>
        <v>Green</v>
      </c>
      <c r="T810" t="str">
        <f>IF(OR($J810&gt;$K810,$J810&lt;$K810),"Green","Red")</f>
        <v>Green</v>
      </c>
      <c r="U810" t="str">
        <f>IF($H810&gt;$I810,"Green","Red")</f>
        <v>Red</v>
      </c>
      <c r="V810" t="str">
        <f>IF($H810=$I810,"Green","Red")</f>
        <v>Red</v>
      </c>
      <c r="W810" t="str">
        <f>IF($H810&lt;$I810,"Green","Red")</f>
        <v>Green</v>
      </c>
      <c r="X810" t="str">
        <f>IF($H810+$I810&gt;0,"Green","Red")</f>
        <v>Green</v>
      </c>
      <c r="Y810" t="str">
        <f>IF($J810+$K810&gt;1.5,"Green","Red")</f>
        <v>Red</v>
      </c>
      <c r="Z810" t="str">
        <f>IF($J810+$K810&gt;2.5,"Green","Red")</f>
        <v>Red</v>
      </c>
      <c r="AA810" t="str">
        <f>IF($J810+$K810&lt;2.5,"Green","Red")</f>
        <v>Green</v>
      </c>
      <c r="AB810" t="str">
        <f>IF($J810+$K810&lt;3.5,"Green","Red")</f>
        <v>Green</v>
      </c>
      <c r="AC810" t="str">
        <f>IF(AND($J810&gt;0,$K810&gt;0),"Green","Red")</f>
        <v>Red</v>
      </c>
      <c r="AD810" t="str">
        <f>IF(OR($J810=0,$K810=0),"Green","Red")</f>
        <v>Green</v>
      </c>
    </row>
    <row r="811" spans="1:30" x14ac:dyDescent="0.2">
      <c r="A811" t="str">
        <f>L811&amp;F811&amp;G811</f>
        <v>24/07/2026Ballard FCVentura County Fusion</v>
      </c>
      <c r="D811" s="2">
        <v>46227</v>
      </c>
      <c r="E811" s="3">
        <v>0.79166666666666663</v>
      </c>
      <c r="F811" t="s">
        <v>2620</v>
      </c>
      <c r="G811" t="s">
        <v>2621</v>
      </c>
      <c r="H811">
        <v>1</v>
      </c>
      <c r="I811">
        <v>2</v>
      </c>
      <c r="J811">
        <v>1</v>
      </c>
      <c r="K811">
        <v>2</v>
      </c>
      <c r="L811" s="22" t="str">
        <f>DAY(D811)&amp;"/"&amp;"07"&amp;"/"&amp;YEAR(D811)</f>
        <v>24/07/2026</v>
      </c>
      <c r="M811" s="23">
        <f>E811-TIME(3,0,0)</f>
        <v>0.66666666666666663</v>
      </c>
      <c r="N811" t="str">
        <f>J811&amp;" - "&amp;K811</f>
        <v>1 - 2</v>
      </c>
      <c r="O811" t="str">
        <f>IF($J811&gt;$K811,"Green","Red")</f>
        <v>Red</v>
      </c>
      <c r="P811" t="str">
        <f>IF($J811=$K811,"Green","Red")</f>
        <v>Red</v>
      </c>
      <c r="Q811" t="str">
        <f>IF($J811&lt;$K811,"Green","Red")</f>
        <v>Green</v>
      </c>
      <c r="R811" t="str">
        <f>IF($J811&gt;=$K811,"Green","Red")</f>
        <v>Red</v>
      </c>
      <c r="S811" t="str">
        <f>IF($J811&lt;=$K811,"Green","Red")</f>
        <v>Green</v>
      </c>
      <c r="T811" t="str">
        <f>IF(OR($J811&gt;$K811,$J811&lt;$K811),"Green","Red")</f>
        <v>Green</v>
      </c>
      <c r="U811" t="str">
        <f>IF($H811&gt;$I811,"Green","Red")</f>
        <v>Red</v>
      </c>
      <c r="V811" t="str">
        <f>IF($H811=$I811,"Green","Red")</f>
        <v>Red</v>
      </c>
      <c r="W811" t="str">
        <f>IF($H811&lt;$I811,"Green","Red")</f>
        <v>Green</v>
      </c>
      <c r="X811" t="str">
        <f>IF($H811+$I811&gt;0,"Green","Red")</f>
        <v>Green</v>
      </c>
      <c r="Y811" t="str">
        <f>IF($J811+$K811&gt;1.5,"Green","Red")</f>
        <v>Green</v>
      </c>
      <c r="Z811" t="str">
        <f>IF($J811+$K811&gt;2.5,"Green","Red")</f>
        <v>Green</v>
      </c>
      <c r="AA811" t="str">
        <f>IF($J811+$K811&lt;2.5,"Green","Red")</f>
        <v>Red</v>
      </c>
      <c r="AB811" t="str">
        <f>IF($J811+$K811&lt;3.5,"Green","Red")</f>
        <v>Green</v>
      </c>
      <c r="AC811" t="str">
        <f>IF(AND($J811&gt;0,$K811&gt;0),"Green","Red")</f>
        <v>Green</v>
      </c>
      <c r="AD811" t="str">
        <f>IF(OR($J811=0,$K811=0),"Green","Red")</f>
        <v>Red</v>
      </c>
    </row>
    <row r="812" spans="1:30" x14ac:dyDescent="0.2">
      <c r="A812" t="str">
        <f>L812&amp;F812&amp;G812</f>
        <v>24/07/2026Punjab United FCWelling United</v>
      </c>
      <c r="D812" s="2">
        <v>46227</v>
      </c>
      <c r="E812" s="3">
        <v>0.79374999999999996</v>
      </c>
      <c r="F812" t="s">
        <v>2721</v>
      </c>
      <c r="G812" t="s">
        <v>2722</v>
      </c>
      <c r="H812">
        <v>0</v>
      </c>
      <c r="I812">
        <v>2</v>
      </c>
      <c r="J812">
        <v>1</v>
      </c>
      <c r="K812">
        <v>3</v>
      </c>
      <c r="L812" s="22" t="str">
        <f>DAY(D812)&amp;"/"&amp;"07"&amp;"/"&amp;YEAR(D812)</f>
        <v>24/07/2026</v>
      </c>
      <c r="M812" s="23">
        <f>E812-TIME(3,0,0)</f>
        <v>0.66874999999999996</v>
      </c>
      <c r="N812" t="str">
        <f>J812&amp;" - "&amp;K812</f>
        <v>1 - 3</v>
      </c>
      <c r="O812" t="str">
        <f>IF($J812&gt;$K812,"Green","Red")</f>
        <v>Red</v>
      </c>
      <c r="P812" t="str">
        <f>IF($J812=$K812,"Green","Red")</f>
        <v>Red</v>
      </c>
      <c r="Q812" t="str">
        <f>IF($J812&lt;$K812,"Green","Red")</f>
        <v>Green</v>
      </c>
      <c r="R812" t="str">
        <f>IF($J812&gt;=$K812,"Green","Red")</f>
        <v>Red</v>
      </c>
      <c r="S812" t="str">
        <f>IF($J812&lt;=$K812,"Green","Red")</f>
        <v>Green</v>
      </c>
      <c r="T812" t="str">
        <f>IF(OR($J812&gt;$K812,$J812&lt;$K812),"Green","Red")</f>
        <v>Green</v>
      </c>
      <c r="U812" t="str">
        <f>IF($H812&gt;$I812,"Green","Red")</f>
        <v>Red</v>
      </c>
      <c r="V812" t="str">
        <f>IF($H812=$I812,"Green","Red")</f>
        <v>Red</v>
      </c>
      <c r="W812" t="str">
        <f>IF($H812&lt;$I812,"Green","Red")</f>
        <v>Green</v>
      </c>
      <c r="X812" t="str">
        <f>IF($H812+$I812&gt;0,"Green","Red")</f>
        <v>Green</v>
      </c>
      <c r="Y812" t="str">
        <f>IF($J812+$K812&gt;1.5,"Green","Red")</f>
        <v>Green</v>
      </c>
      <c r="Z812" t="str">
        <f>IF($J812+$K812&gt;2.5,"Green","Red")</f>
        <v>Green</v>
      </c>
      <c r="AA812" t="str">
        <f>IF($J812+$K812&lt;2.5,"Green","Red")</f>
        <v>Red</v>
      </c>
      <c r="AB812" t="str">
        <f>IF($J812+$K812&lt;3.5,"Green","Red")</f>
        <v>Red</v>
      </c>
      <c r="AC812" t="str">
        <f>IF(AND($J812&gt;0,$K812&gt;0),"Green","Red")</f>
        <v>Green</v>
      </c>
      <c r="AD812" t="str">
        <f>IF(OR($J812=0,$K812=0),"Green","Red")</f>
        <v>Red</v>
      </c>
    </row>
    <row r="813" spans="1:30" x14ac:dyDescent="0.2">
      <c r="A813" t="str">
        <f>L813&amp;F813&amp;G813</f>
        <v>24/07/2026UMF NjardvikKopavogs</v>
      </c>
      <c r="D813" s="2">
        <v>46227</v>
      </c>
      <c r="E813" s="3">
        <v>0.80208333333333337</v>
      </c>
      <c r="F813" t="s">
        <v>2493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>DAY(D813)&amp;"/"&amp;"07"&amp;"/"&amp;YEAR(D813)</f>
        <v>24/07/2026</v>
      </c>
      <c r="M813" s="23">
        <f>E813-TIME(3,0,0)</f>
        <v>0.67708333333333337</v>
      </c>
      <c r="N813" t="str">
        <f>J813&amp;" - "&amp;K813</f>
        <v>3 - 2</v>
      </c>
      <c r="O813" t="str">
        <f>IF($J813&gt;$K813,"Green","Red")</f>
        <v>Green</v>
      </c>
      <c r="P813" t="str">
        <f>IF($J813=$K813,"Green","Red")</f>
        <v>Red</v>
      </c>
      <c r="Q813" t="str">
        <f>IF($J813&lt;$K813,"Green","Red")</f>
        <v>Red</v>
      </c>
      <c r="R813" t="str">
        <f>IF($J813&gt;=$K813,"Green","Red")</f>
        <v>Green</v>
      </c>
      <c r="S813" t="str">
        <f>IF($J813&lt;=$K813,"Green","Red")</f>
        <v>Red</v>
      </c>
      <c r="T813" t="str">
        <f>IF(OR($J813&gt;$K813,$J813&lt;$K813),"Green","Red")</f>
        <v>Green</v>
      </c>
      <c r="U813" t="str">
        <f>IF($H813&gt;$I813,"Green","Red")</f>
        <v>Red</v>
      </c>
      <c r="V813" t="str">
        <f>IF($H813=$I813,"Green","Red")</f>
        <v>Green</v>
      </c>
      <c r="W813" t="str">
        <f>IF($H813&lt;$I813,"Green","Red")</f>
        <v>Red</v>
      </c>
      <c r="X813" t="str">
        <f>IF($H813+$I813&gt;0,"Green","Red")</f>
        <v>Green</v>
      </c>
      <c r="Y813" t="str">
        <f>IF($J813+$K813&gt;1.5,"Green","Red")</f>
        <v>Green</v>
      </c>
      <c r="Z813" t="str">
        <f>IF($J813+$K813&gt;2.5,"Green","Red")</f>
        <v>Green</v>
      </c>
      <c r="AA813" t="str">
        <f>IF($J813+$K813&lt;2.5,"Green","Red")</f>
        <v>Red</v>
      </c>
      <c r="AB813" t="str">
        <f>IF($J813+$K813&lt;3.5,"Green","Red")</f>
        <v>Red</v>
      </c>
      <c r="AC813" t="str">
        <f>IF(AND($J813&gt;0,$K813&gt;0),"Green","Red")</f>
        <v>Green</v>
      </c>
      <c r="AD813" t="str">
        <f>IF(OR($J813=0,$K813=0),"Green","Red")</f>
        <v>Red</v>
      </c>
    </row>
    <row r="814" spans="1:30" x14ac:dyDescent="0.2">
      <c r="A814" t="str">
        <f>L814&amp;F814&amp;G814</f>
        <v>24/07/2026Fjolnir Haukar</v>
      </c>
      <c r="D814" s="2">
        <v>46227</v>
      </c>
      <c r="E814" s="3">
        <v>0.80208333333333337</v>
      </c>
      <c r="F814" t="s">
        <v>2494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>DAY(D814)&amp;"/"&amp;"07"&amp;"/"&amp;YEAR(D814)</f>
        <v>24/07/2026</v>
      </c>
      <c r="M814" s="23">
        <f>E814-TIME(3,0,0)</f>
        <v>0.67708333333333337</v>
      </c>
      <c r="N814" t="str">
        <f>J814&amp;" - "&amp;K814</f>
        <v>2 - 1</v>
      </c>
      <c r="O814" t="str">
        <f>IF($J814&gt;$K814,"Green","Red")</f>
        <v>Green</v>
      </c>
      <c r="P814" t="str">
        <f>IF($J814=$K814,"Green","Red")</f>
        <v>Red</v>
      </c>
      <c r="Q814" t="str">
        <f>IF($J814&lt;$K814,"Green","Red")</f>
        <v>Red</v>
      </c>
      <c r="R814" t="str">
        <f>IF($J814&gt;=$K814,"Green","Red")</f>
        <v>Green</v>
      </c>
      <c r="S814" t="str">
        <f>IF($J814&lt;=$K814,"Green","Red")</f>
        <v>Red</v>
      </c>
      <c r="T814" t="str">
        <f>IF(OR($J814&gt;$K814,$J814&lt;$K814),"Green","Red")</f>
        <v>Green</v>
      </c>
      <c r="U814" t="str">
        <f>IF($H814&gt;$I814,"Green","Red")</f>
        <v>Green</v>
      </c>
      <c r="V814" t="str">
        <f>IF($H814=$I814,"Green","Red")</f>
        <v>Red</v>
      </c>
      <c r="W814" t="str">
        <f>IF($H814&lt;$I814,"Green","Red")</f>
        <v>Red</v>
      </c>
      <c r="X814" t="str">
        <f>IF($H814+$I814&gt;0,"Green","Red")</f>
        <v>Green</v>
      </c>
      <c r="Y814" t="str">
        <f>IF($J814+$K814&gt;1.5,"Green","Red")</f>
        <v>Green</v>
      </c>
      <c r="Z814" t="str">
        <f>IF($J814+$K814&gt;2.5,"Green","Red")</f>
        <v>Green</v>
      </c>
      <c r="AA814" t="str">
        <f>IF($J814+$K814&lt;2.5,"Green","Red")</f>
        <v>Red</v>
      </c>
      <c r="AB814" t="str">
        <f>IF($J814+$K814&lt;3.5,"Green","Red")</f>
        <v>Green</v>
      </c>
      <c r="AC814" t="str">
        <f>IF(AND($J814&gt;0,$K814&gt;0),"Green","Red")</f>
        <v>Green</v>
      </c>
      <c r="AD814" t="str">
        <f>IF(OR($J814=0,$K814=0),"Green","Red")</f>
        <v>Red</v>
      </c>
    </row>
    <row r="815" spans="1:30" x14ac:dyDescent="0.2">
      <c r="A815" t="str">
        <f>L815&amp;F815&amp;G815</f>
        <v>24/07/2026Ymir KopavogurKH Hlidarendi</v>
      </c>
      <c r="D815" s="2">
        <v>46227</v>
      </c>
      <c r="E815" s="3">
        <v>0.80208333333333337</v>
      </c>
      <c r="F815" t="s">
        <v>2495</v>
      </c>
      <c r="G815" t="s">
        <v>2496</v>
      </c>
      <c r="H815">
        <v>1</v>
      </c>
      <c r="I815">
        <v>0</v>
      </c>
      <c r="J815">
        <v>1</v>
      </c>
      <c r="K815">
        <v>0</v>
      </c>
      <c r="L815" s="22" t="str">
        <f>DAY(D815)&amp;"/"&amp;"07"&amp;"/"&amp;YEAR(D815)</f>
        <v>24/07/2026</v>
      </c>
      <c r="M815" s="23">
        <f>E815-TIME(3,0,0)</f>
        <v>0.67708333333333337</v>
      </c>
      <c r="N815" t="str">
        <f>J815&amp;" - "&amp;K815</f>
        <v>1 - 0</v>
      </c>
      <c r="O815" t="str">
        <f>IF($J815&gt;$K815,"Green","Red")</f>
        <v>Green</v>
      </c>
      <c r="P815" t="str">
        <f>IF($J815=$K815,"Green","Red")</f>
        <v>Red</v>
      </c>
      <c r="Q815" t="str">
        <f>IF($J815&lt;$K815,"Green","Red")</f>
        <v>Red</v>
      </c>
      <c r="R815" t="str">
        <f>IF($J815&gt;=$K815,"Green","Red")</f>
        <v>Green</v>
      </c>
      <c r="S815" t="str">
        <f>IF($J815&lt;=$K815,"Green","Red")</f>
        <v>Red</v>
      </c>
      <c r="T815" t="str">
        <f>IF(OR($J815&gt;$K815,$J815&lt;$K815),"Green","Red")</f>
        <v>Green</v>
      </c>
      <c r="U815" t="str">
        <f>IF($H815&gt;$I815,"Green","Red")</f>
        <v>Green</v>
      </c>
      <c r="V815" t="str">
        <f>IF($H815=$I815,"Green","Red")</f>
        <v>Red</v>
      </c>
      <c r="W815" t="str">
        <f>IF($H815&lt;$I815,"Green","Red")</f>
        <v>Red</v>
      </c>
      <c r="X815" t="str">
        <f>IF($H815+$I815&gt;0,"Green","Red")</f>
        <v>Green</v>
      </c>
      <c r="Y815" t="str">
        <f>IF($J815+$K815&gt;1.5,"Green","Red")</f>
        <v>Red</v>
      </c>
      <c r="Z815" t="str">
        <f>IF($J815+$K815&gt;2.5,"Green","Red")</f>
        <v>Red</v>
      </c>
      <c r="AA815" t="str">
        <f>IF($J815+$K815&lt;2.5,"Green","Red")</f>
        <v>Green</v>
      </c>
      <c r="AB815" t="str">
        <f>IF($J815+$K815&lt;3.5,"Green","Red")</f>
        <v>Green</v>
      </c>
      <c r="AC815" t="str">
        <f>IF(AND($J815&gt;0,$K815&gt;0),"Green","Red")</f>
        <v>Red</v>
      </c>
      <c r="AD815" t="str">
        <f>IF(OR($J815=0,$K815=0),"Green","Red")</f>
        <v>Green</v>
      </c>
    </row>
    <row r="816" spans="1:30" x14ac:dyDescent="0.2">
      <c r="A816" t="str">
        <f>L816&amp;F816&amp;G816</f>
        <v>24/07/2026ArborgUlfarnir</v>
      </c>
      <c r="D816" s="2">
        <v>46227</v>
      </c>
      <c r="E816" s="3">
        <v>0.80208333333333337</v>
      </c>
      <c r="F816" t="s">
        <v>2497</v>
      </c>
      <c r="G816" t="s">
        <v>2498</v>
      </c>
      <c r="H816">
        <v>0</v>
      </c>
      <c r="I816">
        <v>0</v>
      </c>
      <c r="J816">
        <v>2</v>
      </c>
      <c r="K816">
        <v>0</v>
      </c>
      <c r="L816" s="22" t="str">
        <f>DAY(D816)&amp;"/"&amp;"07"&amp;"/"&amp;YEAR(D816)</f>
        <v>24/07/2026</v>
      </c>
      <c r="M816" s="23">
        <f>E816-TIME(3,0,0)</f>
        <v>0.67708333333333337</v>
      </c>
      <c r="N816" t="str">
        <f>J816&amp;" - "&amp;K816</f>
        <v>2 - 0</v>
      </c>
      <c r="O816" t="str">
        <f>IF($J816&gt;$K816,"Green","Red")</f>
        <v>Green</v>
      </c>
      <c r="P816" t="str">
        <f>IF($J816=$K816,"Green","Red")</f>
        <v>Red</v>
      </c>
      <c r="Q816" t="str">
        <f>IF($J816&lt;$K816,"Green","Red")</f>
        <v>Red</v>
      </c>
      <c r="R816" t="str">
        <f>IF($J816&gt;=$K816,"Green","Red")</f>
        <v>Green</v>
      </c>
      <c r="S816" t="str">
        <f>IF($J816&lt;=$K816,"Green","Red")</f>
        <v>Red</v>
      </c>
      <c r="T816" t="str">
        <f>IF(OR($J816&gt;$K816,$J816&lt;$K816),"Green","Red")</f>
        <v>Green</v>
      </c>
      <c r="U816" t="str">
        <f>IF($H816&gt;$I816,"Green","Red")</f>
        <v>Red</v>
      </c>
      <c r="V816" t="str">
        <f>IF($H816=$I816,"Green","Red")</f>
        <v>Green</v>
      </c>
      <c r="W816" t="str">
        <f>IF($H816&lt;$I816,"Green","Red")</f>
        <v>Red</v>
      </c>
      <c r="X816" t="str">
        <f>IF($H816+$I816&gt;0,"Green","Red")</f>
        <v>Red</v>
      </c>
      <c r="Y816" t="str">
        <f>IF($J816+$K816&gt;1.5,"Green","Red")</f>
        <v>Green</v>
      </c>
      <c r="Z816" t="str">
        <f>IF($J816+$K816&gt;2.5,"Green","Red")</f>
        <v>Red</v>
      </c>
      <c r="AA816" t="str">
        <f>IF($J816+$K816&lt;2.5,"Green","Red")</f>
        <v>Green</v>
      </c>
      <c r="AB816" t="str">
        <f>IF($J816+$K816&lt;3.5,"Green","Red")</f>
        <v>Green</v>
      </c>
      <c r="AC816" t="str">
        <f>IF(AND($J816&gt;0,$K816&gt;0),"Green","Red")</f>
        <v>Red</v>
      </c>
      <c r="AD816" t="str">
        <f>IF(OR($J816=0,$K816=0),"Green","Red")</f>
        <v>Green</v>
      </c>
    </row>
    <row r="817" spans="1:30" x14ac:dyDescent="0.2">
      <c r="A817" t="str">
        <f>L817&amp;F817&amp;G817</f>
        <v>24/07/2026Haukar WomenHK Kopavogur Women</v>
      </c>
      <c r="D817" s="2">
        <v>46227</v>
      </c>
      <c r="E817" s="3">
        <v>0.80208333333333337</v>
      </c>
      <c r="F817" t="s">
        <v>2499</v>
      </c>
      <c r="G817" t="s">
        <v>2500</v>
      </c>
      <c r="H817">
        <v>0</v>
      </c>
      <c r="I817">
        <v>0</v>
      </c>
      <c r="J817">
        <v>0</v>
      </c>
      <c r="K817">
        <v>2</v>
      </c>
      <c r="L817" s="22" t="str">
        <f>DAY(D817)&amp;"/"&amp;"07"&amp;"/"&amp;YEAR(D817)</f>
        <v>24/07/2026</v>
      </c>
      <c r="M817" s="23">
        <f>E817-TIME(3,0,0)</f>
        <v>0.67708333333333337</v>
      </c>
      <c r="N817" t="str">
        <f>J817&amp;" - "&amp;K817</f>
        <v>0 - 2</v>
      </c>
      <c r="O817" t="str">
        <f>IF($J817&gt;$K817,"Green","Red")</f>
        <v>Red</v>
      </c>
      <c r="P817" t="str">
        <f>IF($J817=$K817,"Green","Red")</f>
        <v>Red</v>
      </c>
      <c r="Q817" t="str">
        <f>IF($J817&lt;$K817,"Green","Red")</f>
        <v>Green</v>
      </c>
      <c r="R817" t="str">
        <f>IF($J817&gt;=$K817,"Green","Red")</f>
        <v>Red</v>
      </c>
      <c r="S817" t="str">
        <f>IF($J817&lt;=$K817,"Green","Red")</f>
        <v>Green</v>
      </c>
      <c r="T817" t="str">
        <f>IF(OR($J817&gt;$K817,$J817&lt;$K817),"Green","Red")</f>
        <v>Green</v>
      </c>
      <c r="U817" t="str">
        <f>IF($H817&gt;$I817,"Green","Red")</f>
        <v>Red</v>
      </c>
      <c r="V817" t="str">
        <f>IF($H817=$I817,"Green","Red")</f>
        <v>Green</v>
      </c>
      <c r="W817" t="str">
        <f>IF($H817&lt;$I817,"Green","Red")</f>
        <v>Red</v>
      </c>
      <c r="X817" t="str">
        <f>IF($H817+$I817&gt;0,"Green","Red")</f>
        <v>Red</v>
      </c>
      <c r="Y817" t="str">
        <f>IF($J817+$K817&gt;1.5,"Green","Red")</f>
        <v>Green</v>
      </c>
      <c r="Z817" t="str">
        <f>IF($J817+$K817&gt;2.5,"Green","Red")</f>
        <v>Red</v>
      </c>
      <c r="AA817" t="str">
        <f>IF($J817+$K817&lt;2.5,"Green","Red")</f>
        <v>Green</v>
      </c>
      <c r="AB817" t="str">
        <f>IF($J817+$K817&lt;3.5,"Green","Red")</f>
        <v>Green</v>
      </c>
      <c r="AC817" t="str">
        <f>IF(AND($J817&gt;0,$K817&gt;0),"Green","Red")</f>
        <v>Red</v>
      </c>
      <c r="AD817" t="str">
        <f>IF(OR($J817=0,$K817=0),"Green","Red")</f>
        <v>Green</v>
      </c>
    </row>
    <row r="818" spans="1:30" x14ac:dyDescent="0.2">
      <c r="A818" t="str">
        <f>L818&amp;F818&amp;G818</f>
        <v>24/07/2026Gimnasia MendozaCentral Cordoba SDE</v>
      </c>
      <c r="B818" t="s">
        <v>806</v>
      </c>
      <c r="C818" t="s">
        <v>2234</v>
      </c>
      <c r="D818" s="2">
        <v>46227</v>
      </c>
      <c r="E818" s="3">
        <v>0.82291666666666663</v>
      </c>
      <c r="F818" t="s">
        <v>2235</v>
      </c>
      <c r="G818" t="s">
        <v>2236</v>
      </c>
      <c r="H818">
        <v>0</v>
      </c>
      <c r="I818">
        <v>0</v>
      </c>
      <c r="J818">
        <v>1</v>
      </c>
      <c r="K818">
        <v>0</v>
      </c>
      <c r="L818" s="22" t="str">
        <f>DAY(D818)&amp;"/"&amp;"07"&amp;"/"&amp;YEAR(D818)</f>
        <v>24/07/2026</v>
      </c>
      <c r="M818" s="23">
        <f>E818-TIME(3,0,0)</f>
        <v>0.69791666666666663</v>
      </c>
      <c r="N818" t="str">
        <f>J818&amp;" - "&amp;K818</f>
        <v>1 - 0</v>
      </c>
      <c r="O818" t="str">
        <f>IF($J818&gt;$K818,"Green","Red")</f>
        <v>Green</v>
      </c>
      <c r="P818" t="str">
        <f>IF($J818=$K818,"Green","Red")</f>
        <v>Red</v>
      </c>
      <c r="Q818" t="str">
        <f>IF($J818&lt;$K818,"Green","Red")</f>
        <v>Red</v>
      </c>
      <c r="R818" t="str">
        <f>IF($J818&gt;=$K818,"Green","Red")</f>
        <v>Green</v>
      </c>
      <c r="S818" t="str">
        <f>IF($J818&lt;=$K818,"Green","Red")</f>
        <v>Red</v>
      </c>
      <c r="T818" t="str">
        <f>IF(OR($J818&gt;$K818,$J818&lt;$K818),"Green","Red")</f>
        <v>Green</v>
      </c>
      <c r="U818" t="str">
        <f>IF($H818&gt;$I818,"Green","Red")</f>
        <v>Red</v>
      </c>
      <c r="V818" t="str">
        <f>IF($H818=$I818,"Green","Red")</f>
        <v>Green</v>
      </c>
      <c r="W818" t="str">
        <f>IF($H818&lt;$I818,"Green","Red")</f>
        <v>Red</v>
      </c>
      <c r="X818" t="str">
        <f>IF($H818+$I818&gt;0,"Green","Red")</f>
        <v>Red</v>
      </c>
      <c r="Y818" t="str">
        <f>IF($J818+$K818&gt;1.5,"Green","Red")</f>
        <v>Red</v>
      </c>
      <c r="Z818" t="str">
        <f>IF($J818+$K818&gt;2.5,"Green","Red")</f>
        <v>Red</v>
      </c>
      <c r="AA818" t="str">
        <f>IF($J818+$K818&lt;2.5,"Green","Red")</f>
        <v>Green</v>
      </c>
      <c r="AB818" t="str">
        <f>IF($J818+$K818&lt;3.5,"Green","Red")</f>
        <v>Green</v>
      </c>
      <c r="AC818" t="str">
        <f>IF(AND($J818&gt;0,$K818&gt;0),"Green","Red")</f>
        <v>Red</v>
      </c>
      <c r="AD818" t="str">
        <f>IF(OR($J818=0,$K818=0),"Green","Red")</f>
        <v>Green</v>
      </c>
    </row>
    <row r="819" spans="1:30" x14ac:dyDescent="0.2">
      <c r="A819" t="str">
        <f>L819&amp;F819&amp;G819</f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>DAY(D819)&amp;"/"&amp;"07"&amp;"/"&amp;YEAR(D819)</f>
        <v>24/07/2026</v>
      </c>
      <c r="M819" s="23">
        <f>E819-TIME(3,0,0)</f>
        <v>0.70833333333333337</v>
      </c>
      <c r="N819" t="str">
        <f>J819&amp;" - "&amp;K819</f>
        <v>5 - 1</v>
      </c>
      <c r="O819" t="str">
        <f>IF($J819&gt;$K819,"Green","Red")</f>
        <v>Green</v>
      </c>
      <c r="P819" t="str">
        <f>IF($J819=$K819,"Green","Red")</f>
        <v>Red</v>
      </c>
      <c r="Q819" t="str">
        <f>IF($J819&lt;$K819,"Green","Red")</f>
        <v>Red</v>
      </c>
      <c r="R819" t="str">
        <f>IF($J819&gt;=$K819,"Green","Red")</f>
        <v>Green</v>
      </c>
      <c r="S819" t="str">
        <f>IF($J819&lt;=$K819,"Green","Red")</f>
        <v>Red</v>
      </c>
      <c r="T819" t="str">
        <f>IF(OR($J819&gt;$K819,$J819&lt;$K819),"Green","Red")</f>
        <v>Green</v>
      </c>
      <c r="U819" t="str">
        <f>IF($H819&gt;$I819,"Green","Red")</f>
        <v>Green</v>
      </c>
      <c r="V819" t="str">
        <f>IF($H819=$I819,"Green","Red")</f>
        <v>Red</v>
      </c>
      <c r="W819" t="str">
        <f>IF($H819&lt;$I819,"Green","Red")</f>
        <v>Red</v>
      </c>
      <c r="X819" t="str">
        <f>IF($H819+$I819&gt;0,"Green","Red")</f>
        <v>Green</v>
      </c>
      <c r="Y819" t="str">
        <f>IF($J819+$K819&gt;1.5,"Green","Red")</f>
        <v>Green</v>
      </c>
      <c r="Z819" t="str">
        <f>IF($J819+$K819&gt;2.5,"Green","Red")</f>
        <v>Green</v>
      </c>
      <c r="AA819" t="str">
        <f>IF($J819+$K819&lt;2.5,"Green","Red")</f>
        <v>Red</v>
      </c>
      <c r="AB819" t="str">
        <f>IF($J819+$K819&lt;3.5,"Green","Red")</f>
        <v>Red</v>
      </c>
      <c r="AC819" t="str">
        <f>IF(AND($J819&gt;0,$K819&gt;0),"Green","Red")</f>
        <v>Green</v>
      </c>
      <c r="AD819" t="str">
        <f>IF(OR($J819=0,$K819=0),"Green","Red")</f>
        <v>Red</v>
      </c>
    </row>
    <row r="820" spans="1:30" x14ac:dyDescent="0.2">
      <c r="A820" t="str">
        <f>L820&amp;F820&amp;G820</f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>DAY(D820)&amp;"/"&amp;"07"&amp;"/"&amp;YEAR(D820)</f>
        <v>24/07/2026</v>
      </c>
      <c r="M820" s="23">
        <f>E820-TIME(3,0,0)</f>
        <v>0.70833333333333337</v>
      </c>
      <c r="N820" t="str">
        <f>J820&amp;" - "&amp;K820</f>
        <v>1 - 3</v>
      </c>
      <c r="O820" t="str">
        <f>IF($J820&gt;$K820,"Green","Red")</f>
        <v>Red</v>
      </c>
      <c r="P820" t="str">
        <f>IF($J820=$K820,"Green","Red")</f>
        <v>Red</v>
      </c>
      <c r="Q820" t="str">
        <f>IF($J820&lt;$K820,"Green","Red")</f>
        <v>Green</v>
      </c>
      <c r="R820" t="str">
        <f>IF($J820&gt;=$K820,"Green","Red")</f>
        <v>Red</v>
      </c>
      <c r="S820" t="str">
        <f>IF($J820&lt;=$K820,"Green","Red")</f>
        <v>Green</v>
      </c>
      <c r="T820" t="str">
        <f>IF(OR($J820&gt;$K820,$J820&lt;$K820),"Green","Red")</f>
        <v>Green</v>
      </c>
      <c r="U820" t="str">
        <f>IF($H820&gt;$I820,"Green","Red")</f>
        <v>Red</v>
      </c>
      <c r="V820" t="str">
        <f>IF($H820=$I820,"Green","Red")</f>
        <v>Red</v>
      </c>
      <c r="W820" t="str">
        <f>IF($H820&lt;$I820,"Green","Red")</f>
        <v>Green</v>
      </c>
      <c r="X820" t="str">
        <f>IF($H820+$I820&gt;0,"Green","Red")</f>
        <v>Green</v>
      </c>
      <c r="Y820" t="str">
        <f>IF($J820+$K820&gt;1.5,"Green","Red")</f>
        <v>Green</v>
      </c>
      <c r="Z820" t="str">
        <f>IF($J820+$K820&gt;2.5,"Green","Red")</f>
        <v>Green</v>
      </c>
      <c r="AA820" t="str">
        <f>IF($J820+$K820&lt;2.5,"Green","Red")</f>
        <v>Red</v>
      </c>
      <c r="AB820" t="str">
        <f>IF($J820+$K820&lt;3.5,"Green","Red")</f>
        <v>Red</v>
      </c>
      <c r="AC820" t="str">
        <f>IF(AND($J820&gt;0,$K820&gt;0),"Green","Red")</f>
        <v>Green</v>
      </c>
      <c r="AD820" t="str">
        <f>IF(OR($J820=0,$K820=0),"Green","Red")</f>
        <v>Red</v>
      </c>
    </row>
    <row r="821" spans="1:30" x14ac:dyDescent="0.2">
      <c r="A821" t="str">
        <f>L821&amp;F821&amp;G821</f>
        <v>24/07/2026Guatemala U20Costa Rica U20</v>
      </c>
      <c r="D821" s="2">
        <v>46227</v>
      </c>
      <c r="E821" s="3">
        <v>0.83333333333333337</v>
      </c>
      <c r="F821" t="s">
        <v>2533</v>
      </c>
      <c r="G821" t="s">
        <v>2534</v>
      </c>
      <c r="H821">
        <v>0</v>
      </c>
      <c r="I821">
        <v>0</v>
      </c>
      <c r="J821">
        <v>0</v>
      </c>
      <c r="K821">
        <v>1</v>
      </c>
      <c r="L821" s="22" t="str">
        <f>DAY(D821)&amp;"/"&amp;"07"&amp;"/"&amp;YEAR(D821)</f>
        <v>24/07/2026</v>
      </c>
      <c r="M821" s="23">
        <f>E821-TIME(3,0,0)</f>
        <v>0.70833333333333337</v>
      </c>
      <c r="N821" t="str">
        <f>J821&amp;" - "&amp;K821</f>
        <v>0 - 1</v>
      </c>
      <c r="O821" t="str">
        <f>IF($J821&gt;$K821,"Green","Red")</f>
        <v>Red</v>
      </c>
      <c r="P821" t="str">
        <f>IF($J821=$K821,"Green","Red")</f>
        <v>Red</v>
      </c>
      <c r="Q821" t="str">
        <f>IF($J821&lt;$K821,"Green","Red")</f>
        <v>Green</v>
      </c>
      <c r="R821" t="str">
        <f>IF($J821&gt;=$K821,"Green","Red")</f>
        <v>Red</v>
      </c>
      <c r="S821" t="str">
        <f>IF($J821&lt;=$K821,"Green","Red")</f>
        <v>Green</v>
      </c>
      <c r="T821" t="str">
        <f>IF(OR($J821&gt;$K821,$J821&lt;$K821),"Green","Red")</f>
        <v>Green</v>
      </c>
      <c r="U821" t="str">
        <f>IF($H821&gt;$I821,"Green","Red")</f>
        <v>Red</v>
      </c>
      <c r="V821" t="str">
        <f>IF($H821=$I821,"Green","Red")</f>
        <v>Green</v>
      </c>
      <c r="W821" t="str">
        <f>IF($H821&lt;$I821,"Green","Red")</f>
        <v>Red</v>
      </c>
      <c r="X821" t="str">
        <f>IF($H821+$I821&gt;0,"Green","Red")</f>
        <v>Red</v>
      </c>
      <c r="Y821" t="str">
        <f>IF($J821+$K821&gt;1.5,"Green","Red")</f>
        <v>Red</v>
      </c>
      <c r="Z821" t="str">
        <f>IF($J821+$K821&gt;2.5,"Green","Red")</f>
        <v>Red</v>
      </c>
      <c r="AA821" t="str">
        <f>IF($J821+$K821&lt;2.5,"Green","Red")</f>
        <v>Green</v>
      </c>
      <c r="AB821" t="str">
        <f>IF($J821+$K821&lt;3.5,"Green","Red")</f>
        <v>Green</v>
      </c>
      <c r="AC821" t="str">
        <f>IF(AND($J821&gt;0,$K821&gt;0),"Green","Red")</f>
        <v>Red</v>
      </c>
      <c r="AD821" t="str">
        <f>IF(OR($J821=0,$K821=0),"Green","Red")</f>
        <v>Green</v>
      </c>
    </row>
    <row r="822" spans="1:30" x14ac:dyDescent="0.2">
      <c r="A822" t="str">
        <f>L822&amp;F822&amp;G822</f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2550</v>
      </c>
      <c r="H822">
        <v>1</v>
      </c>
      <c r="I822">
        <v>0</v>
      </c>
      <c r="J822">
        <v>3</v>
      </c>
      <c r="K822">
        <v>1</v>
      </c>
      <c r="L822" s="22" t="str">
        <f>DAY(D822)&amp;"/"&amp;"07"&amp;"/"&amp;YEAR(D822)</f>
        <v>24/07/2026</v>
      </c>
      <c r="M822" s="23">
        <f>E822-TIME(3,0,0)</f>
        <v>0.70833333333333337</v>
      </c>
      <c r="N822" t="str">
        <f>J822&amp;" - "&amp;K822</f>
        <v>3 - 1</v>
      </c>
      <c r="O822" t="str">
        <f>IF($J822&gt;$K822,"Green","Red")</f>
        <v>Green</v>
      </c>
      <c r="P822" t="str">
        <f>IF($J822=$K822,"Green","Red")</f>
        <v>Red</v>
      </c>
      <c r="Q822" t="str">
        <f>IF($J822&lt;$K822,"Green","Red")</f>
        <v>Red</v>
      </c>
      <c r="R822" t="str">
        <f>IF($J822&gt;=$K822,"Green","Red")</f>
        <v>Green</v>
      </c>
      <c r="S822" t="str">
        <f>IF($J822&lt;=$K822,"Green","Red")</f>
        <v>Red</v>
      </c>
      <c r="T822" t="str">
        <f>IF(OR($J822&gt;$K822,$J822&lt;$K822),"Green","Red")</f>
        <v>Green</v>
      </c>
      <c r="U822" t="str">
        <f>IF($H822&gt;$I822,"Green","Red")</f>
        <v>Green</v>
      </c>
      <c r="V822" t="str">
        <f>IF($H822=$I822,"Green","Red")</f>
        <v>Red</v>
      </c>
      <c r="W822" t="str">
        <f>IF($H822&lt;$I822,"Green","Red")</f>
        <v>Red</v>
      </c>
      <c r="X822" t="str">
        <f>IF($H822+$I822&gt;0,"Green","Red")</f>
        <v>Green</v>
      </c>
      <c r="Y822" t="str">
        <f>IF($J822+$K822&gt;1.5,"Green","Red")</f>
        <v>Green</v>
      </c>
      <c r="Z822" t="str">
        <f>IF($J822+$K822&gt;2.5,"Green","Red")</f>
        <v>Green</v>
      </c>
      <c r="AA822" t="str">
        <f>IF($J822+$K822&lt;2.5,"Green","Red")</f>
        <v>Red</v>
      </c>
      <c r="AB822" t="str">
        <f>IF($J822+$K822&lt;3.5,"Green","Red")</f>
        <v>Red</v>
      </c>
      <c r="AC822" t="str">
        <f>IF(AND($J822&gt;0,$K822&gt;0),"Green","Red")</f>
        <v>Green</v>
      </c>
      <c r="AD822" t="str">
        <f>IF(OR($J822=0,$K822=0),"Green","Red")</f>
        <v>Red</v>
      </c>
    </row>
    <row r="823" spans="1:30" x14ac:dyDescent="0.2">
      <c r="A823" t="str">
        <f>L823&amp;F823&amp;G823</f>
        <v>24/07/2026AD ComerciantesAlianza Universidad</v>
      </c>
      <c r="D823" s="2">
        <v>46227</v>
      </c>
      <c r="E823" s="3">
        <v>0.84375</v>
      </c>
      <c r="F823" t="s">
        <v>2553</v>
      </c>
      <c r="G823" t="s">
        <v>2554</v>
      </c>
      <c r="H823">
        <v>0</v>
      </c>
      <c r="I823">
        <v>0</v>
      </c>
      <c r="J823">
        <v>1</v>
      </c>
      <c r="K823">
        <v>0</v>
      </c>
      <c r="L823" s="22" t="str">
        <f>DAY(D823)&amp;"/"&amp;"07"&amp;"/"&amp;YEAR(D823)</f>
        <v>24/07/2026</v>
      </c>
      <c r="M823" s="23">
        <f>E823-TIME(3,0,0)</f>
        <v>0.71875</v>
      </c>
      <c r="N823" t="str">
        <f>J823&amp;" - "&amp;K823</f>
        <v>1 - 0</v>
      </c>
      <c r="O823" t="str">
        <f>IF($J823&gt;$K823,"Green","Red")</f>
        <v>Green</v>
      </c>
      <c r="P823" t="str">
        <f>IF($J823=$K823,"Green","Red")</f>
        <v>Red</v>
      </c>
      <c r="Q823" t="str">
        <f>IF($J823&lt;$K823,"Green","Red")</f>
        <v>Red</v>
      </c>
      <c r="R823" t="str">
        <f>IF($J823&gt;=$K823,"Green","Red")</f>
        <v>Green</v>
      </c>
      <c r="S823" t="str">
        <f>IF($J823&lt;=$K823,"Green","Red")</f>
        <v>Red</v>
      </c>
      <c r="T823" t="str">
        <f>IF(OR($J823&gt;$K823,$J823&lt;$K823),"Green","Red")</f>
        <v>Green</v>
      </c>
      <c r="U823" t="str">
        <f>IF($H823&gt;$I823,"Green","Red")</f>
        <v>Red</v>
      </c>
      <c r="V823" t="str">
        <f>IF($H823=$I823,"Green","Red")</f>
        <v>Green</v>
      </c>
      <c r="W823" t="str">
        <f>IF($H823&lt;$I823,"Green","Red")</f>
        <v>Red</v>
      </c>
      <c r="X823" t="str">
        <f>IF($H823+$I823&gt;0,"Green","Red")</f>
        <v>Red</v>
      </c>
      <c r="Y823" t="str">
        <f>IF($J823+$K823&gt;1.5,"Green","Red")</f>
        <v>Red</v>
      </c>
      <c r="Z823" t="str">
        <f>IF($J823+$K823&gt;2.5,"Green","Red")</f>
        <v>Red</v>
      </c>
      <c r="AA823" t="str">
        <f>IF($J823+$K823&lt;2.5,"Green","Red")</f>
        <v>Green</v>
      </c>
      <c r="AB823" t="str">
        <f>IF($J823+$K823&lt;3.5,"Green","Red")</f>
        <v>Green</v>
      </c>
      <c r="AC823" t="str">
        <f>IF(AND($J823&gt;0,$K823&gt;0),"Green","Red")</f>
        <v>Red</v>
      </c>
      <c r="AD823" t="str">
        <f>IF(OR($J823=0,$K823=0),"Green","Red")</f>
        <v>Green</v>
      </c>
    </row>
    <row r="824" spans="1:30" x14ac:dyDescent="0.2">
      <c r="A824" t="str">
        <f>L824&amp;F824&amp;G824</f>
        <v>24/07/2026Independiente Medellin WomenAtletico Nacional Women</v>
      </c>
      <c r="D824" s="2">
        <v>46227</v>
      </c>
      <c r="E824" s="3">
        <v>0.85416666666666663</v>
      </c>
      <c r="F824" t="s">
        <v>2402</v>
      </c>
      <c r="G824" t="s">
        <v>2403</v>
      </c>
      <c r="H824">
        <v>1</v>
      </c>
      <c r="I824">
        <v>1</v>
      </c>
      <c r="J824">
        <v>1</v>
      </c>
      <c r="K824">
        <v>3</v>
      </c>
      <c r="L824" s="22" t="str">
        <f>DAY(D824)&amp;"/"&amp;"07"&amp;"/"&amp;YEAR(D824)</f>
        <v>24/07/2026</v>
      </c>
      <c r="M824" s="23">
        <f>E824-TIME(3,0,0)</f>
        <v>0.72916666666666663</v>
      </c>
      <c r="N824" t="str">
        <f>J824&amp;" - "&amp;K824</f>
        <v>1 - 3</v>
      </c>
      <c r="O824" t="str">
        <f>IF($J824&gt;$K824,"Green","Red")</f>
        <v>Red</v>
      </c>
      <c r="P824" t="str">
        <f>IF($J824=$K824,"Green","Red")</f>
        <v>Red</v>
      </c>
      <c r="Q824" t="str">
        <f>IF($J824&lt;$K824,"Green","Red")</f>
        <v>Green</v>
      </c>
      <c r="R824" t="str">
        <f>IF($J824&gt;=$K824,"Green","Red")</f>
        <v>Red</v>
      </c>
      <c r="S824" t="str">
        <f>IF($J824&lt;=$K824,"Green","Red")</f>
        <v>Green</v>
      </c>
      <c r="T824" t="str">
        <f>IF(OR($J824&gt;$K824,$J824&lt;$K824),"Green","Red")</f>
        <v>Green</v>
      </c>
      <c r="U824" t="str">
        <f>IF($H824&gt;$I824,"Green","Red")</f>
        <v>Red</v>
      </c>
      <c r="V824" t="str">
        <f>IF($H824=$I824,"Green","Red")</f>
        <v>Green</v>
      </c>
      <c r="W824" t="str">
        <f>IF($H824&lt;$I824,"Green","Red")</f>
        <v>Red</v>
      </c>
      <c r="X824" t="str">
        <f>IF($H824+$I824&gt;0,"Green","Red")</f>
        <v>Green</v>
      </c>
      <c r="Y824" t="str">
        <f>IF($J824+$K824&gt;1.5,"Green","Red")</f>
        <v>Green</v>
      </c>
      <c r="Z824" t="str">
        <f>IF($J824+$K824&gt;2.5,"Green","Red")</f>
        <v>Green</v>
      </c>
      <c r="AA824" t="str">
        <f>IF($J824+$K824&lt;2.5,"Green","Red")</f>
        <v>Red</v>
      </c>
      <c r="AB824" t="str">
        <f>IF($J824+$K824&lt;3.5,"Green","Red")</f>
        <v>Red</v>
      </c>
      <c r="AC824" t="str">
        <f>IF(AND($J824&gt;0,$K824&gt;0),"Green","Red")</f>
        <v>Green</v>
      </c>
      <c r="AD824" t="str">
        <f>IF(OR($J824=0,$K824=0),"Green","Red")</f>
        <v>Red</v>
      </c>
    </row>
    <row r="825" spans="1:30" x14ac:dyDescent="0.2">
      <c r="A825" t="str">
        <f>L825&amp;F825&amp;G825</f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2401</v>
      </c>
      <c r="H825">
        <v>0</v>
      </c>
      <c r="I825">
        <v>0</v>
      </c>
      <c r="J825">
        <v>0</v>
      </c>
      <c r="K825">
        <v>1</v>
      </c>
      <c r="L825" s="22" t="str">
        <f>DAY(D825)&amp;"/"&amp;"07"&amp;"/"&amp;YEAR(D825)</f>
        <v>24/07/2026</v>
      </c>
      <c r="M825" s="23">
        <f>E825-TIME(3,0,0)</f>
        <v>0.75347222222222221</v>
      </c>
      <c r="N825" t="str">
        <f>J825&amp;" - "&amp;K825</f>
        <v>0 - 1</v>
      </c>
      <c r="O825" t="str">
        <f>IF($J825&gt;$K825,"Green","Red")</f>
        <v>Red</v>
      </c>
      <c r="P825" t="str">
        <f>IF($J825=$K825,"Green","Red")</f>
        <v>Red</v>
      </c>
      <c r="Q825" t="str">
        <f>IF($J825&lt;$K825,"Green","Red")</f>
        <v>Green</v>
      </c>
      <c r="R825" t="str">
        <f>IF($J825&gt;=$K825,"Green","Red")</f>
        <v>Red</v>
      </c>
      <c r="S825" t="str">
        <f>IF($J825&lt;=$K825,"Green","Red")</f>
        <v>Green</v>
      </c>
      <c r="T825" t="str">
        <f>IF(OR($J825&gt;$K825,$J825&lt;$K825),"Green","Red")</f>
        <v>Green</v>
      </c>
      <c r="U825" t="str">
        <f>IF($H825&gt;$I825,"Green","Red")</f>
        <v>Red</v>
      </c>
      <c r="V825" t="str">
        <f>IF($H825=$I825,"Green","Red")</f>
        <v>Green</v>
      </c>
      <c r="W825" t="str">
        <f>IF($H825&lt;$I825,"Green","Red")</f>
        <v>Red</v>
      </c>
      <c r="X825" t="str">
        <f>IF($H825+$I825&gt;0,"Green","Red")</f>
        <v>Red</v>
      </c>
      <c r="Y825" t="str">
        <f>IF($J825+$K825&gt;1.5,"Green","Red")</f>
        <v>Red</v>
      </c>
      <c r="Z825" t="str">
        <f>IF($J825+$K825&gt;2.5,"Green","Red")</f>
        <v>Red</v>
      </c>
      <c r="AA825" t="str">
        <f>IF($J825+$K825&lt;2.5,"Green","Red")</f>
        <v>Green</v>
      </c>
      <c r="AB825" t="str">
        <f>IF($J825+$K825&lt;3.5,"Green","Red")</f>
        <v>Green</v>
      </c>
      <c r="AC825" t="str">
        <f>IF(AND($J825&gt;0,$K825&gt;0),"Green","Red")</f>
        <v>Red</v>
      </c>
      <c r="AD825" t="str">
        <f>IF(OR($J825=0,$K825=0),"Green","Red")</f>
        <v>Green</v>
      </c>
    </row>
    <row r="826" spans="1:30" x14ac:dyDescent="0.2">
      <c r="A826" t="str">
        <f>L826&amp;F826&amp;G826</f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>DAY(D826)&amp;"/"&amp;"07"&amp;"/"&amp;YEAR(D826)</f>
        <v>24/07/2026</v>
      </c>
      <c r="M826" s="23">
        <f>E826-TIME(3,0,0)</f>
        <v>0.77083333333333337</v>
      </c>
      <c r="N826" t="str">
        <f>J826&amp;" - "&amp;K826</f>
        <v>0 - 0</v>
      </c>
      <c r="O826" t="str">
        <f>IF($J826&gt;$K826,"Green","Red")</f>
        <v>Red</v>
      </c>
      <c r="P826" t="str">
        <f>IF($J826=$K826,"Green","Red")</f>
        <v>Green</v>
      </c>
      <c r="Q826" t="str">
        <f>IF($J826&lt;$K826,"Green","Red")</f>
        <v>Red</v>
      </c>
      <c r="R826" t="str">
        <f>IF($J826&gt;=$K826,"Green","Red")</f>
        <v>Green</v>
      </c>
      <c r="S826" t="str">
        <f>IF($J826&lt;=$K826,"Green","Red")</f>
        <v>Green</v>
      </c>
      <c r="T826" t="str">
        <f>IF(OR($J826&gt;$K826,$J826&lt;$K826),"Green","Red")</f>
        <v>Red</v>
      </c>
      <c r="U826" t="str">
        <f>IF($H826&gt;$I826,"Green","Red")</f>
        <v>Red</v>
      </c>
      <c r="V826" t="str">
        <f>IF($H826=$I826,"Green","Red")</f>
        <v>Green</v>
      </c>
      <c r="W826" t="str">
        <f>IF($H826&lt;$I826,"Green","Red")</f>
        <v>Red</v>
      </c>
      <c r="X826" t="str">
        <f>IF($H826+$I826&gt;0,"Green","Red")</f>
        <v>Red</v>
      </c>
      <c r="Y826" t="str">
        <f>IF($J826+$K826&gt;1.5,"Green","Red")</f>
        <v>Red</v>
      </c>
      <c r="Z826" t="str">
        <f>IF($J826+$K826&gt;2.5,"Green","Red")</f>
        <v>Red</v>
      </c>
      <c r="AA826" t="str">
        <f>IF($J826+$K826&lt;2.5,"Green","Red")</f>
        <v>Green</v>
      </c>
      <c r="AB826" t="str">
        <f>IF($J826+$K826&lt;3.5,"Green","Red")</f>
        <v>Green</v>
      </c>
      <c r="AC826" t="str">
        <f>IF(AND($J826&gt;0,$K826&gt;0),"Green","Red")</f>
        <v>Red</v>
      </c>
      <c r="AD826" t="str">
        <f>IF(OR($J826=0,$K826=0),"Green","Red")</f>
        <v>Green</v>
      </c>
    </row>
    <row r="827" spans="1:30" x14ac:dyDescent="0.2">
      <c r="A827" t="str">
        <f>L827&amp;F827&amp;G827</f>
        <v>24/07/2026Cerro PortenoSportivo Trinidense</v>
      </c>
      <c r="D827" s="2">
        <v>46227</v>
      </c>
      <c r="E827" s="3">
        <v>0.89583333333333337</v>
      </c>
      <c r="F827" t="s">
        <v>2548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>DAY(D827)&amp;"/"&amp;"07"&amp;"/"&amp;YEAR(D827)</f>
        <v>24/07/2026</v>
      </c>
      <c r="M827" s="23">
        <f>E827-TIME(3,0,0)</f>
        <v>0.77083333333333337</v>
      </c>
      <c r="N827" t="str">
        <f>J827&amp;" - "&amp;K827</f>
        <v>1 - 2</v>
      </c>
      <c r="O827" t="str">
        <f>IF($J827&gt;$K827,"Green","Red")</f>
        <v>Red</v>
      </c>
      <c r="P827" t="str">
        <f>IF($J827=$K827,"Green","Red")</f>
        <v>Red</v>
      </c>
      <c r="Q827" t="str">
        <f>IF($J827&lt;$K827,"Green","Red")</f>
        <v>Green</v>
      </c>
      <c r="R827" t="str">
        <f>IF($J827&gt;=$K827,"Green","Red")</f>
        <v>Red</v>
      </c>
      <c r="S827" t="str">
        <f>IF($J827&lt;=$K827,"Green","Red")</f>
        <v>Green</v>
      </c>
      <c r="T827" t="str">
        <f>IF(OR($J827&gt;$K827,$J827&lt;$K827),"Green","Red")</f>
        <v>Green</v>
      </c>
      <c r="U827" t="str">
        <f>IF($H827&gt;$I827,"Green","Red")</f>
        <v>Green</v>
      </c>
      <c r="V827" t="str">
        <f>IF($H827=$I827,"Green","Red")</f>
        <v>Red</v>
      </c>
      <c r="W827" t="str">
        <f>IF($H827&lt;$I827,"Green","Red")</f>
        <v>Red</v>
      </c>
      <c r="X827" t="str">
        <f>IF($H827+$I827&gt;0,"Green","Red")</f>
        <v>Green</v>
      </c>
      <c r="Y827" t="str">
        <f>IF($J827+$K827&gt;1.5,"Green","Red")</f>
        <v>Green</v>
      </c>
      <c r="Z827" t="str">
        <f>IF($J827+$K827&gt;2.5,"Green","Red")</f>
        <v>Green</v>
      </c>
      <c r="AA827" t="str">
        <f>IF($J827+$K827&lt;2.5,"Green","Red")</f>
        <v>Red</v>
      </c>
      <c r="AB827" t="str">
        <f>IF($J827+$K827&lt;3.5,"Green","Red")</f>
        <v>Green</v>
      </c>
      <c r="AC827" t="str">
        <f>IF(AND($J827&gt;0,$K827&gt;0),"Green","Red")</f>
        <v>Green</v>
      </c>
      <c r="AD827" t="str">
        <f>IF(OR($J827=0,$K827=0),"Green","Red")</f>
        <v>Red</v>
      </c>
    </row>
    <row r="828" spans="1:30" x14ac:dyDescent="0.2">
      <c r="A828" t="str">
        <f>L828&amp;F828&amp;G828</f>
        <v>24/07/2026Racing AvellanedaGimnasia La Plata</v>
      </c>
      <c r="B828" t="s">
        <v>806</v>
      </c>
      <c r="C828" t="s">
        <v>2234</v>
      </c>
      <c r="D828" s="2">
        <v>46227</v>
      </c>
      <c r="E828" s="3">
        <v>0.91666666666666663</v>
      </c>
      <c r="F828" t="s">
        <v>2237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>DAY(D828)&amp;"/"&amp;"07"&amp;"/"&amp;YEAR(D828)</f>
        <v>24/07/2026</v>
      </c>
      <c r="M828" s="23">
        <f>E828-TIME(3,0,0)</f>
        <v>0.79166666666666663</v>
      </c>
      <c r="N828" t="str">
        <f>J828&amp;" - "&amp;K828</f>
        <v>2 - 1</v>
      </c>
      <c r="O828" t="str">
        <f>IF($J828&gt;$K828,"Green","Red")</f>
        <v>Green</v>
      </c>
      <c r="P828" t="str">
        <f>IF($J828=$K828,"Green","Red")</f>
        <v>Red</v>
      </c>
      <c r="Q828" t="str">
        <f>IF($J828&lt;$K828,"Green","Red")</f>
        <v>Red</v>
      </c>
      <c r="R828" t="str">
        <f>IF($J828&gt;=$K828,"Green","Red")</f>
        <v>Green</v>
      </c>
      <c r="S828" t="str">
        <f>IF($J828&lt;=$K828,"Green","Red")</f>
        <v>Red</v>
      </c>
      <c r="T828" t="str">
        <f>IF(OR($J828&gt;$K828,$J828&lt;$K828),"Green","Red")</f>
        <v>Green</v>
      </c>
      <c r="U828" t="str">
        <f>IF($H828&gt;$I828,"Green","Red")</f>
        <v>Red</v>
      </c>
      <c r="V828" t="str">
        <f>IF($H828=$I828,"Green","Red")</f>
        <v>Green</v>
      </c>
      <c r="W828" t="str">
        <f>IF($H828&lt;$I828,"Green","Red")</f>
        <v>Red</v>
      </c>
      <c r="X828" t="str">
        <f>IF($H828+$I828&gt;0,"Green","Red")</f>
        <v>Green</v>
      </c>
      <c r="Y828" t="str">
        <f>IF($J828+$K828&gt;1.5,"Green","Red")</f>
        <v>Green</v>
      </c>
      <c r="Z828" t="str">
        <f>IF($J828+$K828&gt;2.5,"Green","Red")</f>
        <v>Green</v>
      </c>
      <c r="AA828" t="str">
        <f>IF($J828+$K828&lt;2.5,"Green","Red")</f>
        <v>Red</v>
      </c>
      <c r="AB828" t="str">
        <f>IF($J828+$K828&lt;3.5,"Green","Red")</f>
        <v>Green</v>
      </c>
      <c r="AC828" t="str">
        <f>IF(AND($J828&gt;0,$K828&gt;0),"Green","Red")</f>
        <v>Green</v>
      </c>
      <c r="AD828" t="str">
        <f>IF(OR($J828=0,$K828=0),"Green","Red")</f>
        <v>Red</v>
      </c>
    </row>
    <row r="829" spans="1:30" x14ac:dyDescent="0.2">
      <c r="A829" t="str">
        <f>L829&amp;F829&amp;G829</f>
        <v>24/07/2026Velez SarsfieldInstituto de Cordoba</v>
      </c>
      <c r="B829" t="s">
        <v>806</v>
      </c>
      <c r="C829" t="s">
        <v>2234</v>
      </c>
      <c r="D829" s="2">
        <v>46227</v>
      </c>
      <c r="E829" s="3">
        <v>0.91666666666666663</v>
      </c>
      <c r="F829" t="s">
        <v>2238</v>
      </c>
      <c r="G829" t="s">
        <v>2239</v>
      </c>
      <c r="H829">
        <v>1</v>
      </c>
      <c r="I829">
        <v>0</v>
      </c>
      <c r="J829">
        <v>1</v>
      </c>
      <c r="K829">
        <v>0</v>
      </c>
      <c r="L829" s="22" t="str">
        <f>DAY(D829)&amp;"/"&amp;"07"&amp;"/"&amp;YEAR(D829)</f>
        <v>24/07/2026</v>
      </c>
      <c r="M829" s="23">
        <f>E829-TIME(3,0,0)</f>
        <v>0.79166666666666663</v>
      </c>
      <c r="N829" t="str">
        <f>J829&amp;" - "&amp;K829</f>
        <v>1 - 0</v>
      </c>
      <c r="O829" t="str">
        <f>IF($J829&gt;$K829,"Green","Red")</f>
        <v>Green</v>
      </c>
      <c r="P829" t="str">
        <f>IF($J829=$K829,"Green","Red")</f>
        <v>Red</v>
      </c>
      <c r="Q829" t="str">
        <f>IF($J829&lt;$K829,"Green","Red")</f>
        <v>Red</v>
      </c>
      <c r="R829" t="str">
        <f>IF($J829&gt;=$K829,"Green","Red")</f>
        <v>Green</v>
      </c>
      <c r="S829" t="str">
        <f>IF($J829&lt;=$K829,"Green","Red")</f>
        <v>Red</v>
      </c>
      <c r="T829" t="str">
        <f>IF(OR($J829&gt;$K829,$J829&lt;$K829),"Green","Red")</f>
        <v>Green</v>
      </c>
      <c r="U829" t="str">
        <f>IF($H829&gt;$I829,"Green","Red")</f>
        <v>Green</v>
      </c>
      <c r="V829" t="str">
        <f>IF($H829=$I829,"Green","Red")</f>
        <v>Red</v>
      </c>
      <c r="W829" t="str">
        <f>IF($H829&lt;$I829,"Green","Red")</f>
        <v>Red</v>
      </c>
      <c r="X829" t="str">
        <f>IF($H829+$I829&gt;0,"Green","Red")</f>
        <v>Green</v>
      </c>
      <c r="Y829" t="str">
        <f>IF($J829+$K829&gt;1.5,"Green","Red")</f>
        <v>Red</v>
      </c>
      <c r="Z829" t="str">
        <f>IF($J829+$K829&gt;2.5,"Green","Red")</f>
        <v>Red</v>
      </c>
      <c r="AA829" t="str">
        <f>IF($J829+$K829&lt;2.5,"Green","Red")</f>
        <v>Green</v>
      </c>
      <c r="AB829" t="str">
        <f>IF($J829+$K829&lt;3.5,"Green","Red")</f>
        <v>Green</v>
      </c>
      <c r="AC829" t="str">
        <f>IF(AND($J829&gt;0,$K829&gt;0),"Green","Red")</f>
        <v>Red</v>
      </c>
      <c r="AD829" t="str">
        <f>IF(OR($J829=0,$K829=0),"Green","Red")</f>
        <v>Green</v>
      </c>
    </row>
    <row r="830" spans="1:30" x14ac:dyDescent="0.2">
      <c r="A830" t="str">
        <f>L830&amp;F830&amp;G830</f>
        <v>24/07/2026America MG WomenSantos Women</v>
      </c>
      <c r="D830" s="2">
        <v>46227</v>
      </c>
      <c r="E830" s="3">
        <v>0.91666666666666663</v>
      </c>
      <c r="F830" t="s">
        <v>2363</v>
      </c>
      <c r="G830" t="s">
        <v>2364</v>
      </c>
      <c r="H830">
        <v>0</v>
      </c>
      <c r="I830">
        <v>0</v>
      </c>
      <c r="J830">
        <v>0</v>
      </c>
      <c r="K830">
        <v>1</v>
      </c>
      <c r="L830" s="22" t="str">
        <f>DAY(D830)&amp;"/"&amp;"07"&amp;"/"&amp;YEAR(D830)</f>
        <v>24/07/2026</v>
      </c>
      <c r="M830" s="23">
        <f>E830-TIME(3,0,0)</f>
        <v>0.79166666666666663</v>
      </c>
      <c r="N830" t="str">
        <f>J830&amp;" - "&amp;K830</f>
        <v>0 - 1</v>
      </c>
      <c r="O830" t="str">
        <f>IF($J830&gt;$K830,"Green","Red")</f>
        <v>Red</v>
      </c>
      <c r="P830" t="str">
        <f>IF($J830=$K830,"Green","Red")</f>
        <v>Red</v>
      </c>
      <c r="Q830" t="str">
        <f>IF($J830&lt;$K830,"Green","Red")</f>
        <v>Green</v>
      </c>
      <c r="R830" t="str">
        <f>IF($J830&gt;=$K830,"Green","Red")</f>
        <v>Red</v>
      </c>
      <c r="S830" t="str">
        <f>IF($J830&lt;=$K830,"Green","Red")</f>
        <v>Green</v>
      </c>
      <c r="T830" t="str">
        <f>IF(OR($J830&gt;$K830,$J830&lt;$K830),"Green","Red")</f>
        <v>Green</v>
      </c>
      <c r="U830" t="str">
        <f>IF($H830&gt;$I830,"Green","Red")</f>
        <v>Red</v>
      </c>
      <c r="V830" t="str">
        <f>IF($H830=$I830,"Green","Red")</f>
        <v>Green</v>
      </c>
      <c r="W830" t="str">
        <f>IF($H830&lt;$I830,"Green","Red")</f>
        <v>Red</v>
      </c>
      <c r="X830" t="str">
        <f>IF($H830+$I830&gt;0,"Green","Red")</f>
        <v>Red</v>
      </c>
      <c r="Y830" t="str">
        <f>IF($J830+$K830&gt;1.5,"Green","Red")</f>
        <v>Red</v>
      </c>
      <c r="Z830" t="str">
        <f>IF($J830+$K830&gt;2.5,"Green","Red")</f>
        <v>Red</v>
      </c>
      <c r="AA830" t="str">
        <f>IF($J830+$K830&lt;2.5,"Green","Red")</f>
        <v>Green</v>
      </c>
      <c r="AB830" t="str">
        <f>IF($J830+$K830&lt;3.5,"Green","Red")</f>
        <v>Green</v>
      </c>
      <c r="AC830" t="str">
        <f>IF(AND($J830&gt;0,$K830&gt;0),"Green","Red")</f>
        <v>Red</v>
      </c>
      <c r="AD830" t="str">
        <f>IF(OR($J830=0,$K830=0),"Green","Red")</f>
        <v>Green</v>
      </c>
    </row>
    <row r="831" spans="1:30" x14ac:dyDescent="0.2">
      <c r="A831" t="str">
        <f>L831&amp;F831&amp;G831</f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2365</v>
      </c>
      <c r="H831">
        <v>1</v>
      </c>
      <c r="I831">
        <v>1</v>
      </c>
      <c r="J831">
        <v>2</v>
      </c>
      <c r="K831">
        <v>2</v>
      </c>
      <c r="L831" s="22" t="str">
        <f>DAY(D831)&amp;"/"&amp;"07"&amp;"/"&amp;YEAR(D831)</f>
        <v>24/07/2026</v>
      </c>
      <c r="M831" s="23">
        <f>E831-TIME(3,0,0)</f>
        <v>0.79166666666666663</v>
      </c>
      <c r="N831" t="str">
        <f>J831&amp;" - "&amp;K831</f>
        <v>2 - 2</v>
      </c>
      <c r="O831" t="str">
        <f>IF($J831&gt;$K831,"Green","Red")</f>
        <v>Red</v>
      </c>
      <c r="P831" t="str">
        <f>IF($J831=$K831,"Green","Red")</f>
        <v>Green</v>
      </c>
      <c r="Q831" t="str">
        <f>IF($J831&lt;$K831,"Green","Red")</f>
        <v>Red</v>
      </c>
      <c r="R831" t="str">
        <f>IF($J831&gt;=$K831,"Green","Red")</f>
        <v>Green</v>
      </c>
      <c r="S831" t="str">
        <f>IF($J831&lt;=$K831,"Green","Red")</f>
        <v>Green</v>
      </c>
      <c r="T831" t="str">
        <f>IF(OR($J831&gt;$K831,$J831&lt;$K831),"Green","Red")</f>
        <v>Red</v>
      </c>
      <c r="U831" t="str">
        <f>IF($H831&gt;$I831,"Green","Red")</f>
        <v>Red</v>
      </c>
      <c r="V831" t="str">
        <f>IF($H831=$I831,"Green","Red")</f>
        <v>Green</v>
      </c>
      <c r="W831" t="str">
        <f>IF($H831&lt;$I831,"Green","Red")</f>
        <v>Red</v>
      </c>
      <c r="X831" t="str">
        <f>IF($H831+$I831&gt;0,"Green","Red")</f>
        <v>Green</v>
      </c>
      <c r="Y831" t="str">
        <f>IF($J831+$K831&gt;1.5,"Green","Red")</f>
        <v>Green</v>
      </c>
      <c r="Z831" t="str">
        <f>IF($J831+$K831&gt;2.5,"Green","Red")</f>
        <v>Green</v>
      </c>
      <c r="AA831" t="str">
        <f>IF($J831+$K831&lt;2.5,"Green","Red")</f>
        <v>Red</v>
      </c>
      <c r="AB831" t="str">
        <f>IF($J831+$K831&lt;3.5,"Green","Red")</f>
        <v>Red</v>
      </c>
      <c r="AC831" t="str">
        <f>IF(AND($J831&gt;0,$K831&gt;0),"Green","Red")</f>
        <v>Green</v>
      </c>
      <c r="AD831" t="str">
        <f>IF(OR($J831=0,$K831=0),"Green","Red")</f>
        <v>Red</v>
      </c>
    </row>
    <row r="832" spans="1:30" x14ac:dyDescent="0.2">
      <c r="A832" t="str">
        <f>L832&amp;F832&amp;G832</f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>DAY(D832)&amp;"/"&amp;"07"&amp;"/"&amp;YEAR(D832)</f>
        <v>24/07/2026</v>
      </c>
      <c r="M832" s="23">
        <f>E832-TIME(3,0,0)</f>
        <v>0.79166666666666663</v>
      </c>
      <c r="N832" t="str">
        <f>J832&amp;" - "&amp;K832</f>
        <v>2 - 3</v>
      </c>
      <c r="O832" t="str">
        <f>IF($J832&gt;$K832,"Green","Red")</f>
        <v>Red</v>
      </c>
      <c r="P832" t="str">
        <f>IF($J832=$K832,"Green","Red")</f>
        <v>Red</v>
      </c>
      <c r="Q832" t="str">
        <f>IF($J832&lt;$K832,"Green","Red")</f>
        <v>Green</v>
      </c>
      <c r="R832" t="str">
        <f>IF($J832&gt;=$K832,"Green","Red")</f>
        <v>Red</v>
      </c>
      <c r="S832" t="str">
        <f>IF($J832&lt;=$K832,"Green","Red")</f>
        <v>Green</v>
      </c>
      <c r="T832" t="str">
        <f>IF(OR($J832&gt;$K832,$J832&lt;$K832),"Green","Red")</f>
        <v>Green</v>
      </c>
      <c r="U832" t="str">
        <f>IF($H832&gt;$I832,"Green","Red")</f>
        <v>Green</v>
      </c>
      <c r="V832" t="str">
        <f>IF($H832=$I832,"Green","Red")</f>
        <v>Red</v>
      </c>
      <c r="W832" t="str">
        <f>IF($H832&lt;$I832,"Green","Red")</f>
        <v>Red</v>
      </c>
      <c r="X832" t="str">
        <f>IF($H832+$I832&gt;0,"Green","Red")</f>
        <v>Green</v>
      </c>
      <c r="Y832" t="str">
        <f>IF($J832+$K832&gt;1.5,"Green","Red")</f>
        <v>Green</v>
      </c>
      <c r="Z832" t="str">
        <f>IF($J832+$K832&gt;2.5,"Green","Red")</f>
        <v>Green</v>
      </c>
      <c r="AA832" t="str">
        <f>IF($J832+$K832&lt;2.5,"Green","Red")</f>
        <v>Red</v>
      </c>
      <c r="AB832" t="str">
        <f>IF($J832+$K832&lt;3.5,"Green","Red")</f>
        <v>Red</v>
      </c>
      <c r="AC832" t="str">
        <f>IF(AND($J832&gt;0,$K832&gt;0),"Green","Red")</f>
        <v>Green</v>
      </c>
      <c r="AD832" t="str">
        <f>IF(OR($J832=0,$K832=0),"Green","Red")</f>
        <v>Red</v>
      </c>
    </row>
    <row r="833" spans="1:30" x14ac:dyDescent="0.2">
      <c r="A833" t="str">
        <f>L833&amp;F833&amp;G833</f>
        <v>24/07/2026Union La CaleraEverton de Vina</v>
      </c>
      <c r="D833" s="2">
        <v>46227</v>
      </c>
      <c r="E833" s="3">
        <v>0.91666666666666663</v>
      </c>
      <c r="F833" t="s">
        <v>2396</v>
      </c>
      <c r="G833" t="s">
        <v>2397</v>
      </c>
      <c r="L833" s="22" t="str">
        <f>DAY(D833)&amp;"/"&amp;"07"&amp;"/"&amp;YEAR(D833)</f>
        <v>24/07/2026</v>
      </c>
      <c r="M833" s="23">
        <f>E833-TIME(3,0,0)</f>
        <v>0.79166666666666663</v>
      </c>
      <c r="N833" t="str">
        <f>J833&amp;" - "&amp;K833</f>
        <v xml:space="preserve"> - </v>
      </c>
      <c r="O833" t="str">
        <f>IF($J833&gt;$K833,"Green","Red")</f>
        <v>Red</v>
      </c>
      <c r="P833" t="str">
        <f>IF($J833=$K833,"Green","Red")</f>
        <v>Green</v>
      </c>
      <c r="Q833" t="str">
        <f>IF($J833&lt;$K833,"Green","Red")</f>
        <v>Red</v>
      </c>
      <c r="R833" t="str">
        <f>IF($J833&gt;=$K833,"Green","Red")</f>
        <v>Green</v>
      </c>
      <c r="S833" t="str">
        <f>IF($J833&lt;=$K833,"Green","Red")</f>
        <v>Green</v>
      </c>
      <c r="T833" t="str">
        <f>IF(OR($J833&gt;$K833,$J833&lt;$K833),"Green","Red")</f>
        <v>Red</v>
      </c>
      <c r="U833" t="str">
        <f>IF($H833&gt;$I833,"Green","Red")</f>
        <v>Red</v>
      </c>
      <c r="V833" t="str">
        <f>IF($H833=$I833,"Green","Red")</f>
        <v>Green</v>
      </c>
      <c r="W833" t="str">
        <f>IF($H833&lt;$I833,"Green","Red")</f>
        <v>Red</v>
      </c>
      <c r="X833" t="str">
        <f>IF($H833+$I833&gt;0,"Green","Red")</f>
        <v>Red</v>
      </c>
      <c r="Y833" t="str">
        <f>IF($J833+$K833&gt;1.5,"Green","Red")</f>
        <v>Red</v>
      </c>
      <c r="Z833" t="str">
        <f>IF($J833+$K833&gt;2.5,"Green","Red")</f>
        <v>Red</v>
      </c>
      <c r="AA833" t="str">
        <f>IF($J833+$K833&lt;2.5,"Green","Red")</f>
        <v>Green</v>
      </c>
      <c r="AB833" t="str">
        <f>IF($J833+$K833&lt;3.5,"Green","Red")</f>
        <v>Green</v>
      </c>
      <c r="AC833" t="str">
        <f>IF(AND($J833&gt;0,$K833&gt;0),"Green","Red")</f>
        <v>Red</v>
      </c>
      <c r="AD833" t="str">
        <f>IF(OR($J833=0,$K833=0),"Green","Red")</f>
        <v>Green</v>
      </c>
    </row>
    <row r="834" spans="1:30" x14ac:dyDescent="0.2">
      <c r="A834" t="str">
        <f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>DAY(D834)&amp;"/"&amp;"07"&amp;"/"&amp;YEAR(D834)</f>
        <v>24/07/2026</v>
      </c>
      <c r="M834" s="23">
        <f>E834-TIME(3,0,0)</f>
        <v>0.79166666666666663</v>
      </c>
      <c r="N834" t="str">
        <f>J834&amp;" - "&amp;K834</f>
        <v>1 - 0</v>
      </c>
      <c r="O834" t="str">
        <f>IF($J834&gt;$K834,"Green","Red")</f>
        <v>Green</v>
      </c>
      <c r="P834" t="str">
        <f>IF($J834=$K834,"Green","Red")</f>
        <v>Red</v>
      </c>
      <c r="Q834" t="str">
        <f>IF($J834&lt;$K834,"Green","Red")</f>
        <v>Red</v>
      </c>
      <c r="R834" t="str">
        <f>IF($J834&gt;=$K834,"Green","Red")</f>
        <v>Green</v>
      </c>
      <c r="S834" t="str">
        <f>IF($J834&lt;=$K834,"Green","Red")</f>
        <v>Red</v>
      </c>
      <c r="T834" t="str">
        <f>IF(OR($J834&gt;$K834,$J834&lt;$K834),"Green","Red")</f>
        <v>Green</v>
      </c>
      <c r="U834" t="str">
        <f>IF($H834&gt;$I834,"Green","Red")</f>
        <v>Red</v>
      </c>
      <c r="V834" t="str">
        <f>IF($H834=$I834,"Green","Red")</f>
        <v>Green</v>
      </c>
      <c r="W834" t="str">
        <f>IF($H834&lt;$I834,"Green","Red")</f>
        <v>Red</v>
      </c>
      <c r="X834" t="str">
        <f>IF($H834+$I834&gt;0,"Green","Red")</f>
        <v>Red</v>
      </c>
      <c r="Y834" t="str">
        <f>IF($J834+$K834&gt;1.5,"Green","Red")</f>
        <v>Red</v>
      </c>
      <c r="Z834" t="str">
        <f>IF($J834+$K834&gt;2.5,"Green","Red")</f>
        <v>Red</v>
      </c>
      <c r="AA834" t="str">
        <f>IF($J834+$K834&lt;2.5,"Green","Red")</f>
        <v>Green</v>
      </c>
      <c r="AB834" t="str">
        <f>IF($J834+$K834&lt;3.5,"Green","Red")</f>
        <v>Green</v>
      </c>
      <c r="AC834" t="str">
        <f>IF(AND($J834&gt;0,$K834&gt;0),"Green","Red")</f>
        <v>Red</v>
      </c>
      <c r="AD834" t="str">
        <f>IF(OR($J834=0,$K834=0),"Green","Red")</f>
        <v>Green</v>
      </c>
    </row>
    <row r="835" spans="1:30" x14ac:dyDescent="0.2">
      <c r="A835" t="str">
        <f>L835&amp;F835&amp;G835</f>
        <v>24/07/2026Deportivo SantaniParaguari AC</v>
      </c>
      <c r="D835" s="2">
        <v>46227</v>
      </c>
      <c r="E835" s="3">
        <v>0.9375</v>
      </c>
      <c r="F835" t="s">
        <v>279</v>
      </c>
      <c r="G835" t="s">
        <v>2549</v>
      </c>
      <c r="H835">
        <v>1</v>
      </c>
      <c r="I835">
        <v>0</v>
      </c>
      <c r="J835">
        <v>2</v>
      </c>
      <c r="K835">
        <v>0</v>
      </c>
      <c r="L835" s="22" t="str">
        <f>DAY(D835)&amp;"/"&amp;"07"&amp;"/"&amp;YEAR(D835)</f>
        <v>24/07/2026</v>
      </c>
      <c r="M835" s="23">
        <f>E835-TIME(3,0,0)</f>
        <v>0.8125</v>
      </c>
      <c r="N835" t="str">
        <f>J835&amp;" - "&amp;K835</f>
        <v>2 - 0</v>
      </c>
      <c r="O835" t="str">
        <f>IF($J835&gt;$K835,"Green","Red")</f>
        <v>Green</v>
      </c>
      <c r="P835" t="str">
        <f>IF($J835=$K835,"Green","Red")</f>
        <v>Red</v>
      </c>
      <c r="Q835" t="str">
        <f>IF($J835&lt;$K835,"Green","Red")</f>
        <v>Red</v>
      </c>
      <c r="R835" t="str">
        <f>IF($J835&gt;=$K835,"Green","Red")</f>
        <v>Green</v>
      </c>
      <c r="S835" t="str">
        <f>IF($J835&lt;=$K835,"Green","Red")</f>
        <v>Red</v>
      </c>
      <c r="T835" t="str">
        <f>IF(OR($J835&gt;$K835,$J835&lt;$K835),"Green","Red")</f>
        <v>Green</v>
      </c>
      <c r="U835" t="str">
        <f>IF($H835&gt;$I835,"Green","Red")</f>
        <v>Green</v>
      </c>
      <c r="V835" t="str">
        <f>IF($H835=$I835,"Green","Red")</f>
        <v>Red</v>
      </c>
      <c r="W835" t="str">
        <f>IF($H835&lt;$I835,"Green","Red")</f>
        <v>Red</v>
      </c>
      <c r="X835" t="str">
        <f>IF($H835+$I835&gt;0,"Green","Red")</f>
        <v>Green</v>
      </c>
      <c r="Y835" t="str">
        <f>IF($J835+$K835&gt;1.5,"Green","Red")</f>
        <v>Green</v>
      </c>
      <c r="Z835" t="str">
        <f>IF($J835+$K835&gt;2.5,"Green","Red")</f>
        <v>Red</v>
      </c>
      <c r="AA835" t="str">
        <f>IF($J835+$K835&lt;2.5,"Green","Red")</f>
        <v>Green</v>
      </c>
      <c r="AB835" t="str">
        <f>IF($J835+$K835&lt;3.5,"Green","Red")</f>
        <v>Green</v>
      </c>
      <c r="AC835" t="str">
        <f>IF(AND($J835&gt;0,$K835&gt;0),"Green","Red")</f>
        <v>Red</v>
      </c>
      <c r="AD835" t="str">
        <f>IF(OR($J835=0,$K835=0),"Green","Red")</f>
        <v>Green</v>
      </c>
    </row>
    <row r="836" spans="1:30" x14ac:dyDescent="0.2">
      <c r="A836" t="str">
        <f>L836&amp;F836&amp;G836</f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2619</v>
      </c>
      <c r="L836" s="22" t="str">
        <f>DAY(D836)&amp;"/"&amp;"07"&amp;"/"&amp;YEAR(D836)</f>
        <v>24/07/2026</v>
      </c>
      <c r="M836" s="23">
        <f>E836-TIME(3,0,0)</f>
        <v>0.8125</v>
      </c>
      <c r="N836" t="str">
        <f>J836&amp;" - "&amp;K836</f>
        <v xml:space="preserve"> - </v>
      </c>
      <c r="O836" t="str">
        <f>IF($J836&gt;$K836,"Green","Red")</f>
        <v>Red</v>
      </c>
      <c r="P836" t="str">
        <f>IF($J836=$K836,"Green","Red")</f>
        <v>Green</v>
      </c>
      <c r="Q836" t="str">
        <f>IF($J836&lt;$K836,"Green","Red")</f>
        <v>Red</v>
      </c>
      <c r="R836" t="str">
        <f>IF($J836&gt;=$K836,"Green","Red")</f>
        <v>Green</v>
      </c>
      <c r="S836" t="str">
        <f>IF($J836&lt;=$K836,"Green","Red")</f>
        <v>Green</v>
      </c>
      <c r="T836" t="str">
        <f>IF(OR($J836&gt;$K836,$J836&lt;$K836),"Green","Red")</f>
        <v>Red</v>
      </c>
      <c r="U836" t="str">
        <f>IF($H836&gt;$I836,"Green","Red")</f>
        <v>Red</v>
      </c>
      <c r="V836" t="str">
        <f>IF($H836=$I836,"Green","Red")</f>
        <v>Green</v>
      </c>
      <c r="W836" t="str">
        <f>IF($H836&lt;$I836,"Green","Red")</f>
        <v>Red</v>
      </c>
      <c r="X836" t="str">
        <f>IF($H836+$I836&gt;0,"Green","Red")</f>
        <v>Red</v>
      </c>
      <c r="Y836" t="str">
        <f>IF($J836+$K836&gt;1.5,"Green","Red")</f>
        <v>Red</v>
      </c>
      <c r="Z836" t="str">
        <f>IF($J836+$K836&gt;2.5,"Green","Red")</f>
        <v>Red</v>
      </c>
      <c r="AA836" t="str">
        <f>IF($J836+$K836&lt;2.5,"Green","Red")</f>
        <v>Green</v>
      </c>
      <c r="AB836" t="str">
        <f>IF($J836+$K836&lt;3.5,"Green","Red")</f>
        <v>Green</v>
      </c>
      <c r="AC836" t="str">
        <f>IF(AND($J836&gt;0,$K836&gt;0),"Green","Red")</f>
        <v>Red</v>
      </c>
      <c r="AD836" t="str">
        <f>IF(OR($J836=0,$K836=0),"Green","Red")</f>
        <v>Green</v>
      </c>
    </row>
    <row r="837" spans="1:30" x14ac:dyDescent="0.2">
      <c r="A837" t="str">
        <f>L837&amp;F837&amp;G837</f>
        <v>24/07/2026Vermont GreenAsheville City SC</v>
      </c>
      <c r="D837" s="2">
        <v>46227</v>
      </c>
      <c r="E837" s="3">
        <v>0.9375</v>
      </c>
      <c r="F837" t="s">
        <v>2622</v>
      </c>
      <c r="G837" t="s">
        <v>2623</v>
      </c>
      <c r="H837">
        <v>3</v>
      </c>
      <c r="I837">
        <v>0</v>
      </c>
      <c r="J837">
        <v>4</v>
      </c>
      <c r="K837">
        <v>0</v>
      </c>
      <c r="L837" s="22" t="str">
        <f>DAY(D837)&amp;"/"&amp;"07"&amp;"/"&amp;YEAR(D837)</f>
        <v>24/07/2026</v>
      </c>
      <c r="M837" s="23">
        <f>E837-TIME(3,0,0)</f>
        <v>0.8125</v>
      </c>
      <c r="N837" t="str">
        <f>J837&amp;" - "&amp;K837</f>
        <v>4 - 0</v>
      </c>
      <c r="O837" t="str">
        <f>IF($J837&gt;$K837,"Green","Red")</f>
        <v>Green</v>
      </c>
      <c r="P837" t="str">
        <f>IF($J837=$K837,"Green","Red")</f>
        <v>Red</v>
      </c>
      <c r="Q837" t="str">
        <f>IF($J837&lt;$K837,"Green","Red")</f>
        <v>Red</v>
      </c>
      <c r="R837" t="str">
        <f>IF($J837&gt;=$K837,"Green","Red")</f>
        <v>Green</v>
      </c>
      <c r="S837" t="str">
        <f>IF($J837&lt;=$K837,"Green","Red")</f>
        <v>Red</v>
      </c>
      <c r="T837" t="str">
        <f>IF(OR($J837&gt;$K837,$J837&lt;$K837),"Green","Red")</f>
        <v>Green</v>
      </c>
      <c r="U837" t="str">
        <f>IF($H837&gt;$I837,"Green","Red")</f>
        <v>Green</v>
      </c>
      <c r="V837" t="str">
        <f>IF($H837=$I837,"Green","Red")</f>
        <v>Red</v>
      </c>
      <c r="W837" t="str">
        <f>IF($H837&lt;$I837,"Green","Red")</f>
        <v>Red</v>
      </c>
      <c r="X837" t="str">
        <f>IF($H837+$I837&gt;0,"Green","Red")</f>
        <v>Green</v>
      </c>
      <c r="Y837" t="str">
        <f>IF($J837+$K837&gt;1.5,"Green","Red")</f>
        <v>Green</v>
      </c>
      <c r="Z837" t="str">
        <f>IF($J837+$K837&gt;2.5,"Green","Red")</f>
        <v>Green</v>
      </c>
      <c r="AA837" t="str">
        <f>IF($J837+$K837&lt;2.5,"Green","Red")</f>
        <v>Red</v>
      </c>
      <c r="AB837" t="str">
        <f>IF($J837+$K837&lt;3.5,"Green","Red")</f>
        <v>Red</v>
      </c>
      <c r="AC837" t="str">
        <f>IF(AND($J837&gt;0,$K837&gt;0),"Green","Red")</f>
        <v>Red</v>
      </c>
      <c r="AD837" t="str">
        <f>IF(OR($J837=0,$K837=0),"Green","Red")</f>
        <v>Green</v>
      </c>
    </row>
    <row r="838" spans="1:30" x14ac:dyDescent="0.2">
      <c r="A838" t="str">
        <f>L838&amp;F838&amp;G838</f>
        <v>24/07/2026Club Tijuana U21Club Leon U21</v>
      </c>
      <c r="D838" s="2">
        <v>46227</v>
      </c>
      <c r="E838" s="3">
        <v>0.94791666666666663</v>
      </c>
      <c r="F838" t="s">
        <v>2527</v>
      </c>
      <c r="G838" t="s">
        <v>2528</v>
      </c>
      <c r="L838" s="22" t="str">
        <f>DAY(D838)&amp;"/"&amp;"07"&amp;"/"&amp;YEAR(D838)</f>
        <v>24/07/2026</v>
      </c>
      <c r="M838" s="23">
        <f>E838-TIME(3,0,0)</f>
        <v>0.82291666666666663</v>
      </c>
      <c r="N838" t="str">
        <f>J838&amp;" - "&amp;K838</f>
        <v xml:space="preserve"> - </v>
      </c>
      <c r="O838" t="str">
        <f>IF($J838&gt;$K838,"Green","Red")</f>
        <v>Red</v>
      </c>
      <c r="P838" t="str">
        <f>IF($J838=$K838,"Green","Red")</f>
        <v>Green</v>
      </c>
      <c r="Q838" t="str">
        <f>IF($J838&lt;$K838,"Green","Red")</f>
        <v>Red</v>
      </c>
      <c r="R838" t="str">
        <f>IF($J838&gt;=$K838,"Green","Red")</f>
        <v>Green</v>
      </c>
      <c r="S838" t="str">
        <f>IF($J838&lt;=$K838,"Green","Red")</f>
        <v>Green</v>
      </c>
      <c r="T838" t="str">
        <f>IF(OR($J838&gt;$K838,$J838&lt;$K838),"Green","Red")</f>
        <v>Red</v>
      </c>
      <c r="U838" t="str">
        <f>IF($H838&gt;$I838,"Green","Red")</f>
        <v>Red</v>
      </c>
      <c r="V838" t="str">
        <f>IF($H838=$I838,"Green","Red")</f>
        <v>Green</v>
      </c>
      <c r="W838" t="str">
        <f>IF($H838&lt;$I838,"Green","Red")</f>
        <v>Red</v>
      </c>
      <c r="X838" t="str">
        <f>IF($H838+$I838&gt;0,"Green","Red")</f>
        <v>Red</v>
      </c>
      <c r="Y838" t="str">
        <f>IF($J838+$K838&gt;1.5,"Green","Red")</f>
        <v>Red</v>
      </c>
      <c r="Z838" t="str">
        <f>IF($J838+$K838&gt;2.5,"Green","Red")</f>
        <v>Red</v>
      </c>
      <c r="AA838" t="str">
        <f>IF($J838+$K838&lt;2.5,"Green","Red")</f>
        <v>Green</v>
      </c>
      <c r="AB838" t="str">
        <f>IF($J838+$K838&lt;3.5,"Green","Red")</f>
        <v>Green</v>
      </c>
      <c r="AC838" t="str">
        <f>IF(AND($J838&gt;0,$K838&gt;0),"Green","Red")</f>
        <v>Red</v>
      </c>
      <c r="AD838" t="str">
        <f>IF(OR($J838=0,$K838=0),"Green","Red")</f>
        <v>Green</v>
      </c>
    </row>
    <row r="839" spans="1:30" x14ac:dyDescent="0.2">
      <c r="A839" t="str">
        <f>L839&amp;F839&amp;G839</f>
        <v>24/07/2026Club AuroraABB</v>
      </c>
      <c r="D839" s="2">
        <v>46227</v>
      </c>
      <c r="E839" s="3">
        <v>0.95833333333333337</v>
      </c>
      <c r="F839" t="s">
        <v>2362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>DAY(D839)&amp;"/"&amp;"07"&amp;"/"&amp;YEAR(D839)</f>
        <v>24/07/2026</v>
      </c>
      <c r="M839" s="23">
        <f>E839-TIME(3,0,0)</f>
        <v>0.83333333333333337</v>
      </c>
      <c r="N839" t="str">
        <f>J839&amp;" - "&amp;K839</f>
        <v>3 - 2</v>
      </c>
      <c r="O839" t="str">
        <f>IF($J839&gt;$K839,"Green","Red")</f>
        <v>Green</v>
      </c>
      <c r="P839" t="str">
        <f>IF($J839=$K839,"Green","Red")</f>
        <v>Red</v>
      </c>
      <c r="Q839" t="str">
        <f>IF($J839&lt;$K839,"Green","Red")</f>
        <v>Red</v>
      </c>
      <c r="R839" t="str">
        <f>IF($J839&gt;=$K839,"Green","Red")</f>
        <v>Green</v>
      </c>
      <c r="S839" t="str">
        <f>IF($J839&lt;=$K839,"Green","Red")</f>
        <v>Red</v>
      </c>
      <c r="T839" t="str">
        <f>IF(OR($J839&gt;$K839,$J839&lt;$K839),"Green","Red")</f>
        <v>Green</v>
      </c>
      <c r="U839" t="str">
        <f>IF($H839&gt;$I839,"Green","Red")</f>
        <v>Green</v>
      </c>
      <c r="V839" t="str">
        <f>IF($H839=$I839,"Green","Red")</f>
        <v>Red</v>
      </c>
      <c r="W839" t="str">
        <f>IF($H839&lt;$I839,"Green","Red")</f>
        <v>Red</v>
      </c>
      <c r="X839" t="str">
        <f>IF($H839+$I839&gt;0,"Green","Red")</f>
        <v>Green</v>
      </c>
      <c r="Y839" t="str">
        <f>IF($J839+$K839&gt;1.5,"Green","Red")</f>
        <v>Green</v>
      </c>
      <c r="Z839" t="str">
        <f>IF($J839+$K839&gt;2.5,"Green","Red")</f>
        <v>Green</v>
      </c>
      <c r="AA839" t="str">
        <f>IF($J839+$K839&lt;2.5,"Green","Red")</f>
        <v>Red</v>
      </c>
      <c r="AB839" t="str">
        <f>IF($J839+$K839&lt;3.5,"Green","Red")</f>
        <v>Red</v>
      </c>
      <c r="AC839" t="str">
        <f>IF(AND($J839&gt;0,$K839&gt;0),"Green","Red")</f>
        <v>Green</v>
      </c>
      <c r="AD839" t="str">
        <f>IF(OR($J839=0,$K839=0),"Green","Red")</f>
        <v>Red</v>
      </c>
    </row>
    <row r="840" spans="1:30" x14ac:dyDescent="0.2">
      <c r="A840" t="str">
        <f>L840&amp;F840&amp;G840</f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>DAY(D840)&amp;"/"&amp;"07"&amp;"/"&amp;YEAR(D840)</f>
        <v>24/07/2026</v>
      </c>
      <c r="M840" s="23">
        <f>E840-TIME(3,0,0)</f>
        <v>0.83333333333333337</v>
      </c>
      <c r="N840" t="str">
        <f>J840&amp;" - "&amp;K840</f>
        <v>1 - 0</v>
      </c>
      <c r="O840" t="str">
        <f>IF($J840&gt;$K840,"Green","Red")</f>
        <v>Green</v>
      </c>
      <c r="P840" t="str">
        <f>IF($J840=$K840,"Green","Red")</f>
        <v>Red</v>
      </c>
      <c r="Q840" t="str">
        <f>IF($J840&lt;$K840,"Green","Red")</f>
        <v>Red</v>
      </c>
      <c r="R840" t="str">
        <f>IF($J840&gt;=$K840,"Green","Red")</f>
        <v>Green</v>
      </c>
      <c r="S840" t="str">
        <f>IF($J840&lt;=$K840,"Green","Red")</f>
        <v>Red</v>
      </c>
      <c r="T840" t="str">
        <f>IF(OR($J840&gt;$K840,$J840&lt;$K840),"Green","Red")</f>
        <v>Green</v>
      </c>
      <c r="U840" t="str">
        <f>IF($H840&gt;$I840,"Green","Red")</f>
        <v>Red</v>
      </c>
      <c r="V840" t="str">
        <f>IF($H840=$I840,"Green","Red")</f>
        <v>Green</v>
      </c>
      <c r="W840" t="str">
        <f>IF($H840&lt;$I840,"Green","Red")</f>
        <v>Red</v>
      </c>
      <c r="X840" t="str">
        <f>IF($H840+$I840&gt;0,"Green","Red")</f>
        <v>Red</v>
      </c>
      <c r="Y840" t="str">
        <f>IF($J840+$K840&gt;1.5,"Green","Red")</f>
        <v>Red</v>
      </c>
      <c r="Z840" t="str">
        <f>IF($J840+$K840&gt;2.5,"Green","Red")</f>
        <v>Red</v>
      </c>
      <c r="AA840" t="str">
        <f>IF($J840+$K840&lt;2.5,"Green","Red")</f>
        <v>Green</v>
      </c>
      <c r="AB840" t="str">
        <f>IF($J840+$K840&lt;3.5,"Green","Red")</f>
        <v>Green</v>
      </c>
      <c r="AC840" t="str">
        <f>IF(AND($J840&gt;0,$K840&gt;0),"Green","Red")</f>
        <v>Red</v>
      </c>
      <c r="AD840" t="str">
        <f>IF(OR($J840=0,$K840=0),"Green","Red")</f>
        <v>Green</v>
      </c>
    </row>
    <row r="841" spans="1:30" x14ac:dyDescent="0.2">
      <c r="A841" t="str">
        <f>L841&amp;F841&amp;G841</f>
        <v>24/07/2026Rio Negro RR WomenItabirito FC Women</v>
      </c>
      <c r="D841" s="2">
        <v>46227</v>
      </c>
      <c r="E841" s="3">
        <v>0.95833333333333337</v>
      </c>
      <c r="F841" t="s">
        <v>2366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>DAY(D841)&amp;"/"&amp;"07"&amp;"/"&amp;YEAR(D841)</f>
        <v>24/07/2026</v>
      </c>
      <c r="M841" s="23">
        <f>E841-TIME(3,0,0)</f>
        <v>0.83333333333333337</v>
      </c>
      <c r="N841" t="str">
        <f>J841&amp;" - "&amp;K841</f>
        <v>0 - 2</v>
      </c>
      <c r="O841" t="str">
        <f>IF($J841&gt;$K841,"Green","Red")</f>
        <v>Red</v>
      </c>
      <c r="P841" t="str">
        <f>IF($J841=$K841,"Green","Red")</f>
        <v>Red</v>
      </c>
      <c r="Q841" t="str">
        <f>IF($J841&lt;$K841,"Green","Red")</f>
        <v>Green</v>
      </c>
      <c r="R841" t="str">
        <f>IF($J841&gt;=$K841,"Green","Red")</f>
        <v>Red</v>
      </c>
      <c r="S841" t="str">
        <f>IF($J841&lt;=$K841,"Green","Red")</f>
        <v>Green</v>
      </c>
      <c r="T841" t="str">
        <f>IF(OR($J841&gt;$K841,$J841&lt;$K841),"Green","Red")</f>
        <v>Green</v>
      </c>
      <c r="U841" t="str">
        <f>IF($H841&gt;$I841,"Green","Red")</f>
        <v>Red</v>
      </c>
      <c r="V841" t="str">
        <f>IF($H841=$I841,"Green","Red")</f>
        <v>Green</v>
      </c>
      <c r="W841" t="str">
        <f>IF($H841&lt;$I841,"Green","Red")</f>
        <v>Red</v>
      </c>
      <c r="X841" t="str">
        <f>IF($H841+$I841&gt;0,"Green","Red")</f>
        <v>Red</v>
      </c>
      <c r="Y841" t="str">
        <f>IF($J841+$K841&gt;1.5,"Green","Red")</f>
        <v>Green</v>
      </c>
      <c r="Z841" t="str">
        <f>IF($J841+$K841&gt;2.5,"Green","Red")</f>
        <v>Red</v>
      </c>
      <c r="AA841" t="str">
        <f>IF($J841+$K841&lt;2.5,"Green","Red")</f>
        <v>Green</v>
      </c>
      <c r="AB841" t="str">
        <f>IF($J841+$K841&lt;3.5,"Green","Red")</f>
        <v>Green</v>
      </c>
      <c r="AC841" t="str">
        <f>IF(AND($J841&gt;0,$K841&gt;0),"Green","Red")</f>
        <v>Red</v>
      </c>
      <c r="AD841" t="str">
        <f>IF(OR($J841=0,$K841=0),"Green","Red")</f>
        <v>Green</v>
      </c>
    </row>
    <row r="842" spans="1:30" x14ac:dyDescent="0.2">
      <c r="A842" t="str">
        <f>L842&amp;F842&amp;G842</f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>DAY(D842)&amp;"/"&amp;"07"&amp;"/"&amp;YEAR(D842)</f>
        <v>24/07/2026</v>
      </c>
      <c r="M842" s="23">
        <f>E842-TIME(3,0,0)</f>
        <v>0.83333333333333337</v>
      </c>
      <c r="N842" t="str">
        <f>J842&amp;" - "&amp;K842</f>
        <v>0 - 1</v>
      </c>
      <c r="O842" t="str">
        <f>IF($J842&gt;$K842,"Green","Red")</f>
        <v>Red</v>
      </c>
      <c r="P842" t="str">
        <f>IF($J842=$K842,"Green","Red")</f>
        <v>Red</v>
      </c>
      <c r="Q842" t="str">
        <f>IF($J842&lt;$K842,"Green","Red")</f>
        <v>Green</v>
      </c>
      <c r="R842" t="str">
        <f>IF($J842&gt;=$K842,"Green","Red")</f>
        <v>Red</v>
      </c>
      <c r="S842" t="str">
        <f>IF($J842&lt;=$K842,"Green","Red")</f>
        <v>Green</v>
      </c>
      <c r="T842" t="str">
        <f>IF(OR($J842&gt;$K842,$J842&lt;$K842),"Green","Red")</f>
        <v>Green</v>
      </c>
      <c r="U842" t="str">
        <f>IF($H842&gt;$I842,"Green","Red")</f>
        <v>Red</v>
      </c>
      <c r="V842" t="str">
        <f>IF($H842=$I842,"Green","Red")</f>
        <v>Red</v>
      </c>
      <c r="W842" t="str">
        <f>IF($H842&lt;$I842,"Green","Red")</f>
        <v>Green</v>
      </c>
      <c r="X842" t="str">
        <f>IF($H842+$I842&gt;0,"Green","Red")</f>
        <v>Green</v>
      </c>
      <c r="Y842" t="str">
        <f>IF($J842+$K842&gt;1.5,"Green","Red")</f>
        <v>Red</v>
      </c>
      <c r="Z842" t="str">
        <f>IF($J842+$K842&gt;2.5,"Green","Red")</f>
        <v>Red</v>
      </c>
      <c r="AA842" t="str">
        <f>IF($J842+$K842&lt;2.5,"Green","Red")</f>
        <v>Green</v>
      </c>
      <c r="AB842" t="str">
        <f>IF($J842+$K842&lt;3.5,"Green","Red")</f>
        <v>Green</v>
      </c>
      <c r="AC842" t="str">
        <f>IF(AND($J842&gt;0,$K842&gt;0),"Green","Red")</f>
        <v>Red</v>
      </c>
      <c r="AD842" t="str">
        <f>IF(OR($J842=0,$K842=0),"Green","Red")</f>
        <v>Green</v>
      </c>
    </row>
    <row r="843" spans="1:30" x14ac:dyDescent="0.2">
      <c r="A843" t="str">
        <f>L843&amp;F843&amp;G843</f>
        <v>24/07/2026Mexico U20Antigua &amp; Barbuda U20</v>
      </c>
      <c r="D843" s="2">
        <v>46227</v>
      </c>
      <c r="E843" s="3">
        <v>0.95833333333333337</v>
      </c>
      <c r="F843" t="s">
        <v>2535</v>
      </c>
      <c r="G843" t="s">
        <v>2536</v>
      </c>
      <c r="H843">
        <v>3</v>
      </c>
      <c r="I843">
        <v>0</v>
      </c>
      <c r="J843">
        <v>3</v>
      </c>
      <c r="K843">
        <v>0</v>
      </c>
      <c r="L843" s="22" t="str">
        <f>DAY(D843)&amp;"/"&amp;"07"&amp;"/"&amp;YEAR(D843)</f>
        <v>24/07/2026</v>
      </c>
      <c r="M843" s="23">
        <f>E843-TIME(3,0,0)</f>
        <v>0.83333333333333337</v>
      </c>
      <c r="N843" t="str">
        <f>J843&amp;" - "&amp;K843</f>
        <v>3 - 0</v>
      </c>
      <c r="O843" t="str">
        <f>IF($J843&gt;$K843,"Green","Red")</f>
        <v>Green</v>
      </c>
      <c r="P843" t="str">
        <f>IF($J843=$K843,"Green","Red")</f>
        <v>Red</v>
      </c>
      <c r="Q843" t="str">
        <f>IF($J843&lt;$K843,"Green","Red")</f>
        <v>Red</v>
      </c>
      <c r="R843" t="str">
        <f>IF($J843&gt;=$K843,"Green","Red")</f>
        <v>Green</v>
      </c>
      <c r="S843" t="str">
        <f>IF($J843&lt;=$K843,"Green","Red")</f>
        <v>Red</v>
      </c>
      <c r="T843" t="str">
        <f>IF(OR($J843&gt;$K843,$J843&lt;$K843),"Green","Red")</f>
        <v>Green</v>
      </c>
      <c r="U843" t="str">
        <f>IF($H843&gt;$I843,"Green","Red")</f>
        <v>Green</v>
      </c>
      <c r="V843" t="str">
        <f>IF($H843=$I843,"Green","Red")</f>
        <v>Red</v>
      </c>
      <c r="W843" t="str">
        <f>IF($H843&lt;$I843,"Green","Red")</f>
        <v>Red</v>
      </c>
      <c r="X843" t="str">
        <f>IF($H843+$I843&gt;0,"Green","Red")</f>
        <v>Green</v>
      </c>
      <c r="Y843" t="str">
        <f>IF($J843+$K843&gt;1.5,"Green","Red")</f>
        <v>Green</v>
      </c>
      <c r="Z843" t="str">
        <f>IF($J843+$K843&gt;2.5,"Green","Red")</f>
        <v>Green</v>
      </c>
      <c r="AA843" t="str">
        <f>IF($J843+$K843&lt;2.5,"Green","Red")</f>
        <v>Red</v>
      </c>
      <c r="AB843" t="str">
        <f>IF($J843+$K843&lt;3.5,"Green","Red")</f>
        <v>Green</v>
      </c>
      <c r="AC843" t="str">
        <f>IF(AND($J843&gt;0,$K843&gt;0),"Green","Red")</f>
        <v>Red</v>
      </c>
      <c r="AD843" t="str">
        <f>IF(OR($J843=0,$K843=0),"Green","Red")</f>
        <v>Green</v>
      </c>
    </row>
    <row r="844" spans="1:30" x14ac:dyDescent="0.2">
      <c r="A844" t="str">
        <f>L844&amp;F844&amp;G844</f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>DAY(D844)&amp;"/"&amp;"07"&amp;"/"&amp;YEAR(D844)</f>
        <v>24/07/2026</v>
      </c>
      <c r="M844" s="23">
        <f>E844-TIME(3,0,0)</f>
        <v>0.83333333333333337</v>
      </c>
      <c r="N844" t="str">
        <f>J844&amp;" - "&amp;K844</f>
        <v>0 - 3</v>
      </c>
      <c r="O844" t="str">
        <f>IF($J844&gt;$K844,"Green","Red")</f>
        <v>Red</v>
      </c>
      <c r="P844" t="str">
        <f>IF($J844=$K844,"Green","Red")</f>
        <v>Red</v>
      </c>
      <c r="Q844" t="str">
        <f>IF($J844&lt;$K844,"Green","Red")</f>
        <v>Green</v>
      </c>
      <c r="R844" t="str">
        <f>IF($J844&gt;=$K844,"Green","Red")</f>
        <v>Red</v>
      </c>
      <c r="S844" t="str">
        <f>IF($J844&lt;=$K844,"Green","Red")</f>
        <v>Green</v>
      </c>
      <c r="T844" t="str">
        <f>IF(OR($J844&gt;$K844,$J844&lt;$K844),"Green","Red")</f>
        <v>Green</v>
      </c>
      <c r="U844" t="str">
        <f>IF($H844&gt;$I844,"Green","Red")</f>
        <v>Red</v>
      </c>
      <c r="V844" t="str">
        <f>IF($H844=$I844,"Green","Red")</f>
        <v>Green</v>
      </c>
      <c r="W844" t="str">
        <f>IF($H844&lt;$I844,"Green","Red")</f>
        <v>Red</v>
      </c>
      <c r="X844" t="str">
        <f>IF($H844+$I844&gt;0,"Green","Red")</f>
        <v>Red</v>
      </c>
      <c r="Y844" t="str">
        <f>IF($J844+$K844&gt;1.5,"Green","Red")</f>
        <v>Green</v>
      </c>
      <c r="Z844" t="str">
        <f>IF($J844+$K844&gt;2.5,"Green","Red")</f>
        <v>Green</v>
      </c>
      <c r="AA844" t="str">
        <f>IF($J844+$K844&lt;2.5,"Green","Red")</f>
        <v>Red</v>
      </c>
      <c r="AB844" t="str">
        <f>IF($J844+$K844&lt;3.5,"Green","Red")</f>
        <v>Green</v>
      </c>
      <c r="AC844" t="str">
        <f>IF(AND($J844&gt;0,$K844&gt;0),"Green","Red")</f>
        <v>Red</v>
      </c>
      <c r="AD844" t="str">
        <f>IF(OR($J844=0,$K844=0),"Green","Red")</f>
        <v>Green</v>
      </c>
    </row>
    <row r="845" spans="1:30" x14ac:dyDescent="0.2">
      <c r="A845" t="str">
        <f>L845&amp;F845&amp;G845</f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>DAY(D845)&amp;"/"&amp;"07"&amp;"/"&amp;YEAR(D845)</f>
        <v>24/07/2026</v>
      </c>
      <c r="M845" s="23">
        <f>E845-TIME(3,0,0)</f>
        <v>0.84027777777777779</v>
      </c>
      <c r="N845" t="str">
        <f>J845&amp;" - "&amp;K845</f>
        <v>1 - 0</v>
      </c>
      <c r="O845" t="str">
        <f>IF($J845&gt;$K845,"Green","Red")</f>
        <v>Green</v>
      </c>
      <c r="P845" t="str">
        <f>IF($J845=$K845,"Green","Red")</f>
        <v>Red</v>
      </c>
      <c r="Q845" t="str">
        <f>IF($J845&lt;$K845,"Green","Red")</f>
        <v>Red</v>
      </c>
      <c r="R845" t="str">
        <f>IF($J845&gt;=$K845,"Green","Red")</f>
        <v>Green</v>
      </c>
      <c r="S845" t="str">
        <f>IF($J845&lt;=$K845,"Green","Red")</f>
        <v>Red</v>
      </c>
      <c r="T845" t="str">
        <f>IF(OR($J845&gt;$K845,$J845&lt;$K845),"Green","Red")</f>
        <v>Green</v>
      </c>
      <c r="U845" t="str">
        <f>IF($H845&gt;$I845,"Green","Red")</f>
        <v>Red</v>
      </c>
      <c r="V845" t="str">
        <f>IF($H845=$I845,"Green","Red")</f>
        <v>Green</v>
      </c>
      <c r="W845" t="str">
        <f>IF($H845&lt;$I845,"Green","Red")</f>
        <v>Red</v>
      </c>
      <c r="X845" t="str">
        <f>IF($H845+$I845&gt;0,"Green","Red")</f>
        <v>Red</v>
      </c>
      <c r="Y845" t="str">
        <f>IF($J845+$K845&gt;1.5,"Green","Red")</f>
        <v>Red</v>
      </c>
      <c r="Z845" t="str">
        <f>IF($J845+$K845&gt;2.5,"Green","Red")</f>
        <v>Red</v>
      </c>
      <c r="AA845" t="str">
        <f>IF($J845+$K845&lt;2.5,"Green","Red")</f>
        <v>Green</v>
      </c>
      <c r="AB845" t="str">
        <f>IF($J845+$K845&lt;3.5,"Green","Red")</f>
        <v>Green</v>
      </c>
      <c r="AC845" t="str">
        <f>IF(AND($J845&gt;0,$K845&gt;0),"Green","Red")</f>
        <v>Red</v>
      </c>
      <c r="AD845" t="str">
        <f>IF(OR($J845=0,$K845=0),"Green","Red")</f>
        <v>Green</v>
      </c>
    </row>
    <row r="846" spans="1:30" x14ac:dyDescent="0.2">
      <c r="A846" t="str">
        <f>L846&amp;F846&amp;G846</f>
        <v>24/07/2026Flint City BucksPeoria City</v>
      </c>
      <c r="D846" s="2">
        <v>46227</v>
      </c>
      <c r="E846" s="3">
        <v>0.97916666666666663</v>
      </c>
      <c r="F846" t="s">
        <v>2624</v>
      </c>
      <c r="G846" t="s">
        <v>2625</v>
      </c>
      <c r="H846">
        <v>1</v>
      </c>
      <c r="I846">
        <v>0</v>
      </c>
      <c r="J846">
        <v>4</v>
      </c>
      <c r="K846">
        <v>0</v>
      </c>
      <c r="L846" s="22" t="str">
        <f>DAY(D846)&amp;"/"&amp;"07"&amp;"/"&amp;YEAR(D846)</f>
        <v>24/07/2026</v>
      </c>
      <c r="M846" s="23">
        <f>E846-TIME(3,0,0)</f>
        <v>0.85416666666666663</v>
      </c>
      <c r="N846" t="str">
        <f>J846&amp;" - "&amp;K846</f>
        <v>4 - 0</v>
      </c>
      <c r="O846" t="str">
        <f>IF($J846&gt;$K846,"Green","Red")</f>
        <v>Green</v>
      </c>
      <c r="P846" t="str">
        <f>IF($J846=$K846,"Green","Red")</f>
        <v>Red</v>
      </c>
      <c r="Q846" t="str">
        <f>IF($J846&lt;$K846,"Green","Red")</f>
        <v>Red</v>
      </c>
      <c r="R846" t="str">
        <f>IF($J846&gt;=$K846,"Green","Red")</f>
        <v>Green</v>
      </c>
      <c r="S846" t="str">
        <f>IF($J846&lt;=$K846,"Green","Red")</f>
        <v>Red</v>
      </c>
      <c r="T846" t="str">
        <f>IF(OR($J846&gt;$K846,$J846&lt;$K846),"Green","Red")</f>
        <v>Green</v>
      </c>
      <c r="U846" t="str">
        <f>IF($H846&gt;$I846,"Green","Red")</f>
        <v>Green</v>
      </c>
      <c r="V846" t="str">
        <f>IF($H846=$I846,"Green","Red")</f>
        <v>Red</v>
      </c>
      <c r="W846" t="str">
        <f>IF($H846&lt;$I846,"Green","Red")</f>
        <v>Red</v>
      </c>
      <c r="X846" t="str">
        <f>IF($H846+$I846&gt;0,"Green","Red")</f>
        <v>Green</v>
      </c>
      <c r="Y846" t="str">
        <f>IF($J846+$K846&gt;1.5,"Green","Red")</f>
        <v>Green</v>
      </c>
      <c r="Z846" t="str">
        <f>IF($J846+$K846&gt;2.5,"Green","Red")</f>
        <v>Green</v>
      </c>
      <c r="AA846" t="str">
        <f>IF($J846+$K846&lt;2.5,"Green","Red")</f>
        <v>Red</v>
      </c>
      <c r="AB846" t="str">
        <f>IF($J846+$K846&lt;3.5,"Green","Red")</f>
        <v>Red</v>
      </c>
      <c r="AC846" t="str">
        <f>IF(AND($J846&gt;0,$K846&gt;0),"Green","Red")</f>
        <v>Red</v>
      </c>
      <c r="AD846" t="str">
        <f>IF(OR($J846=0,$K846=0),"Green","Red")</f>
        <v>Green</v>
      </c>
    </row>
    <row r="847" spans="1:30" x14ac:dyDescent="0.2">
      <c r="A847" t="str">
        <f>L847&amp;F847&amp;G847</f>
        <v>24/07/2026Sportivo BelgranoEscobar FC</v>
      </c>
      <c r="B847" t="s">
        <v>806</v>
      </c>
      <c r="C847" t="s">
        <v>2243</v>
      </c>
      <c r="D847" s="2">
        <v>46227</v>
      </c>
      <c r="E847" s="3">
        <v>0.98263888888888884</v>
      </c>
      <c r="F847" t="s">
        <v>2246</v>
      </c>
      <c r="G847" t="s">
        <v>2247</v>
      </c>
      <c r="H847">
        <v>2</v>
      </c>
      <c r="I847">
        <v>1</v>
      </c>
      <c r="J847">
        <v>2</v>
      </c>
      <c r="K847">
        <v>2</v>
      </c>
      <c r="L847" s="22" t="str">
        <f>DAY(D847)&amp;"/"&amp;"07"&amp;"/"&amp;YEAR(D847)</f>
        <v>24/07/2026</v>
      </c>
      <c r="M847" s="23">
        <f>E847-TIME(3,0,0)</f>
        <v>0.85763888888888884</v>
      </c>
      <c r="N847" t="str">
        <f>J847&amp;" - "&amp;K847</f>
        <v>2 - 2</v>
      </c>
      <c r="O847" t="str">
        <f>IF($J847&gt;$K847,"Green","Red")</f>
        <v>Red</v>
      </c>
      <c r="P847" t="str">
        <f>IF($J847=$K847,"Green","Red")</f>
        <v>Green</v>
      </c>
      <c r="Q847" t="str">
        <f>IF($J847&lt;$K847,"Green","Red")</f>
        <v>Red</v>
      </c>
      <c r="R847" t="str">
        <f>IF($J847&gt;=$K847,"Green","Red")</f>
        <v>Green</v>
      </c>
      <c r="S847" t="str">
        <f>IF($J847&lt;=$K847,"Green","Red")</f>
        <v>Green</v>
      </c>
      <c r="T847" t="str">
        <f>IF(OR($J847&gt;$K847,$J847&lt;$K847),"Green","Red")</f>
        <v>Red</v>
      </c>
      <c r="U847" t="str">
        <f>IF($H847&gt;$I847,"Green","Red")</f>
        <v>Green</v>
      </c>
      <c r="V847" t="str">
        <f>IF($H847=$I847,"Green","Red")</f>
        <v>Red</v>
      </c>
      <c r="W847" t="str">
        <f>IF($H847&lt;$I847,"Green","Red")</f>
        <v>Red</v>
      </c>
      <c r="X847" t="str">
        <f>IF($H847+$I847&gt;0,"Green","Red")</f>
        <v>Green</v>
      </c>
      <c r="Y847" t="str">
        <f>IF($J847+$K847&gt;1.5,"Green","Red")</f>
        <v>Green</v>
      </c>
      <c r="Z847" t="str">
        <f>IF($J847+$K847&gt;2.5,"Green","Red")</f>
        <v>Green</v>
      </c>
      <c r="AA847" t="str">
        <f>IF($J847+$K847&lt;2.5,"Green","Red")</f>
        <v>Red</v>
      </c>
      <c r="AB847" t="str">
        <f>IF($J847+$K847&lt;3.5,"Green","Red")</f>
        <v>Red</v>
      </c>
      <c r="AC847" t="str">
        <f>IF(AND($J847&gt;0,$K847&gt;0),"Green","Red")</f>
        <v>Green</v>
      </c>
      <c r="AD847" t="str">
        <f>IF(OR($J847=0,$K847=0),"Green","Red")</f>
        <v>Red</v>
      </c>
    </row>
    <row r="848" spans="1:30" x14ac:dyDescent="0.2">
      <c r="A848" t="str">
        <f>L848&amp;F848&amp;G848</f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3" si="0">DAY(D848)-1&amp;"/"&amp;"07"&amp;"/"&amp;YEAR(D848)</f>
        <v>24/07/2026</v>
      </c>
      <c r="M848" s="31">
        <f t="shared" ref="M848:M873" si="1">E848-TIME(3,0,0)+TIME(12,0,0)+TIME(12,0,0)</f>
        <v>0.875</v>
      </c>
      <c r="N848" t="str">
        <f>J848&amp;" - "&amp;K848</f>
        <v>1 - 0</v>
      </c>
      <c r="O848" t="str">
        <f>IF($J848&gt;$K848,"Green","Red")</f>
        <v>Green</v>
      </c>
      <c r="P848" t="str">
        <f>IF($J848=$K848,"Green","Red")</f>
        <v>Red</v>
      </c>
      <c r="Q848" t="str">
        <f>IF($J848&lt;$K848,"Green","Red")</f>
        <v>Red</v>
      </c>
      <c r="R848" t="str">
        <f>IF($J848&gt;=$K848,"Green","Red")</f>
        <v>Green</v>
      </c>
      <c r="S848" t="str">
        <f>IF($J848&lt;=$K848,"Green","Red")</f>
        <v>Red</v>
      </c>
      <c r="T848" t="str">
        <f>IF(OR($J848&gt;$K848,$J848&lt;$K848),"Green","Red")</f>
        <v>Green</v>
      </c>
      <c r="U848" t="str">
        <f>IF($H848&gt;$I848,"Green","Red")</f>
        <v>Red</v>
      </c>
      <c r="V848" t="str">
        <f>IF($H848=$I848,"Green","Red")</f>
        <v>Green</v>
      </c>
      <c r="W848" t="str">
        <f>IF($H848&lt;$I848,"Green","Red")</f>
        <v>Red</v>
      </c>
      <c r="X848" t="str">
        <f>IF($H848+$I848&gt;0,"Green","Red")</f>
        <v>Red</v>
      </c>
      <c r="Y848" t="str">
        <f>IF($J848+$K848&gt;1.5,"Green","Red")</f>
        <v>Red</v>
      </c>
      <c r="Z848" t="str">
        <f>IF($J848+$K848&gt;2.5,"Green","Red")</f>
        <v>Red</v>
      </c>
      <c r="AA848" t="str">
        <f>IF($J848+$K848&lt;2.5,"Green","Red")</f>
        <v>Green</v>
      </c>
      <c r="AB848" t="str">
        <f>IF($J848+$K848&lt;3.5,"Green","Red")</f>
        <v>Green</v>
      </c>
      <c r="AC848" t="str">
        <f>IF(AND($J848&gt;0,$K848&gt;0),"Green","Red")</f>
        <v>Red</v>
      </c>
      <c r="AD848" t="str">
        <f>IF(OR($J848=0,$K848=0),"Green","Red")</f>
        <v>Green</v>
      </c>
    </row>
    <row r="849" spans="1:30" x14ac:dyDescent="0.2">
      <c r="A849" t="str">
        <f>L849&amp;F849&amp;G849</f>
        <v>24/07/2026Antigua GFCDeportivo Marquense</v>
      </c>
      <c r="D849" s="2">
        <v>46228</v>
      </c>
      <c r="E849" s="3">
        <v>0</v>
      </c>
      <c r="F849" t="s">
        <v>2487</v>
      </c>
      <c r="G849" t="s">
        <v>2488</v>
      </c>
      <c r="H849">
        <v>0</v>
      </c>
      <c r="I849">
        <v>0</v>
      </c>
      <c r="J849">
        <v>3</v>
      </c>
      <c r="K849">
        <v>1</v>
      </c>
      <c r="L849" s="30" t="str">
        <f t="shared" si="0"/>
        <v>24/07/2026</v>
      </c>
      <c r="M849" s="31">
        <f t="shared" si="1"/>
        <v>0.875</v>
      </c>
      <c r="N849" t="str">
        <f>J849&amp;" - "&amp;K849</f>
        <v>3 - 1</v>
      </c>
      <c r="O849" t="str">
        <f>IF($J849&gt;$K849,"Green","Red")</f>
        <v>Green</v>
      </c>
      <c r="P849" t="str">
        <f>IF($J849=$K849,"Green","Red")</f>
        <v>Red</v>
      </c>
      <c r="Q849" t="str">
        <f>IF($J849&lt;$K849,"Green","Red")</f>
        <v>Red</v>
      </c>
      <c r="R849" t="str">
        <f>IF($J849&gt;=$K849,"Green","Red")</f>
        <v>Green</v>
      </c>
      <c r="S849" t="str">
        <f>IF($J849&lt;=$K849,"Green","Red")</f>
        <v>Red</v>
      </c>
      <c r="T849" t="str">
        <f>IF(OR($J849&gt;$K849,$J849&lt;$K849),"Green","Red")</f>
        <v>Green</v>
      </c>
      <c r="U849" t="str">
        <f>IF($H849&gt;$I849,"Green","Red")</f>
        <v>Red</v>
      </c>
      <c r="V849" t="str">
        <f>IF($H849=$I849,"Green","Red")</f>
        <v>Green</v>
      </c>
      <c r="W849" t="str">
        <f>IF($H849&lt;$I849,"Green","Red")</f>
        <v>Red</v>
      </c>
      <c r="X849" t="str">
        <f>IF($H849+$I849&gt;0,"Green","Red")</f>
        <v>Red</v>
      </c>
      <c r="Y849" t="str">
        <f>IF($J849+$K849&gt;1.5,"Green","Red")</f>
        <v>Green</v>
      </c>
      <c r="Z849" t="str">
        <f>IF($J849+$K849&gt;2.5,"Green","Red")</f>
        <v>Green</v>
      </c>
      <c r="AA849" t="str">
        <f>IF($J849+$K849&lt;2.5,"Green","Red")</f>
        <v>Red</v>
      </c>
      <c r="AB849" t="str">
        <f>IF($J849+$K849&lt;3.5,"Green","Red")</f>
        <v>Red</v>
      </c>
      <c r="AC849" t="str">
        <f>IF(AND($J849&gt;0,$K849&gt;0),"Green","Red")</f>
        <v>Green</v>
      </c>
      <c r="AD849" t="str">
        <f>IF(OR($J849=0,$K849=0),"Green","Red")</f>
        <v>Red</v>
      </c>
    </row>
    <row r="850" spans="1:30" x14ac:dyDescent="0.2">
      <c r="A850" t="str">
        <f>L850&amp;F850&amp;G850</f>
        <v>24/07/2026Houston Dash WomenFC Bay Area Women</v>
      </c>
      <c r="D850" s="2">
        <v>46228</v>
      </c>
      <c r="E850" s="3">
        <v>0</v>
      </c>
      <c r="F850" t="s">
        <v>2628</v>
      </c>
      <c r="G850" t="s">
        <v>2629</v>
      </c>
      <c r="H850">
        <v>0</v>
      </c>
      <c r="I850">
        <v>0</v>
      </c>
      <c r="J850">
        <v>1</v>
      </c>
      <c r="K850">
        <v>0</v>
      </c>
      <c r="L850" s="30" t="str">
        <f t="shared" si="0"/>
        <v>24/07/2026</v>
      </c>
      <c r="M850" s="31">
        <f t="shared" si="1"/>
        <v>0.875</v>
      </c>
      <c r="N850" t="str">
        <f>J850&amp;" - "&amp;K850</f>
        <v>1 - 0</v>
      </c>
      <c r="O850" t="str">
        <f>IF($J850&gt;$K850,"Green","Red")</f>
        <v>Green</v>
      </c>
      <c r="P850" t="str">
        <f>IF($J850=$K850,"Green","Red")</f>
        <v>Red</v>
      </c>
      <c r="Q850" t="str">
        <f>IF($J850&lt;$K850,"Green","Red")</f>
        <v>Red</v>
      </c>
      <c r="R850" t="str">
        <f>IF($J850&gt;=$K850,"Green","Red")</f>
        <v>Green</v>
      </c>
      <c r="S850" t="str">
        <f>IF($J850&lt;=$K850,"Green","Red")</f>
        <v>Red</v>
      </c>
      <c r="T850" t="str">
        <f>IF(OR($J850&gt;$K850,$J850&lt;$K850),"Green","Red")</f>
        <v>Green</v>
      </c>
      <c r="U850" t="str">
        <f>IF($H850&gt;$I850,"Green","Red")</f>
        <v>Red</v>
      </c>
      <c r="V850" t="str">
        <f>IF($H850=$I850,"Green","Red")</f>
        <v>Green</v>
      </c>
      <c r="W850" t="str">
        <f>IF($H850&lt;$I850,"Green","Red")</f>
        <v>Red</v>
      </c>
      <c r="X850" t="str">
        <f>IF($H850+$I850&gt;0,"Green","Red")</f>
        <v>Red</v>
      </c>
      <c r="Y850" t="str">
        <f>IF($J850+$K850&gt;1.5,"Green","Red")</f>
        <v>Red</v>
      </c>
      <c r="Z850" t="str">
        <f>IF($J850+$K850&gt;2.5,"Green","Red")</f>
        <v>Red</v>
      </c>
      <c r="AA850" t="str">
        <f>IF($J850+$K850&lt;2.5,"Green","Red")</f>
        <v>Green</v>
      </c>
      <c r="AB850" t="str">
        <f>IF($J850+$K850&lt;3.5,"Green","Red")</f>
        <v>Green</v>
      </c>
      <c r="AC850" t="str">
        <f>IF(AND($J850&gt;0,$K850&gt;0),"Green","Red")</f>
        <v>Red</v>
      </c>
      <c r="AD850" t="str">
        <f>IF(OR($J850=0,$K850=0),"Green","Red")</f>
        <v>Green</v>
      </c>
    </row>
    <row r="851" spans="1:30" x14ac:dyDescent="0.2">
      <c r="A851" t="str">
        <f>L851&amp;F851&amp;G851</f>
        <v>24/07/2026Orlando Pride WomenChicago Red Stars Women</v>
      </c>
      <c r="D851" s="2">
        <v>46228</v>
      </c>
      <c r="E851" s="3">
        <v>0</v>
      </c>
      <c r="F851" t="s">
        <v>2630</v>
      </c>
      <c r="G851" t="s">
        <v>2631</v>
      </c>
      <c r="H851">
        <v>0</v>
      </c>
      <c r="I851">
        <v>0</v>
      </c>
      <c r="J851">
        <v>1</v>
      </c>
      <c r="K851">
        <v>0</v>
      </c>
      <c r="L851" s="30" t="str">
        <f t="shared" si="0"/>
        <v>24/07/2026</v>
      </c>
      <c r="M851" s="31">
        <f t="shared" si="1"/>
        <v>0.875</v>
      </c>
      <c r="N851" t="str">
        <f>J851&amp;" - "&amp;K851</f>
        <v>1 - 0</v>
      </c>
      <c r="O851" t="str">
        <f>IF($J851&gt;$K851,"Green","Red")</f>
        <v>Green</v>
      </c>
      <c r="P851" t="str">
        <f>IF($J851=$K851,"Green","Red")</f>
        <v>Red</v>
      </c>
      <c r="Q851" t="str">
        <f>IF($J851&lt;$K851,"Green","Red")</f>
        <v>Red</v>
      </c>
      <c r="R851" t="str">
        <f>IF($J851&gt;=$K851,"Green","Red")</f>
        <v>Green</v>
      </c>
      <c r="S851" t="str">
        <f>IF($J851&lt;=$K851,"Green","Red")</f>
        <v>Red</v>
      </c>
      <c r="T851" t="str">
        <f>IF(OR($J851&gt;$K851,$J851&lt;$K851),"Green","Red")</f>
        <v>Green</v>
      </c>
      <c r="U851" t="str">
        <f>IF($H851&gt;$I851,"Green","Red")</f>
        <v>Red</v>
      </c>
      <c r="V851" t="str">
        <f>IF($H851=$I851,"Green","Red")</f>
        <v>Green</v>
      </c>
      <c r="W851" t="str">
        <f>IF($H851&lt;$I851,"Green","Red")</f>
        <v>Red</v>
      </c>
      <c r="X851" t="str">
        <f>IF($H851+$I851&gt;0,"Green","Red")</f>
        <v>Red</v>
      </c>
      <c r="Y851" t="str">
        <f>IF($J851+$K851&gt;1.5,"Green","Red")</f>
        <v>Red</v>
      </c>
      <c r="Z851" t="str">
        <f>IF($J851+$K851&gt;2.5,"Green","Red")</f>
        <v>Red</v>
      </c>
      <c r="AA851" t="str">
        <f>IF($J851+$K851&lt;2.5,"Green","Red")</f>
        <v>Green</v>
      </c>
      <c r="AB851" t="str">
        <f>IF($J851+$K851&lt;3.5,"Green","Red")</f>
        <v>Green</v>
      </c>
      <c r="AC851" t="str">
        <f>IF(AND($J851&gt;0,$K851&gt;0),"Green","Red")</f>
        <v>Red</v>
      </c>
      <c r="AD851" t="str">
        <f>IF(OR($J851=0,$K851=0),"Green","Red")</f>
        <v>Green</v>
      </c>
    </row>
    <row r="852" spans="1:30" x14ac:dyDescent="0.2">
      <c r="A852" t="str">
        <f>L852&amp;F852&amp;G852</f>
        <v>24/07/2026Atletico HuracanBanfield</v>
      </c>
      <c r="B852" t="s">
        <v>806</v>
      </c>
      <c r="C852" t="s">
        <v>2234</v>
      </c>
      <c r="D852" s="2">
        <v>46228</v>
      </c>
      <c r="E852" s="3">
        <v>1.0416666666666666E-2</v>
      </c>
      <c r="F852" t="s">
        <v>2240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0"/>
        <v>24/07/2026</v>
      </c>
      <c r="M852" s="31">
        <f t="shared" si="1"/>
        <v>0.88541666666666674</v>
      </c>
      <c r="N852" t="str">
        <f>J852&amp;" - "&amp;K852</f>
        <v>1 - 0</v>
      </c>
      <c r="O852" t="str">
        <f>IF($J852&gt;$K852,"Green","Red")</f>
        <v>Green</v>
      </c>
      <c r="P852" t="str">
        <f>IF($J852=$K852,"Green","Red")</f>
        <v>Red</v>
      </c>
      <c r="Q852" t="str">
        <f>IF($J852&lt;$K852,"Green","Red")</f>
        <v>Red</v>
      </c>
      <c r="R852" t="str">
        <f>IF($J852&gt;=$K852,"Green","Red")</f>
        <v>Green</v>
      </c>
      <c r="S852" t="str">
        <f>IF($J852&lt;=$K852,"Green","Red")</f>
        <v>Red</v>
      </c>
      <c r="T852" t="str">
        <f>IF(OR($J852&gt;$K852,$J852&lt;$K852),"Green","Red")</f>
        <v>Green</v>
      </c>
      <c r="U852" t="str">
        <f>IF($H852&gt;$I852,"Green","Red")</f>
        <v>Red</v>
      </c>
      <c r="V852" t="str">
        <f>IF($H852=$I852,"Green","Red")</f>
        <v>Green</v>
      </c>
      <c r="W852" t="str">
        <f>IF($H852&lt;$I852,"Green","Red")</f>
        <v>Red</v>
      </c>
      <c r="X852" t="str">
        <f>IF($H852+$I852&gt;0,"Green","Red")</f>
        <v>Red</v>
      </c>
      <c r="Y852" t="str">
        <f>IF($J852+$K852&gt;1.5,"Green","Red")</f>
        <v>Red</v>
      </c>
      <c r="Z852" t="str">
        <f>IF($J852+$K852&gt;2.5,"Green","Red")</f>
        <v>Red</v>
      </c>
      <c r="AA852" t="str">
        <f>IF($J852+$K852&lt;2.5,"Green","Red")</f>
        <v>Green</v>
      </c>
      <c r="AB852" t="str">
        <f>IF($J852+$K852&lt;3.5,"Green","Red")</f>
        <v>Green</v>
      </c>
      <c r="AC852" t="str">
        <f>IF(AND($J852&gt;0,$K852&gt;0),"Green","Red")</f>
        <v>Red</v>
      </c>
      <c r="AD852" t="str">
        <f>IF(OR($J852=0,$K852=0),"Green","Red")</f>
        <v>Green</v>
      </c>
    </row>
    <row r="853" spans="1:30" x14ac:dyDescent="0.2">
      <c r="A853" t="str">
        <f>L853&amp;F853&amp;G853</f>
        <v>24/07/2026CA PlatenseUnion de Santa Fe</v>
      </c>
      <c r="B853" t="s">
        <v>806</v>
      </c>
      <c r="C853" t="s">
        <v>2234</v>
      </c>
      <c r="D853" s="2">
        <v>46228</v>
      </c>
      <c r="E853" s="3">
        <v>1.0416666666666666E-2</v>
      </c>
      <c r="F853" t="s">
        <v>2241</v>
      </c>
      <c r="G853" t="s">
        <v>2242</v>
      </c>
      <c r="H853">
        <v>1</v>
      </c>
      <c r="I853">
        <v>0</v>
      </c>
      <c r="J853">
        <v>2</v>
      </c>
      <c r="K853">
        <v>2</v>
      </c>
      <c r="L853" s="30" t="str">
        <f t="shared" si="0"/>
        <v>24/07/2026</v>
      </c>
      <c r="M853" s="31">
        <f t="shared" si="1"/>
        <v>0.88541666666666674</v>
      </c>
      <c r="N853" t="str">
        <f>J853&amp;" - "&amp;K853</f>
        <v>2 - 2</v>
      </c>
      <c r="O853" t="str">
        <f>IF($J853&gt;$K853,"Green","Red")</f>
        <v>Red</v>
      </c>
      <c r="P853" t="str">
        <f>IF($J853=$K853,"Green","Red")</f>
        <v>Green</v>
      </c>
      <c r="Q853" t="str">
        <f>IF($J853&lt;$K853,"Green","Red")</f>
        <v>Red</v>
      </c>
      <c r="R853" t="str">
        <f>IF($J853&gt;=$K853,"Green","Red")</f>
        <v>Green</v>
      </c>
      <c r="S853" t="str">
        <f>IF($J853&lt;=$K853,"Green","Red")</f>
        <v>Green</v>
      </c>
      <c r="T853" t="str">
        <f>IF(OR($J853&gt;$K853,$J853&lt;$K853),"Green","Red")</f>
        <v>Red</v>
      </c>
      <c r="U853" t="str">
        <f>IF($H853&gt;$I853,"Green","Red")</f>
        <v>Green</v>
      </c>
      <c r="V853" t="str">
        <f>IF($H853=$I853,"Green","Red")</f>
        <v>Red</v>
      </c>
      <c r="W853" t="str">
        <f>IF($H853&lt;$I853,"Green","Red")</f>
        <v>Red</v>
      </c>
      <c r="X853" t="str">
        <f>IF($H853+$I853&gt;0,"Green","Red")</f>
        <v>Green</v>
      </c>
      <c r="Y853" t="str">
        <f>IF($J853+$K853&gt;1.5,"Green","Red")</f>
        <v>Green</v>
      </c>
      <c r="Z853" t="str">
        <f>IF($J853+$K853&gt;2.5,"Green","Red")</f>
        <v>Green</v>
      </c>
      <c r="AA853" t="str">
        <f>IF($J853+$K853&lt;2.5,"Green","Red")</f>
        <v>Red</v>
      </c>
      <c r="AB853" t="str">
        <f>IF($J853+$K853&lt;3.5,"Green","Red")</f>
        <v>Red</v>
      </c>
      <c r="AC853" t="str">
        <f>IF(AND($J853&gt;0,$K853&gt;0),"Green","Red")</f>
        <v>Green</v>
      </c>
      <c r="AD853" t="str">
        <f>IF(OR($J853=0,$K853=0),"Green","Red")</f>
        <v>Red</v>
      </c>
    </row>
    <row r="854" spans="1:30" x14ac:dyDescent="0.2">
      <c r="A854" t="str">
        <f>L854&amp;F854&amp;G854</f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0"/>
        <v>24/07/2026</v>
      </c>
      <c r="M854" s="31">
        <f t="shared" si="1"/>
        <v>0.89583333333333326</v>
      </c>
      <c r="N854" t="str">
        <f>J854&amp;" - "&amp;K854</f>
        <v>1 - 2</v>
      </c>
      <c r="O854" t="str">
        <f>IF($J854&gt;$K854,"Green","Red")</f>
        <v>Red</v>
      </c>
      <c r="P854" t="str">
        <f>IF($J854=$K854,"Green","Red")</f>
        <v>Red</v>
      </c>
      <c r="Q854" t="str">
        <f>IF($J854&lt;$K854,"Green","Red")</f>
        <v>Green</v>
      </c>
      <c r="R854" t="str">
        <f>IF($J854&gt;=$K854,"Green","Red")</f>
        <v>Red</v>
      </c>
      <c r="S854" t="str">
        <f>IF($J854&lt;=$K854,"Green","Red")</f>
        <v>Green</v>
      </c>
      <c r="T854" t="str">
        <f>IF(OR($J854&gt;$K854,$J854&lt;$K854),"Green","Red")</f>
        <v>Green</v>
      </c>
      <c r="U854" t="str">
        <f>IF($H854&gt;$I854,"Green","Red")</f>
        <v>Red</v>
      </c>
      <c r="V854" t="str">
        <f>IF($H854=$I854,"Green","Red")</f>
        <v>Green</v>
      </c>
      <c r="W854" t="str">
        <f>IF($H854&lt;$I854,"Green","Red")</f>
        <v>Red</v>
      </c>
      <c r="X854" t="str">
        <f>IF($H854+$I854&gt;0,"Green","Red")</f>
        <v>Green</v>
      </c>
      <c r="Y854" t="str">
        <f>IF($J854+$K854&gt;1.5,"Green","Red")</f>
        <v>Green</v>
      </c>
      <c r="Z854" t="str">
        <f>IF($J854+$K854&gt;2.5,"Green","Red")</f>
        <v>Green</v>
      </c>
      <c r="AA854" t="str">
        <f>IF($J854+$K854&lt;2.5,"Green","Red")</f>
        <v>Red</v>
      </c>
      <c r="AB854" t="str">
        <f>IF($J854+$K854&lt;3.5,"Green","Red")</f>
        <v>Green</v>
      </c>
      <c r="AC854" t="str">
        <f>IF(AND($J854&gt;0,$K854&gt;0),"Green","Red")</f>
        <v>Green</v>
      </c>
      <c r="AD854" t="str">
        <f>IF(OR($J854=0,$K854=0),"Green","Red")</f>
        <v>Red</v>
      </c>
    </row>
    <row r="855" spans="1:30" x14ac:dyDescent="0.2">
      <c r="A855" t="str">
        <f>L855&amp;F855&amp;G855</f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0"/>
        <v>24/07/2026</v>
      </c>
      <c r="M855" s="31">
        <f t="shared" si="1"/>
        <v>0.89583333333333326</v>
      </c>
      <c r="N855" t="str">
        <f>J855&amp;" - "&amp;K855</f>
        <v>3 - 1</v>
      </c>
      <c r="O855" t="str">
        <f>IF($J855&gt;$K855,"Green","Red")</f>
        <v>Green</v>
      </c>
      <c r="P855" t="str">
        <f>IF($J855=$K855,"Green","Red")</f>
        <v>Red</v>
      </c>
      <c r="Q855" t="str">
        <f>IF($J855&lt;$K855,"Green","Red")</f>
        <v>Red</v>
      </c>
      <c r="R855" t="str">
        <f>IF($J855&gt;=$K855,"Green","Red")</f>
        <v>Green</v>
      </c>
      <c r="S855" t="str">
        <f>IF($J855&lt;=$K855,"Green","Red")</f>
        <v>Red</v>
      </c>
      <c r="T855" t="str">
        <f>IF(OR($J855&gt;$K855,$J855&lt;$K855),"Green","Red")</f>
        <v>Green</v>
      </c>
      <c r="U855" t="str">
        <f>IF($H855&gt;$I855,"Green","Red")</f>
        <v>Red</v>
      </c>
      <c r="V855" t="str">
        <f>IF($H855=$I855,"Green","Red")</f>
        <v>Green</v>
      </c>
      <c r="W855" t="str">
        <f>IF($H855&lt;$I855,"Green","Red")</f>
        <v>Red</v>
      </c>
      <c r="X855" t="str">
        <f>IF($H855+$I855&gt;0,"Green","Red")</f>
        <v>Red</v>
      </c>
      <c r="Y855" t="str">
        <f>IF($J855+$K855&gt;1.5,"Green","Red")</f>
        <v>Green</v>
      </c>
      <c r="Z855" t="str">
        <f>IF($J855+$K855&gt;2.5,"Green","Red")</f>
        <v>Green</v>
      </c>
      <c r="AA855" t="str">
        <f>IF($J855+$K855&lt;2.5,"Green","Red")</f>
        <v>Red</v>
      </c>
      <c r="AB855" t="str">
        <f>IF($J855+$K855&lt;3.5,"Green","Red")</f>
        <v>Red</v>
      </c>
      <c r="AC855" t="str">
        <f>IF(AND($J855&gt;0,$K855&gt;0),"Green","Red")</f>
        <v>Green</v>
      </c>
      <c r="AD855" t="str">
        <f>IF(OR($J855=0,$K855=0),"Green","Red")</f>
        <v>Red</v>
      </c>
    </row>
    <row r="856" spans="1:30" x14ac:dyDescent="0.2">
      <c r="A856" t="str">
        <f>L856&amp;F856&amp;G856</f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0"/>
        <v>24/07/2026</v>
      </c>
      <c r="M856" s="31">
        <f t="shared" si="1"/>
        <v>0.89583333333333326</v>
      </c>
      <c r="N856" t="str">
        <f>J856&amp;" - "&amp;K856</f>
        <v>1 - 0</v>
      </c>
      <c r="O856" t="str">
        <f>IF($J856&gt;$K856,"Green","Red")</f>
        <v>Green</v>
      </c>
      <c r="P856" t="str">
        <f>IF($J856=$K856,"Green","Red")</f>
        <v>Red</v>
      </c>
      <c r="Q856" t="str">
        <f>IF($J856&lt;$K856,"Green","Red")</f>
        <v>Red</v>
      </c>
      <c r="R856" t="str">
        <f>IF($J856&gt;=$K856,"Green","Red")</f>
        <v>Green</v>
      </c>
      <c r="S856" t="str">
        <f>IF($J856&lt;=$K856,"Green","Red")</f>
        <v>Red</v>
      </c>
      <c r="T856" t="str">
        <f>IF(OR($J856&gt;$K856,$J856&lt;$K856),"Green","Red")</f>
        <v>Green</v>
      </c>
      <c r="U856" t="str">
        <f>IF($H856&gt;$I856,"Green","Red")</f>
        <v>Green</v>
      </c>
      <c r="V856" t="str">
        <f>IF($H856=$I856,"Green","Red")</f>
        <v>Red</v>
      </c>
      <c r="W856" t="str">
        <f>IF($H856&lt;$I856,"Green","Red")</f>
        <v>Red</v>
      </c>
      <c r="X856" t="str">
        <f>IF($H856+$I856&gt;0,"Green","Red")</f>
        <v>Green</v>
      </c>
      <c r="Y856" t="str">
        <f>IF($J856+$K856&gt;1.5,"Green","Red")</f>
        <v>Red</v>
      </c>
      <c r="Z856" t="str">
        <f>IF($J856+$K856&gt;2.5,"Green","Red")</f>
        <v>Red</v>
      </c>
      <c r="AA856" t="str">
        <f>IF($J856+$K856&lt;2.5,"Green","Red")</f>
        <v>Green</v>
      </c>
      <c r="AB856" t="str">
        <f>IF($J856+$K856&lt;3.5,"Green","Red")</f>
        <v>Green</v>
      </c>
      <c r="AC856" t="str">
        <f>IF(AND($J856&gt;0,$K856&gt;0),"Green","Red")</f>
        <v>Red</v>
      </c>
      <c r="AD856" t="str">
        <f>IF(OR($J856=0,$K856=0),"Green","Red")</f>
        <v>Green</v>
      </c>
    </row>
    <row r="857" spans="1:30" x14ac:dyDescent="0.2">
      <c r="A857" t="str">
        <f>L857&amp;F857&amp;G857</f>
        <v>24/07/2026Mineros De ZacatecasCorrecaminos UAT</v>
      </c>
      <c r="D857" s="2">
        <v>46228</v>
      </c>
      <c r="E857" s="3">
        <v>4.1666666666666664E-2</v>
      </c>
      <c r="F857" t="s">
        <v>2521</v>
      </c>
      <c r="G857" t="s">
        <v>2522</v>
      </c>
      <c r="H857">
        <v>1</v>
      </c>
      <c r="I857">
        <v>1</v>
      </c>
      <c r="J857">
        <v>3</v>
      </c>
      <c r="K857">
        <v>3</v>
      </c>
      <c r="L857" s="30" t="str">
        <f t="shared" si="0"/>
        <v>24/07/2026</v>
      </c>
      <c r="M857" s="31">
        <f t="shared" si="1"/>
        <v>0.91666666666666663</v>
      </c>
      <c r="N857" t="str">
        <f>J857&amp;" - "&amp;K857</f>
        <v>3 - 3</v>
      </c>
      <c r="O857" t="str">
        <f>IF($J857&gt;$K857,"Green","Red")</f>
        <v>Red</v>
      </c>
      <c r="P857" t="str">
        <f>IF($J857=$K857,"Green","Red")</f>
        <v>Green</v>
      </c>
      <c r="Q857" t="str">
        <f>IF($J857&lt;$K857,"Green","Red")</f>
        <v>Red</v>
      </c>
      <c r="R857" t="str">
        <f>IF($J857&gt;=$K857,"Green","Red")</f>
        <v>Green</v>
      </c>
      <c r="S857" t="str">
        <f>IF($J857&lt;=$K857,"Green","Red")</f>
        <v>Green</v>
      </c>
      <c r="T857" t="str">
        <f>IF(OR($J857&gt;$K857,$J857&lt;$K857),"Green","Red")</f>
        <v>Red</v>
      </c>
      <c r="U857" t="str">
        <f>IF($H857&gt;$I857,"Green","Red")</f>
        <v>Red</v>
      </c>
      <c r="V857" t="str">
        <f>IF($H857=$I857,"Green","Red")</f>
        <v>Green</v>
      </c>
      <c r="W857" t="str">
        <f>IF($H857&lt;$I857,"Green","Red")</f>
        <v>Red</v>
      </c>
      <c r="X857" t="str">
        <f>IF($H857+$I857&gt;0,"Green","Red")</f>
        <v>Green</v>
      </c>
      <c r="Y857" t="str">
        <f>IF($J857+$K857&gt;1.5,"Green","Red")</f>
        <v>Green</v>
      </c>
      <c r="Z857" t="str">
        <f>IF($J857+$K857&gt;2.5,"Green","Red")</f>
        <v>Green</v>
      </c>
      <c r="AA857" t="str">
        <f>IF($J857+$K857&lt;2.5,"Green","Red")</f>
        <v>Red</v>
      </c>
      <c r="AB857" t="str">
        <f>IF($J857+$K857&lt;3.5,"Green","Red")</f>
        <v>Red</v>
      </c>
      <c r="AC857" t="str">
        <f>IF(AND($J857&gt;0,$K857&gt;0),"Green","Red")</f>
        <v>Green</v>
      </c>
      <c r="AD857" t="str">
        <f>IF(OR($J857=0,$K857=0),"Green","Red")</f>
        <v>Red</v>
      </c>
    </row>
    <row r="858" spans="1:30" x14ac:dyDescent="0.2">
      <c r="A858" t="str">
        <f>L858&amp;F858&amp;G858</f>
        <v>24/07/2026Tepatitlan de MorelosAlacranes de Durango</v>
      </c>
      <c r="D858" s="2">
        <v>46228</v>
      </c>
      <c r="E858" s="3">
        <v>4.1666666666666664E-2</v>
      </c>
      <c r="F858" t="s">
        <v>2523</v>
      </c>
      <c r="G858" t="s">
        <v>2524</v>
      </c>
      <c r="H858">
        <v>0</v>
      </c>
      <c r="I858">
        <v>0</v>
      </c>
      <c r="J858">
        <v>0</v>
      </c>
      <c r="K858">
        <v>1</v>
      </c>
      <c r="L858" s="30" t="str">
        <f t="shared" si="0"/>
        <v>24/07/2026</v>
      </c>
      <c r="M858" s="31">
        <f t="shared" si="1"/>
        <v>0.91666666666666663</v>
      </c>
      <c r="N858" t="str">
        <f>J858&amp;" - "&amp;K858</f>
        <v>0 - 1</v>
      </c>
      <c r="O858" t="str">
        <f>IF($J858&gt;$K858,"Green","Red")</f>
        <v>Red</v>
      </c>
      <c r="P858" t="str">
        <f>IF($J858=$K858,"Green","Red")</f>
        <v>Red</v>
      </c>
      <c r="Q858" t="str">
        <f>IF($J858&lt;$K858,"Green","Red")</f>
        <v>Green</v>
      </c>
      <c r="R858" t="str">
        <f>IF($J858&gt;=$K858,"Green","Red")</f>
        <v>Red</v>
      </c>
      <c r="S858" t="str">
        <f>IF($J858&lt;=$K858,"Green","Red")</f>
        <v>Green</v>
      </c>
      <c r="T858" t="str">
        <f>IF(OR($J858&gt;$K858,$J858&lt;$K858),"Green","Red")</f>
        <v>Green</v>
      </c>
      <c r="U858" t="str">
        <f>IF($H858&gt;$I858,"Green","Red")</f>
        <v>Red</v>
      </c>
      <c r="V858" t="str">
        <f>IF($H858=$I858,"Green","Red")</f>
        <v>Green</v>
      </c>
      <c r="W858" t="str">
        <f>IF($H858&lt;$I858,"Green","Red")</f>
        <v>Red</v>
      </c>
      <c r="X858" t="str">
        <f>IF($H858+$I858&gt;0,"Green","Red")</f>
        <v>Red</v>
      </c>
      <c r="Y858" t="str">
        <f>IF($J858+$K858&gt;1.5,"Green","Red")</f>
        <v>Red</v>
      </c>
      <c r="Z858" t="str">
        <f>IF($J858+$K858&gt;2.5,"Green","Red")</f>
        <v>Red</v>
      </c>
      <c r="AA858" t="str">
        <f>IF($J858+$K858&lt;2.5,"Green","Red")</f>
        <v>Green</v>
      </c>
      <c r="AB858" t="str">
        <f>IF($J858+$K858&lt;3.5,"Green","Red")</f>
        <v>Green</v>
      </c>
      <c r="AC858" t="str">
        <f>IF(AND($J858&gt;0,$K858&gt;0),"Green","Red")</f>
        <v>Red</v>
      </c>
      <c r="AD858" t="str">
        <f>IF(OR($J858=0,$K858=0),"Green","Red")</f>
        <v>Green</v>
      </c>
    </row>
    <row r="859" spans="1:30" x14ac:dyDescent="0.2">
      <c r="A859" t="str">
        <f>L859&amp;F859&amp;G859</f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2400</v>
      </c>
      <c r="H859">
        <v>0</v>
      </c>
      <c r="I859">
        <v>0</v>
      </c>
      <c r="J859">
        <v>2</v>
      </c>
      <c r="K859">
        <v>0</v>
      </c>
      <c r="L859" s="30" t="str">
        <f t="shared" si="0"/>
        <v>24/07/2026</v>
      </c>
      <c r="M859" s="31">
        <f t="shared" si="1"/>
        <v>0.92708333333333337</v>
      </c>
      <c r="N859" t="str">
        <f>J859&amp;" - "&amp;K859</f>
        <v>2 - 0</v>
      </c>
      <c r="O859" t="str">
        <f>IF($J859&gt;$K859,"Green","Red")</f>
        <v>Green</v>
      </c>
      <c r="P859" t="str">
        <f>IF($J859=$K859,"Green","Red")</f>
        <v>Red</v>
      </c>
      <c r="Q859" t="str">
        <f>IF($J859&lt;$K859,"Green","Red")</f>
        <v>Red</v>
      </c>
      <c r="R859" t="str">
        <f>IF($J859&gt;=$K859,"Green","Red")</f>
        <v>Green</v>
      </c>
      <c r="S859" t="str">
        <f>IF($J859&lt;=$K859,"Green","Red")</f>
        <v>Red</v>
      </c>
      <c r="T859" t="str">
        <f>IF(OR($J859&gt;$K859,$J859&lt;$K859),"Green","Red")</f>
        <v>Green</v>
      </c>
      <c r="U859" t="str">
        <f>IF($H859&gt;$I859,"Green","Red")</f>
        <v>Red</v>
      </c>
      <c r="V859" t="str">
        <f>IF($H859=$I859,"Green","Red")</f>
        <v>Green</v>
      </c>
      <c r="W859" t="str">
        <f>IF($H859&lt;$I859,"Green","Red")</f>
        <v>Red</v>
      </c>
      <c r="X859" t="str">
        <f>IF($H859+$I859&gt;0,"Green","Red")</f>
        <v>Red</v>
      </c>
      <c r="Y859" t="str">
        <f>IF($J859+$K859&gt;1.5,"Green","Red")</f>
        <v>Green</v>
      </c>
      <c r="Z859" t="str">
        <f>IF($J859+$K859&gt;2.5,"Green","Red")</f>
        <v>Red</v>
      </c>
      <c r="AA859" t="str">
        <f>IF($J859+$K859&lt;2.5,"Green","Red")</f>
        <v>Green</v>
      </c>
      <c r="AB859" t="str">
        <f>IF($J859+$K859&lt;3.5,"Green","Red")</f>
        <v>Green</v>
      </c>
      <c r="AC859" t="str">
        <f>IF(AND($J859&gt;0,$K859&gt;0),"Green","Red")</f>
        <v>Red</v>
      </c>
      <c r="AD859" t="str">
        <f>IF(OR($J859=0,$K859=0),"Green","Red")</f>
        <v>Green</v>
      </c>
    </row>
    <row r="860" spans="1:30" x14ac:dyDescent="0.2">
      <c r="A860" t="str">
        <f>L860&amp;F860&amp;G860</f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2285</v>
      </c>
      <c r="G860" t="s">
        <v>2286</v>
      </c>
      <c r="H860">
        <v>0</v>
      </c>
      <c r="I860">
        <v>0</v>
      </c>
      <c r="J860">
        <v>2</v>
      </c>
      <c r="K860">
        <v>1</v>
      </c>
      <c r="L860" s="30" t="str">
        <f t="shared" si="0"/>
        <v>24/07/2026</v>
      </c>
      <c r="M860" s="31">
        <f t="shared" si="1"/>
        <v>0.9375</v>
      </c>
      <c r="N860" t="str">
        <f>J860&amp;" - "&amp;K860</f>
        <v>2 - 1</v>
      </c>
      <c r="O860" t="str">
        <f>IF($J860&gt;$K860,"Green","Red")</f>
        <v>Green</v>
      </c>
      <c r="P860" t="str">
        <f>IF($J860=$K860,"Green","Red")</f>
        <v>Red</v>
      </c>
      <c r="Q860" t="str">
        <f>IF($J860&lt;$K860,"Green","Red")</f>
        <v>Red</v>
      </c>
      <c r="R860" t="str">
        <f>IF($J860&gt;=$K860,"Green","Red")</f>
        <v>Green</v>
      </c>
      <c r="S860" t="str">
        <f>IF($J860&lt;=$K860,"Green","Red")</f>
        <v>Red</v>
      </c>
      <c r="T860" t="str">
        <f>IF(OR($J860&gt;$K860,$J860&lt;$K860),"Green","Red")</f>
        <v>Green</v>
      </c>
      <c r="U860" t="str">
        <f>IF($H860&gt;$I860,"Green","Red")</f>
        <v>Red</v>
      </c>
      <c r="V860" t="str">
        <f>IF($H860=$I860,"Green","Red")</f>
        <v>Green</v>
      </c>
      <c r="W860" t="str">
        <f>IF($H860&lt;$I860,"Green","Red")</f>
        <v>Red</v>
      </c>
      <c r="X860" t="str">
        <f>IF($H860+$I860&gt;0,"Green","Red")</f>
        <v>Red</v>
      </c>
      <c r="Y860" t="str">
        <f>IF($J860+$K860&gt;1.5,"Green","Red")</f>
        <v>Green</v>
      </c>
      <c r="Z860" t="str">
        <f>IF($J860+$K860&gt;2.5,"Green","Red")</f>
        <v>Green</v>
      </c>
      <c r="AA860" t="str">
        <f>IF($J860+$K860&lt;2.5,"Green","Red")</f>
        <v>Red</v>
      </c>
      <c r="AB860" t="str">
        <f>IF($J860+$K860&lt;3.5,"Green","Red")</f>
        <v>Green</v>
      </c>
      <c r="AC860" t="str">
        <f>IF(AND($J860&gt;0,$K860&gt;0),"Green","Red")</f>
        <v>Green</v>
      </c>
      <c r="AD860" t="str">
        <f>IF(OR($J860=0,$K860=0),"Green","Red")</f>
        <v>Red</v>
      </c>
    </row>
    <row r="861" spans="1:30" x14ac:dyDescent="0.2">
      <c r="A861" t="str">
        <f>L861&amp;F861&amp;G861</f>
        <v>24/07/2026CD FASMunicipal Limeno</v>
      </c>
      <c r="D861" s="2">
        <v>46228</v>
      </c>
      <c r="E861" s="3">
        <v>6.25E-2</v>
      </c>
      <c r="F861" t="s">
        <v>2426</v>
      </c>
      <c r="G861" t="s">
        <v>2427</v>
      </c>
      <c r="H861">
        <v>0</v>
      </c>
      <c r="I861">
        <v>1</v>
      </c>
      <c r="J861">
        <v>3</v>
      </c>
      <c r="K861">
        <v>1</v>
      </c>
      <c r="L861" s="30" t="str">
        <f t="shared" si="0"/>
        <v>24/07/2026</v>
      </c>
      <c r="M861" s="31">
        <f t="shared" si="1"/>
        <v>0.9375</v>
      </c>
      <c r="N861" t="str">
        <f>J861&amp;" - "&amp;K861</f>
        <v>3 - 1</v>
      </c>
      <c r="O861" t="str">
        <f>IF($J861&gt;$K861,"Green","Red")</f>
        <v>Green</v>
      </c>
      <c r="P861" t="str">
        <f>IF($J861=$K861,"Green","Red")</f>
        <v>Red</v>
      </c>
      <c r="Q861" t="str">
        <f>IF($J861&lt;$K861,"Green","Red")</f>
        <v>Red</v>
      </c>
      <c r="R861" t="str">
        <f>IF($J861&gt;=$K861,"Green","Red")</f>
        <v>Green</v>
      </c>
      <c r="S861" t="str">
        <f>IF($J861&lt;=$K861,"Green","Red")</f>
        <v>Red</v>
      </c>
      <c r="T861" t="str">
        <f>IF(OR($J861&gt;$K861,$J861&lt;$K861),"Green","Red")</f>
        <v>Green</v>
      </c>
      <c r="U861" t="str">
        <f>IF($H861&gt;$I861,"Green","Red")</f>
        <v>Red</v>
      </c>
      <c r="V861" t="str">
        <f>IF($H861=$I861,"Green","Red")</f>
        <v>Red</v>
      </c>
      <c r="W861" t="str">
        <f>IF($H861&lt;$I861,"Green","Red")</f>
        <v>Green</v>
      </c>
      <c r="X861" t="str">
        <f>IF($H861+$I861&gt;0,"Green","Red")</f>
        <v>Green</v>
      </c>
      <c r="Y861" t="str">
        <f>IF($J861+$K861&gt;1.5,"Green","Red")</f>
        <v>Green</v>
      </c>
      <c r="Z861" t="str">
        <f>IF($J861+$K861&gt;2.5,"Green","Red")</f>
        <v>Green</v>
      </c>
      <c r="AA861" t="str">
        <f>IF($J861+$K861&lt;2.5,"Green","Red")</f>
        <v>Red</v>
      </c>
      <c r="AB861" t="str">
        <f>IF($J861+$K861&lt;3.5,"Green","Red")</f>
        <v>Red</v>
      </c>
      <c r="AC861" t="str">
        <f>IF(AND($J861&gt;0,$K861&gt;0),"Green","Red")</f>
        <v>Green</v>
      </c>
      <c r="AD861" t="str">
        <f>IF(OR($J861=0,$K861=0),"Green","Red")</f>
        <v>Red</v>
      </c>
    </row>
    <row r="862" spans="1:30" x14ac:dyDescent="0.2">
      <c r="A862" t="str">
        <f>L862&amp;F862&amp;G862</f>
        <v>24/07/2026Eastern Suburbs NPL WomenAuckland United Women</v>
      </c>
      <c r="D862" s="2">
        <v>46228</v>
      </c>
      <c r="E862" s="3">
        <v>6.25E-2</v>
      </c>
      <c r="F862" t="s">
        <v>2531</v>
      </c>
      <c r="G862" t="s">
        <v>2532</v>
      </c>
      <c r="L862" s="30" t="str">
        <f t="shared" si="0"/>
        <v>24/07/2026</v>
      </c>
      <c r="M862" s="31">
        <f t="shared" si="1"/>
        <v>0.9375</v>
      </c>
      <c r="N862" t="str">
        <f>J862&amp;" - "&amp;K862</f>
        <v xml:space="preserve"> - </v>
      </c>
      <c r="O862" t="str">
        <f>IF($J862&gt;$K862,"Green","Red")</f>
        <v>Red</v>
      </c>
      <c r="P862" t="str">
        <f>IF($J862=$K862,"Green","Red")</f>
        <v>Green</v>
      </c>
      <c r="Q862" t="str">
        <f>IF($J862&lt;$K862,"Green","Red")</f>
        <v>Red</v>
      </c>
      <c r="R862" t="str">
        <f>IF($J862&gt;=$K862,"Green","Red")</f>
        <v>Green</v>
      </c>
      <c r="S862" t="str">
        <f>IF($J862&lt;=$K862,"Green","Red")</f>
        <v>Green</v>
      </c>
      <c r="T862" t="str">
        <f>IF(OR($J862&gt;$K862,$J862&lt;$K862),"Green","Red")</f>
        <v>Red</v>
      </c>
      <c r="U862" t="str">
        <f>IF($H862&gt;$I862,"Green","Red")</f>
        <v>Red</v>
      </c>
      <c r="V862" t="str">
        <f>IF($H862=$I862,"Green","Red")</f>
        <v>Green</v>
      </c>
      <c r="W862" t="str">
        <f>IF($H862&lt;$I862,"Green","Red")</f>
        <v>Red</v>
      </c>
      <c r="X862" t="str">
        <f>IF($H862+$I862&gt;0,"Green","Red")</f>
        <v>Red</v>
      </c>
      <c r="Y862" t="str">
        <f>IF($J862+$K862&gt;1.5,"Green","Red")</f>
        <v>Red</v>
      </c>
      <c r="Z862" t="str">
        <f>IF($J862+$K862&gt;2.5,"Green","Red")</f>
        <v>Red</v>
      </c>
      <c r="AA862" t="str">
        <f>IF($J862+$K862&lt;2.5,"Green","Red")</f>
        <v>Green</v>
      </c>
      <c r="AB862" t="str">
        <f>IF($J862+$K862&lt;3.5,"Green","Red")</f>
        <v>Green</v>
      </c>
      <c r="AC862" t="str">
        <f>IF(AND($J862&gt;0,$K862&gt;0),"Green","Red")</f>
        <v>Red</v>
      </c>
      <c r="AD862" t="str">
        <f>IF(OR($J862=0,$K862=0),"Green","Red")</f>
        <v>Green</v>
      </c>
    </row>
    <row r="863" spans="1:30" x14ac:dyDescent="0.2">
      <c r="A863" t="str">
        <f>L863&amp;F863&amp;G863</f>
        <v>24/07/2026Arabe UnidoPlaza Amador</v>
      </c>
      <c r="D863" s="2">
        <v>46228</v>
      </c>
      <c r="E863" s="3">
        <v>6.25E-2</v>
      </c>
      <c r="F863" t="s">
        <v>2546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0"/>
        <v>24/07/2026</v>
      </c>
      <c r="M863" s="31">
        <f t="shared" si="1"/>
        <v>0.9375</v>
      </c>
      <c r="N863" t="str">
        <f>J863&amp;" - "&amp;K863</f>
        <v>2 - 2</v>
      </c>
      <c r="O863" t="str">
        <f>IF($J863&gt;$K863,"Green","Red")</f>
        <v>Red</v>
      </c>
      <c r="P863" t="str">
        <f>IF($J863=$K863,"Green","Red")</f>
        <v>Green</v>
      </c>
      <c r="Q863" t="str">
        <f>IF($J863&lt;$K863,"Green","Red")</f>
        <v>Red</v>
      </c>
      <c r="R863" t="str">
        <f>IF($J863&gt;=$K863,"Green","Red")</f>
        <v>Green</v>
      </c>
      <c r="S863" t="str">
        <f>IF($J863&lt;=$K863,"Green","Red")</f>
        <v>Green</v>
      </c>
      <c r="T863" t="str">
        <f>IF(OR($J863&gt;$K863,$J863&lt;$K863),"Green","Red")</f>
        <v>Red</v>
      </c>
      <c r="U863" t="str">
        <f>IF($H863&gt;$I863,"Green","Red")</f>
        <v>Green</v>
      </c>
      <c r="V863" t="str">
        <f>IF($H863=$I863,"Green","Red")</f>
        <v>Red</v>
      </c>
      <c r="W863" t="str">
        <f>IF($H863&lt;$I863,"Green","Red")</f>
        <v>Red</v>
      </c>
      <c r="X863" t="str">
        <f>IF($H863+$I863&gt;0,"Green","Red")</f>
        <v>Green</v>
      </c>
      <c r="Y863" t="str">
        <f>IF($J863+$K863&gt;1.5,"Green","Red")</f>
        <v>Green</v>
      </c>
      <c r="Z863" t="str">
        <f>IF($J863+$K863&gt;2.5,"Green","Red")</f>
        <v>Green</v>
      </c>
      <c r="AA863" t="str">
        <f>IF($J863+$K863&lt;2.5,"Green","Red")</f>
        <v>Red</v>
      </c>
      <c r="AB863" t="str">
        <f>IF($J863+$K863&lt;3.5,"Green","Red")</f>
        <v>Red</v>
      </c>
      <c r="AC863" t="str">
        <f>IF(AND($J863&gt;0,$K863&gt;0),"Green","Red")</f>
        <v>Green</v>
      </c>
      <c r="AD863" t="str">
        <f>IF(OR($J863=0,$K863=0),"Green","Red")</f>
        <v>Red</v>
      </c>
    </row>
    <row r="864" spans="1:30" x14ac:dyDescent="0.2">
      <c r="A864" t="str">
        <f>L864&amp;F864&amp;G864</f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0"/>
        <v>24/07/2026</v>
      </c>
      <c r="M864" s="31">
        <f t="shared" si="1"/>
        <v>0.9375</v>
      </c>
      <c r="N864" t="str">
        <f>J864&amp;" - "&amp;K864</f>
        <v>2 - 1</v>
      </c>
      <c r="O864" t="str">
        <f>IF($J864&gt;$K864,"Green","Red")</f>
        <v>Green</v>
      </c>
      <c r="P864" t="str">
        <f>IF($J864=$K864,"Green","Red")</f>
        <v>Red</v>
      </c>
      <c r="Q864" t="str">
        <f>IF($J864&lt;$K864,"Green","Red")</f>
        <v>Red</v>
      </c>
      <c r="R864" t="str">
        <f>IF($J864&gt;=$K864,"Green","Red")</f>
        <v>Green</v>
      </c>
      <c r="S864" t="str">
        <f>IF($J864&lt;=$K864,"Green","Red")</f>
        <v>Red</v>
      </c>
      <c r="T864" t="str">
        <f>IF(OR($J864&gt;$K864,$J864&lt;$K864),"Green","Red")</f>
        <v>Green</v>
      </c>
      <c r="U864" t="str">
        <f>IF($H864&gt;$I864,"Green","Red")</f>
        <v>Green</v>
      </c>
      <c r="V864" t="str">
        <f>IF($H864=$I864,"Green","Red")</f>
        <v>Red</v>
      </c>
      <c r="W864" t="str">
        <f>IF($H864&lt;$I864,"Green","Red")</f>
        <v>Red</v>
      </c>
      <c r="X864" t="str">
        <f>IF($H864+$I864&gt;0,"Green","Red")</f>
        <v>Green</v>
      </c>
      <c r="Y864" t="str">
        <f>IF($J864+$K864&gt;1.5,"Green","Red")</f>
        <v>Green</v>
      </c>
      <c r="Z864" t="str">
        <f>IF($J864+$K864&gt;2.5,"Green","Red")</f>
        <v>Green</v>
      </c>
      <c r="AA864" t="str">
        <f>IF($J864+$K864&lt;2.5,"Green","Red")</f>
        <v>Red</v>
      </c>
      <c r="AB864" t="str">
        <f>IF($J864+$K864&lt;3.5,"Green","Red")</f>
        <v>Green</v>
      </c>
      <c r="AC864" t="str">
        <f>IF(AND($J864&gt;0,$K864&gt;0),"Green","Red")</f>
        <v>Green</v>
      </c>
      <c r="AD864" t="str">
        <f>IF(OR($J864=0,$K864=0),"Green","Red")</f>
        <v>Red</v>
      </c>
    </row>
    <row r="865" spans="1:30" x14ac:dyDescent="0.2">
      <c r="A865" t="str">
        <f>L865&amp;F865&amp;G865</f>
        <v>24/07/2026Laredo Heat SCFort Lauderdale United</v>
      </c>
      <c r="D865" s="2">
        <v>46228</v>
      </c>
      <c r="E865" s="3">
        <v>6.25E-2</v>
      </c>
      <c r="F865" t="s">
        <v>2626</v>
      </c>
      <c r="G865" t="s">
        <v>2627</v>
      </c>
      <c r="H865">
        <v>0</v>
      </c>
      <c r="I865">
        <v>0</v>
      </c>
      <c r="J865">
        <v>1</v>
      </c>
      <c r="K865">
        <v>1</v>
      </c>
      <c r="L865" s="30" t="str">
        <f t="shared" si="0"/>
        <v>24/07/2026</v>
      </c>
      <c r="M865" s="31">
        <f t="shared" si="1"/>
        <v>0.9375</v>
      </c>
      <c r="N865" t="str">
        <f>J865&amp;" - "&amp;K865</f>
        <v>1 - 1</v>
      </c>
      <c r="O865" t="str">
        <f>IF($J865&gt;$K865,"Green","Red")</f>
        <v>Red</v>
      </c>
      <c r="P865" t="str">
        <f>IF($J865=$K865,"Green","Red")</f>
        <v>Green</v>
      </c>
      <c r="Q865" t="str">
        <f>IF($J865&lt;$K865,"Green","Red")</f>
        <v>Red</v>
      </c>
      <c r="R865" t="str">
        <f>IF($J865&gt;=$K865,"Green","Red")</f>
        <v>Green</v>
      </c>
      <c r="S865" t="str">
        <f>IF($J865&lt;=$K865,"Green","Red")</f>
        <v>Green</v>
      </c>
      <c r="T865" t="str">
        <f>IF(OR($J865&gt;$K865,$J865&lt;$K865),"Green","Red")</f>
        <v>Red</v>
      </c>
      <c r="U865" t="str">
        <f>IF($H865&gt;$I865,"Green","Red")</f>
        <v>Red</v>
      </c>
      <c r="V865" t="str">
        <f>IF($H865=$I865,"Green","Red")</f>
        <v>Green</v>
      </c>
      <c r="W865" t="str">
        <f>IF($H865&lt;$I865,"Green","Red")</f>
        <v>Red</v>
      </c>
      <c r="X865" t="str">
        <f>IF($H865+$I865&gt;0,"Green","Red")</f>
        <v>Red</v>
      </c>
      <c r="Y865" t="str">
        <f>IF($J865+$K865&gt;1.5,"Green","Red")</f>
        <v>Green</v>
      </c>
      <c r="Z865" t="str">
        <f>IF($J865+$K865&gt;2.5,"Green","Red")</f>
        <v>Red</v>
      </c>
      <c r="AA865" t="str">
        <f>IF($J865+$K865&lt;2.5,"Green","Red")</f>
        <v>Green</v>
      </c>
      <c r="AB865" t="str">
        <f>IF($J865+$K865&lt;3.5,"Green","Red")</f>
        <v>Green</v>
      </c>
      <c r="AC865" t="str">
        <f>IF(AND($J865&gt;0,$K865&gt;0),"Green","Red")</f>
        <v>Green</v>
      </c>
      <c r="AD865" t="str">
        <f>IF(OR($J865=0,$K865=0),"Green","Red")</f>
        <v>Red</v>
      </c>
    </row>
    <row r="866" spans="1:30" x14ac:dyDescent="0.2">
      <c r="A866" t="str">
        <f>L866&amp;F866&amp;G866</f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2283</v>
      </c>
      <c r="G866" t="s">
        <v>2284</v>
      </c>
      <c r="H866">
        <v>1</v>
      </c>
      <c r="I866">
        <v>3</v>
      </c>
      <c r="J866">
        <v>1</v>
      </c>
      <c r="K866">
        <v>5</v>
      </c>
      <c r="L866" s="30" t="str">
        <f t="shared" si="0"/>
        <v>24/07/2026</v>
      </c>
      <c r="M866" s="31">
        <f t="shared" si="1"/>
        <v>0.95833333333333326</v>
      </c>
      <c r="N866" t="str">
        <f>J866&amp;" - "&amp;K866</f>
        <v>1 - 5</v>
      </c>
      <c r="O866" t="str">
        <f>IF($J866&gt;$K866,"Green","Red")</f>
        <v>Red</v>
      </c>
      <c r="P866" t="str">
        <f>IF($J866=$K866,"Green","Red")</f>
        <v>Red</v>
      </c>
      <c r="Q866" t="str">
        <f>IF($J866&lt;$K866,"Green","Red")</f>
        <v>Green</v>
      </c>
      <c r="R866" t="str">
        <f>IF($J866&gt;=$K866,"Green","Red")</f>
        <v>Red</v>
      </c>
      <c r="S866" t="str">
        <f>IF($J866&lt;=$K866,"Green","Red")</f>
        <v>Green</v>
      </c>
      <c r="T866" t="str">
        <f>IF(OR($J866&gt;$K866,$J866&lt;$K866),"Green","Red")</f>
        <v>Green</v>
      </c>
      <c r="U866" t="str">
        <f>IF($H866&gt;$I866,"Green","Red")</f>
        <v>Red</v>
      </c>
      <c r="V866" t="str">
        <f>IF($H866=$I866,"Green","Red")</f>
        <v>Red</v>
      </c>
      <c r="W866" t="str">
        <f>IF($H866&lt;$I866,"Green","Red")</f>
        <v>Green</v>
      </c>
      <c r="X866" t="str">
        <f>IF($H866+$I866&gt;0,"Green","Red")</f>
        <v>Green</v>
      </c>
      <c r="Y866" t="str">
        <f>IF($J866+$K866&gt;1.5,"Green","Red")</f>
        <v>Green</v>
      </c>
      <c r="Z866" t="str">
        <f>IF($J866+$K866&gt;2.5,"Green","Red")</f>
        <v>Green</v>
      </c>
      <c r="AA866" t="str">
        <f>IF($J866+$K866&lt;2.5,"Green","Red")</f>
        <v>Red</v>
      </c>
      <c r="AB866" t="str">
        <f>IF($J866+$K866&lt;3.5,"Green","Red")</f>
        <v>Red</v>
      </c>
      <c r="AC866" t="str">
        <f>IF(AND($J866&gt;0,$K866&gt;0),"Green","Red")</f>
        <v>Green</v>
      </c>
      <c r="AD866" t="str">
        <f>IF(OR($J866=0,$K866=0),"Green","Red")</f>
        <v>Red</v>
      </c>
    </row>
    <row r="867" spans="1:30" x14ac:dyDescent="0.2">
      <c r="A867" t="str">
        <f>L867&amp;F867&amp;G867</f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2287</v>
      </c>
      <c r="G867" t="s">
        <v>2288</v>
      </c>
      <c r="L867" s="30" t="str">
        <f t="shared" si="0"/>
        <v>24/07/2026</v>
      </c>
      <c r="M867" s="31">
        <f t="shared" si="1"/>
        <v>0.95833333333333326</v>
      </c>
      <c r="N867" t="str">
        <f>J867&amp;" - "&amp;K867</f>
        <v xml:space="preserve"> - </v>
      </c>
      <c r="O867" t="str">
        <f>IF($J867&gt;$K867,"Green","Red")</f>
        <v>Red</v>
      </c>
      <c r="P867" t="str">
        <f>IF($J867=$K867,"Green","Red")</f>
        <v>Green</v>
      </c>
      <c r="Q867" t="str">
        <f>IF($J867&lt;$K867,"Green","Red")</f>
        <v>Red</v>
      </c>
      <c r="R867" t="str">
        <f>IF($J867&gt;=$K867,"Green","Red")</f>
        <v>Green</v>
      </c>
      <c r="S867" t="str">
        <f>IF($J867&lt;=$K867,"Green","Red")</f>
        <v>Green</v>
      </c>
      <c r="T867" t="str">
        <f>IF(OR($J867&gt;$K867,$J867&lt;$K867),"Green","Red")</f>
        <v>Red</v>
      </c>
      <c r="U867" t="str">
        <f>IF($H867&gt;$I867,"Green","Red")</f>
        <v>Red</v>
      </c>
      <c r="V867" t="str">
        <f>IF($H867=$I867,"Green","Red")</f>
        <v>Green</v>
      </c>
      <c r="W867" t="str">
        <f>IF($H867&lt;$I867,"Green","Red")</f>
        <v>Red</v>
      </c>
      <c r="X867" t="str">
        <f>IF($H867+$I867&gt;0,"Green","Red")</f>
        <v>Red</v>
      </c>
      <c r="Y867" t="str">
        <f>IF($J867+$K867&gt;1.5,"Green","Red")</f>
        <v>Red</v>
      </c>
      <c r="Z867" t="str">
        <f>IF($J867+$K867&gt;2.5,"Green","Red")</f>
        <v>Red</v>
      </c>
      <c r="AA867" t="str">
        <f>IF($J867+$K867&lt;2.5,"Green","Red")</f>
        <v>Green</v>
      </c>
      <c r="AB867" t="str">
        <f>IF($J867+$K867&lt;3.5,"Green","Red")</f>
        <v>Green</v>
      </c>
      <c r="AC867" t="str">
        <f>IF(AND($J867&gt;0,$K867&gt;0),"Green","Red")</f>
        <v>Red</v>
      </c>
      <c r="AD867" t="str">
        <f>IF(OR($J867=0,$K867=0),"Green","Red")</f>
        <v>Green</v>
      </c>
    </row>
    <row r="868" spans="1:30" x14ac:dyDescent="0.2">
      <c r="A868" t="str">
        <f>L868&amp;F868&amp;G868</f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2328</v>
      </c>
      <c r="G868" t="s">
        <v>2329</v>
      </c>
      <c r="H868">
        <v>0</v>
      </c>
      <c r="I868">
        <v>0</v>
      </c>
      <c r="J868">
        <v>1</v>
      </c>
      <c r="K868">
        <v>3</v>
      </c>
      <c r="L868" s="30" t="str">
        <f t="shared" si="0"/>
        <v>24/07/2026</v>
      </c>
      <c r="M868" s="31">
        <f t="shared" si="1"/>
        <v>0.95833333333333326</v>
      </c>
      <c r="N868" t="str">
        <f>J868&amp;" - "&amp;K868</f>
        <v>1 - 3</v>
      </c>
      <c r="O868" t="str">
        <f>IF($J868&gt;$K868,"Green","Red")</f>
        <v>Red</v>
      </c>
      <c r="P868" t="str">
        <f>IF($J868=$K868,"Green","Red")</f>
        <v>Red</v>
      </c>
      <c r="Q868" t="str">
        <f>IF($J868&lt;$K868,"Green","Red")</f>
        <v>Green</v>
      </c>
      <c r="R868" t="str">
        <f>IF($J868&gt;=$K868,"Green","Red")</f>
        <v>Red</v>
      </c>
      <c r="S868" t="str">
        <f>IF($J868&lt;=$K868,"Green","Red")</f>
        <v>Green</v>
      </c>
      <c r="T868" t="str">
        <f>IF(OR($J868&gt;$K868,$J868&lt;$K868),"Green","Red")</f>
        <v>Green</v>
      </c>
      <c r="U868" t="str">
        <f>IF($H868&gt;$I868,"Green","Red")</f>
        <v>Red</v>
      </c>
      <c r="V868" t="str">
        <f>IF($H868=$I868,"Green","Red")</f>
        <v>Green</v>
      </c>
      <c r="W868" t="str">
        <f>IF($H868&lt;$I868,"Green","Red")</f>
        <v>Red</v>
      </c>
      <c r="X868" t="str">
        <f>IF($H868+$I868&gt;0,"Green","Red")</f>
        <v>Red</v>
      </c>
      <c r="Y868" t="str">
        <f>IF($J868+$K868&gt;1.5,"Green","Red")</f>
        <v>Green</v>
      </c>
      <c r="Z868" t="str">
        <f>IF($J868+$K868&gt;2.5,"Green","Red")</f>
        <v>Green</v>
      </c>
      <c r="AA868" t="str">
        <f>IF($J868+$K868&lt;2.5,"Green","Red")</f>
        <v>Red</v>
      </c>
      <c r="AB868" t="str">
        <f>IF($J868+$K868&lt;3.5,"Green","Red")</f>
        <v>Red</v>
      </c>
      <c r="AC868" t="str">
        <f>IF(AND($J868&gt;0,$K868&gt;0),"Green","Red")</f>
        <v>Green</v>
      </c>
      <c r="AD868" t="str">
        <f>IF(OR($J868=0,$K868=0),"Green","Red")</f>
        <v>Red</v>
      </c>
    </row>
    <row r="869" spans="1:30" x14ac:dyDescent="0.2">
      <c r="A869" t="str">
        <f>L869&amp;F869&amp;G869</f>
        <v>24/07/2026Vancouver LangleyCavalry FC</v>
      </c>
      <c r="D869" s="2">
        <v>46228</v>
      </c>
      <c r="E869" s="3">
        <v>8.3333333333333329E-2</v>
      </c>
      <c r="F869" t="s">
        <v>2395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0"/>
        <v>24/07/2026</v>
      </c>
      <c r="M869" s="31">
        <f t="shared" si="1"/>
        <v>0.95833333333333326</v>
      </c>
      <c r="N869" t="str">
        <f>J869&amp;" - "&amp;K869</f>
        <v>1 - 0</v>
      </c>
      <c r="O869" t="str">
        <f>IF($J869&gt;$K869,"Green","Red")</f>
        <v>Green</v>
      </c>
      <c r="P869" t="str">
        <f>IF($J869=$K869,"Green","Red")</f>
        <v>Red</v>
      </c>
      <c r="Q869" t="str">
        <f>IF($J869&lt;$K869,"Green","Red")</f>
        <v>Red</v>
      </c>
      <c r="R869" t="str">
        <f>IF($J869&gt;=$K869,"Green","Red")</f>
        <v>Green</v>
      </c>
      <c r="S869" t="str">
        <f>IF($J869&lt;=$K869,"Green","Red")</f>
        <v>Red</v>
      </c>
      <c r="T869" t="str">
        <f>IF(OR($J869&gt;$K869,$J869&lt;$K869),"Green","Red")</f>
        <v>Green</v>
      </c>
      <c r="U869" t="str">
        <f>IF($H869&gt;$I869,"Green","Red")</f>
        <v>Red</v>
      </c>
      <c r="V869" t="str">
        <f>IF($H869=$I869,"Green","Red")</f>
        <v>Green</v>
      </c>
      <c r="W869" t="str">
        <f>IF($H869&lt;$I869,"Green","Red")</f>
        <v>Red</v>
      </c>
      <c r="X869" t="str">
        <f>IF($H869+$I869&gt;0,"Green","Red")</f>
        <v>Red</v>
      </c>
      <c r="Y869" t="str">
        <f>IF($J869+$K869&gt;1.5,"Green","Red")</f>
        <v>Red</v>
      </c>
      <c r="Z869" t="str">
        <f>IF($J869+$K869&gt;2.5,"Green","Red")</f>
        <v>Red</v>
      </c>
      <c r="AA869" t="str">
        <f>IF($J869+$K869&lt;2.5,"Green","Red")</f>
        <v>Green</v>
      </c>
      <c r="AB869" t="str">
        <f>IF($J869+$K869&lt;3.5,"Green","Red")</f>
        <v>Green</v>
      </c>
      <c r="AC869" t="str">
        <f>IF(AND($J869&gt;0,$K869&gt;0),"Green","Red")</f>
        <v>Red</v>
      </c>
      <c r="AD869" t="str">
        <f>IF(OR($J869=0,$K869=0),"Green","Red")</f>
        <v>Green</v>
      </c>
    </row>
    <row r="870" spans="1:30" x14ac:dyDescent="0.2">
      <c r="A870" t="str">
        <f>L870&amp;F870&amp;G870</f>
        <v>24/07/2026Deportivo SaprissaPerez Zeledon</v>
      </c>
      <c r="D870" s="2">
        <v>46228</v>
      </c>
      <c r="E870" s="3">
        <v>8.3333333333333329E-2</v>
      </c>
      <c r="F870" t="s">
        <v>2404</v>
      </c>
      <c r="G870" t="s">
        <v>2405</v>
      </c>
      <c r="H870">
        <v>0</v>
      </c>
      <c r="I870">
        <v>0</v>
      </c>
      <c r="J870">
        <v>5</v>
      </c>
      <c r="K870">
        <v>1</v>
      </c>
      <c r="L870" s="30" t="str">
        <f t="shared" si="0"/>
        <v>24/07/2026</v>
      </c>
      <c r="M870" s="31">
        <f t="shared" si="1"/>
        <v>0.95833333333333326</v>
      </c>
      <c r="N870" t="str">
        <f>J870&amp;" - "&amp;K870</f>
        <v>5 - 1</v>
      </c>
      <c r="O870" t="str">
        <f>IF($J870&gt;$K870,"Green","Red")</f>
        <v>Green</v>
      </c>
      <c r="P870" t="str">
        <f>IF($J870=$K870,"Green","Red")</f>
        <v>Red</v>
      </c>
      <c r="Q870" t="str">
        <f>IF($J870&lt;$K870,"Green","Red")</f>
        <v>Red</v>
      </c>
      <c r="R870" t="str">
        <f>IF($J870&gt;=$K870,"Green","Red")</f>
        <v>Green</v>
      </c>
      <c r="S870" t="str">
        <f>IF($J870&lt;=$K870,"Green","Red")</f>
        <v>Red</v>
      </c>
      <c r="T870" t="str">
        <f>IF(OR($J870&gt;$K870,$J870&lt;$K870),"Green","Red")</f>
        <v>Green</v>
      </c>
      <c r="U870" t="str">
        <f>IF($H870&gt;$I870,"Green","Red")</f>
        <v>Red</v>
      </c>
      <c r="V870" t="str">
        <f>IF($H870=$I870,"Green","Red")</f>
        <v>Green</v>
      </c>
      <c r="W870" t="str">
        <f>IF($H870&lt;$I870,"Green","Red")</f>
        <v>Red</v>
      </c>
      <c r="X870" t="str">
        <f>IF($H870+$I870&gt;0,"Green","Red")</f>
        <v>Red</v>
      </c>
      <c r="Y870" t="str">
        <f>IF($J870+$K870&gt;1.5,"Green","Red")</f>
        <v>Green</v>
      </c>
      <c r="Z870" t="str">
        <f>IF($J870+$K870&gt;2.5,"Green","Red")</f>
        <v>Green</v>
      </c>
      <c r="AA870" t="str">
        <f>IF($J870+$K870&lt;2.5,"Green","Red")</f>
        <v>Red</v>
      </c>
      <c r="AB870" t="str">
        <f>IF($J870+$K870&lt;3.5,"Green","Red")</f>
        <v>Red</v>
      </c>
      <c r="AC870" t="str">
        <f>IF(AND($J870&gt;0,$K870&gt;0),"Green","Red")</f>
        <v>Green</v>
      </c>
      <c r="AD870" t="str">
        <f>IF(OR($J870=0,$K870=0),"Green","Red")</f>
        <v>Red</v>
      </c>
    </row>
    <row r="871" spans="1:30" x14ac:dyDescent="0.2">
      <c r="A871" t="str">
        <f>L871&amp;F871&amp;G871</f>
        <v>24/07/2026CSD MunicipalDeportivo Mixco</v>
      </c>
      <c r="D871" s="2">
        <v>46228</v>
      </c>
      <c r="E871" s="3">
        <v>8.3333333333333329E-2</v>
      </c>
      <c r="F871" t="s">
        <v>2489</v>
      </c>
      <c r="G871" t="s">
        <v>2490</v>
      </c>
      <c r="H871">
        <v>1</v>
      </c>
      <c r="I871">
        <v>0</v>
      </c>
      <c r="J871">
        <v>2</v>
      </c>
      <c r="K871">
        <v>0</v>
      </c>
      <c r="L871" s="30" t="str">
        <f t="shared" si="0"/>
        <v>24/07/2026</v>
      </c>
      <c r="M871" s="31">
        <f t="shared" si="1"/>
        <v>0.95833333333333326</v>
      </c>
      <c r="N871" t="str">
        <f>J871&amp;" - "&amp;K871</f>
        <v>2 - 0</v>
      </c>
      <c r="O871" t="str">
        <f>IF($J871&gt;$K871,"Green","Red")</f>
        <v>Green</v>
      </c>
      <c r="P871" t="str">
        <f>IF($J871=$K871,"Green","Red")</f>
        <v>Red</v>
      </c>
      <c r="Q871" t="str">
        <f>IF($J871&lt;$K871,"Green","Red")</f>
        <v>Red</v>
      </c>
      <c r="R871" t="str">
        <f>IF($J871&gt;=$K871,"Green","Red")</f>
        <v>Green</v>
      </c>
      <c r="S871" t="str">
        <f>IF($J871&lt;=$K871,"Green","Red")</f>
        <v>Red</v>
      </c>
      <c r="T871" t="str">
        <f>IF(OR($J871&gt;$K871,$J871&lt;$K871),"Green","Red")</f>
        <v>Green</v>
      </c>
      <c r="U871" t="str">
        <f>IF($H871&gt;$I871,"Green","Red")</f>
        <v>Green</v>
      </c>
      <c r="V871" t="str">
        <f>IF($H871=$I871,"Green","Red")</f>
        <v>Red</v>
      </c>
      <c r="W871" t="str">
        <f>IF($H871&lt;$I871,"Green","Red")</f>
        <v>Red</v>
      </c>
      <c r="X871" t="str">
        <f>IF($H871+$I871&gt;0,"Green","Red")</f>
        <v>Green</v>
      </c>
      <c r="Y871" t="str">
        <f>IF($J871+$K871&gt;1.5,"Green","Red")</f>
        <v>Green</v>
      </c>
      <c r="Z871" t="str">
        <f>IF($J871+$K871&gt;2.5,"Green","Red")</f>
        <v>Red</v>
      </c>
      <c r="AA871" t="str">
        <f>IF($J871+$K871&lt;2.5,"Green","Red")</f>
        <v>Green</v>
      </c>
      <c r="AB871" t="str">
        <f>IF($J871+$K871&lt;3.5,"Green","Red")</f>
        <v>Green</v>
      </c>
      <c r="AC871" t="str">
        <f>IF(AND($J871&gt;0,$K871&gt;0),"Green","Red")</f>
        <v>Red</v>
      </c>
      <c r="AD871" t="str">
        <f>IF(OR($J871=0,$K871=0),"Green","Red")</f>
        <v>Green</v>
      </c>
    </row>
    <row r="872" spans="1:30" x14ac:dyDescent="0.2">
      <c r="A872" t="str">
        <f>L872&amp;F872&amp;G872</f>
        <v>24/07/2026Portland Thorns WomenSky Blue Women</v>
      </c>
      <c r="D872" s="2">
        <v>46228</v>
      </c>
      <c r="E872" s="3">
        <v>8.3333333333333329E-2</v>
      </c>
      <c r="F872" t="s">
        <v>2632</v>
      </c>
      <c r="G872" t="s">
        <v>2633</v>
      </c>
      <c r="H872">
        <v>1</v>
      </c>
      <c r="I872">
        <v>1</v>
      </c>
      <c r="J872">
        <v>2</v>
      </c>
      <c r="K872">
        <v>2</v>
      </c>
      <c r="L872" s="30" t="str">
        <f t="shared" si="0"/>
        <v>24/07/2026</v>
      </c>
      <c r="M872" s="31">
        <f t="shared" si="1"/>
        <v>0.95833333333333326</v>
      </c>
      <c r="N872" t="str">
        <f>J872&amp;" - "&amp;K872</f>
        <v>2 - 2</v>
      </c>
      <c r="O872" t="str">
        <f>IF($J872&gt;$K872,"Green","Red")</f>
        <v>Red</v>
      </c>
      <c r="P872" t="str">
        <f>IF($J872=$K872,"Green","Red")</f>
        <v>Green</v>
      </c>
      <c r="Q872" t="str">
        <f>IF($J872&lt;$K872,"Green","Red")</f>
        <v>Red</v>
      </c>
      <c r="R872" t="str">
        <f>IF($J872&gt;=$K872,"Green","Red")</f>
        <v>Green</v>
      </c>
      <c r="S872" t="str">
        <f>IF($J872&lt;=$K872,"Green","Red")</f>
        <v>Green</v>
      </c>
      <c r="T872" t="str">
        <f>IF(OR($J872&gt;$K872,$J872&lt;$K872),"Green","Red")</f>
        <v>Red</v>
      </c>
      <c r="U872" t="str">
        <f>IF($H872&gt;$I872,"Green","Red")</f>
        <v>Red</v>
      </c>
      <c r="V872" t="str">
        <f>IF($H872=$I872,"Green","Red")</f>
        <v>Green</v>
      </c>
      <c r="W872" t="str">
        <f>IF($H872&lt;$I872,"Green","Red")</f>
        <v>Red</v>
      </c>
      <c r="X872" t="str">
        <f>IF($H872+$I872&gt;0,"Green","Red")</f>
        <v>Green</v>
      </c>
      <c r="Y872" t="str">
        <f>IF($J872+$K872&gt;1.5,"Green","Red")</f>
        <v>Green</v>
      </c>
      <c r="Z872" t="str">
        <f>IF($J872+$K872&gt;2.5,"Green","Red")</f>
        <v>Green</v>
      </c>
      <c r="AA872" t="str">
        <f>IF($J872+$K872&lt;2.5,"Green","Red")</f>
        <v>Red</v>
      </c>
      <c r="AB872" t="str">
        <f>IF($J872+$K872&lt;3.5,"Green","Red")</f>
        <v>Red</v>
      </c>
      <c r="AC872" t="str">
        <f>IF(AND($J872&gt;0,$K872&gt;0),"Green","Red")</f>
        <v>Green</v>
      </c>
      <c r="AD872" t="str">
        <f>IF(OR($J872=0,$K872=0),"Green","Red")</f>
        <v>Red</v>
      </c>
    </row>
    <row r="873" spans="1:30" x14ac:dyDescent="0.2">
      <c r="A873" t="str">
        <f>L873&amp;F873&amp;G873</f>
        <v>24/07/2026Green Gully SC U23Dandenong City U23</v>
      </c>
      <c r="B873" t="s">
        <v>810</v>
      </c>
      <c r="C873" t="s">
        <v>2316</v>
      </c>
      <c r="D873" s="2">
        <v>46228</v>
      </c>
      <c r="E873" s="3">
        <v>0.10416666666666667</v>
      </c>
      <c r="F873" t="s">
        <v>2319</v>
      </c>
      <c r="G873" t="s">
        <v>2320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>J873&amp;" - "&amp;K873</f>
        <v>4 - 1</v>
      </c>
      <c r="O873" t="str">
        <f>IF($J873&gt;$K873,"Green","Red")</f>
        <v>Green</v>
      </c>
      <c r="P873" t="str">
        <f>IF($J873=$K873,"Green","Red")</f>
        <v>Red</v>
      </c>
      <c r="Q873" t="str">
        <f>IF($J873&lt;$K873,"Green","Red")</f>
        <v>Red</v>
      </c>
      <c r="R873" t="str">
        <f>IF($J873&gt;=$K873,"Green","Red")</f>
        <v>Green</v>
      </c>
      <c r="S873" t="str">
        <f>IF($J873&lt;=$K873,"Green","Red")</f>
        <v>Red</v>
      </c>
      <c r="T873" t="str">
        <f>IF(OR($J873&gt;$K873,$J873&lt;$K873),"Green","Red")</f>
        <v>Green</v>
      </c>
      <c r="U873" t="str">
        <f>IF($H873&gt;$I873,"Green","Red")</f>
        <v>Green</v>
      </c>
      <c r="V873" t="str">
        <f>IF($H873=$I873,"Green","Red")</f>
        <v>Red</v>
      </c>
      <c r="W873" t="str">
        <f>IF($H873&lt;$I873,"Green","Red")</f>
        <v>Red</v>
      </c>
      <c r="X873" t="str">
        <f>IF($H873+$I873&gt;0,"Green","Red")</f>
        <v>Green</v>
      </c>
      <c r="Y873" t="str">
        <f>IF($J873+$K873&gt;1.5,"Green","Red")</f>
        <v>Green</v>
      </c>
      <c r="Z873" t="str">
        <f>IF($J873+$K873&gt;2.5,"Green","Red")</f>
        <v>Green</v>
      </c>
      <c r="AA873" t="str">
        <f>IF($J873+$K873&lt;2.5,"Green","Red")</f>
        <v>Red</v>
      </c>
      <c r="AB873" t="str">
        <f>IF($J873+$K873&lt;3.5,"Green","Red")</f>
        <v>Red</v>
      </c>
      <c r="AC873" t="str">
        <f>IF(AND($J873&gt;0,$K873&gt;0),"Green","Red")</f>
        <v>Green</v>
      </c>
      <c r="AD873" t="str">
        <f>IF(OR($J873=0,$K873=0),"Green","Red")</f>
        <v>Red</v>
      </c>
    </row>
    <row r="874" spans="1:30" x14ac:dyDescent="0.2">
      <c r="A874" t="str">
        <f>L874&amp;F874&amp;G874</f>
        <v>24/07/2026Melbourne City U23Avondale Heights U23</v>
      </c>
      <c r="B874" t="s">
        <v>810</v>
      </c>
      <c r="C874" t="s">
        <v>2316</v>
      </c>
      <c r="D874" s="2">
        <v>46228</v>
      </c>
      <c r="E874" s="3">
        <v>0.10416666666666667</v>
      </c>
      <c r="F874" t="s">
        <v>2321</v>
      </c>
      <c r="G874" t="s">
        <v>2322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>J874&amp;" - "&amp;K874</f>
        <v>4 - 3</v>
      </c>
      <c r="O874" t="str">
        <f>IF($J874&gt;$K874,"Green","Red")</f>
        <v>Green</v>
      </c>
      <c r="P874" t="str">
        <f>IF($J874=$K874,"Green","Red")</f>
        <v>Red</v>
      </c>
      <c r="Q874" t="str">
        <f>IF($J874&lt;$K874,"Green","Red")</f>
        <v>Red</v>
      </c>
      <c r="R874" t="str">
        <f>IF($J874&gt;=$K874,"Green","Red")</f>
        <v>Green</v>
      </c>
      <c r="S874" t="str">
        <f>IF($J874&lt;=$K874,"Green","Red")</f>
        <v>Red</v>
      </c>
      <c r="T874" t="str">
        <f>IF(OR($J874&gt;$K874,$J874&lt;$K874),"Green","Red")</f>
        <v>Green</v>
      </c>
      <c r="U874" t="str">
        <f>IF($H874&gt;$I874,"Green","Red")</f>
        <v>Green</v>
      </c>
      <c r="V874" t="str">
        <f>IF($H874=$I874,"Green","Red")</f>
        <v>Red</v>
      </c>
      <c r="W874" t="str">
        <f>IF($H874&lt;$I874,"Green","Red")</f>
        <v>Red</v>
      </c>
      <c r="X874" t="str">
        <f>IF($H874+$I874&gt;0,"Green","Red")</f>
        <v>Green</v>
      </c>
      <c r="Y874" t="str">
        <f>IF($J874+$K874&gt;1.5,"Green","Red")</f>
        <v>Green</v>
      </c>
      <c r="Z874" t="str">
        <f>IF($J874+$K874&gt;2.5,"Green","Red")</f>
        <v>Green</v>
      </c>
      <c r="AA874" t="str">
        <f>IF($J874+$K874&lt;2.5,"Green","Red")</f>
        <v>Red</v>
      </c>
      <c r="AB874" t="str">
        <f>IF($J874+$K874&lt;3.5,"Green","Red")</f>
        <v>Red</v>
      </c>
      <c r="AC874" t="str">
        <f>IF(AND($J874&gt;0,$K874&gt;0),"Green","Red")</f>
        <v>Green</v>
      </c>
      <c r="AD874" t="str">
        <f>IF(OR($J874=0,$K874=0),"Green","Red")</f>
        <v>Red</v>
      </c>
    </row>
    <row r="875" spans="1:30" x14ac:dyDescent="0.2">
      <c r="A875" t="str">
        <f>L875&amp;F875&amp;G875</f>
        <v>24/07/2026St Albans Saints U23Hume City U23</v>
      </c>
      <c r="B875" t="s">
        <v>810</v>
      </c>
      <c r="C875" t="s">
        <v>2316</v>
      </c>
      <c r="D875" s="2">
        <v>46228</v>
      </c>
      <c r="E875" s="3">
        <v>0.10416666666666667</v>
      </c>
      <c r="F875" t="s">
        <v>2323</v>
      </c>
      <c r="G875" t="s">
        <v>2324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>J875&amp;" - "&amp;K875</f>
        <v xml:space="preserve"> - </v>
      </c>
      <c r="O875" t="str">
        <f>IF($J875&gt;$K875,"Green","Red")</f>
        <v>Red</v>
      </c>
      <c r="P875" t="str">
        <f>IF($J875=$K875,"Green","Red")</f>
        <v>Green</v>
      </c>
      <c r="Q875" t="str">
        <f>IF($J875&lt;$K875,"Green","Red")</f>
        <v>Red</v>
      </c>
      <c r="R875" t="str">
        <f>IF($J875&gt;=$K875,"Green","Red")</f>
        <v>Green</v>
      </c>
      <c r="S875" t="str">
        <f>IF($J875&lt;=$K875,"Green","Red")</f>
        <v>Green</v>
      </c>
      <c r="T875" t="str">
        <f>IF(OR($J875&gt;$K875,$J875&lt;$K875),"Green","Red")</f>
        <v>Red</v>
      </c>
      <c r="U875" t="str">
        <f>IF($H875&gt;$I875,"Green","Red")</f>
        <v>Red</v>
      </c>
      <c r="V875" t="str">
        <f>IF($H875=$I875,"Green","Red")</f>
        <v>Green</v>
      </c>
      <c r="W875" t="str">
        <f>IF($H875&lt;$I875,"Green","Red")</f>
        <v>Red</v>
      </c>
      <c r="X875" t="str">
        <f>IF($H875+$I875&gt;0,"Green","Red")</f>
        <v>Red</v>
      </c>
      <c r="Y875" t="str">
        <f>IF($J875+$K875&gt;1.5,"Green","Red")</f>
        <v>Red</v>
      </c>
      <c r="Z875" t="str">
        <f>IF($J875+$K875&gt;2.5,"Green","Red")</f>
        <v>Red</v>
      </c>
      <c r="AA875" t="str">
        <f>IF($J875+$K875&lt;2.5,"Green","Red")</f>
        <v>Green</v>
      </c>
      <c r="AB875" t="str">
        <f>IF($J875+$K875&lt;3.5,"Green","Red")</f>
        <v>Green</v>
      </c>
      <c r="AC875" t="str">
        <f>IF(AND($J875&gt;0,$K875&gt;0),"Green","Red")</f>
        <v>Red</v>
      </c>
      <c r="AD875" t="str">
        <f>IF(OR($J875=0,$K875=0),"Green","Red")</f>
        <v>Green</v>
      </c>
    </row>
    <row r="876" spans="1:30" x14ac:dyDescent="0.2">
      <c r="A876" t="str">
        <f>L876&amp;F876&amp;G876</f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2330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>J876&amp;" - "&amp;K876</f>
        <v>0 - 1</v>
      </c>
      <c r="O876" t="str">
        <f>IF($J876&gt;$K876,"Green","Red")</f>
        <v>Red</v>
      </c>
      <c r="P876" t="str">
        <f>IF($J876=$K876,"Green","Red")</f>
        <v>Red</v>
      </c>
      <c r="Q876" t="str">
        <f>IF($J876&lt;$K876,"Green","Red")</f>
        <v>Green</v>
      </c>
      <c r="R876" t="str">
        <f>IF($J876&gt;=$K876,"Green","Red")</f>
        <v>Red</v>
      </c>
      <c r="S876" t="str">
        <f>IF($J876&lt;=$K876,"Green","Red")</f>
        <v>Green</v>
      </c>
      <c r="T876" t="str">
        <f>IF(OR($J876&gt;$K876,$J876&lt;$K876),"Green","Red")</f>
        <v>Green</v>
      </c>
      <c r="U876" t="str">
        <f>IF($H876&gt;$I876,"Green","Red")</f>
        <v>Red</v>
      </c>
      <c r="V876" t="str">
        <f>IF($H876=$I876,"Green","Red")</f>
        <v>Red</v>
      </c>
      <c r="W876" t="str">
        <f>IF($H876&lt;$I876,"Green","Red")</f>
        <v>Green</v>
      </c>
      <c r="X876" t="str">
        <f>IF($H876+$I876&gt;0,"Green","Red")</f>
        <v>Green</v>
      </c>
      <c r="Y876" t="str">
        <f>IF($J876+$K876&gt;1.5,"Green","Red")</f>
        <v>Red</v>
      </c>
      <c r="Z876" t="str">
        <f>IF($J876+$K876&gt;2.5,"Green","Red")</f>
        <v>Red</v>
      </c>
      <c r="AA876" t="str">
        <f>IF($J876+$K876&lt;2.5,"Green","Red")</f>
        <v>Green</v>
      </c>
      <c r="AB876" t="str">
        <f>IF($J876+$K876&lt;3.5,"Green","Red")</f>
        <v>Green</v>
      </c>
      <c r="AC876" t="str">
        <f>IF(AND($J876&gt;0,$K876&gt;0),"Green","Red")</f>
        <v>Red</v>
      </c>
      <c r="AD876" t="str">
        <f>IF(OR($J876=0,$K876=0),"Green","Red")</f>
        <v>Green</v>
      </c>
    </row>
    <row r="877" spans="1:30" x14ac:dyDescent="0.2">
      <c r="A877" t="str">
        <f>L877&amp;F877&amp;G877</f>
        <v>25/07/2026AtlanteClub America</v>
      </c>
      <c r="D877" s="2">
        <v>46228</v>
      </c>
      <c r="E877" s="3">
        <v>0.125</v>
      </c>
      <c r="F877" t="s">
        <v>2517</v>
      </c>
      <c r="G877" t="s">
        <v>2518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>J877&amp;" - "&amp;K877</f>
        <v>1 - 1</v>
      </c>
      <c r="O877" t="str">
        <f>IF($J877&gt;$K877,"Green","Red")</f>
        <v>Red</v>
      </c>
      <c r="P877" t="str">
        <f>IF($J877=$K877,"Green","Red")</f>
        <v>Green</v>
      </c>
      <c r="Q877" t="str">
        <f>IF($J877&lt;$K877,"Green","Red")</f>
        <v>Red</v>
      </c>
      <c r="R877" t="str">
        <f>IF($J877&gt;=$K877,"Green","Red")</f>
        <v>Green</v>
      </c>
      <c r="S877" t="str">
        <f>IF($J877&lt;=$K877,"Green","Red")</f>
        <v>Green</v>
      </c>
      <c r="T877" t="str">
        <f>IF(OR($J877&gt;$K877,$J877&lt;$K877),"Green","Red")</f>
        <v>Red</v>
      </c>
      <c r="U877" t="str">
        <f>IF($H877&gt;$I877,"Green","Red")</f>
        <v>Red</v>
      </c>
      <c r="V877" t="str">
        <f>IF($H877=$I877,"Green","Red")</f>
        <v>Red</v>
      </c>
      <c r="W877" t="str">
        <f>IF($H877&lt;$I877,"Green","Red")</f>
        <v>Green</v>
      </c>
      <c r="X877" t="str">
        <f>IF($H877+$I877&gt;0,"Green","Red")</f>
        <v>Green</v>
      </c>
      <c r="Y877" t="str">
        <f>IF($J877+$K877&gt;1.5,"Green","Red")</f>
        <v>Green</v>
      </c>
      <c r="Z877" t="str">
        <f>IF($J877+$K877&gt;2.5,"Green","Red")</f>
        <v>Red</v>
      </c>
      <c r="AA877" t="str">
        <f>IF($J877+$K877&lt;2.5,"Green","Red")</f>
        <v>Green</v>
      </c>
      <c r="AB877" t="str">
        <f>IF($J877+$K877&lt;3.5,"Green","Red")</f>
        <v>Green</v>
      </c>
      <c r="AC877" t="str">
        <f>IF(AND($J877&gt;0,$K877&gt;0),"Green","Red")</f>
        <v>Green</v>
      </c>
      <c r="AD877" t="str">
        <f>IF(OR($J877=0,$K877=0),"Green","Red")</f>
        <v>Red</v>
      </c>
    </row>
    <row r="878" spans="1:30" x14ac:dyDescent="0.2">
      <c r="A878" t="str">
        <f>L878&amp;F878&amp;G878</f>
        <v>25/07/2026Club TijuanaClub Leon</v>
      </c>
      <c r="D878" s="2">
        <v>46228</v>
      </c>
      <c r="E878" s="3">
        <v>0.125</v>
      </c>
      <c r="F878" t="s">
        <v>2519</v>
      </c>
      <c r="G878" t="s">
        <v>2520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>J878&amp;" - "&amp;K878</f>
        <v>1 - 0</v>
      </c>
      <c r="O878" t="str">
        <f>IF($J878&gt;$K878,"Green","Red")</f>
        <v>Green</v>
      </c>
      <c r="P878" t="str">
        <f>IF($J878=$K878,"Green","Red")</f>
        <v>Red</v>
      </c>
      <c r="Q878" t="str">
        <f>IF($J878&lt;$K878,"Green","Red")</f>
        <v>Red</v>
      </c>
      <c r="R878" t="str">
        <f>IF($J878&gt;=$K878,"Green","Red")</f>
        <v>Green</v>
      </c>
      <c r="S878" t="str">
        <f>IF($J878&lt;=$K878,"Green","Red")</f>
        <v>Red</v>
      </c>
      <c r="T878" t="str">
        <f>IF(OR($J878&gt;$K878,$J878&lt;$K878),"Green","Red")</f>
        <v>Green</v>
      </c>
      <c r="U878" t="str">
        <f>IF($H878&gt;$I878,"Green","Red")</f>
        <v>Red</v>
      </c>
      <c r="V878" t="str">
        <f>IF($H878=$I878,"Green","Red")</f>
        <v>Green</v>
      </c>
      <c r="W878" t="str">
        <f>IF($H878&lt;$I878,"Green","Red")</f>
        <v>Red</v>
      </c>
      <c r="X878" t="str">
        <f>IF($H878+$I878&gt;0,"Green","Red")</f>
        <v>Red</v>
      </c>
      <c r="Y878" t="str">
        <f>IF($J878+$K878&gt;1.5,"Green","Red")</f>
        <v>Red</v>
      </c>
      <c r="Z878" t="str">
        <f>IF($J878+$K878&gt;2.5,"Green","Red")</f>
        <v>Red</v>
      </c>
      <c r="AA878" t="str">
        <f>IF($J878+$K878&lt;2.5,"Green","Red")</f>
        <v>Green</v>
      </c>
      <c r="AB878" t="str">
        <f>IF($J878+$K878&lt;3.5,"Green","Red")</f>
        <v>Green</v>
      </c>
      <c r="AC878" t="str">
        <f>IF(AND($J878&gt;0,$K878&gt;0),"Green","Red")</f>
        <v>Red</v>
      </c>
      <c r="AD878" t="str">
        <f>IF(OR($J878=0,$K878=0),"Green","Red")</f>
        <v>Green</v>
      </c>
    </row>
  </sheetData>
  <sortState xmlns:xlrd2="http://schemas.microsoft.com/office/spreadsheetml/2017/richdata2" ref="A2:AD879">
    <sortCondition ref="D2:D879"/>
    <sortCondition ref="E2:E87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589"/>
  <sheetViews>
    <sheetView workbookViewId="0">
      <pane ySplit="1" topLeftCell="A566" activePane="bottomLeft" state="frozen"/>
      <selection pane="bottomLeft" activeCell="A98" sqref="A98:XFD98"/>
    </sheetView>
  </sheetViews>
  <sheetFormatPr baseColWidth="10" defaultColWidth="8.83203125" defaultRowHeight="15" x14ac:dyDescent="0.2"/>
  <cols>
    <col min="1" max="2" width="22.5" bestFit="1" customWidth="1"/>
    <col min="5" max="5" width="20.33203125" style="1" bestFit="1" customWidth="1"/>
    <col min="7" max="8" width="23.5" bestFit="1" customWidth="1"/>
  </cols>
  <sheetData>
    <row r="1" spans="1:5" x14ac:dyDescent="0.2">
      <c r="A1" t="s">
        <v>2105</v>
      </c>
      <c r="B1" t="s">
        <v>2106</v>
      </c>
    </row>
    <row r="2" spans="1:5" x14ac:dyDescent="0.2">
      <c r="A2" t="s">
        <v>233</v>
      </c>
      <c r="B2" t="s">
        <v>397</v>
      </c>
      <c r="E2"/>
    </row>
    <row r="3" spans="1:5" x14ac:dyDescent="0.2">
      <c r="A3" t="s">
        <v>70</v>
      </c>
      <c r="B3" t="s">
        <v>878</v>
      </c>
      <c r="E3"/>
    </row>
    <row r="4" spans="1:5" x14ac:dyDescent="0.2">
      <c r="A4" t="s">
        <v>64</v>
      </c>
      <c r="B4" t="s">
        <v>862</v>
      </c>
      <c r="E4"/>
    </row>
    <row r="5" spans="1:5" x14ac:dyDescent="0.2">
      <c r="A5" t="s">
        <v>230</v>
      </c>
      <c r="B5" t="s">
        <v>373</v>
      </c>
      <c r="E5"/>
    </row>
    <row r="6" spans="1:5" x14ac:dyDescent="0.2">
      <c r="A6" t="s">
        <v>73</v>
      </c>
      <c r="B6" t="s">
        <v>73</v>
      </c>
      <c r="E6"/>
    </row>
    <row r="7" spans="1:5" x14ac:dyDescent="0.2">
      <c r="A7" t="s">
        <v>232</v>
      </c>
      <c r="B7" t="s">
        <v>396</v>
      </c>
      <c r="E7"/>
    </row>
    <row r="8" spans="1:5" x14ac:dyDescent="0.2">
      <c r="A8" t="s">
        <v>231</v>
      </c>
      <c r="B8" t="s">
        <v>231</v>
      </c>
      <c r="E8"/>
    </row>
    <row r="9" spans="1:5" x14ac:dyDescent="0.2">
      <c r="A9" t="s">
        <v>239</v>
      </c>
      <c r="B9" t="s">
        <v>432</v>
      </c>
      <c r="E9"/>
    </row>
    <row r="10" spans="1:5" x14ac:dyDescent="0.2">
      <c r="A10" t="s">
        <v>31</v>
      </c>
      <c r="B10" t="s">
        <v>31</v>
      </c>
      <c r="E10"/>
    </row>
    <row r="11" spans="1:5" x14ac:dyDescent="0.2">
      <c r="A11" t="s">
        <v>263</v>
      </c>
      <c r="B11" t="s">
        <v>263</v>
      </c>
      <c r="E11"/>
    </row>
    <row r="12" spans="1:5" x14ac:dyDescent="0.2">
      <c r="A12" t="s">
        <v>25</v>
      </c>
      <c r="B12" t="s">
        <v>1596</v>
      </c>
      <c r="E12"/>
    </row>
    <row r="13" spans="1:5" x14ac:dyDescent="0.2">
      <c r="A13" t="s">
        <v>214</v>
      </c>
      <c r="B13" t="s">
        <v>1335</v>
      </c>
      <c r="E13"/>
    </row>
    <row r="14" spans="1:5" x14ac:dyDescent="0.2">
      <c r="A14" t="s">
        <v>22</v>
      </c>
      <c r="B14" t="s">
        <v>22</v>
      </c>
      <c r="E14"/>
    </row>
    <row r="15" spans="1:5" x14ac:dyDescent="0.2">
      <c r="A15" t="s">
        <v>45</v>
      </c>
      <c r="B15" t="s">
        <v>1870</v>
      </c>
      <c r="E15"/>
    </row>
    <row r="16" spans="1:5" x14ac:dyDescent="0.2">
      <c r="A16" t="s">
        <v>41</v>
      </c>
      <c r="B16" t="s">
        <v>912</v>
      </c>
      <c r="E16"/>
    </row>
    <row r="17" spans="1:5" x14ac:dyDescent="0.2">
      <c r="A17" t="s">
        <v>78</v>
      </c>
      <c r="B17" t="s">
        <v>864</v>
      </c>
      <c r="E17"/>
    </row>
    <row r="18" spans="1:5" x14ac:dyDescent="0.2">
      <c r="A18" t="s">
        <v>65</v>
      </c>
      <c r="B18" t="s">
        <v>65</v>
      </c>
      <c r="E18"/>
    </row>
    <row r="19" spans="1:5" x14ac:dyDescent="0.2">
      <c r="A19" t="s">
        <v>63</v>
      </c>
      <c r="B19" t="s">
        <v>63</v>
      </c>
      <c r="E19"/>
    </row>
    <row r="20" spans="1:5" x14ac:dyDescent="0.2">
      <c r="A20" t="s">
        <v>56</v>
      </c>
      <c r="B20" t="s">
        <v>56</v>
      </c>
      <c r="E20"/>
    </row>
    <row r="21" spans="1:5" x14ac:dyDescent="0.2">
      <c r="A21" t="s">
        <v>228</v>
      </c>
      <c r="B21" t="s">
        <v>429</v>
      </c>
      <c r="E21"/>
    </row>
    <row r="22" spans="1:5" x14ac:dyDescent="0.2">
      <c r="A22" t="s">
        <v>85</v>
      </c>
      <c r="B22" t="s">
        <v>85</v>
      </c>
      <c r="E22"/>
    </row>
    <row r="23" spans="1:5" x14ac:dyDescent="0.2">
      <c r="A23" t="s">
        <v>81</v>
      </c>
      <c r="B23" t="s">
        <v>1882</v>
      </c>
      <c r="E23"/>
    </row>
    <row r="24" spans="1:5" x14ac:dyDescent="0.2">
      <c r="A24" t="s">
        <v>51</v>
      </c>
      <c r="B24" t="s">
        <v>860</v>
      </c>
      <c r="E24"/>
    </row>
    <row r="25" spans="1:5" x14ac:dyDescent="0.2">
      <c r="A25" t="s">
        <v>39</v>
      </c>
      <c r="B25" t="s">
        <v>875</v>
      </c>
      <c r="E25"/>
    </row>
    <row r="26" spans="1:5" x14ac:dyDescent="0.2">
      <c r="A26" t="s">
        <v>42</v>
      </c>
      <c r="B26" t="s">
        <v>913</v>
      </c>
      <c r="E26"/>
    </row>
    <row r="27" spans="1:5" x14ac:dyDescent="0.2">
      <c r="A27" t="s">
        <v>235</v>
      </c>
      <c r="B27" t="s">
        <v>399</v>
      </c>
      <c r="E27"/>
    </row>
    <row r="28" spans="1:5" x14ac:dyDescent="0.2">
      <c r="A28" t="s">
        <v>68</v>
      </c>
      <c r="B28" t="s">
        <v>68</v>
      </c>
      <c r="E28"/>
    </row>
    <row r="29" spans="1:5" x14ac:dyDescent="0.2">
      <c r="A29" t="s">
        <v>76</v>
      </c>
      <c r="B29" t="s">
        <v>76</v>
      </c>
      <c r="E29"/>
    </row>
    <row r="30" spans="1:5" x14ac:dyDescent="0.2">
      <c r="A30" t="s">
        <v>229</v>
      </c>
      <c r="B30" t="s">
        <v>430</v>
      </c>
      <c r="E30"/>
    </row>
    <row r="31" spans="1:5" x14ac:dyDescent="0.2">
      <c r="A31" t="s">
        <v>258</v>
      </c>
      <c r="B31" t="s">
        <v>258</v>
      </c>
      <c r="E31"/>
    </row>
    <row r="32" spans="1:5" x14ac:dyDescent="0.2">
      <c r="A32" t="s">
        <v>226</v>
      </c>
      <c r="B32" t="s">
        <v>1418</v>
      </c>
      <c r="E32"/>
    </row>
    <row r="33" spans="1:5" x14ac:dyDescent="0.2">
      <c r="A33" t="s">
        <v>53</v>
      </c>
      <c r="B33" t="s">
        <v>53</v>
      </c>
      <c r="E33"/>
    </row>
    <row r="34" spans="1:5" x14ac:dyDescent="0.2">
      <c r="A34" t="s">
        <v>92</v>
      </c>
      <c r="B34" t="s">
        <v>867</v>
      </c>
      <c r="E34"/>
    </row>
    <row r="35" spans="1:5" x14ac:dyDescent="0.2">
      <c r="A35" t="s">
        <v>224</v>
      </c>
      <c r="B35" t="s">
        <v>1368</v>
      </c>
      <c r="E35"/>
    </row>
    <row r="36" spans="1:5" x14ac:dyDescent="0.2">
      <c r="A36" t="s">
        <v>244</v>
      </c>
      <c r="B36" t="s">
        <v>296</v>
      </c>
      <c r="E36"/>
    </row>
    <row r="37" spans="1:5" x14ac:dyDescent="0.2">
      <c r="A37" t="s">
        <v>251</v>
      </c>
      <c r="B37" t="s">
        <v>251</v>
      </c>
      <c r="E37"/>
    </row>
    <row r="38" spans="1:5" x14ac:dyDescent="0.2">
      <c r="A38" t="s">
        <v>27</v>
      </c>
      <c r="B38" t="s">
        <v>27</v>
      </c>
      <c r="E38"/>
    </row>
    <row r="39" spans="1:5" x14ac:dyDescent="0.2">
      <c r="A39" t="s">
        <v>262</v>
      </c>
      <c r="B39" t="s">
        <v>293</v>
      </c>
      <c r="E39"/>
    </row>
    <row r="40" spans="1:5" x14ac:dyDescent="0.2">
      <c r="A40" t="s">
        <v>245</v>
      </c>
      <c r="B40" t="s">
        <v>291</v>
      </c>
      <c r="E40"/>
    </row>
    <row r="41" spans="1:5" x14ac:dyDescent="0.2">
      <c r="A41" t="s">
        <v>140</v>
      </c>
      <c r="B41" t="s">
        <v>369</v>
      </c>
      <c r="E41"/>
    </row>
    <row r="42" spans="1:5" x14ac:dyDescent="0.2">
      <c r="A42" t="s">
        <v>248</v>
      </c>
      <c r="B42" t="s">
        <v>282</v>
      </c>
      <c r="E42"/>
    </row>
    <row r="43" spans="1:5" x14ac:dyDescent="0.2">
      <c r="A43" t="s">
        <v>247</v>
      </c>
      <c r="B43" t="s">
        <v>247</v>
      </c>
      <c r="E43"/>
    </row>
    <row r="44" spans="1:5" x14ac:dyDescent="0.2">
      <c r="A44" t="s">
        <v>254</v>
      </c>
      <c r="B44" t="s">
        <v>289</v>
      </c>
      <c r="E44"/>
    </row>
    <row r="45" spans="1:5" x14ac:dyDescent="0.2">
      <c r="A45" t="s">
        <v>66</v>
      </c>
      <c r="B45" t="s">
        <v>876</v>
      </c>
      <c r="E45"/>
    </row>
    <row r="46" spans="1:5" x14ac:dyDescent="0.2">
      <c r="A46" t="s">
        <v>241</v>
      </c>
      <c r="B46" t="s">
        <v>401</v>
      </c>
      <c r="E46"/>
    </row>
    <row r="47" spans="1:5" x14ac:dyDescent="0.2">
      <c r="A47" t="s">
        <v>260</v>
      </c>
      <c r="B47" t="s">
        <v>268</v>
      </c>
      <c r="E47"/>
    </row>
    <row r="48" spans="1:5" x14ac:dyDescent="0.2">
      <c r="A48" t="s">
        <v>30</v>
      </c>
      <c r="B48" t="s">
        <v>1599</v>
      </c>
      <c r="E48"/>
    </row>
    <row r="49" spans="1:5" x14ac:dyDescent="0.2">
      <c r="A49" t="s">
        <v>49</v>
      </c>
      <c r="B49" t="s">
        <v>915</v>
      </c>
      <c r="E49"/>
    </row>
    <row r="50" spans="1:5" x14ac:dyDescent="0.2">
      <c r="A50" t="s">
        <v>29</v>
      </c>
      <c r="B50" t="s">
        <v>1598</v>
      </c>
      <c r="E50"/>
    </row>
    <row r="51" spans="1:5" x14ac:dyDescent="0.2">
      <c r="A51" t="s">
        <v>144</v>
      </c>
      <c r="B51" t="s">
        <v>144</v>
      </c>
      <c r="E51"/>
    </row>
    <row r="52" spans="1:5" x14ac:dyDescent="0.2">
      <c r="A52" t="s">
        <v>162</v>
      </c>
      <c r="B52" t="s">
        <v>292</v>
      </c>
      <c r="E52"/>
    </row>
    <row r="53" spans="1:5" x14ac:dyDescent="0.2">
      <c r="A53" t="s">
        <v>75</v>
      </c>
      <c r="B53" t="s">
        <v>75</v>
      </c>
      <c r="E53"/>
    </row>
    <row r="54" spans="1:5" x14ac:dyDescent="0.2">
      <c r="A54" t="s">
        <v>264</v>
      </c>
      <c r="B54" t="s">
        <v>264</v>
      </c>
      <c r="E54"/>
    </row>
    <row r="55" spans="1:5" x14ac:dyDescent="0.2">
      <c r="A55" t="s">
        <v>265</v>
      </c>
      <c r="B55" t="s">
        <v>265</v>
      </c>
      <c r="E55"/>
    </row>
    <row r="56" spans="1:5" x14ac:dyDescent="0.2">
      <c r="A56" t="s">
        <v>250</v>
      </c>
      <c r="B56" t="s">
        <v>250</v>
      </c>
      <c r="E56"/>
    </row>
    <row r="57" spans="1:5" x14ac:dyDescent="0.2">
      <c r="A57" t="s">
        <v>37</v>
      </c>
      <c r="B57" t="s">
        <v>37</v>
      </c>
      <c r="E57"/>
    </row>
    <row r="58" spans="1:5" x14ac:dyDescent="0.2">
      <c r="A58" t="s">
        <v>236</v>
      </c>
      <c r="B58" t="s">
        <v>236</v>
      </c>
      <c r="E58"/>
    </row>
    <row r="59" spans="1:5" x14ac:dyDescent="0.2">
      <c r="A59" t="s">
        <v>55</v>
      </c>
      <c r="B59" t="s">
        <v>55</v>
      </c>
      <c r="E59"/>
    </row>
    <row r="60" spans="1:5" x14ac:dyDescent="0.2">
      <c r="A60" t="s">
        <v>46</v>
      </c>
      <c r="B60" t="s">
        <v>1871</v>
      </c>
      <c r="E60"/>
    </row>
    <row r="61" spans="1:5" x14ac:dyDescent="0.2">
      <c r="A61" t="s">
        <v>67</v>
      </c>
      <c r="B61" t="s">
        <v>67</v>
      </c>
      <c r="E61"/>
    </row>
    <row r="62" spans="1:5" x14ac:dyDescent="0.2">
      <c r="A62" t="s">
        <v>216</v>
      </c>
      <c r="B62" t="s">
        <v>216</v>
      </c>
      <c r="E62"/>
    </row>
    <row r="63" spans="1:5" x14ac:dyDescent="0.2">
      <c r="A63" t="s">
        <v>218</v>
      </c>
      <c r="B63" t="s">
        <v>1414</v>
      </c>
      <c r="E63"/>
    </row>
    <row r="64" spans="1:5" x14ac:dyDescent="0.2">
      <c r="A64" t="s">
        <v>256</v>
      </c>
      <c r="B64" t="s">
        <v>341</v>
      </c>
      <c r="E64"/>
    </row>
    <row r="65" spans="1:5" x14ac:dyDescent="0.2">
      <c r="A65" t="s">
        <v>222</v>
      </c>
      <c r="B65" t="s">
        <v>1343</v>
      </c>
      <c r="E65"/>
    </row>
    <row r="66" spans="1:5" x14ac:dyDescent="0.2">
      <c r="A66" t="s">
        <v>168</v>
      </c>
      <c r="B66" t="s">
        <v>168</v>
      </c>
      <c r="E66"/>
    </row>
    <row r="67" spans="1:5" x14ac:dyDescent="0.2">
      <c r="A67" t="s">
        <v>87</v>
      </c>
      <c r="B67" t="s">
        <v>87</v>
      </c>
      <c r="E67"/>
    </row>
    <row r="68" spans="1:5" x14ac:dyDescent="0.2">
      <c r="A68" t="s">
        <v>23</v>
      </c>
      <c r="B68" t="s">
        <v>23</v>
      </c>
      <c r="E68"/>
    </row>
    <row r="69" spans="1:5" x14ac:dyDescent="0.2">
      <c r="A69" t="s">
        <v>24</v>
      </c>
      <c r="B69" t="s">
        <v>24</v>
      </c>
      <c r="E69"/>
    </row>
    <row r="70" spans="1:5" x14ac:dyDescent="0.2">
      <c r="A70" t="s">
        <v>47</v>
      </c>
      <c r="B70" t="s">
        <v>47</v>
      </c>
      <c r="E70"/>
    </row>
    <row r="71" spans="1:5" x14ac:dyDescent="0.2">
      <c r="A71" t="s">
        <v>33</v>
      </c>
      <c r="B71" t="s">
        <v>33</v>
      </c>
      <c r="E71"/>
    </row>
    <row r="72" spans="1:5" x14ac:dyDescent="0.2">
      <c r="A72" t="s">
        <v>72</v>
      </c>
      <c r="B72" t="s">
        <v>916</v>
      </c>
      <c r="E72"/>
    </row>
    <row r="73" spans="1:5" x14ac:dyDescent="0.2">
      <c r="A73" t="s">
        <v>89</v>
      </c>
      <c r="B73" t="s">
        <v>89</v>
      </c>
      <c r="E73"/>
    </row>
    <row r="74" spans="1:5" x14ac:dyDescent="0.2">
      <c r="A74" t="s">
        <v>786</v>
      </c>
      <c r="B74" t="s">
        <v>74</v>
      </c>
      <c r="E74"/>
    </row>
    <row r="75" spans="1:5" x14ac:dyDescent="0.2">
      <c r="A75" t="s">
        <v>35</v>
      </c>
      <c r="B75" t="s">
        <v>1840</v>
      </c>
      <c r="E75"/>
    </row>
    <row r="76" spans="1:5" x14ac:dyDescent="0.2">
      <c r="A76" t="s">
        <v>257</v>
      </c>
      <c r="B76" t="s">
        <v>340</v>
      </c>
      <c r="E76"/>
    </row>
    <row r="77" spans="1:5" x14ac:dyDescent="0.2">
      <c r="A77" t="s">
        <v>61</v>
      </c>
      <c r="B77" t="s">
        <v>61</v>
      </c>
      <c r="E77"/>
    </row>
    <row r="78" spans="1:5" x14ac:dyDescent="0.2">
      <c r="A78" t="s">
        <v>80</v>
      </c>
      <c r="B78" t="s">
        <v>865</v>
      </c>
      <c r="E78"/>
    </row>
    <row r="79" spans="1:5" x14ac:dyDescent="0.2">
      <c r="A79" t="s">
        <v>117</v>
      </c>
      <c r="B79" t="s">
        <v>117</v>
      </c>
      <c r="E79"/>
    </row>
    <row r="80" spans="1:5" x14ac:dyDescent="0.2">
      <c r="A80" t="s">
        <v>266</v>
      </c>
      <c r="B80" t="s">
        <v>309</v>
      </c>
      <c r="E80"/>
    </row>
    <row r="81" spans="1:5" x14ac:dyDescent="0.2">
      <c r="A81" t="s">
        <v>77</v>
      </c>
      <c r="B81" t="s">
        <v>863</v>
      </c>
      <c r="E81"/>
    </row>
    <row r="82" spans="1:5" x14ac:dyDescent="0.2">
      <c r="A82" t="s">
        <v>71</v>
      </c>
      <c r="B82" t="s">
        <v>71</v>
      </c>
      <c r="E82"/>
    </row>
    <row r="83" spans="1:5" x14ac:dyDescent="0.2">
      <c r="A83" t="s">
        <v>57</v>
      </c>
      <c r="B83" t="s">
        <v>57</v>
      </c>
      <c r="E83"/>
    </row>
    <row r="84" spans="1:5" x14ac:dyDescent="0.2">
      <c r="A84" t="s">
        <v>52</v>
      </c>
      <c r="B84" t="s">
        <v>861</v>
      </c>
      <c r="E84"/>
    </row>
    <row r="85" spans="1:5" x14ac:dyDescent="0.2">
      <c r="A85" t="s">
        <v>60</v>
      </c>
      <c r="B85" t="s">
        <v>60</v>
      </c>
      <c r="E85"/>
    </row>
    <row r="86" spans="1:5" x14ac:dyDescent="0.2">
      <c r="A86" t="s">
        <v>18</v>
      </c>
      <c r="B86" t="s">
        <v>894</v>
      </c>
      <c r="E86"/>
    </row>
    <row r="87" spans="1:5" x14ac:dyDescent="0.2">
      <c r="A87" t="s">
        <v>259</v>
      </c>
      <c r="B87" t="s">
        <v>269</v>
      </c>
      <c r="E87"/>
    </row>
    <row r="88" spans="1:5" x14ac:dyDescent="0.2">
      <c r="A88" t="s">
        <v>234</v>
      </c>
      <c r="B88" t="s">
        <v>398</v>
      </c>
      <c r="E88"/>
    </row>
    <row r="89" spans="1:5" x14ac:dyDescent="0.2">
      <c r="A89" t="s">
        <v>43</v>
      </c>
      <c r="B89" t="s">
        <v>914</v>
      </c>
      <c r="E89"/>
    </row>
    <row r="90" spans="1:5" x14ac:dyDescent="0.2">
      <c r="A90" t="s">
        <v>102</v>
      </c>
      <c r="B90" t="s">
        <v>300</v>
      </c>
      <c r="E90"/>
    </row>
    <row r="91" spans="1:5" x14ac:dyDescent="0.2">
      <c r="A91" t="s">
        <v>146</v>
      </c>
      <c r="B91" t="s">
        <v>146</v>
      </c>
      <c r="E91"/>
    </row>
    <row r="92" spans="1:5" x14ac:dyDescent="0.2">
      <c r="A92" t="s">
        <v>94</v>
      </c>
      <c r="B92" t="s">
        <v>868</v>
      </c>
      <c r="E92"/>
    </row>
    <row r="93" spans="1:5" x14ac:dyDescent="0.2">
      <c r="A93" t="s">
        <v>40</v>
      </c>
      <c r="B93" t="s">
        <v>40</v>
      </c>
      <c r="E93"/>
    </row>
    <row r="94" spans="1:5" x14ac:dyDescent="0.2">
      <c r="A94" t="s">
        <v>59</v>
      </c>
      <c r="B94" t="s">
        <v>59</v>
      </c>
      <c r="E94"/>
    </row>
    <row r="95" spans="1:5" x14ac:dyDescent="0.2">
      <c r="A95" t="s">
        <v>28</v>
      </c>
      <c r="B95" t="s">
        <v>28</v>
      </c>
      <c r="E95"/>
    </row>
    <row r="96" spans="1:5" x14ac:dyDescent="0.2">
      <c r="A96" t="s">
        <v>44</v>
      </c>
      <c r="B96" t="s">
        <v>44</v>
      </c>
      <c r="E96"/>
    </row>
    <row r="97" spans="1:5" x14ac:dyDescent="0.2">
      <c r="A97" t="s">
        <v>91</v>
      </c>
      <c r="B97" t="s">
        <v>91</v>
      </c>
      <c r="E97"/>
    </row>
    <row r="98" spans="1:5" x14ac:dyDescent="0.2">
      <c r="A98" t="s">
        <v>267</v>
      </c>
      <c r="B98" t="s">
        <v>267</v>
      </c>
      <c r="E98"/>
    </row>
    <row r="99" spans="1:5" x14ac:dyDescent="0.2">
      <c r="A99" t="s">
        <v>237</v>
      </c>
      <c r="B99" t="s">
        <v>395</v>
      </c>
      <c r="E99"/>
    </row>
    <row r="100" spans="1:5" x14ac:dyDescent="0.2">
      <c r="A100" t="s">
        <v>90</v>
      </c>
      <c r="B100" t="s">
        <v>90</v>
      </c>
      <c r="E100"/>
    </row>
    <row r="101" spans="1:5" x14ac:dyDescent="0.2">
      <c r="A101" t="s">
        <v>255</v>
      </c>
      <c r="B101" t="s">
        <v>288</v>
      </c>
      <c r="E101"/>
    </row>
    <row r="102" spans="1:5" x14ac:dyDescent="0.2">
      <c r="A102" t="s">
        <v>246</v>
      </c>
      <c r="B102" t="s">
        <v>290</v>
      </c>
      <c r="E102"/>
    </row>
    <row r="103" spans="1:5" x14ac:dyDescent="0.2">
      <c r="A103" t="s">
        <v>261</v>
      </c>
      <c r="B103" t="s">
        <v>311</v>
      </c>
      <c r="E103"/>
    </row>
    <row r="104" spans="1:5" x14ac:dyDescent="0.2">
      <c r="A104" t="s">
        <v>86</v>
      </c>
      <c r="B104" t="s">
        <v>86</v>
      </c>
      <c r="E104"/>
    </row>
    <row r="105" spans="1:5" x14ac:dyDescent="0.2">
      <c r="A105" t="s">
        <v>93</v>
      </c>
      <c r="B105" t="s">
        <v>93</v>
      </c>
      <c r="E105"/>
    </row>
    <row r="106" spans="1:5" x14ac:dyDescent="0.2">
      <c r="A106" t="s">
        <v>69</v>
      </c>
      <c r="B106" t="s">
        <v>877</v>
      </c>
      <c r="E106"/>
    </row>
    <row r="107" spans="1:5" x14ac:dyDescent="0.2">
      <c r="A107" t="s">
        <v>253</v>
      </c>
      <c r="B107" t="s">
        <v>253</v>
      </c>
      <c r="E107"/>
    </row>
    <row r="108" spans="1:5" x14ac:dyDescent="0.2">
      <c r="A108" t="s">
        <v>74</v>
      </c>
      <c r="B108" t="s">
        <v>74</v>
      </c>
      <c r="E108"/>
    </row>
    <row r="109" spans="1:5" x14ac:dyDescent="0.2">
      <c r="A109" t="s">
        <v>142</v>
      </c>
      <c r="B109" t="s">
        <v>357</v>
      </c>
      <c r="E109"/>
    </row>
    <row r="110" spans="1:5" x14ac:dyDescent="0.2">
      <c r="A110" t="s">
        <v>252</v>
      </c>
      <c r="B110" t="s">
        <v>252</v>
      </c>
      <c r="E110"/>
    </row>
    <row r="111" spans="1:5" x14ac:dyDescent="0.2">
      <c r="A111" t="s">
        <v>50</v>
      </c>
      <c r="B111" t="s">
        <v>50</v>
      </c>
      <c r="E111"/>
    </row>
    <row r="112" spans="1:5" x14ac:dyDescent="0.2">
      <c r="A112" t="s">
        <v>79</v>
      </c>
      <c r="B112" t="s">
        <v>79</v>
      </c>
      <c r="E112"/>
    </row>
    <row r="113" spans="1:5" x14ac:dyDescent="0.2">
      <c r="A113" t="s">
        <v>88</v>
      </c>
      <c r="B113" t="s">
        <v>866</v>
      </c>
      <c r="E113"/>
    </row>
    <row r="114" spans="1:5" x14ac:dyDescent="0.2">
      <c r="A114" t="s">
        <v>249</v>
      </c>
      <c r="B114" t="s">
        <v>283</v>
      </c>
      <c r="E114"/>
    </row>
    <row r="115" spans="1:5" x14ac:dyDescent="0.2">
      <c r="A115" t="s">
        <v>58</v>
      </c>
      <c r="B115" t="s">
        <v>58</v>
      </c>
      <c r="E115"/>
    </row>
    <row r="116" spans="1:5" x14ac:dyDescent="0.2">
      <c r="A116" t="s">
        <v>243</v>
      </c>
      <c r="B116" t="s">
        <v>297</v>
      </c>
      <c r="E116"/>
    </row>
    <row r="117" spans="1:5" x14ac:dyDescent="0.2">
      <c r="A117" t="s">
        <v>21</v>
      </c>
      <c r="B117" t="s">
        <v>892</v>
      </c>
      <c r="E117"/>
    </row>
    <row r="118" spans="1:5" x14ac:dyDescent="0.2">
      <c r="A118" t="s">
        <v>238</v>
      </c>
      <c r="B118" t="s">
        <v>431</v>
      </c>
      <c r="E118"/>
    </row>
    <row r="119" spans="1:5" x14ac:dyDescent="0.2">
      <c r="A119" t="s">
        <v>220</v>
      </c>
      <c r="B119" t="s">
        <v>1416</v>
      </c>
      <c r="E119"/>
    </row>
    <row r="120" spans="1:5" x14ac:dyDescent="0.2">
      <c r="A120" t="s">
        <v>54</v>
      </c>
      <c r="B120" t="s">
        <v>54</v>
      </c>
      <c r="E120"/>
    </row>
    <row r="121" spans="1:5" x14ac:dyDescent="0.2">
      <c r="A121" t="s">
        <v>83</v>
      </c>
      <c r="B121" t="s">
        <v>83</v>
      </c>
      <c r="E121"/>
    </row>
    <row r="122" spans="1:5" x14ac:dyDescent="0.2">
      <c r="A122" t="s">
        <v>167</v>
      </c>
      <c r="B122" t="s">
        <v>167</v>
      </c>
      <c r="E122"/>
    </row>
    <row r="123" spans="1:5" x14ac:dyDescent="0.2">
      <c r="A123" t="s">
        <v>240</v>
      </c>
      <c r="B123" t="s">
        <v>400</v>
      </c>
      <c r="E123"/>
    </row>
    <row r="124" spans="1:5" x14ac:dyDescent="0.2">
      <c r="A124" t="s">
        <v>96</v>
      </c>
      <c r="B124" t="s">
        <v>96</v>
      </c>
      <c r="E124"/>
    </row>
    <row r="125" spans="1:5" x14ac:dyDescent="0.2">
      <c r="A125" t="s">
        <v>98</v>
      </c>
      <c r="B125" t="s">
        <v>98</v>
      </c>
      <c r="E125"/>
    </row>
    <row r="126" spans="1:5" x14ac:dyDescent="0.2">
      <c r="A126" t="s">
        <v>100</v>
      </c>
      <c r="B126" t="s">
        <v>2000</v>
      </c>
    </row>
    <row r="127" spans="1:5" x14ac:dyDescent="0.2">
      <c r="A127" t="s">
        <v>104</v>
      </c>
      <c r="B127" t="s">
        <v>1973</v>
      </c>
      <c r="E127"/>
    </row>
    <row r="128" spans="1:5" x14ac:dyDescent="0.2">
      <c r="A128" t="s">
        <v>106</v>
      </c>
      <c r="B128" t="s">
        <v>1974</v>
      </c>
      <c r="E128"/>
    </row>
    <row r="129" spans="1:5" x14ac:dyDescent="0.2">
      <c r="A129" t="s">
        <v>108</v>
      </c>
      <c r="B129" t="s">
        <v>1971</v>
      </c>
      <c r="E129"/>
    </row>
    <row r="130" spans="1:5" x14ac:dyDescent="0.2">
      <c r="A130" t="s">
        <v>110</v>
      </c>
      <c r="B130" t="s">
        <v>110</v>
      </c>
      <c r="E130"/>
    </row>
    <row r="131" spans="1:5" x14ac:dyDescent="0.2">
      <c r="A131" t="s">
        <v>112</v>
      </c>
      <c r="B131" t="s">
        <v>1981</v>
      </c>
      <c r="E131"/>
    </row>
    <row r="132" spans="1:5" x14ac:dyDescent="0.2">
      <c r="A132" t="s">
        <v>114</v>
      </c>
      <c r="B132" t="s">
        <v>1983</v>
      </c>
      <c r="E132"/>
    </row>
    <row r="133" spans="1:5" x14ac:dyDescent="0.2">
      <c r="A133" t="s">
        <v>116</v>
      </c>
      <c r="B133" t="s">
        <v>116</v>
      </c>
      <c r="E133"/>
    </row>
    <row r="134" spans="1:5" x14ac:dyDescent="0.2">
      <c r="A134" t="s">
        <v>118</v>
      </c>
      <c r="B134" t="s">
        <v>118</v>
      </c>
      <c r="E134"/>
    </row>
    <row r="135" spans="1:5" x14ac:dyDescent="0.2">
      <c r="A135" t="s">
        <v>120</v>
      </c>
      <c r="B135" t="s">
        <v>1975</v>
      </c>
      <c r="E135"/>
    </row>
    <row r="136" spans="1:5" x14ac:dyDescent="0.2">
      <c r="A136" t="s">
        <v>139</v>
      </c>
      <c r="B136" t="s">
        <v>1912</v>
      </c>
      <c r="E136"/>
    </row>
    <row r="137" spans="1:5" x14ac:dyDescent="0.2">
      <c r="A137" t="s">
        <v>141</v>
      </c>
      <c r="B137" t="s">
        <v>1647</v>
      </c>
      <c r="E137"/>
    </row>
    <row r="138" spans="1:5" x14ac:dyDescent="0.2">
      <c r="A138" t="s">
        <v>143</v>
      </c>
      <c r="B138" t="s">
        <v>1930</v>
      </c>
      <c r="E138"/>
    </row>
    <row r="139" spans="1:5" x14ac:dyDescent="0.2">
      <c r="A139" t="s">
        <v>145</v>
      </c>
      <c r="B139" t="s">
        <v>1438</v>
      </c>
      <c r="E139"/>
    </row>
    <row r="140" spans="1:5" x14ac:dyDescent="0.2">
      <c r="A140" t="s">
        <v>161</v>
      </c>
    </row>
    <row r="141" spans="1:5" x14ac:dyDescent="0.2">
      <c r="A141" t="s">
        <v>187</v>
      </c>
      <c r="B141" t="s">
        <v>1607</v>
      </c>
      <c r="E141"/>
    </row>
    <row r="142" spans="1:5" x14ac:dyDescent="0.2">
      <c r="A142" t="s">
        <v>491</v>
      </c>
    </row>
    <row r="143" spans="1:5" x14ac:dyDescent="0.2">
      <c r="A143" t="s">
        <v>493</v>
      </c>
      <c r="B143" t="s">
        <v>383</v>
      </c>
      <c r="E143"/>
    </row>
    <row r="144" spans="1:5" x14ac:dyDescent="0.2">
      <c r="A144" t="s">
        <v>496</v>
      </c>
    </row>
    <row r="145" spans="1:5" x14ac:dyDescent="0.2">
      <c r="A145" t="s">
        <v>497</v>
      </c>
    </row>
    <row r="146" spans="1:5" x14ac:dyDescent="0.2">
      <c r="A146" t="s">
        <v>499</v>
      </c>
      <c r="B146" t="s">
        <v>1288</v>
      </c>
      <c r="E146"/>
    </row>
    <row r="147" spans="1:5" x14ac:dyDescent="0.2">
      <c r="A147" t="s">
        <v>501</v>
      </c>
    </row>
    <row r="148" spans="1:5" x14ac:dyDescent="0.2">
      <c r="A148" t="s">
        <v>503</v>
      </c>
    </row>
    <row r="149" spans="1:5" x14ac:dyDescent="0.2">
      <c r="A149" t="s">
        <v>505</v>
      </c>
    </row>
    <row r="150" spans="1:5" x14ac:dyDescent="0.2">
      <c r="A150" t="s">
        <v>507</v>
      </c>
    </row>
    <row r="151" spans="1:5" x14ac:dyDescent="0.2">
      <c r="A151" t="s">
        <v>509</v>
      </c>
    </row>
    <row r="152" spans="1:5" x14ac:dyDescent="0.2">
      <c r="A152" t="s">
        <v>511</v>
      </c>
    </row>
    <row r="153" spans="1:5" x14ac:dyDescent="0.2">
      <c r="A153" t="s">
        <v>513</v>
      </c>
      <c r="B153" t="s">
        <v>513</v>
      </c>
      <c r="E153"/>
    </row>
    <row r="154" spans="1:5" x14ac:dyDescent="0.2">
      <c r="A154" t="s">
        <v>515</v>
      </c>
    </row>
    <row r="155" spans="1:5" x14ac:dyDescent="0.2">
      <c r="A155" t="s">
        <v>517</v>
      </c>
    </row>
    <row r="156" spans="1:5" x14ac:dyDescent="0.2">
      <c r="A156" t="s">
        <v>519</v>
      </c>
    </row>
    <row r="157" spans="1:5" x14ac:dyDescent="0.2">
      <c r="A157" t="s">
        <v>522</v>
      </c>
      <c r="B157" t="s">
        <v>390</v>
      </c>
      <c r="E157"/>
    </row>
    <row r="158" spans="1:5" x14ac:dyDescent="0.2">
      <c r="A158" t="s">
        <v>524</v>
      </c>
    </row>
    <row r="159" spans="1:5" x14ac:dyDescent="0.2">
      <c r="A159" t="s">
        <v>526</v>
      </c>
    </row>
    <row r="160" spans="1:5" x14ac:dyDescent="0.2">
      <c r="A160" t="s">
        <v>527</v>
      </c>
    </row>
    <row r="161" spans="1:5" x14ac:dyDescent="0.2">
      <c r="A161" t="s">
        <v>529</v>
      </c>
      <c r="B161" t="s">
        <v>904</v>
      </c>
      <c r="E161"/>
    </row>
    <row r="162" spans="1:5" x14ac:dyDescent="0.2">
      <c r="A162" t="s">
        <v>531</v>
      </c>
    </row>
    <row r="163" spans="1:5" x14ac:dyDescent="0.2">
      <c r="A163" t="s">
        <v>533</v>
      </c>
    </row>
    <row r="164" spans="1:5" x14ac:dyDescent="0.2">
      <c r="A164" t="s">
        <v>534</v>
      </c>
    </row>
    <row r="165" spans="1:5" x14ac:dyDescent="0.2">
      <c r="A165" t="s">
        <v>537</v>
      </c>
    </row>
    <row r="166" spans="1:5" x14ac:dyDescent="0.2">
      <c r="A166" t="s">
        <v>539</v>
      </c>
    </row>
    <row r="167" spans="1:5" x14ac:dyDescent="0.2">
      <c r="A167" t="s">
        <v>541</v>
      </c>
    </row>
    <row r="168" spans="1:5" x14ac:dyDescent="0.2">
      <c r="A168" t="s">
        <v>544</v>
      </c>
      <c r="B168" t="s">
        <v>409</v>
      </c>
      <c r="E168"/>
    </row>
    <row r="169" spans="1:5" x14ac:dyDescent="0.2">
      <c r="A169" t="s">
        <v>402</v>
      </c>
      <c r="B169" t="s">
        <v>402</v>
      </c>
      <c r="E169"/>
    </row>
    <row r="170" spans="1:5" x14ac:dyDescent="0.2">
      <c r="A170" t="s">
        <v>548</v>
      </c>
      <c r="B170" t="s">
        <v>1654</v>
      </c>
      <c r="E170"/>
    </row>
    <row r="171" spans="1:5" x14ac:dyDescent="0.2">
      <c r="A171" t="s">
        <v>550</v>
      </c>
      <c r="B171" t="s">
        <v>1599</v>
      </c>
      <c r="E171"/>
    </row>
    <row r="172" spans="1:5" x14ac:dyDescent="0.2">
      <c r="A172" t="s">
        <v>552</v>
      </c>
      <c r="B172" t="s">
        <v>1413</v>
      </c>
      <c r="E172"/>
    </row>
    <row r="173" spans="1:5" x14ac:dyDescent="0.2">
      <c r="A173" t="s">
        <v>554</v>
      </c>
      <c r="B173" t="s">
        <v>1597</v>
      </c>
      <c r="E173"/>
    </row>
    <row r="174" spans="1:5" x14ac:dyDescent="0.2">
      <c r="A174" t="s">
        <v>556</v>
      </c>
      <c r="B174" t="s">
        <v>1415</v>
      </c>
      <c r="E174"/>
    </row>
    <row r="175" spans="1:5" x14ac:dyDescent="0.2">
      <c r="A175" t="s">
        <v>559</v>
      </c>
      <c r="B175" t="s">
        <v>415</v>
      </c>
      <c r="E175"/>
    </row>
    <row r="176" spans="1:5" x14ac:dyDescent="0.2">
      <c r="A176" t="s">
        <v>561</v>
      </c>
    </row>
    <row r="177" spans="1:5" x14ac:dyDescent="0.2">
      <c r="A177" t="s">
        <v>563</v>
      </c>
      <c r="B177" t="s">
        <v>1601</v>
      </c>
      <c r="E177"/>
    </row>
    <row r="178" spans="1:5" x14ac:dyDescent="0.2">
      <c r="A178" t="s">
        <v>565</v>
      </c>
    </row>
    <row r="179" spans="1:5" x14ac:dyDescent="0.2">
      <c r="A179" t="s">
        <v>567</v>
      </c>
    </row>
    <row r="180" spans="1:5" x14ac:dyDescent="0.2">
      <c r="A180" t="s">
        <v>570</v>
      </c>
    </row>
    <row r="181" spans="1:5" x14ac:dyDescent="0.2">
      <c r="A181" t="s">
        <v>571</v>
      </c>
    </row>
    <row r="182" spans="1:5" x14ac:dyDescent="0.2">
      <c r="A182" t="s">
        <v>573</v>
      </c>
    </row>
    <row r="183" spans="1:5" x14ac:dyDescent="0.2">
      <c r="A183" t="s">
        <v>575</v>
      </c>
    </row>
    <row r="184" spans="1:5" x14ac:dyDescent="0.2">
      <c r="A184" t="s">
        <v>577</v>
      </c>
    </row>
    <row r="185" spans="1:5" x14ac:dyDescent="0.2">
      <c r="A185" t="s">
        <v>579</v>
      </c>
    </row>
    <row r="186" spans="1:5" x14ac:dyDescent="0.2">
      <c r="A186" t="s">
        <v>581</v>
      </c>
    </row>
    <row r="187" spans="1:5" x14ac:dyDescent="0.2">
      <c r="A187" t="s">
        <v>404</v>
      </c>
      <c r="B187" t="s">
        <v>404</v>
      </c>
      <c r="E187"/>
    </row>
    <row r="188" spans="1:5" x14ac:dyDescent="0.2">
      <c r="A188" t="s">
        <v>585</v>
      </c>
    </row>
    <row r="189" spans="1:5" x14ac:dyDescent="0.2">
      <c r="A189" t="s">
        <v>410</v>
      </c>
      <c r="B189" t="s">
        <v>410</v>
      </c>
      <c r="E189"/>
    </row>
    <row r="190" spans="1:5" x14ac:dyDescent="0.2">
      <c r="A190" t="s">
        <v>587</v>
      </c>
      <c r="B190" t="s">
        <v>2100</v>
      </c>
      <c r="E190"/>
    </row>
    <row r="191" spans="1:5" x14ac:dyDescent="0.2">
      <c r="A191" t="s">
        <v>588</v>
      </c>
    </row>
    <row r="192" spans="1:5" x14ac:dyDescent="0.2">
      <c r="A192" t="s">
        <v>589</v>
      </c>
      <c r="B192" t="s">
        <v>1921</v>
      </c>
      <c r="E192"/>
    </row>
    <row r="193" spans="1:5" x14ac:dyDescent="0.2">
      <c r="A193" t="s">
        <v>591</v>
      </c>
      <c r="B193" t="s">
        <v>1749</v>
      </c>
      <c r="E193"/>
    </row>
    <row r="194" spans="1:5" x14ac:dyDescent="0.2">
      <c r="A194" t="s">
        <v>592</v>
      </c>
      <c r="B194" t="s">
        <v>1941</v>
      </c>
      <c r="E194"/>
    </row>
    <row r="195" spans="1:5" x14ac:dyDescent="0.2">
      <c r="A195" t="s">
        <v>594</v>
      </c>
      <c r="B195" t="s">
        <v>1688</v>
      </c>
      <c r="E195"/>
    </row>
    <row r="196" spans="1:5" x14ac:dyDescent="0.2">
      <c r="A196" t="s">
        <v>596</v>
      </c>
    </row>
    <row r="197" spans="1:5" x14ac:dyDescent="0.2">
      <c r="A197" t="s">
        <v>598</v>
      </c>
      <c r="B197" t="s">
        <v>1495</v>
      </c>
      <c r="E197"/>
    </row>
    <row r="198" spans="1:5" x14ac:dyDescent="0.2">
      <c r="A198" t="s">
        <v>599</v>
      </c>
    </row>
    <row r="199" spans="1:5" x14ac:dyDescent="0.2">
      <c r="A199" t="s">
        <v>602</v>
      </c>
      <c r="B199" t="s">
        <v>357</v>
      </c>
      <c r="E199"/>
    </row>
    <row r="200" spans="1:5" x14ac:dyDescent="0.2">
      <c r="A200" t="s">
        <v>604</v>
      </c>
      <c r="B200" t="s">
        <v>604</v>
      </c>
      <c r="E200"/>
    </row>
    <row r="201" spans="1:5" x14ac:dyDescent="0.2">
      <c r="A201" t="s">
        <v>606</v>
      </c>
    </row>
    <row r="202" spans="1:5" x14ac:dyDescent="0.2">
      <c r="A202" t="s">
        <v>608</v>
      </c>
    </row>
    <row r="203" spans="1:5" x14ac:dyDescent="0.2">
      <c r="A203" t="s">
        <v>610</v>
      </c>
    </row>
    <row r="204" spans="1:5" x14ac:dyDescent="0.2">
      <c r="A204" t="s">
        <v>613</v>
      </c>
      <c r="B204" t="s">
        <v>1496</v>
      </c>
      <c r="E204"/>
    </row>
    <row r="205" spans="1:5" x14ac:dyDescent="0.2">
      <c r="A205" t="s">
        <v>615</v>
      </c>
      <c r="B205" t="s">
        <v>2066</v>
      </c>
      <c r="E205"/>
    </row>
    <row r="206" spans="1:5" x14ac:dyDescent="0.2">
      <c r="A206" t="s">
        <v>617</v>
      </c>
    </row>
    <row r="207" spans="1:5" x14ac:dyDescent="0.2">
      <c r="A207" t="s">
        <v>619</v>
      </c>
    </row>
    <row r="208" spans="1:5" x14ac:dyDescent="0.2">
      <c r="A208" t="s">
        <v>621</v>
      </c>
    </row>
    <row r="209" spans="1:5" x14ac:dyDescent="0.2">
      <c r="A209" t="s">
        <v>623</v>
      </c>
      <c r="B209" t="s">
        <v>317</v>
      </c>
      <c r="E209"/>
    </row>
    <row r="210" spans="1:5" x14ac:dyDescent="0.2">
      <c r="A210" t="s">
        <v>627</v>
      </c>
      <c r="B210" t="s">
        <v>1965</v>
      </c>
      <c r="E210"/>
    </row>
    <row r="211" spans="1:5" x14ac:dyDescent="0.2">
      <c r="A211" t="s">
        <v>629</v>
      </c>
      <c r="B211" t="s">
        <v>1477</v>
      </c>
      <c r="E211"/>
    </row>
    <row r="212" spans="1:5" x14ac:dyDescent="0.2">
      <c r="A212" t="s">
        <v>631</v>
      </c>
    </row>
    <row r="213" spans="1:5" x14ac:dyDescent="0.2">
      <c r="A213" t="s">
        <v>633</v>
      </c>
    </row>
    <row r="214" spans="1:5" x14ac:dyDescent="0.2">
      <c r="A214" t="s">
        <v>635</v>
      </c>
      <c r="B214" t="s">
        <v>1368</v>
      </c>
      <c r="E214"/>
    </row>
    <row r="215" spans="1:5" x14ac:dyDescent="0.2">
      <c r="A215" t="s">
        <v>636</v>
      </c>
    </row>
    <row r="216" spans="1:5" x14ac:dyDescent="0.2">
      <c r="A216" t="s">
        <v>639</v>
      </c>
      <c r="B216" t="s">
        <v>1744</v>
      </c>
      <c r="E216"/>
    </row>
    <row r="217" spans="1:5" x14ac:dyDescent="0.2">
      <c r="A217" t="s">
        <v>641</v>
      </c>
    </row>
    <row r="218" spans="1:5" x14ac:dyDescent="0.2">
      <c r="A218" t="s">
        <v>643</v>
      </c>
    </row>
    <row r="219" spans="1:5" x14ac:dyDescent="0.2">
      <c r="A219" t="s">
        <v>645</v>
      </c>
    </row>
    <row r="220" spans="1:5" x14ac:dyDescent="0.2">
      <c r="A220" t="s">
        <v>648</v>
      </c>
    </row>
    <row r="221" spans="1:5" x14ac:dyDescent="0.2">
      <c r="A221" t="s">
        <v>651</v>
      </c>
    </row>
    <row r="222" spans="1:5" x14ac:dyDescent="0.2">
      <c r="A222" t="s">
        <v>653</v>
      </c>
      <c r="B222" t="s">
        <v>319</v>
      </c>
      <c r="E222"/>
    </row>
    <row r="223" spans="1:5" x14ac:dyDescent="0.2">
      <c r="A223" t="s">
        <v>655</v>
      </c>
    </row>
    <row r="224" spans="1:5" x14ac:dyDescent="0.2">
      <c r="A224" t="s">
        <v>321</v>
      </c>
      <c r="B224" t="s">
        <v>321</v>
      </c>
      <c r="E224"/>
    </row>
    <row r="225" spans="1:5" x14ac:dyDescent="0.2">
      <c r="A225" t="s">
        <v>658</v>
      </c>
      <c r="B225" t="s">
        <v>1708</v>
      </c>
      <c r="E225"/>
    </row>
    <row r="226" spans="1:5" x14ac:dyDescent="0.2">
      <c r="A226" t="s">
        <v>660</v>
      </c>
    </row>
    <row r="227" spans="1:5" x14ac:dyDescent="0.2">
      <c r="A227" t="s">
        <v>661</v>
      </c>
      <c r="B227" t="s">
        <v>364</v>
      </c>
      <c r="E227"/>
    </row>
    <row r="228" spans="1:5" x14ac:dyDescent="0.2">
      <c r="A228" t="s">
        <v>663</v>
      </c>
    </row>
    <row r="229" spans="1:5" x14ac:dyDescent="0.2">
      <c r="A229" t="s">
        <v>379</v>
      </c>
      <c r="B229" t="s">
        <v>379</v>
      </c>
      <c r="E229"/>
    </row>
    <row r="230" spans="1:5" x14ac:dyDescent="0.2">
      <c r="A230" t="s">
        <v>316</v>
      </c>
      <c r="B230" t="s">
        <v>316</v>
      </c>
      <c r="E230"/>
    </row>
    <row r="231" spans="1:5" x14ac:dyDescent="0.2">
      <c r="A231" t="s">
        <v>667</v>
      </c>
      <c r="B231" t="s">
        <v>667</v>
      </c>
      <c r="E231"/>
    </row>
    <row r="232" spans="1:5" x14ac:dyDescent="0.2">
      <c r="A232" t="s">
        <v>668</v>
      </c>
    </row>
    <row r="233" spans="1:5" x14ac:dyDescent="0.2">
      <c r="A233" t="s">
        <v>318</v>
      </c>
      <c r="B233" t="s">
        <v>318</v>
      </c>
      <c r="E233"/>
    </row>
    <row r="234" spans="1:5" x14ac:dyDescent="0.2">
      <c r="A234" t="s">
        <v>670</v>
      </c>
    </row>
    <row r="235" spans="1:5" x14ac:dyDescent="0.2">
      <c r="A235" t="s">
        <v>672</v>
      </c>
      <c r="B235" t="s">
        <v>372</v>
      </c>
      <c r="E235"/>
    </row>
    <row r="236" spans="1:5" x14ac:dyDescent="0.2">
      <c r="A236" t="s">
        <v>674</v>
      </c>
      <c r="B236" t="s">
        <v>791</v>
      </c>
      <c r="E236"/>
    </row>
    <row r="237" spans="1:5" x14ac:dyDescent="0.2">
      <c r="A237" t="s">
        <v>676</v>
      </c>
      <c r="B237" t="s">
        <v>676</v>
      </c>
      <c r="E237"/>
    </row>
    <row r="238" spans="1:5" x14ac:dyDescent="0.2">
      <c r="A238" t="s">
        <v>678</v>
      </c>
      <c r="B238" t="s">
        <v>1557</v>
      </c>
      <c r="E238"/>
    </row>
    <row r="239" spans="1:5" x14ac:dyDescent="0.2">
      <c r="A239" t="s">
        <v>680</v>
      </c>
      <c r="B239" t="s">
        <v>1964</v>
      </c>
      <c r="E239"/>
    </row>
    <row r="240" spans="1:5" x14ac:dyDescent="0.2">
      <c r="A240" t="s">
        <v>682</v>
      </c>
      <c r="B240" t="s">
        <v>1976</v>
      </c>
      <c r="E240"/>
    </row>
    <row r="241" spans="1:5" x14ac:dyDescent="0.2">
      <c r="A241" t="s">
        <v>684</v>
      </c>
    </row>
    <row r="242" spans="1:5" x14ac:dyDescent="0.2">
      <c r="A242" t="s">
        <v>686</v>
      </c>
    </row>
    <row r="243" spans="1:5" x14ac:dyDescent="0.2">
      <c r="A243" t="s">
        <v>688</v>
      </c>
      <c r="B243" t="s">
        <v>1876</v>
      </c>
      <c r="E243"/>
    </row>
    <row r="244" spans="1:5" x14ac:dyDescent="0.2">
      <c r="A244" t="s">
        <v>690</v>
      </c>
    </row>
    <row r="245" spans="1:5" x14ac:dyDescent="0.2">
      <c r="A245" t="s">
        <v>692</v>
      </c>
    </row>
    <row r="246" spans="1:5" x14ac:dyDescent="0.2">
      <c r="A246" t="s">
        <v>694</v>
      </c>
    </row>
    <row r="247" spans="1:5" x14ac:dyDescent="0.2">
      <c r="A247" t="s">
        <v>696</v>
      </c>
      <c r="B247" t="s">
        <v>891</v>
      </c>
      <c r="E247"/>
    </row>
    <row r="248" spans="1:5" x14ac:dyDescent="0.2">
      <c r="A248" t="s">
        <v>698</v>
      </c>
      <c r="B248" t="s">
        <v>337</v>
      </c>
      <c r="E248"/>
    </row>
    <row r="249" spans="1:5" x14ac:dyDescent="0.2">
      <c r="A249" t="s">
        <v>700</v>
      </c>
      <c r="B249" t="s">
        <v>374</v>
      </c>
      <c r="E249"/>
    </row>
    <row r="250" spans="1:5" x14ac:dyDescent="0.2">
      <c r="A250" t="s">
        <v>702</v>
      </c>
      <c r="B250" t="s">
        <v>328</v>
      </c>
      <c r="E250"/>
    </row>
    <row r="251" spans="1:5" x14ac:dyDescent="0.2">
      <c r="A251" t="s">
        <v>683</v>
      </c>
    </row>
    <row r="252" spans="1:5" x14ac:dyDescent="0.2">
      <c r="A252" t="s">
        <v>704</v>
      </c>
      <c r="B252" t="s">
        <v>333</v>
      </c>
    </row>
    <row r="253" spans="1:5" x14ac:dyDescent="0.2">
      <c r="A253" t="s">
        <v>706</v>
      </c>
    </row>
    <row r="254" spans="1:5" x14ac:dyDescent="0.2">
      <c r="A254" t="s">
        <v>708</v>
      </c>
    </row>
    <row r="255" spans="1:5" x14ac:dyDescent="0.2">
      <c r="A255" t="s">
        <v>710</v>
      </c>
    </row>
    <row r="256" spans="1:5" x14ac:dyDescent="0.2">
      <c r="A256" t="s">
        <v>712</v>
      </c>
    </row>
    <row r="257" spans="1:2" x14ac:dyDescent="0.2">
      <c r="A257" t="s">
        <v>714</v>
      </c>
    </row>
    <row r="258" spans="1:2" x14ac:dyDescent="0.2">
      <c r="A258" t="s">
        <v>716</v>
      </c>
    </row>
    <row r="259" spans="1:2" x14ac:dyDescent="0.2">
      <c r="A259" t="s">
        <v>718</v>
      </c>
    </row>
    <row r="260" spans="1:2" x14ac:dyDescent="0.2">
      <c r="A260" t="s">
        <v>720</v>
      </c>
    </row>
    <row r="261" spans="1:2" x14ac:dyDescent="0.2">
      <c r="A261" t="s">
        <v>722</v>
      </c>
    </row>
    <row r="262" spans="1:2" x14ac:dyDescent="0.2">
      <c r="A262" t="s">
        <v>724</v>
      </c>
    </row>
    <row r="263" spans="1:2" x14ac:dyDescent="0.2">
      <c r="A263" t="s">
        <v>726</v>
      </c>
    </row>
    <row r="264" spans="1:2" x14ac:dyDescent="0.2">
      <c r="A264" t="s">
        <v>729</v>
      </c>
      <c r="B264" t="s">
        <v>330</v>
      </c>
    </row>
    <row r="265" spans="1:2" x14ac:dyDescent="0.2">
      <c r="A265" t="s">
        <v>731</v>
      </c>
    </row>
    <row r="266" spans="1:2" x14ac:dyDescent="0.2">
      <c r="A266" t="s">
        <v>733</v>
      </c>
    </row>
    <row r="267" spans="1:2" x14ac:dyDescent="0.2">
      <c r="A267" t="s">
        <v>735</v>
      </c>
      <c r="B267" t="s">
        <v>1203</v>
      </c>
    </row>
    <row r="268" spans="1:2" x14ac:dyDescent="0.2">
      <c r="A268" t="s">
        <v>737</v>
      </c>
      <c r="B268" t="s">
        <v>424</v>
      </c>
    </row>
    <row r="269" spans="1:2" x14ac:dyDescent="0.2">
      <c r="A269" t="s">
        <v>740</v>
      </c>
      <c r="B269" t="s">
        <v>1315</v>
      </c>
    </row>
    <row r="270" spans="1:2" x14ac:dyDescent="0.2">
      <c r="A270" t="s">
        <v>742</v>
      </c>
      <c r="B270" t="s">
        <v>1860</v>
      </c>
    </row>
    <row r="271" spans="1:2" x14ac:dyDescent="0.2">
      <c r="A271" t="s">
        <v>743</v>
      </c>
    </row>
    <row r="272" spans="1:2" x14ac:dyDescent="0.2">
      <c r="A272" t="s">
        <v>744</v>
      </c>
      <c r="B272" t="s">
        <v>744</v>
      </c>
    </row>
    <row r="273" spans="1:2" x14ac:dyDescent="0.2">
      <c r="A273" t="s">
        <v>745</v>
      </c>
    </row>
    <row r="274" spans="1:2" x14ac:dyDescent="0.2">
      <c r="A274" t="s">
        <v>747</v>
      </c>
      <c r="B274" t="s">
        <v>1285</v>
      </c>
    </row>
    <row r="275" spans="1:2" x14ac:dyDescent="0.2">
      <c r="A275" t="s">
        <v>749</v>
      </c>
      <c r="B275" t="s">
        <v>1885</v>
      </c>
    </row>
    <row r="276" spans="1:2" x14ac:dyDescent="0.2">
      <c r="A276" t="s">
        <v>751</v>
      </c>
      <c r="B276" t="s">
        <v>2068</v>
      </c>
    </row>
    <row r="277" spans="1:2" x14ac:dyDescent="0.2">
      <c r="A277" t="s">
        <v>703</v>
      </c>
      <c r="B277" t="s">
        <v>703</v>
      </c>
    </row>
    <row r="278" spans="1:2" x14ac:dyDescent="0.2">
      <c r="A278" t="s">
        <v>308</v>
      </c>
      <c r="B278" t="s">
        <v>308</v>
      </c>
    </row>
    <row r="279" spans="1:2" x14ac:dyDescent="0.2">
      <c r="A279" t="s">
        <v>754</v>
      </c>
      <c r="B279" t="s">
        <v>1829</v>
      </c>
    </row>
    <row r="280" spans="1:2" x14ac:dyDescent="0.2">
      <c r="A280" t="s">
        <v>756</v>
      </c>
      <c r="B280" t="s">
        <v>1312</v>
      </c>
    </row>
    <row r="281" spans="1:2" x14ac:dyDescent="0.2">
      <c r="A281" t="s">
        <v>758</v>
      </c>
    </row>
    <row r="282" spans="1:2" x14ac:dyDescent="0.2">
      <c r="A282" t="s">
        <v>760</v>
      </c>
    </row>
    <row r="283" spans="1:2" x14ac:dyDescent="0.2">
      <c r="A283" t="s">
        <v>762</v>
      </c>
    </row>
    <row r="284" spans="1:2" x14ac:dyDescent="0.2">
      <c r="A284" t="s">
        <v>82</v>
      </c>
      <c r="B284" t="s">
        <v>82</v>
      </c>
    </row>
    <row r="285" spans="1:2" x14ac:dyDescent="0.2">
      <c r="A285" t="s">
        <v>765</v>
      </c>
    </row>
    <row r="286" spans="1:2" x14ac:dyDescent="0.2">
      <c r="A286" t="s">
        <v>767</v>
      </c>
    </row>
    <row r="287" spans="1:2" x14ac:dyDescent="0.2">
      <c r="A287" t="s">
        <v>769</v>
      </c>
      <c r="B287" t="s">
        <v>1299</v>
      </c>
    </row>
    <row r="288" spans="1:2" x14ac:dyDescent="0.2">
      <c r="A288" t="s">
        <v>771</v>
      </c>
      <c r="B288" t="s">
        <v>1478</v>
      </c>
    </row>
    <row r="289" spans="1:2" x14ac:dyDescent="0.2">
      <c r="A289" t="s">
        <v>773</v>
      </c>
      <c r="B289" t="s">
        <v>1212</v>
      </c>
    </row>
    <row r="290" spans="1:2" x14ac:dyDescent="0.2">
      <c r="A290" t="s">
        <v>776</v>
      </c>
    </row>
    <row r="291" spans="1:2" x14ac:dyDescent="0.2">
      <c r="A291" t="s">
        <v>779</v>
      </c>
      <c r="B291" t="s">
        <v>1325</v>
      </c>
    </row>
    <row r="292" spans="1:2" x14ac:dyDescent="0.2">
      <c r="A292" t="s">
        <v>428</v>
      </c>
      <c r="B292" t="s">
        <v>428</v>
      </c>
    </row>
    <row r="293" spans="1:2" x14ac:dyDescent="0.2">
      <c r="A293" t="s">
        <v>38</v>
      </c>
      <c r="B293" t="s">
        <v>38</v>
      </c>
    </row>
    <row r="294" spans="1:2" x14ac:dyDescent="0.2">
      <c r="A294" t="s">
        <v>782</v>
      </c>
      <c r="B294" t="s">
        <v>1878</v>
      </c>
    </row>
    <row r="295" spans="1:2" x14ac:dyDescent="0.2">
      <c r="A295" t="s">
        <v>784</v>
      </c>
    </row>
    <row r="296" spans="1:2" x14ac:dyDescent="0.2">
      <c r="A296" t="s">
        <v>785</v>
      </c>
      <c r="B296" t="s">
        <v>1821</v>
      </c>
    </row>
    <row r="297" spans="1:2" x14ac:dyDescent="0.2">
      <c r="A297" t="s">
        <v>788</v>
      </c>
    </row>
    <row r="298" spans="1:2" x14ac:dyDescent="0.2">
      <c r="A298" t="s">
        <v>790</v>
      </c>
      <c r="B298" t="s">
        <v>734</v>
      </c>
    </row>
    <row r="299" spans="1:2" x14ac:dyDescent="0.2">
      <c r="A299" t="s">
        <v>419</v>
      </c>
      <c r="B299" t="s">
        <v>419</v>
      </c>
    </row>
    <row r="300" spans="1:2" x14ac:dyDescent="0.2">
      <c r="A300" t="s">
        <v>793</v>
      </c>
      <c r="B300" t="s">
        <v>1325</v>
      </c>
    </row>
    <row r="301" spans="1:2" x14ac:dyDescent="0.2">
      <c r="A301" t="s">
        <v>795</v>
      </c>
      <c r="B301" t="s">
        <v>2107</v>
      </c>
    </row>
    <row r="302" spans="1:2" x14ac:dyDescent="0.2">
      <c r="A302" t="s">
        <v>48</v>
      </c>
      <c r="B302" t="s">
        <v>48</v>
      </c>
    </row>
    <row r="303" spans="1:2" x14ac:dyDescent="0.2">
      <c r="A303" t="s">
        <v>798</v>
      </c>
      <c r="B303" t="s">
        <v>2108</v>
      </c>
    </row>
    <row r="304" spans="1:2" x14ac:dyDescent="0.2">
      <c r="A304" t="s">
        <v>931</v>
      </c>
      <c r="B304" t="s">
        <v>896</v>
      </c>
    </row>
    <row r="305" spans="1:2" x14ac:dyDescent="0.2">
      <c r="A305" t="s">
        <v>933</v>
      </c>
      <c r="B305" t="s">
        <v>1324</v>
      </c>
    </row>
    <row r="306" spans="1:2" x14ac:dyDescent="0.2">
      <c r="A306" t="s">
        <v>935</v>
      </c>
      <c r="B306" t="s">
        <v>2109</v>
      </c>
    </row>
    <row r="307" spans="1:2" x14ac:dyDescent="0.2">
      <c r="A307" t="s">
        <v>937</v>
      </c>
      <c r="B307" t="s">
        <v>1817</v>
      </c>
    </row>
    <row r="308" spans="1:2" x14ac:dyDescent="0.2">
      <c r="A308" t="s">
        <v>939</v>
      </c>
      <c r="B308" t="s">
        <v>897</v>
      </c>
    </row>
    <row r="309" spans="1:2" x14ac:dyDescent="0.2">
      <c r="A309" t="s">
        <v>941</v>
      </c>
    </row>
    <row r="310" spans="1:2" x14ac:dyDescent="0.2">
      <c r="A310" t="s">
        <v>943</v>
      </c>
    </row>
    <row r="311" spans="1:2" x14ac:dyDescent="0.2">
      <c r="A311" t="s">
        <v>945</v>
      </c>
      <c r="B311" t="s">
        <v>408</v>
      </c>
    </row>
    <row r="312" spans="1:2" x14ac:dyDescent="0.2">
      <c r="A312" t="s">
        <v>948</v>
      </c>
    </row>
    <row r="313" spans="1:2" x14ac:dyDescent="0.2">
      <c r="A313" t="s">
        <v>950</v>
      </c>
    </row>
    <row r="314" spans="1:2" x14ac:dyDescent="0.2">
      <c r="A314" t="s">
        <v>26</v>
      </c>
      <c r="B314" t="s">
        <v>1597</v>
      </c>
    </row>
    <row r="315" spans="1:2" x14ac:dyDescent="0.2">
      <c r="A315" t="s">
        <v>221</v>
      </c>
      <c r="B315" t="s">
        <v>1417</v>
      </c>
    </row>
    <row r="316" spans="1:2" x14ac:dyDescent="0.2">
      <c r="A316" t="s">
        <v>952</v>
      </c>
      <c r="B316" t="s">
        <v>1842</v>
      </c>
    </row>
    <row r="317" spans="1:2" x14ac:dyDescent="0.2">
      <c r="A317" t="s">
        <v>954</v>
      </c>
    </row>
    <row r="318" spans="1:2" x14ac:dyDescent="0.2">
      <c r="A318" t="s">
        <v>414</v>
      </c>
      <c r="B318" t="s">
        <v>414</v>
      </c>
    </row>
    <row r="319" spans="1:2" x14ac:dyDescent="0.2">
      <c r="A319" t="s">
        <v>957</v>
      </c>
    </row>
    <row r="320" spans="1:2" x14ac:dyDescent="0.2">
      <c r="A320" t="s">
        <v>959</v>
      </c>
    </row>
    <row r="321" spans="1:2" x14ac:dyDescent="0.2">
      <c r="A321" t="s">
        <v>961</v>
      </c>
    </row>
    <row r="322" spans="1:2" x14ac:dyDescent="0.2">
      <c r="A322" t="s">
        <v>963</v>
      </c>
    </row>
    <row r="323" spans="1:2" x14ac:dyDescent="0.2">
      <c r="A323" t="s">
        <v>966</v>
      </c>
      <c r="B323" t="s">
        <v>966</v>
      </c>
    </row>
    <row r="324" spans="1:2" x14ac:dyDescent="0.2">
      <c r="A324" t="s">
        <v>968</v>
      </c>
      <c r="B324" t="s">
        <v>415</v>
      </c>
    </row>
    <row r="325" spans="1:2" x14ac:dyDescent="0.2">
      <c r="A325" t="s">
        <v>970</v>
      </c>
      <c r="B325" t="s">
        <v>411</v>
      </c>
    </row>
    <row r="326" spans="1:2" x14ac:dyDescent="0.2">
      <c r="A326" t="s">
        <v>973</v>
      </c>
    </row>
    <row r="327" spans="1:2" x14ac:dyDescent="0.2">
      <c r="A327" t="s">
        <v>975</v>
      </c>
      <c r="B327" t="s">
        <v>1539</v>
      </c>
    </row>
    <row r="328" spans="1:2" x14ac:dyDescent="0.2">
      <c r="A328" t="s">
        <v>977</v>
      </c>
    </row>
    <row r="329" spans="1:2" x14ac:dyDescent="0.2">
      <c r="A329" t="s">
        <v>979</v>
      </c>
    </row>
    <row r="330" spans="1:2" x14ac:dyDescent="0.2">
      <c r="A330" t="s">
        <v>981</v>
      </c>
      <c r="B330" t="s">
        <v>1921</v>
      </c>
    </row>
    <row r="331" spans="1:2" x14ac:dyDescent="0.2">
      <c r="A331" t="s">
        <v>983</v>
      </c>
      <c r="B331" t="s">
        <v>983</v>
      </c>
    </row>
    <row r="332" spans="1:2" x14ac:dyDescent="0.2">
      <c r="A332" t="s">
        <v>986</v>
      </c>
    </row>
    <row r="333" spans="1:2" x14ac:dyDescent="0.2">
      <c r="A333" t="s">
        <v>988</v>
      </c>
      <c r="B333" t="s">
        <v>1777</v>
      </c>
    </row>
    <row r="334" spans="1:2" x14ac:dyDescent="0.2">
      <c r="A334" t="s">
        <v>992</v>
      </c>
      <c r="B334" t="s">
        <v>1930</v>
      </c>
    </row>
    <row r="335" spans="1:2" x14ac:dyDescent="0.2">
      <c r="A335" t="s">
        <v>994</v>
      </c>
      <c r="B335" t="s">
        <v>994</v>
      </c>
    </row>
    <row r="336" spans="1:2" x14ac:dyDescent="0.2">
      <c r="A336" t="s">
        <v>996</v>
      </c>
      <c r="B336" t="s">
        <v>1291</v>
      </c>
    </row>
    <row r="337" spans="1:2" x14ac:dyDescent="0.2">
      <c r="A337" t="s">
        <v>998</v>
      </c>
      <c r="B337" t="s">
        <v>1462</v>
      </c>
    </row>
    <row r="338" spans="1:2" x14ac:dyDescent="0.2">
      <c r="A338" t="s">
        <v>1001</v>
      </c>
    </row>
    <row r="339" spans="1:2" x14ac:dyDescent="0.2">
      <c r="A339" t="s">
        <v>1003</v>
      </c>
    </row>
    <row r="340" spans="1:2" x14ac:dyDescent="0.2">
      <c r="A340" t="s">
        <v>1005</v>
      </c>
    </row>
    <row r="341" spans="1:2" x14ac:dyDescent="0.2">
      <c r="A341" t="s">
        <v>1008</v>
      </c>
      <c r="B341" t="s">
        <v>1008</v>
      </c>
    </row>
    <row r="342" spans="1:2" x14ac:dyDescent="0.2">
      <c r="A342" t="s">
        <v>1010</v>
      </c>
      <c r="B342" t="s">
        <v>1938</v>
      </c>
    </row>
    <row r="343" spans="1:2" x14ac:dyDescent="0.2">
      <c r="A343" t="s">
        <v>1013</v>
      </c>
    </row>
    <row r="344" spans="1:2" x14ac:dyDescent="0.2">
      <c r="A344" t="s">
        <v>1016</v>
      </c>
      <c r="B344" t="s">
        <v>1016</v>
      </c>
    </row>
    <row r="345" spans="1:2" x14ac:dyDescent="0.2">
      <c r="A345" t="s">
        <v>1018</v>
      </c>
      <c r="B345" t="s">
        <v>2003</v>
      </c>
    </row>
    <row r="346" spans="1:2" x14ac:dyDescent="0.2">
      <c r="A346" t="s">
        <v>1020</v>
      </c>
    </row>
    <row r="347" spans="1:2" x14ac:dyDescent="0.2">
      <c r="A347" t="s">
        <v>1022</v>
      </c>
      <c r="B347" t="s">
        <v>1555</v>
      </c>
    </row>
    <row r="348" spans="1:2" x14ac:dyDescent="0.2">
      <c r="A348" t="s">
        <v>1025</v>
      </c>
      <c r="B348" t="s">
        <v>1861</v>
      </c>
    </row>
    <row r="349" spans="1:2" x14ac:dyDescent="0.2">
      <c r="A349" t="s">
        <v>1027</v>
      </c>
      <c r="B349" t="s">
        <v>2063</v>
      </c>
    </row>
    <row r="350" spans="1:2" x14ac:dyDescent="0.2">
      <c r="A350" t="s">
        <v>1029</v>
      </c>
      <c r="B350" t="s">
        <v>870</v>
      </c>
    </row>
    <row r="351" spans="1:2" x14ac:dyDescent="0.2">
      <c r="A351" t="s">
        <v>1031</v>
      </c>
      <c r="B351" t="s">
        <v>1942</v>
      </c>
    </row>
    <row r="352" spans="1:2" x14ac:dyDescent="0.2">
      <c r="A352" t="s">
        <v>1034</v>
      </c>
      <c r="B352" t="s">
        <v>1409</v>
      </c>
    </row>
    <row r="353" spans="1:2" x14ac:dyDescent="0.2">
      <c r="A353" t="s">
        <v>1036</v>
      </c>
      <c r="B353" t="s">
        <v>1036</v>
      </c>
    </row>
    <row r="354" spans="1:2" x14ac:dyDescent="0.2">
      <c r="A354" t="s">
        <v>1037</v>
      </c>
      <c r="B354" t="s">
        <v>301</v>
      </c>
    </row>
    <row r="355" spans="1:2" x14ac:dyDescent="0.2">
      <c r="A355" t="s">
        <v>1039</v>
      </c>
      <c r="B355" t="s">
        <v>1725</v>
      </c>
    </row>
    <row r="356" spans="1:2" x14ac:dyDescent="0.2">
      <c r="A356" t="s">
        <v>1041</v>
      </c>
    </row>
    <row r="357" spans="1:2" x14ac:dyDescent="0.2">
      <c r="A357" t="s">
        <v>1044</v>
      </c>
      <c r="B357" t="s">
        <v>272</v>
      </c>
    </row>
    <row r="358" spans="1:2" x14ac:dyDescent="0.2">
      <c r="A358" t="s">
        <v>1046</v>
      </c>
      <c r="B358" t="s">
        <v>1935</v>
      </c>
    </row>
    <row r="359" spans="1:2" x14ac:dyDescent="0.2">
      <c r="A359" t="s">
        <v>1049</v>
      </c>
      <c r="B359" t="s">
        <v>2066</v>
      </c>
    </row>
    <row r="360" spans="1:2" x14ac:dyDescent="0.2">
      <c r="A360" t="s">
        <v>1051</v>
      </c>
      <c r="B360" t="s">
        <v>862</v>
      </c>
    </row>
    <row r="361" spans="1:2" x14ac:dyDescent="0.2">
      <c r="A361" t="s">
        <v>1053</v>
      </c>
      <c r="B361" t="s">
        <v>1433</v>
      </c>
    </row>
    <row r="362" spans="1:2" x14ac:dyDescent="0.2">
      <c r="A362" t="s">
        <v>1055</v>
      </c>
    </row>
    <row r="363" spans="1:2" x14ac:dyDescent="0.2">
      <c r="A363" t="s">
        <v>1057</v>
      </c>
      <c r="B363" t="s">
        <v>1057</v>
      </c>
    </row>
    <row r="364" spans="1:2" x14ac:dyDescent="0.2">
      <c r="A364" t="s">
        <v>1058</v>
      </c>
    </row>
    <row r="365" spans="1:2" x14ac:dyDescent="0.2">
      <c r="A365" t="s">
        <v>1059</v>
      </c>
      <c r="B365" t="s">
        <v>1059</v>
      </c>
    </row>
    <row r="366" spans="1:2" x14ac:dyDescent="0.2">
      <c r="A366" t="s">
        <v>1061</v>
      </c>
      <c r="B366" t="s">
        <v>1709</v>
      </c>
    </row>
    <row r="367" spans="1:2" x14ac:dyDescent="0.2">
      <c r="A367" t="s">
        <v>1063</v>
      </c>
      <c r="B367" t="s">
        <v>1063</v>
      </c>
    </row>
    <row r="368" spans="1:2" x14ac:dyDescent="0.2">
      <c r="A368" t="s">
        <v>1065</v>
      </c>
      <c r="B368" t="s">
        <v>1423</v>
      </c>
    </row>
    <row r="369" spans="1:2" x14ac:dyDescent="0.2">
      <c r="A369" t="s">
        <v>1067</v>
      </c>
      <c r="B369" t="s">
        <v>1067</v>
      </c>
    </row>
    <row r="370" spans="1:2" x14ac:dyDescent="0.2">
      <c r="A370" t="s">
        <v>1069</v>
      </c>
    </row>
    <row r="371" spans="1:2" x14ac:dyDescent="0.2">
      <c r="A371" t="s">
        <v>1071</v>
      </c>
      <c r="B371" t="s">
        <v>1071</v>
      </c>
    </row>
    <row r="372" spans="1:2" x14ac:dyDescent="0.2">
      <c r="A372" t="s">
        <v>1074</v>
      </c>
      <c r="B372" t="s">
        <v>1074</v>
      </c>
    </row>
    <row r="373" spans="1:2" x14ac:dyDescent="0.2">
      <c r="A373" t="s">
        <v>1077</v>
      </c>
      <c r="B373" t="s">
        <v>1485</v>
      </c>
    </row>
    <row r="374" spans="1:2" x14ac:dyDescent="0.2">
      <c r="A374" t="s">
        <v>1079</v>
      </c>
    </row>
    <row r="375" spans="1:2" x14ac:dyDescent="0.2">
      <c r="A375" t="s">
        <v>1082</v>
      </c>
    </row>
    <row r="376" spans="1:2" x14ac:dyDescent="0.2">
      <c r="A376" t="s">
        <v>1084</v>
      </c>
    </row>
    <row r="377" spans="1:2" x14ac:dyDescent="0.2">
      <c r="A377" t="s">
        <v>1087</v>
      </c>
      <c r="B377" t="s">
        <v>1087</v>
      </c>
    </row>
    <row r="378" spans="1:2" x14ac:dyDescent="0.2">
      <c r="A378" t="s">
        <v>1089</v>
      </c>
      <c r="B378" t="s">
        <v>1089</v>
      </c>
    </row>
    <row r="379" spans="1:2" x14ac:dyDescent="0.2">
      <c r="A379" t="s">
        <v>1091</v>
      </c>
      <c r="B379" t="s">
        <v>1091</v>
      </c>
    </row>
    <row r="380" spans="1:2" x14ac:dyDescent="0.2">
      <c r="A380" t="s">
        <v>1093</v>
      </c>
    </row>
    <row r="381" spans="1:2" x14ac:dyDescent="0.2">
      <c r="A381" t="s">
        <v>1095</v>
      </c>
      <c r="B381" t="s">
        <v>652</v>
      </c>
    </row>
    <row r="382" spans="1:2" x14ac:dyDescent="0.2">
      <c r="A382" t="s">
        <v>1097</v>
      </c>
    </row>
    <row r="383" spans="1:2" x14ac:dyDescent="0.2">
      <c r="A383" t="s">
        <v>1099</v>
      </c>
    </row>
    <row r="384" spans="1:2" x14ac:dyDescent="0.2">
      <c r="A384" t="s">
        <v>1101</v>
      </c>
    </row>
    <row r="385" spans="1:2" x14ac:dyDescent="0.2">
      <c r="A385" t="s">
        <v>1103</v>
      </c>
    </row>
    <row r="386" spans="1:2" x14ac:dyDescent="0.2">
      <c r="A386" t="s">
        <v>371</v>
      </c>
      <c r="B386" t="s">
        <v>371</v>
      </c>
    </row>
    <row r="387" spans="1:2" x14ac:dyDescent="0.2">
      <c r="A387" t="s">
        <v>1107</v>
      </c>
    </row>
    <row r="388" spans="1:2" x14ac:dyDescent="0.2">
      <c r="A388" t="s">
        <v>1108</v>
      </c>
    </row>
    <row r="389" spans="1:2" x14ac:dyDescent="0.2">
      <c r="A389" t="s">
        <v>1110</v>
      </c>
      <c r="B389" t="s">
        <v>274</v>
      </c>
    </row>
    <row r="390" spans="1:2" x14ac:dyDescent="0.2">
      <c r="A390" t="s">
        <v>1112</v>
      </c>
    </row>
    <row r="391" spans="1:2" x14ac:dyDescent="0.2">
      <c r="A391" t="s">
        <v>1113</v>
      </c>
    </row>
    <row r="392" spans="1:2" x14ac:dyDescent="0.2">
      <c r="A392" t="s">
        <v>1114</v>
      </c>
    </row>
    <row r="393" spans="1:2" x14ac:dyDescent="0.2">
      <c r="A393" t="s">
        <v>1115</v>
      </c>
    </row>
    <row r="394" spans="1:2" x14ac:dyDescent="0.2">
      <c r="A394" t="s">
        <v>334</v>
      </c>
      <c r="B394" t="s">
        <v>334</v>
      </c>
    </row>
    <row r="395" spans="1:2" x14ac:dyDescent="0.2">
      <c r="A395" t="s">
        <v>1117</v>
      </c>
    </row>
    <row r="396" spans="1:2" x14ac:dyDescent="0.2">
      <c r="A396" t="s">
        <v>1119</v>
      </c>
      <c r="B396" t="s">
        <v>1946</v>
      </c>
    </row>
    <row r="397" spans="1:2" x14ac:dyDescent="0.2">
      <c r="A397" t="s">
        <v>1121</v>
      </c>
    </row>
    <row r="398" spans="1:2" x14ac:dyDescent="0.2">
      <c r="A398" t="s">
        <v>1123</v>
      </c>
      <c r="B398" t="s">
        <v>2048</v>
      </c>
    </row>
    <row r="399" spans="1:2" x14ac:dyDescent="0.2">
      <c r="A399" t="s">
        <v>677</v>
      </c>
      <c r="B399" t="s">
        <v>677</v>
      </c>
    </row>
    <row r="400" spans="1:2" x14ac:dyDescent="0.2">
      <c r="A400" t="s">
        <v>1125</v>
      </c>
      <c r="B400" t="s">
        <v>2097</v>
      </c>
    </row>
    <row r="401" spans="1:2" x14ac:dyDescent="0.2">
      <c r="A401" t="s">
        <v>1126</v>
      </c>
      <c r="B401" t="s">
        <v>301</v>
      </c>
    </row>
    <row r="402" spans="1:2" x14ac:dyDescent="0.2">
      <c r="A402" t="s">
        <v>103</v>
      </c>
      <c r="B402" t="s">
        <v>2001</v>
      </c>
    </row>
    <row r="403" spans="1:2" x14ac:dyDescent="0.2">
      <c r="A403" t="s">
        <v>1128</v>
      </c>
      <c r="B403" t="s">
        <v>1963</v>
      </c>
    </row>
    <row r="404" spans="1:2" x14ac:dyDescent="0.2">
      <c r="A404" t="s">
        <v>1130</v>
      </c>
      <c r="B404" t="s">
        <v>1482</v>
      </c>
    </row>
    <row r="405" spans="1:2" x14ac:dyDescent="0.2">
      <c r="A405" t="s">
        <v>699</v>
      </c>
      <c r="B405" t="s">
        <v>2110</v>
      </c>
    </row>
    <row r="406" spans="1:2" x14ac:dyDescent="0.2">
      <c r="A406" t="s">
        <v>1132</v>
      </c>
      <c r="B406" t="s">
        <v>324</v>
      </c>
    </row>
    <row r="407" spans="1:2" x14ac:dyDescent="0.2">
      <c r="A407" t="s">
        <v>1133</v>
      </c>
    </row>
    <row r="408" spans="1:2" x14ac:dyDescent="0.2">
      <c r="A408" t="s">
        <v>1135</v>
      </c>
    </row>
    <row r="409" spans="1:2" x14ac:dyDescent="0.2">
      <c r="A409" t="s">
        <v>1137</v>
      </c>
      <c r="B409" t="s">
        <v>326</v>
      </c>
    </row>
    <row r="410" spans="1:2" x14ac:dyDescent="0.2">
      <c r="A410" t="s">
        <v>701</v>
      </c>
      <c r="B410" t="s">
        <v>330</v>
      </c>
    </row>
    <row r="411" spans="1:2" x14ac:dyDescent="0.2">
      <c r="A411" t="s">
        <v>1139</v>
      </c>
    </row>
    <row r="412" spans="1:2" x14ac:dyDescent="0.2">
      <c r="A412" t="s">
        <v>327</v>
      </c>
      <c r="B412" t="s">
        <v>327</v>
      </c>
    </row>
    <row r="413" spans="1:2" x14ac:dyDescent="0.2">
      <c r="A413" t="s">
        <v>1142</v>
      </c>
    </row>
    <row r="414" spans="1:2" x14ac:dyDescent="0.2">
      <c r="A414" t="s">
        <v>113</v>
      </c>
      <c r="B414" t="s">
        <v>1982</v>
      </c>
    </row>
    <row r="415" spans="1:2" x14ac:dyDescent="0.2">
      <c r="A415" t="s">
        <v>1144</v>
      </c>
      <c r="B415" t="s">
        <v>1691</v>
      </c>
    </row>
    <row r="416" spans="1:2" x14ac:dyDescent="0.2">
      <c r="A416" t="s">
        <v>1146</v>
      </c>
      <c r="B416" t="s">
        <v>2040</v>
      </c>
    </row>
    <row r="417" spans="1:2" x14ac:dyDescent="0.2">
      <c r="A417" t="s">
        <v>1148</v>
      </c>
      <c r="B417" t="s">
        <v>303</v>
      </c>
    </row>
    <row r="418" spans="1:2" x14ac:dyDescent="0.2">
      <c r="A418" t="s">
        <v>1150</v>
      </c>
    </row>
    <row r="419" spans="1:2" x14ac:dyDescent="0.2">
      <c r="A419" t="s">
        <v>1152</v>
      </c>
    </row>
    <row r="420" spans="1:2" x14ac:dyDescent="0.2">
      <c r="A420" t="s">
        <v>1154</v>
      </c>
      <c r="B420" t="s">
        <v>417</v>
      </c>
    </row>
    <row r="421" spans="1:2" x14ac:dyDescent="0.2">
      <c r="A421" t="s">
        <v>1156</v>
      </c>
    </row>
    <row r="422" spans="1:2" x14ac:dyDescent="0.2">
      <c r="A422" t="s">
        <v>1158</v>
      </c>
    </row>
    <row r="423" spans="1:2" x14ac:dyDescent="0.2">
      <c r="A423" t="s">
        <v>1160</v>
      </c>
      <c r="B423" t="s">
        <v>1361</v>
      </c>
    </row>
    <row r="424" spans="1:2" x14ac:dyDescent="0.2">
      <c r="A424" t="s">
        <v>1162</v>
      </c>
      <c r="B424" t="s">
        <v>377</v>
      </c>
    </row>
    <row r="425" spans="1:2" x14ac:dyDescent="0.2">
      <c r="A425" t="s">
        <v>1163</v>
      </c>
    </row>
    <row r="426" spans="1:2" x14ac:dyDescent="0.2">
      <c r="A426" t="s">
        <v>1165</v>
      </c>
      <c r="B426" t="s">
        <v>1637</v>
      </c>
    </row>
    <row r="427" spans="1:2" x14ac:dyDescent="0.2">
      <c r="A427" t="s">
        <v>1167</v>
      </c>
      <c r="B427" t="s">
        <v>330</v>
      </c>
    </row>
    <row r="428" spans="1:2" x14ac:dyDescent="0.2">
      <c r="A428" t="s">
        <v>1169</v>
      </c>
      <c r="B428" t="s">
        <v>1461</v>
      </c>
    </row>
    <row r="429" spans="1:2" x14ac:dyDescent="0.2">
      <c r="A429" t="s">
        <v>1171</v>
      </c>
      <c r="B429" t="s">
        <v>1872</v>
      </c>
    </row>
    <row r="430" spans="1:2" x14ac:dyDescent="0.2">
      <c r="A430" t="s">
        <v>1173</v>
      </c>
      <c r="B430" t="s">
        <v>380</v>
      </c>
    </row>
    <row r="431" spans="1:2" x14ac:dyDescent="0.2">
      <c r="A431" t="s">
        <v>1175</v>
      </c>
      <c r="B431" t="s">
        <v>734</v>
      </c>
    </row>
    <row r="432" spans="1:2" x14ac:dyDescent="0.2">
      <c r="A432" t="s">
        <v>375</v>
      </c>
      <c r="B432" t="s">
        <v>375</v>
      </c>
    </row>
    <row r="433" spans="1:2" x14ac:dyDescent="0.2">
      <c r="A433" t="s">
        <v>1178</v>
      </c>
    </row>
    <row r="434" spans="1:2" x14ac:dyDescent="0.2">
      <c r="A434" t="s">
        <v>1180</v>
      </c>
      <c r="B434" t="s">
        <v>1535</v>
      </c>
    </row>
    <row r="435" spans="1:2" x14ac:dyDescent="0.2">
      <c r="A435" t="s">
        <v>1182</v>
      </c>
      <c r="B435" t="s">
        <v>1435</v>
      </c>
    </row>
    <row r="436" spans="1:2" x14ac:dyDescent="0.2">
      <c r="A436" t="s">
        <v>1184</v>
      </c>
      <c r="B436" t="s">
        <v>991</v>
      </c>
    </row>
    <row r="437" spans="1:2" x14ac:dyDescent="0.2">
      <c r="A437" t="s">
        <v>1185</v>
      </c>
      <c r="B437" t="s">
        <v>1885</v>
      </c>
    </row>
    <row r="438" spans="1:2" x14ac:dyDescent="0.2">
      <c r="A438" t="s">
        <v>1186</v>
      </c>
      <c r="B438" t="s">
        <v>1879</v>
      </c>
    </row>
    <row r="439" spans="1:2" x14ac:dyDescent="0.2">
      <c r="A439" t="s">
        <v>1187</v>
      </c>
      <c r="B439" t="s">
        <v>1886</v>
      </c>
    </row>
    <row r="440" spans="1:2" x14ac:dyDescent="0.2">
      <c r="A440" t="s">
        <v>1189</v>
      </c>
    </row>
    <row r="441" spans="1:2" x14ac:dyDescent="0.2">
      <c r="A441" t="s">
        <v>1191</v>
      </c>
      <c r="B441" t="s">
        <v>928</v>
      </c>
    </row>
    <row r="442" spans="1:2" x14ac:dyDescent="0.2">
      <c r="A442" t="s">
        <v>1193</v>
      </c>
    </row>
    <row r="443" spans="1:2" x14ac:dyDescent="0.2">
      <c r="A443" t="s">
        <v>1195</v>
      </c>
      <c r="B443" t="s">
        <v>1859</v>
      </c>
    </row>
    <row r="444" spans="1:2" x14ac:dyDescent="0.2">
      <c r="A444" t="s">
        <v>1197</v>
      </c>
    </row>
    <row r="445" spans="1:2" x14ac:dyDescent="0.2">
      <c r="A445" t="s">
        <v>1199</v>
      </c>
    </row>
    <row r="446" spans="1:2" x14ac:dyDescent="0.2">
      <c r="A446" t="s">
        <v>1201</v>
      </c>
    </row>
    <row r="447" spans="1:2" x14ac:dyDescent="0.2">
      <c r="A447" t="s">
        <v>1202</v>
      </c>
    </row>
    <row r="448" spans="1:2" x14ac:dyDescent="0.2">
      <c r="A448" t="s">
        <v>111</v>
      </c>
      <c r="B448" t="s">
        <v>1970</v>
      </c>
    </row>
    <row r="449" spans="1:2" x14ac:dyDescent="0.2">
      <c r="A449" t="s">
        <v>1204</v>
      </c>
    </row>
    <row r="450" spans="1:2" x14ac:dyDescent="0.2">
      <c r="A450" t="s">
        <v>1206</v>
      </c>
    </row>
    <row r="451" spans="1:2" x14ac:dyDescent="0.2">
      <c r="A451" t="s">
        <v>1207</v>
      </c>
    </row>
    <row r="452" spans="1:2" x14ac:dyDescent="0.2">
      <c r="A452" t="s">
        <v>1209</v>
      </c>
    </row>
    <row r="453" spans="1:2" x14ac:dyDescent="0.2">
      <c r="A453" t="s">
        <v>1210</v>
      </c>
      <c r="B453" t="s">
        <v>1587</v>
      </c>
    </row>
    <row r="454" spans="1:2" x14ac:dyDescent="0.2">
      <c r="A454" t="s">
        <v>1212</v>
      </c>
    </row>
    <row r="455" spans="1:2" x14ac:dyDescent="0.2">
      <c r="A455" t="s">
        <v>1213</v>
      </c>
    </row>
    <row r="456" spans="1:2" x14ac:dyDescent="0.2">
      <c r="A456" t="s">
        <v>1215</v>
      </c>
      <c r="B456" t="s">
        <v>2111</v>
      </c>
    </row>
    <row r="457" spans="1:2" x14ac:dyDescent="0.2">
      <c r="A457" t="s">
        <v>1217</v>
      </c>
      <c r="B457" t="s">
        <v>1622</v>
      </c>
    </row>
    <row r="458" spans="1:2" x14ac:dyDescent="0.2">
      <c r="A458" t="s">
        <v>1220</v>
      </c>
      <c r="B458" t="s">
        <v>1583</v>
      </c>
    </row>
    <row r="459" spans="1:2" x14ac:dyDescent="0.2">
      <c r="A459" t="s">
        <v>1222</v>
      </c>
      <c r="B459" t="s">
        <v>280</v>
      </c>
    </row>
    <row r="460" spans="1:2" x14ac:dyDescent="0.2">
      <c r="A460" t="s">
        <v>1224</v>
      </c>
      <c r="B460" t="s">
        <v>1652</v>
      </c>
    </row>
    <row r="461" spans="1:2" x14ac:dyDescent="0.2">
      <c r="A461" t="s">
        <v>1226</v>
      </c>
      <c r="B461" t="s">
        <v>1465</v>
      </c>
    </row>
    <row r="462" spans="1:2" x14ac:dyDescent="0.2">
      <c r="A462" t="s">
        <v>425</v>
      </c>
      <c r="B462" t="s">
        <v>425</v>
      </c>
    </row>
    <row r="463" spans="1:2" x14ac:dyDescent="0.2">
      <c r="A463" t="s">
        <v>1229</v>
      </c>
      <c r="B463" t="s">
        <v>1314</v>
      </c>
    </row>
    <row r="464" spans="1:2" x14ac:dyDescent="0.2">
      <c r="A464" t="s">
        <v>1232</v>
      </c>
    </row>
    <row r="465" spans="1:2" x14ac:dyDescent="0.2">
      <c r="A465" t="s">
        <v>1234</v>
      </c>
      <c r="B465" t="s">
        <v>910</v>
      </c>
    </row>
    <row r="466" spans="1:2" x14ac:dyDescent="0.2">
      <c r="A466" t="s">
        <v>1235</v>
      </c>
      <c r="B466" t="s">
        <v>1926</v>
      </c>
    </row>
    <row r="467" spans="1:2" x14ac:dyDescent="0.2">
      <c r="A467" t="s">
        <v>1237</v>
      </c>
      <c r="B467" t="s">
        <v>1910</v>
      </c>
    </row>
    <row r="468" spans="1:2" x14ac:dyDescent="0.2">
      <c r="A468" t="s">
        <v>1240</v>
      </c>
      <c r="B468" t="s">
        <v>1924</v>
      </c>
    </row>
    <row r="469" spans="1:2" x14ac:dyDescent="0.2">
      <c r="A469" t="s">
        <v>1242</v>
      </c>
      <c r="B469" t="s">
        <v>2007</v>
      </c>
    </row>
    <row r="470" spans="1:2" x14ac:dyDescent="0.2">
      <c r="A470" t="s">
        <v>1245</v>
      </c>
      <c r="B470" t="s">
        <v>1654</v>
      </c>
    </row>
    <row r="471" spans="1:2" x14ac:dyDescent="0.2">
      <c r="A471" t="s">
        <v>1246</v>
      </c>
      <c r="B471" t="s">
        <v>1829</v>
      </c>
    </row>
    <row r="472" spans="1:2" x14ac:dyDescent="0.2">
      <c r="A472" t="s">
        <v>1248</v>
      </c>
      <c r="B472" t="s">
        <v>1490</v>
      </c>
    </row>
    <row r="473" spans="1:2" x14ac:dyDescent="0.2">
      <c r="A473" t="s">
        <v>1250</v>
      </c>
      <c r="B473" t="s">
        <v>1566</v>
      </c>
    </row>
    <row r="474" spans="1:2" x14ac:dyDescent="0.2">
      <c r="A474" t="s">
        <v>1252</v>
      </c>
      <c r="B474" t="s">
        <v>1429</v>
      </c>
    </row>
    <row r="475" spans="1:2" x14ac:dyDescent="0.2">
      <c r="A475" t="s">
        <v>1254</v>
      </c>
    </row>
    <row r="476" spans="1:2" x14ac:dyDescent="0.2">
      <c r="A476" t="s">
        <v>1256</v>
      </c>
      <c r="B476" t="s">
        <v>2112</v>
      </c>
    </row>
    <row r="477" spans="1:2" x14ac:dyDescent="0.2">
      <c r="A477" t="s">
        <v>1257</v>
      </c>
      <c r="B477" t="s">
        <v>1257</v>
      </c>
    </row>
    <row r="478" spans="1:2" x14ac:dyDescent="0.2">
      <c r="A478" t="s">
        <v>1259</v>
      </c>
      <c r="B478" t="s">
        <v>1483</v>
      </c>
    </row>
    <row r="479" spans="1:2" x14ac:dyDescent="0.2">
      <c r="A479" t="s">
        <v>1261</v>
      </c>
      <c r="B479" t="s">
        <v>1470</v>
      </c>
    </row>
    <row r="480" spans="1:2" x14ac:dyDescent="0.2">
      <c r="A480" t="s">
        <v>1264</v>
      </c>
      <c r="B480" t="s">
        <v>303</v>
      </c>
    </row>
    <row r="481" spans="1:2" x14ac:dyDescent="0.2">
      <c r="A481" t="s">
        <v>1265</v>
      </c>
      <c r="B481" t="s">
        <v>1747</v>
      </c>
    </row>
    <row r="482" spans="1:2" x14ac:dyDescent="0.2">
      <c r="A482" t="s">
        <v>1266</v>
      </c>
      <c r="B482" t="s">
        <v>1854</v>
      </c>
    </row>
    <row r="483" spans="1:2" x14ac:dyDescent="0.2">
      <c r="A483" t="s">
        <v>1268</v>
      </c>
      <c r="B483" t="s">
        <v>2046</v>
      </c>
    </row>
    <row r="484" spans="1:2" x14ac:dyDescent="0.2">
      <c r="A484" t="s">
        <v>426</v>
      </c>
      <c r="B484" t="s">
        <v>426</v>
      </c>
    </row>
    <row r="485" spans="1:2" x14ac:dyDescent="0.2">
      <c r="A485" t="s">
        <v>101</v>
      </c>
      <c r="B485" t="s">
        <v>101</v>
      </c>
    </row>
    <row r="486" spans="1:2" x14ac:dyDescent="0.2">
      <c r="A486" t="s">
        <v>1271</v>
      </c>
      <c r="B486" t="s">
        <v>1465</v>
      </c>
    </row>
    <row r="487" spans="1:2" x14ac:dyDescent="0.2">
      <c r="A487" t="s">
        <v>115</v>
      </c>
      <c r="B487" t="s">
        <v>1984</v>
      </c>
    </row>
    <row r="488" spans="1:2" x14ac:dyDescent="0.2">
      <c r="A488" t="s">
        <v>1273</v>
      </c>
      <c r="B488" t="s">
        <v>1320</v>
      </c>
    </row>
    <row r="489" spans="1:2" x14ac:dyDescent="0.2">
      <c r="A489" t="s">
        <v>1275</v>
      </c>
      <c r="B489" t="s">
        <v>1329</v>
      </c>
    </row>
    <row r="490" spans="1:2" x14ac:dyDescent="0.2">
      <c r="A490" t="s">
        <v>1277</v>
      </c>
      <c r="B490" t="s">
        <v>924</v>
      </c>
    </row>
    <row r="491" spans="1:2" x14ac:dyDescent="0.2">
      <c r="A491" t="s">
        <v>1279</v>
      </c>
      <c r="B491" t="s">
        <v>1380</v>
      </c>
    </row>
    <row r="492" spans="1:2" x14ac:dyDescent="0.2">
      <c r="A492" t="s">
        <v>36</v>
      </c>
      <c r="B492" t="s">
        <v>1841</v>
      </c>
    </row>
    <row r="493" spans="1:2" x14ac:dyDescent="0.2">
      <c r="A493" t="s">
        <v>1281</v>
      </c>
      <c r="B493" t="s">
        <v>1976</v>
      </c>
    </row>
    <row r="494" spans="1:2" x14ac:dyDescent="0.2">
      <c r="A494" t="s">
        <v>1283</v>
      </c>
      <c r="B494" t="s">
        <v>1314</v>
      </c>
    </row>
    <row r="495" spans="1:2" x14ac:dyDescent="0.2">
      <c r="A495" t="s">
        <v>188</v>
      </c>
      <c r="B495" t="s">
        <v>310</v>
      </c>
    </row>
    <row r="496" spans="1:2" x14ac:dyDescent="0.2">
      <c r="A496" t="s">
        <v>215</v>
      </c>
      <c r="B496" t="s">
        <v>1336</v>
      </c>
    </row>
    <row r="497" spans="1:2" x14ac:dyDescent="0.2">
      <c r="A497" t="s">
        <v>217</v>
      </c>
      <c r="B497" t="s">
        <v>1413</v>
      </c>
    </row>
    <row r="498" spans="1:2" x14ac:dyDescent="0.2">
      <c r="A498" t="s">
        <v>219</v>
      </c>
      <c r="B498" t="s">
        <v>1415</v>
      </c>
    </row>
    <row r="499" spans="1:2" x14ac:dyDescent="0.2">
      <c r="A499" t="s">
        <v>223</v>
      </c>
      <c r="B499" t="s">
        <v>1344</v>
      </c>
    </row>
    <row r="500" spans="1:2" x14ac:dyDescent="0.2">
      <c r="A500" t="s">
        <v>225</v>
      </c>
      <c r="B500" t="s">
        <v>1369</v>
      </c>
    </row>
    <row r="501" spans="1:2" x14ac:dyDescent="0.2">
      <c r="A501" t="s">
        <v>227</v>
      </c>
      <c r="B501" t="s">
        <v>227</v>
      </c>
    </row>
    <row r="502" spans="1:2" x14ac:dyDescent="0.2">
      <c r="A502" t="s">
        <v>19</v>
      </c>
      <c r="B502" t="s">
        <v>19</v>
      </c>
    </row>
    <row r="503" spans="1:2" x14ac:dyDescent="0.2">
      <c r="A503" t="s">
        <v>32</v>
      </c>
      <c r="B503" t="s">
        <v>1754</v>
      </c>
    </row>
    <row r="504" spans="1:2" x14ac:dyDescent="0.2">
      <c r="A504" t="s">
        <v>34</v>
      </c>
      <c r="B504" t="s">
        <v>1753</v>
      </c>
    </row>
    <row r="505" spans="1:2" x14ac:dyDescent="0.2">
      <c r="A505" t="s">
        <v>62</v>
      </c>
      <c r="B505" t="s">
        <v>62</v>
      </c>
    </row>
    <row r="506" spans="1:2" x14ac:dyDescent="0.2">
      <c r="A506" t="s">
        <v>84</v>
      </c>
      <c r="B506" t="s">
        <v>84</v>
      </c>
    </row>
    <row r="507" spans="1:2" x14ac:dyDescent="0.2">
      <c r="A507" s="7" t="s">
        <v>97</v>
      </c>
      <c r="B507" t="s">
        <v>2071</v>
      </c>
    </row>
    <row r="508" spans="1:2" x14ac:dyDescent="0.2">
      <c r="A508" s="8" t="s">
        <v>99</v>
      </c>
      <c r="B508" t="s">
        <v>2045</v>
      </c>
    </row>
    <row r="509" spans="1:2" x14ac:dyDescent="0.2">
      <c r="A509" s="7" t="s">
        <v>105</v>
      </c>
      <c r="B509" t="s">
        <v>105</v>
      </c>
    </row>
    <row r="510" spans="1:2" x14ac:dyDescent="0.2">
      <c r="A510" s="8" t="s">
        <v>107</v>
      </c>
      <c r="B510" t="s">
        <v>107</v>
      </c>
    </row>
    <row r="511" spans="1:2" x14ac:dyDescent="0.2">
      <c r="A511" s="7" t="s">
        <v>109</v>
      </c>
      <c r="B511" t="s">
        <v>1972</v>
      </c>
    </row>
    <row r="512" spans="1:2" x14ac:dyDescent="0.2">
      <c r="A512" s="8" t="s">
        <v>119</v>
      </c>
      <c r="B512" t="s">
        <v>1985</v>
      </c>
    </row>
    <row r="513" spans="1:2" x14ac:dyDescent="0.2">
      <c r="A513" s="7" t="s">
        <v>121</v>
      </c>
      <c r="B513" t="s">
        <v>121</v>
      </c>
    </row>
    <row r="514" spans="1:2" x14ac:dyDescent="0.2">
      <c r="A514" s="7" t="s">
        <v>125</v>
      </c>
      <c r="B514" t="s">
        <v>2257</v>
      </c>
    </row>
    <row r="515" spans="1:2" x14ac:dyDescent="0.2">
      <c r="A515" s="8" t="s">
        <v>127</v>
      </c>
      <c r="B515" t="s">
        <v>392</v>
      </c>
    </row>
    <row r="516" spans="1:2" x14ac:dyDescent="0.2">
      <c r="A516" s="8" t="s">
        <v>123</v>
      </c>
      <c r="B516" t="s">
        <v>2255</v>
      </c>
    </row>
    <row r="517" spans="1:2" x14ac:dyDescent="0.2">
      <c r="A517" s="7" t="s">
        <v>129</v>
      </c>
      <c r="B517" t="s">
        <v>129</v>
      </c>
    </row>
    <row r="518" spans="1:2" x14ac:dyDescent="0.2">
      <c r="A518" s="8" t="s">
        <v>131</v>
      </c>
      <c r="B518" t="s">
        <v>131</v>
      </c>
    </row>
    <row r="519" spans="1:2" x14ac:dyDescent="0.2">
      <c r="A519" s="8" t="s">
        <v>135</v>
      </c>
      <c r="B519" t="s">
        <v>2593</v>
      </c>
    </row>
    <row r="520" spans="1:2" x14ac:dyDescent="0.2">
      <c r="A520" s="7" t="s">
        <v>133</v>
      </c>
      <c r="B520" t="s">
        <v>133</v>
      </c>
    </row>
    <row r="521" spans="1:2" x14ac:dyDescent="0.2">
      <c r="A521" s="7" t="s">
        <v>137</v>
      </c>
      <c r="B521" t="s">
        <v>2594</v>
      </c>
    </row>
    <row r="522" spans="1:2" x14ac:dyDescent="0.2">
      <c r="A522" s="8" t="s">
        <v>147</v>
      </c>
      <c r="B522" t="s">
        <v>147</v>
      </c>
    </row>
    <row r="523" spans="1:2" x14ac:dyDescent="0.2">
      <c r="A523" s="7" t="s">
        <v>149</v>
      </c>
      <c r="B523" t="s">
        <v>149</v>
      </c>
    </row>
    <row r="524" spans="1:2" x14ac:dyDescent="0.2">
      <c r="A524" s="8" t="s">
        <v>151</v>
      </c>
      <c r="B524" t="s">
        <v>151</v>
      </c>
    </row>
    <row r="525" spans="1:2" x14ac:dyDescent="0.2">
      <c r="A525" s="7" t="s">
        <v>153</v>
      </c>
      <c r="B525" t="s">
        <v>2504</v>
      </c>
    </row>
    <row r="526" spans="1:2" x14ac:dyDescent="0.2">
      <c r="A526" s="8" t="s">
        <v>155</v>
      </c>
      <c r="B526" t="s">
        <v>2505</v>
      </c>
    </row>
    <row r="527" spans="1:2" x14ac:dyDescent="0.2">
      <c r="A527" s="8" t="s">
        <v>159</v>
      </c>
      <c r="B527" t="s">
        <v>2547</v>
      </c>
    </row>
    <row r="528" spans="1:2" x14ac:dyDescent="0.2">
      <c r="A528" s="7" t="s">
        <v>157</v>
      </c>
      <c r="B528" t="s">
        <v>2502</v>
      </c>
    </row>
    <row r="529" spans="1:2" x14ac:dyDescent="0.2">
      <c r="A529" s="8" t="s">
        <v>163</v>
      </c>
      <c r="B529" t="s">
        <v>2494</v>
      </c>
    </row>
    <row r="530" spans="1:2" x14ac:dyDescent="0.2">
      <c r="A530" s="7" t="s">
        <v>165</v>
      </c>
      <c r="B530" t="s">
        <v>2235</v>
      </c>
    </row>
    <row r="531" spans="1:2" x14ac:dyDescent="0.2">
      <c r="A531" s="8" t="s">
        <v>171</v>
      </c>
      <c r="B531" t="s">
        <v>171</v>
      </c>
    </row>
    <row r="532" spans="1:2" x14ac:dyDescent="0.2">
      <c r="A532" s="7" t="s">
        <v>169</v>
      </c>
      <c r="B532" t="s">
        <v>169</v>
      </c>
    </row>
    <row r="533" spans="1:2" x14ac:dyDescent="0.2">
      <c r="A533" s="7" t="s">
        <v>173</v>
      </c>
      <c r="B533" t="s">
        <v>420</v>
      </c>
    </row>
    <row r="534" spans="1:2" x14ac:dyDescent="0.2">
      <c r="A534" s="8" t="s">
        <v>175</v>
      </c>
      <c r="B534" t="s">
        <v>2548</v>
      </c>
    </row>
    <row r="535" spans="1:2" x14ac:dyDescent="0.2">
      <c r="A535" s="7" t="s">
        <v>181</v>
      </c>
      <c r="B535" t="s">
        <v>181</v>
      </c>
    </row>
    <row r="536" spans="1:2" x14ac:dyDescent="0.2">
      <c r="A536" s="7" t="s">
        <v>177</v>
      </c>
      <c r="B536" t="s">
        <v>2237</v>
      </c>
    </row>
    <row r="537" spans="1:2" x14ac:dyDescent="0.2">
      <c r="A537" s="8" t="s">
        <v>183</v>
      </c>
      <c r="B537" t="s">
        <v>2396</v>
      </c>
    </row>
    <row r="538" spans="1:2" x14ac:dyDescent="0.2">
      <c r="A538" s="8" t="s">
        <v>179</v>
      </c>
      <c r="B538" t="s">
        <v>2238</v>
      </c>
    </row>
    <row r="539" spans="1:2" x14ac:dyDescent="0.2">
      <c r="A539" s="7" t="s">
        <v>185</v>
      </c>
      <c r="B539" t="s">
        <v>1323</v>
      </c>
    </row>
    <row r="540" spans="1:2" x14ac:dyDescent="0.2">
      <c r="A540" s="8" t="s">
        <v>191</v>
      </c>
      <c r="B540" t="s">
        <v>191</v>
      </c>
    </row>
    <row r="541" spans="1:2" x14ac:dyDescent="0.2">
      <c r="A541" s="7" t="s">
        <v>189</v>
      </c>
      <c r="B541" t="s">
        <v>189</v>
      </c>
    </row>
    <row r="542" spans="1:2" x14ac:dyDescent="0.2">
      <c r="A542" s="7" t="s">
        <v>193</v>
      </c>
      <c r="B542" t="s">
        <v>193</v>
      </c>
    </row>
    <row r="543" spans="1:2" x14ac:dyDescent="0.2">
      <c r="A543" s="8" t="s">
        <v>195</v>
      </c>
    </row>
    <row r="544" spans="1:2" x14ac:dyDescent="0.2">
      <c r="A544" s="7" t="s">
        <v>197</v>
      </c>
      <c r="B544" t="s">
        <v>2240</v>
      </c>
    </row>
    <row r="545" spans="1:2" x14ac:dyDescent="0.2">
      <c r="A545" s="8" t="s">
        <v>199</v>
      </c>
      <c r="B545" t="s">
        <v>2241</v>
      </c>
    </row>
    <row r="546" spans="1:2" x14ac:dyDescent="0.2">
      <c r="A546" s="7" t="s">
        <v>201</v>
      </c>
      <c r="B546" t="s">
        <v>201</v>
      </c>
    </row>
    <row r="547" spans="1:2" x14ac:dyDescent="0.2">
      <c r="A547" s="8" t="s">
        <v>203</v>
      </c>
      <c r="B547" t="s">
        <v>203</v>
      </c>
    </row>
    <row r="548" spans="1:2" x14ac:dyDescent="0.2">
      <c r="A548" s="7" t="s">
        <v>205</v>
      </c>
      <c r="B548" t="s">
        <v>205</v>
      </c>
    </row>
    <row r="549" spans="1:2" x14ac:dyDescent="0.2">
      <c r="A549" s="8" t="s">
        <v>207</v>
      </c>
      <c r="B549" t="s">
        <v>2546</v>
      </c>
    </row>
    <row r="550" spans="1:2" x14ac:dyDescent="0.2">
      <c r="A550" s="7" t="s">
        <v>209</v>
      </c>
      <c r="B550" t="s">
        <v>209</v>
      </c>
    </row>
    <row r="551" spans="1:2" x14ac:dyDescent="0.2">
      <c r="A551" s="8" t="s">
        <v>211</v>
      </c>
      <c r="B551" t="s">
        <v>2395</v>
      </c>
    </row>
    <row r="552" spans="1:2" x14ac:dyDescent="0.2">
      <c r="A552" s="7" t="s">
        <v>126</v>
      </c>
      <c r="B552" t="s">
        <v>126</v>
      </c>
    </row>
    <row r="553" spans="1:2" x14ac:dyDescent="0.2">
      <c r="A553" s="8" t="s">
        <v>128</v>
      </c>
      <c r="B553" t="s">
        <v>2258</v>
      </c>
    </row>
    <row r="554" spans="1:2" x14ac:dyDescent="0.2">
      <c r="A554" s="8" t="s">
        <v>124</v>
      </c>
      <c r="B554" t="s">
        <v>124</v>
      </c>
    </row>
    <row r="555" spans="1:2" x14ac:dyDescent="0.2">
      <c r="A555" s="7" t="s">
        <v>130</v>
      </c>
      <c r="B555" t="s">
        <v>130</v>
      </c>
    </row>
    <row r="556" spans="1:2" x14ac:dyDescent="0.2">
      <c r="A556" s="8" t="s">
        <v>132</v>
      </c>
      <c r="B556" t="s">
        <v>2259</v>
      </c>
    </row>
    <row r="557" spans="1:2" x14ac:dyDescent="0.2">
      <c r="A557" s="8" t="s">
        <v>136</v>
      </c>
      <c r="B557" t="s">
        <v>136</v>
      </c>
    </row>
    <row r="558" spans="1:2" x14ac:dyDescent="0.2">
      <c r="A558" s="7" t="s">
        <v>134</v>
      </c>
      <c r="B558" t="s">
        <v>134</v>
      </c>
    </row>
    <row r="559" spans="1:2" x14ac:dyDescent="0.2">
      <c r="A559" s="7" t="s">
        <v>138</v>
      </c>
      <c r="B559" t="s">
        <v>138</v>
      </c>
    </row>
    <row r="560" spans="1:2" x14ac:dyDescent="0.2">
      <c r="A560" s="8" t="s">
        <v>148</v>
      </c>
      <c r="B560" t="s">
        <v>148</v>
      </c>
    </row>
    <row r="561" spans="1:2" x14ac:dyDescent="0.2">
      <c r="A561" s="7" t="s">
        <v>150</v>
      </c>
      <c r="B561" t="s">
        <v>2503</v>
      </c>
    </row>
    <row r="562" spans="1:2" x14ac:dyDescent="0.2">
      <c r="A562" s="8" t="s">
        <v>152</v>
      </c>
      <c r="B562" t="s">
        <v>152</v>
      </c>
    </row>
    <row r="563" spans="1:2" x14ac:dyDescent="0.2">
      <c r="A563" s="7" t="s">
        <v>154</v>
      </c>
      <c r="B563" t="s">
        <v>154</v>
      </c>
    </row>
    <row r="564" spans="1:2" x14ac:dyDescent="0.2">
      <c r="A564" s="8" t="s">
        <v>156</v>
      </c>
      <c r="B564" t="s">
        <v>2506</v>
      </c>
    </row>
    <row r="565" spans="1:2" x14ac:dyDescent="0.2">
      <c r="A565" s="8" t="s">
        <v>160</v>
      </c>
      <c r="B565" t="s">
        <v>160</v>
      </c>
    </row>
    <row r="566" spans="1:2" x14ac:dyDescent="0.2">
      <c r="A566" s="7" t="s">
        <v>158</v>
      </c>
      <c r="B566" t="s">
        <v>158</v>
      </c>
    </row>
    <row r="567" spans="1:2" x14ac:dyDescent="0.2">
      <c r="A567" s="8" t="s">
        <v>164</v>
      </c>
      <c r="B567" t="s">
        <v>164</v>
      </c>
    </row>
    <row r="568" spans="1:2" x14ac:dyDescent="0.2">
      <c r="A568" s="7" t="s">
        <v>166</v>
      </c>
      <c r="B568" t="s">
        <v>2236</v>
      </c>
    </row>
    <row r="569" spans="1:2" x14ac:dyDescent="0.2">
      <c r="A569" s="8" t="s">
        <v>172</v>
      </c>
      <c r="B569" t="s">
        <v>2550</v>
      </c>
    </row>
    <row r="570" spans="1:2" x14ac:dyDescent="0.2">
      <c r="A570" s="7" t="s">
        <v>170</v>
      </c>
      <c r="B570" t="s">
        <v>170</v>
      </c>
    </row>
    <row r="571" spans="1:2" x14ac:dyDescent="0.2">
      <c r="A571" s="7" t="s">
        <v>174</v>
      </c>
      <c r="B571" t="s">
        <v>2401</v>
      </c>
    </row>
    <row r="572" spans="1:2" x14ac:dyDescent="0.2">
      <c r="A572" s="8" t="s">
        <v>176</v>
      </c>
      <c r="B572" t="s">
        <v>176</v>
      </c>
    </row>
    <row r="573" spans="1:2" x14ac:dyDescent="0.2">
      <c r="A573" s="7" t="s">
        <v>182</v>
      </c>
      <c r="B573" t="s">
        <v>182</v>
      </c>
    </row>
    <row r="574" spans="1:2" x14ac:dyDescent="0.2">
      <c r="A574" s="7" t="s">
        <v>178</v>
      </c>
      <c r="B574" t="s">
        <v>178</v>
      </c>
    </row>
    <row r="575" spans="1:2" x14ac:dyDescent="0.2">
      <c r="A575" s="8" t="s">
        <v>184</v>
      </c>
      <c r="B575" t="s">
        <v>2397</v>
      </c>
    </row>
    <row r="576" spans="1:2" x14ac:dyDescent="0.2">
      <c r="A576" s="8" t="s">
        <v>180</v>
      </c>
      <c r="B576" t="s">
        <v>2239</v>
      </c>
    </row>
    <row r="577" spans="1:2" x14ac:dyDescent="0.2">
      <c r="A577" s="7" t="s">
        <v>186</v>
      </c>
      <c r="B577" t="s">
        <v>2619</v>
      </c>
    </row>
    <row r="578" spans="1:2" x14ac:dyDescent="0.2">
      <c r="A578" s="8" t="s">
        <v>192</v>
      </c>
      <c r="B578" t="s">
        <v>192</v>
      </c>
    </row>
    <row r="579" spans="1:2" x14ac:dyDescent="0.2">
      <c r="A579" s="7" t="s">
        <v>190</v>
      </c>
      <c r="B579" t="s">
        <v>100</v>
      </c>
    </row>
    <row r="580" spans="1:2" x14ac:dyDescent="0.2">
      <c r="A580" s="7" t="s">
        <v>194</v>
      </c>
      <c r="B580" t="s">
        <v>194</v>
      </c>
    </row>
    <row r="581" spans="1:2" x14ac:dyDescent="0.2">
      <c r="A581" s="8" t="s">
        <v>196</v>
      </c>
    </row>
    <row r="582" spans="1:2" x14ac:dyDescent="0.2">
      <c r="A582" s="7" t="s">
        <v>198</v>
      </c>
      <c r="B582" t="s">
        <v>198</v>
      </c>
    </row>
    <row r="583" spans="1:2" x14ac:dyDescent="0.2">
      <c r="A583" s="8" t="s">
        <v>200</v>
      </c>
      <c r="B583" t="s">
        <v>2242</v>
      </c>
    </row>
    <row r="584" spans="1:2" x14ac:dyDescent="0.2">
      <c r="A584" s="7" t="s">
        <v>202</v>
      </c>
      <c r="B584" t="s">
        <v>202</v>
      </c>
    </row>
    <row r="585" spans="1:2" x14ac:dyDescent="0.2">
      <c r="A585" s="8" t="s">
        <v>204</v>
      </c>
      <c r="B585" t="s">
        <v>204</v>
      </c>
    </row>
    <row r="586" spans="1:2" x14ac:dyDescent="0.2">
      <c r="A586" s="7" t="s">
        <v>206</v>
      </c>
      <c r="B586" t="s">
        <v>2400</v>
      </c>
    </row>
    <row r="587" spans="1:2" x14ac:dyDescent="0.2">
      <c r="A587" s="8" t="s">
        <v>208</v>
      </c>
      <c r="B587" t="s">
        <v>208</v>
      </c>
    </row>
    <row r="588" spans="1:2" x14ac:dyDescent="0.2">
      <c r="A588" s="7" t="s">
        <v>210</v>
      </c>
      <c r="B588" t="s">
        <v>210</v>
      </c>
    </row>
    <row r="589" spans="1:2" x14ac:dyDescent="0.2">
      <c r="A589" s="8" t="s">
        <v>212</v>
      </c>
      <c r="B589" t="s">
        <v>212</v>
      </c>
    </row>
  </sheetData>
  <autoFilter ref="A1:B494" xr:uid="{9AB6C352-3DE9-4C93-A883-9D93887D916B}"/>
  <conditionalFormatting sqref="A506:A1048576 A1:A494">
    <cfRule type="duplicateValues" dxfId="6" priority="5"/>
  </conditionalFormatting>
  <conditionalFormatting sqref="A1:A1048576">
    <cfRule type="duplicateValues" dxfId="5" priority="4"/>
  </conditionalFormatting>
  <conditionalFormatting sqref="A252:A494 A1:A124 A506:A1048576">
    <cfRule type="duplicateValues" dxfId="4" priority="7"/>
  </conditionalFormatting>
  <conditionalFormatting sqref="B506">
    <cfRule type="duplicateValues" dxfId="3" priority="1"/>
    <cfRule type="duplicateValues" dxfId="2" priority="2"/>
    <cfRule type="duplicateValues" dxfId="1" priority="3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121"/>
  <sheetViews>
    <sheetView topLeftCell="A106" workbookViewId="0">
      <selection activeCell="B106" sqref="B106"/>
    </sheetView>
  </sheetViews>
  <sheetFormatPr baseColWidth="10" defaultColWidth="8.83203125" defaultRowHeight="15" x14ac:dyDescent="0.2"/>
  <sheetData>
    <row r="1" spans="1:43" x14ac:dyDescent="0.2"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2223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2113</v>
      </c>
      <c r="Y2" t="s">
        <v>2114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2115</v>
      </c>
      <c r="AL2" t="s">
        <v>2116</v>
      </c>
      <c r="AM2" t="s">
        <v>2117</v>
      </c>
      <c r="AN2" t="s">
        <v>2118</v>
      </c>
      <c r="AO2" t="s">
        <v>2119</v>
      </c>
      <c r="AP2" t="s">
        <v>15</v>
      </c>
      <c r="AQ2" t="s">
        <v>16</v>
      </c>
    </row>
    <row r="3" spans="1:43" x14ac:dyDescent="0.2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2120</v>
      </c>
      <c r="AA3" t="s">
        <v>2121</v>
      </c>
      <c r="AB3" t="s">
        <v>2122</v>
      </c>
      <c r="AC3" t="s">
        <v>2122</v>
      </c>
      <c r="AD3" t="s">
        <v>2123</v>
      </c>
      <c r="AE3" t="s">
        <v>2122</v>
      </c>
      <c r="AF3" t="s">
        <v>2123</v>
      </c>
      <c r="AG3" t="s">
        <v>2123</v>
      </c>
      <c r="AH3" t="s">
        <v>2122</v>
      </c>
      <c r="AI3" t="s">
        <v>2122</v>
      </c>
      <c r="AJ3" t="s">
        <v>2123</v>
      </c>
      <c r="AK3" t="s">
        <v>2123</v>
      </c>
      <c r="AL3" t="s">
        <v>2123</v>
      </c>
      <c r="AM3" t="s">
        <v>2123</v>
      </c>
      <c r="AN3" t="s">
        <v>2122</v>
      </c>
      <c r="AO3" t="s">
        <v>2122</v>
      </c>
      <c r="AP3" t="s">
        <v>2123</v>
      </c>
      <c r="AQ3" t="s">
        <v>2122</v>
      </c>
    </row>
    <row r="4" spans="1:43" x14ac:dyDescent="0.2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2124</v>
      </c>
      <c r="AA4" t="s">
        <v>456</v>
      </c>
      <c r="AB4" t="s">
        <v>2122</v>
      </c>
      <c r="AC4" t="s">
        <v>2122</v>
      </c>
      <c r="AD4" t="s">
        <v>2123</v>
      </c>
      <c r="AE4" t="s">
        <v>2122</v>
      </c>
      <c r="AF4" t="s">
        <v>2123</v>
      </c>
      <c r="AG4" t="s">
        <v>2123</v>
      </c>
      <c r="AH4" t="s">
        <v>2122</v>
      </c>
      <c r="AI4" t="s">
        <v>2122</v>
      </c>
      <c r="AJ4" t="s">
        <v>2123</v>
      </c>
      <c r="AK4" t="s">
        <v>2123</v>
      </c>
      <c r="AL4" t="s">
        <v>2122</v>
      </c>
      <c r="AM4" t="s">
        <v>2122</v>
      </c>
      <c r="AN4" t="s">
        <v>2123</v>
      </c>
      <c r="AO4" t="s">
        <v>2123</v>
      </c>
      <c r="AP4" t="s">
        <v>2122</v>
      </c>
      <c r="AQ4" t="s">
        <v>2123</v>
      </c>
    </row>
    <row r="5" spans="1:43" x14ac:dyDescent="0.2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2125</v>
      </c>
      <c r="AA5" t="s">
        <v>2126</v>
      </c>
      <c r="AB5" t="s">
        <v>2122</v>
      </c>
      <c r="AC5" t="s">
        <v>2123</v>
      </c>
      <c r="AD5" t="s">
        <v>2122</v>
      </c>
      <c r="AE5" t="s">
        <v>2123</v>
      </c>
      <c r="AF5" t="s">
        <v>2123</v>
      </c>
      <c r="AG5" t="s">
        <v>2122</v>
      </c>
      <c r="AH5" t="s">
        <v>2122</v>
      </c>
      <c r="AI5" t="s">
        <v>2123</v>
      </c>
      <c r="AJ5" t="s">
        <v>2122</v>
      </c>
      <c r="AK5" t="s">
        <v>2123</v>
      </c>
      <c r="AL5" t="s">
        <v>2123</v>
      </c>
      <c r="AM5" t="s">
        <v>2123</v>
      </c>
      <c r="AN5" t="s">
        <v>2122</v>
      </c>
      <c r="AO5" t="s">
        <v>2122</v>
      </c>
      <c r="AP5" t="s">
        <v>2123</v>
      </c>
      <c r="AQ5" t="s">
        <v>2122</v>
      </c>
    </row>
    <row r="6" spans="1:43" x14ac:dyDescent="0.2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2127</v>
      </c>
      <c r="AA6" t="s">
        <v>2128</v>
      </c>
      <c r="AB6" t="s">
        <v>2123</v>
      </c>
      <c r="AC6" t="s">
        <v>2122</v>
      </c>
      <c r="AD6" t="s">
        <v>2122</v>
      </c>
      <c r="AE6" t="s">
        <v>2123</v>
      </c>
      <c r="AF6" t="s">
        <v>2122</v>
      </c>
      <c r="AG6" t="s">
        <v>2123</v>
      </c>
      <c r="AH6" t="s">
        <v>2123</v>
      </c>
      <c r="AI6" t="s">
        <v>2122</v>
      </c>
      <c r="AJ6" t="s">
        <v>2122</v>
      </c>
      <c r="AK6" t="s">
        <v>2123</v>
      </c>
      <c r="AL6" t="s">
        <v>2123</v>
      </c>
      <c r="AM6" t="s">
        <v>2123</v>
      </c>
      <c r="AN6" t="s">
        <v>2122</v>
      </c>
      <c r="AO6" t="s">
        <v>2122</v>
      </c>
      <c r="AP6" t="s">
        <v>2123</v>
      </c>
      <c r="AQ6" t="s">
        <v>2122</v>
      </c>
    </row>
    <row r="7" spans="1:43" x14ac:dyDescent="0.2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2129</v>
      </c>
      <c r="AA7" t="s">
        <v>449</v>
      </c>
      <c r="AB7" t="s">
        <v>2122</v>
      </c>
      <c r="AC7" t="s">
        <v>2122</v>
      </c>
      <c r="AD7" t="s">
        <v>2123</v>
      </c>
      <c r="AE7" t="s">
        <v>2122</v>
      </c>
      <c r="AF7" t="s">
        <v>2123</v>
      </c>
      <c r="AG7" t="s">
        <v>2123</v>
      </c>
      <c r="AH7" t="s">
        <v>2122</v>
      </c>
      <c r="AI7" t="s">
        <v>2122</v>
      </c>
      <c r="AJ7" t="s">
        <v>2123</v>
      </c>
      <c r="AK7" t="s">
        <v>2123</v>
      </c>
      <c r="AL7" t="s">
        <v>2123</v>
      </c>
      <c r="AM7" t="s">
        <v>2122</v>
      </c>
      <c r="AN7" t="s">
        <v>2123</v>
      </c>
      <c r="AO7" t="s">
        <v>2123</v>
      </c>
      <c r="AP7" t="s">
        <v>2122</v>
      </c>
      <c r="AQ7" t="s">
        <v>2123</v>
      </c>
    </row>
    <row r="8" spans="1:43" x14ac:dyDescent="0.2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2130</v>
      </c>
      <c r="AA8" t="s">
        <v>2131</v>
      </c>
      <c r="AB8" t="s">
        <v>2123</v>
      </c>
      <c r="AC8" t="s">
        <v>2122</v>
      </c>
      <c r="AD8" t="s">
        <v>2122</v>
      </c>
      <c r="AE8" t="s">
        <v>2123</v>
      </c>
      <c r="AF8" t="s">
        <v>2122</v>
      </c>
      <c r="AG8" t="s">
        <v>2123</v>
      </c>
      <c r="AH8" t="s">
        <v>2122</v>
      </c>
      <c r="AI8" t="s">
        <v>2123</v>
      </c>
      <c r="AJ8" t="s">
        <v>2122</v>
      </c>
      <c r="AK8" t="s">
        <v>2122</v>
      </c>
      <c r="AL8" t="s">
        <v>2123</v>
      </c>
      <c r="AM8" t="s">
        <v>2122</v>
      </c>
      <c r="AN8" t="s">
        <v>2123</v>
      </c>
      <c r="AO8" t="s">
        <v>2123</v>
      </c>
      <c r="AP8" t="s">
        <v>2122</v>
      </c>
      <c r="AQ8" t="s">
        <v>2123</v>
      </c>
    </row>
    <row r="9" spans="1:43" x14ac:dyDescent="0.2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2132</v>
      </c>
      <c r="AA9" t="s">
        <v>2131</v>
      </c>
      <c r="AB9" t="s">
        <v>2123</v>
      </c>
      <c r="AC9" t="s">
        <v>2122</v>
      </c>
      <c r="AD9" t="s">
        <v>2122</v>
      </c>
      <c r="AE9" t="s">
        <v>2123</v>
      </c>
      <c r="AF9" t="s">
        <v>2122</v>
      </c>
      <c r="AG9" t="s">
        <v>2123</v>
      </c>
      <c r="AH9" t="s">
        <v>2122</v>
      </c>
      <c r="AI9" t="s">
        <v>2123</v>
      </c>
      <c r="AJ9" t="s">
        <v>2122</v>
      </c>
      <c r="AK9" t="s">
        <v>2122</v>
      </c>
      <c r="AL9" t="s">
        <v>2123</v>
      </c>
      <c r="AM9" t="s">
        <v>2122</v>
      </c>
      <c r="AN9" t="s">
        <v>2123</v>
      </c>
      <c r="AO9" t="s">
        <v>2123</v>
      </c>
      <c r="AP9" t="s">
        <v>2122</v>
      </c>
      <c r="AQ9" t="s">
        <v>2123</v>
      </c>
    </row>
    <row r="10" spans="1:43" x14ac:dyDescent="0.2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2133</v>
      </c>
      <c r="AA10" t="s">
        <v>2126</v>
      </c>
      <c r="AB10" t="s">
        <v>2122</v>
      </c>
      <c r="AC10" t="s">
        <v>2123</v>
      </c>
      <c r="AD10" t="s">
        <v>2122</v>
      </c>
      <c r="AE10" t="s">
        <v>2123</v>
      </c>
      <c r="AF10" t="s">
        <v>2123</v>
      </c>
      <c r="AG10" t="s">
        <v>2122</v>
      </c>
      <c r="AH10" t="s">
        <v>2123</v>
      </c>
      <c r="AI10" t="s">
        <v>2122</v>
      </c>
      <c r="AJ10" t="s">
        <v>2122</v>
      </c>
      <c r="AK10" t="s">
        <v>2123</v>
      </c>
      <c r="AL10" t="s">
        <v>2123</v>
      </c>
      <c r="AM10" t="s">
        <v>2123</v>
      </c>
      <c r="AN10" t="s">
        <v>2122</v>
      </c>
      <c r="AO10" t="s">
        <v>2122</v>
      </c>
      <c r="AP10" t="s">
        <v>2123</v>
      </c>
      <c r="AQ10" t="s">
        <v>2122</v>
      </c>
    </row>
    <row r="11" spans="1:43" x14ac:dyDescent="0.2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2134</v>
      </c>
      <c r="AA11" t="s">
        <v>447</v>
      </c>
      <c r="AB11" t="s">
        <v>2122</v>
      </c>
      <c r="AC11" t="s">
        <v>2123</v>
      </c>
      <c r="AD11" t="s">
        <v>2122</v>
      </c>
      <c r="AE11" t="s">
        <v>2123</v>
      </c>
      <c r="AF11" t="s">
        <v>2123</v>
      </c>
      <c r="AG11" t="s">
        <v>2122</v>
      </c>
      <c r="AH11" t="s">
        <v>2122</v>
      </c>
      <c r="AI11" t="s">
        <v>2123</v>
      </c>
      <c r="AJ11" t="s">
        <v>2122</v>
      </c>
      <c r="AK11" t="s">
        <v>2122</v>
      </c>
      <c r="AL11" t="s">
        <v>2122</v>
      </c>
      <c r="AM11" t="s">
        <v>2122</v>
      </c>
      <c r="AN11" t="s">
        <v>2123</v>
      </c>
      <c r="AO11" t="s">
        <v>2123</v>
      </c>
      <c r="AP11" t="s">
        <v>2122</v>
      </c>
      <c r="AQ11" t="s">
        <v>2123</v>
      </c>
    </row>
    <row r="12" spans="1:43" x14ac:dyDescent="0.2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2135</v>
      </c>
      <c r="AA12" t="s">
        <v>2136</v>
      </c>
      <c r="AB12" t="s">
        <v>2123</v>
      </c>
      <c r="AC12" t="s">
        <v>2122</v>
      </c>
      <c r="AD12" t="s">
        <v>2122</v>
      </c>
      <c r="AE12" t="s">
        <v>2123</v>
      </c>
      <c r="AF12" t="s">
        <v>2122</v>
      </c>
      <c r="AG12" t="s">
        <v>2123</v>
      </c>
      <c r="AH12" t="s">
        <v>2122</v>
      </c>
      <c r="AI12" t="s">
        <v>2123</v>
      </c>
      <c r="AJ12" t="s">
        <v>2122</v>
      </c>
      <c r="AK12" t="s">
        <v>2122</v>
      </c>
      <c r="AL12" t="s">
        <v>2123</v>
      </c>
      <c r="AM12" t="s">
        <v>2123</v>
      </c>
      <c r="AN12" t="s">
        <v>2122</v>
      </c>
      <c r="AO12" t="s">
        <v>2122</v>
      </c>
      <c r="AP12" t="s">
        <v>2123</v>
      </c>
      <c r="AQ12" t="s">
        <v>2122</v>
      </c>
    </row>
    <row r="13" spans="1:43" x14ac:dyDescent="0.2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2137</v>
      </c>
      <c r="AA13" t="s">
        <v>462</v>
      </c>
      <c r="AB13" t="s">
        <v>2123</v>
      </c>
      <c r="AC13" t="s">
        <v>2122</v>
      </c>
      <c r="AD13" t="s">
        <v>2122</v>
      </c>
      <c r="AE13" t="s">
        <v>2123</v>
      </c>
      <c r="AF13" t="s">
        <v>2122</v>
      </c>
      <c r="AG13" t="s">
        <v>2123</v>
      </c>
      <c r="AH13" t="s">
        <v>2122</v>
      </c>
      <c r="AI13" t="s">
        <v>2123</v>
      </c>
      <c r="AJ13" t="s">
        <v>2122</v>
      </c>
      <c r="AK13" t="s">
        <v>2123</v>
      </c>
      <c r="AL13" t="s">
        <v>2123</v>
      </c>
      <c r="AM13" t="s">
        <v>2123</v>
      </c>
      <c r="AN13" t="s">
        <v>2122</v>
      </c>
      <c r="AO13" t="s">
        <v>2123</v>
      </c>
      <c r="AP13" t="s">
        <v>2123</v>
      </c>
      <c r="AQ13" t="s">
        <v>2122</v>
      </c>
    </row>
    <row r="14" spans="1:43" x14ac:dyDescent="0.2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2138</v>
      </c>
      <c r="AA14" t="s">
        <v>462</v>
      </c>
      <c r="AB14" t="s">
        <v>2123</v>
      </c>
      <c r="AC14" t="s">
        <v>2122</v>
      </c>
      <c r="AD14" t="s">
        <v>2122</v>
      </c>
      <c r="AE14" t="s">
        <v>2123</v>
      </c>
      <c r="AF14" t="s">
        <v>2122</v>
      </c>
      <c r="AG14" t="s">
        <v>2123</v>
      </c>
      <c r="AH14" t="s">
        <v>2122</v>
      </c>
      <c r="AI14" t="s">
        <v>2123</v>
      </c>
      <c r="AJ14" t="s">
        <v>2122</v>
      </c>
      <c r="AK14" t="s">
        <v>2123</v>
      </c>
      <c r="AL14" t="s">
        <v>2123</v>
      </c>
      <c r="AM14" t="s">
        <v>2123</v>
      </c>
      <c r="AN14" t="s">
        <v>2122</v>
      </c>
      <c r="AO14" t="s">
        <v>2123</v>
      </c>
      <c r="AP14" t="s">
        <v>2123</v>
      </c>
      <c r="AQ14" t="s">
        <v>2122</v>
      </c>
    </row>
    <row r="15" spans="1:43" x14ac:dyDescent="0.2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2139</v>
      </c>
      <c r="AA15" t="s">
        <v>447</v>
      </c>
      <c r="AB15" t="s">
        <v>2122</v>
      </c>
      <c r="AC15" t="s">
        <v>2123</v>
      </c>
      <c r="AD15" t="s">
        <v>2122</v>
      </c>
      <c r="AE15" t="s">
        <v>2123</v>
      </c>
      <c r="AF15" t="s">
        <v>2123</v>
      </c>
      <c r="AG15" t="s">
        <v>2122</v>
      </c>
      <c r="AH15" t="s">
        <v>2122</v>
      </c>
      <c r="AI15" t="s">
        <v>2123</v>
      </c>
      <c r="AJ15" t="s">
        <v>2122</v>
      </c>
      <c r="AK15" t="s">
        <v>2122</v>
      </c>
      <c r="AL15" t="s">
        <v>2122</v>
      </c>
      <c r="AM15" t="s">
        <v>2122</v>
      </c>
      <c r="AN15" t="s">
        <v>2123</v>
      </c>
      <c r="AO15" t="s">
        <v>2123</v>
      </c>
      <c r="AP15" t="s">
        <v>2122</v>
      </c>
      <c r="AQ15" t="s">
        <v>2123</v>
      </c>
    </row>
    <row r="16" spans="1:43" x14ac:dyDescent="0.2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2140</v>
      </c>
      <c r="AA16" t="s">
        <v>2141</v>
      </c>
      <c r="AB16" t="s">
        <v>2123</v>
      </c>
      <c r="AC16" t="s">
        <v>2122</v>
      </c>
      <c r="AD16" t="s">
        <v>2122</v>
      </c>
      <c r="AE16" t="s">
        <v>2123</v>
      </c>
      <c r="AF16" t="s">
        <v>2122</v>
      </c>
      <c r="AG16" t="s">
        <v>2123</v>
      </c>
      <c r="AH16" t="s">
        <v>2123</v>
      </c>
      <c r="AI16" t="s">
        <v>2122</v>
      </c>
      <c r="AJ16" t="s">
        <v>2122</v>
      </c>
      <c r="AK16" t="s">
        <v>2123</v>
      </c>
      <c r="AL16" t="s">
        <v>2123</v>
      </c>
      <c r="AM16" t="s">
        <v>2123</v>
      </c>
      <c r="AN16" t="s">
        <v>2122</v>
      </c>
      <c r="AO16" t="s">
        <v>2122</v>
      </c>
      <c r="AP16" t="s">
        <v>2123</v>
      </c>
      <c r="AQ16" t="s">
        <v>2122</v>
      </c>
    </row>
    <row r="17" spans="2:43" x14ac:dyDescent="0.2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2142</v>
      </c>
      <c r="AA17" t="s">
        <v>2143</v>
      </c>
      <c r="AB17" t="s">
        <v>2123</v>
      </c>
      <c r="AC17" t="s">
        <v>2122</v>
      </c>
      <c r="AD17" t="s">
        <v>2122</v>
      </c>
      <c r="AE17" t="s">
        <v>2123</v>
      </c>
      <c r="AF17" t="s">
        <v>2122</v>
      </c>
      <c r="AG17" t="s">
        <v>2123</v>
      </c>
      <c r="AH17" t="s">
        <v>2123</v>
      </c>
      <c r="AI17" t="s">
        <v>2122</v>
      </c>
      <c r="AJ17" t="s">
        <v>2122</v>
      </c>
      <c r="AK17" t="s">
        <v>2123</v>
      </c>
      <c r="AL17" t="s">
        <v>2123</v>
      </c>
      <c r="AM17" t="s">
        <v>2123</v>
      </c>
      <c r="AN17" t="s">
        <v>2122</v>
      </c>
      <c r="AO17" t="s">
        <v>2122</v>
      </c>
      <c r="AP17" t="s">
        <v>2123</v>
      </c>
      <c r="AQ17" t="s">
        <v>2122</v>
      </c>
    </row>
    <row r="18" spans="2:43" x14ac:dyDescent="0.2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2144</v>
      </c>
      <c r="AA18" t="s">
        <v>2145</v>
      </c>
      <c r="AB18" t="s">
        <v>2122</v>
      </c>
      <c r="AC18" t="s">
        <v>2122</v>
      </c>
      <c r="AD18" t="s">
        <v>2123</v>
      </c>
      <c r="AE18" t="s">
        <v>2122</v>
      </c>
      <c r="AF18" t="s">
        <v>2123</v>
      </c>
      <c r="AG18" t="s">
        <v>2123</v>
      </c>
      <c r="AH18" t="s">
        <v>2122</v>
      </c>
      <c r="AI18" t="s">
        <v>2122</v>
      </c>
      <c r="AJ18" t="s">
        <v>2123</v>
      </c>
      <c r="AK18" t="s">
        <v>2123</v>
      </c>
      <c r="AL18" t="s">
        <v>2123</v>
      </c>
      <c r="AM18" t="s">
        <v>2123</v>
      </c>
      <c r="AN18" t="s">
        <v>2122</v>
      </c>
      <c r="AO18" t="s">
        <v>2122</v>
      </c>
      <c r="AP18" t="s">
        <v>2123</v>
      </c>
      <c r="AQ18" t="s">
        <v>2122</v>
      </c>
    </row>
    <row r="19" spans="2:43" x14ac:dyDescent="0.2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2146</v>
      </c>
      <c r="AA19" t="s">
        <v>462</v>
      </c>
      <c r="AB19" t="s">
        <v>2123</v>
      </c>
      <c r="AC19" t="s">
        <v>2122</v>
      </c>
      <c r="AD19" t="s">
        <v>2122</v>
      </c>
      <c r="AE19" t="s">
        <v>2123</v>
      </c>
      <c r="AF19" t="s">
        <v>2122</v>
      </c>
      <c r="AG19" t="s">
        <v>2123</v>
      </c>
      <c r="AH19" t="s">
        <v>2123</v>
      </c>
      <c r="AI19" t="s">
        <v>2122</v>
      </c>
      <c r="AJ19" t="s">
        <v>2122</v>
      </c>
      <c r="AK19" t="s">
        <v>2123</v>
      </c>
      <c r="AL19" t="s">
        <v>2123</v>
      </c>
      <c r="AM19" t="s">
        <v>2123</v>
      </c>
      <c r="AN19" t="s">
        <v>2122</v>
      </c>
      <c r="AO19" t="s">
        <v>2123</v>
      </c>
      <c r="AP19" t="s">
        <v>2123</v>
      </c>
      <c r="AQ19" t="s">
        <v>2122</v>
      </c>
    </row>
    <row r="20" spans="2:43" x14ac:dyDescent="0.2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2147</v>
      </c>
      <c r="AA20" t="s">
        <v>459</v>
      </c>
      <c r="AB20" t="s">
        <v>2122</v>
      </c>
      <c r="AC20" t="s">
        <v>2123</v>
      </c>
      <c r="AD20" t="s">
        <v>2122</v>
      </c>
      <c r="AE20" t="s">
        <v>2123</v>
      </c>
      <c r="AF20" t="s">
        <v>2123</v>
      </c>
      <c r="AG20" t="s">
        <v>2122</v>
      </c>
      <c r="AH20" t="s">
        <v>2122</v>
      </c>
      <c r="AI20" t="s">
        <v>2123</v>
      </c>
      <c r="AJ20" t="s">
        <v>2122</v>
      </c>
      <c r="AK20" t="s">
        <v>2123</v>
      </c>
      <c r="AL20" t="s">
        <v>2123</v>
      </c>
      <c r="AM20" t="s">
        <v>2122</v>
      </c>
      <c r="AN20" t="s">
        <v>2123</v>
      </c>
      <c r="AO20" t="s">
        <v>2123</v>
      </c>
      <c r="AP20" t="s">
        <v>2123</v>
      </c>
      <c r="AQ20" t="s">
        <v>2122</v>
      </c>
    </row>
    <row r="21" spans="2:43" x14ac:dyDescent="0.2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2148</v>
      </c>
      <c r="AA21" t="s">
        <v>447</v>
      </c>
      <c r="AB21" t="s">
        <v>2122</v>
      </c>
      <c r="AC21" t="s">
        <v>2123</v>
      </c>
      <c r="AD21" t="s">
        <v>2122</v>
      </c>
      <c r="AE21" t="s">
        <v>2123</v>
      </c>
      <c r="AF21" t="s">
        <v>2123</v>
      </c>
      <c r="AG21" t="s">
        <v>2122</v>
      </c>
      <c r="AH21" t="s">
        <v>2122</v>
      </c>
      <c r="AI21" t="s">
        <v>2123</v>
      </c>
      <c r="AJ21" t="s">
        <v>2122</v>
      </c>
      <c r="AK21" t="s">
        <v>2122</v>
      </c>
      <c r="AL21" t="s">
        <v>2122</v>
      </c>
      <c r="AM21" t="s">
        <v>2122</v>
      </c>
      <c r="AN21" t="s">
        <v>2123</v>
      </c>
      <c r="AO21" t="s">
        <v>2123</v>
      </c>
      <c r="AP21" t="s">
        <v>2122</v>
      </c>
      <c r="AQ21" t="s">
        <v>2123</v>
      </c>
    </row>
    <row r="22" spans="2:43" x14ac:dyDescent="0.2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2149</v>
      </c>
      <c r="AA22" t="s">
        <v>460</v>
      </c>
      <c r="AB22" t="s">
        <v>2122</v>
      </c>
      <c r="AC22" t="s">
        <v>2122</v>
      </c>
      <c r="AD22" t="s">
        <v>2123</v>
      </c>
      <c r="AE22" t="s">
        <v>2122</v>
      </c>
      <c r="AF22" t="s">
        <v>2123</v>
      </c>
      <c r="AG22" t="s">
        <v>2123</v>
      </c>
      <c r="AH22" t="s">
        <v>2122</v>
      </c>
      <c r="AI22" t="s">
        <v>2123</v>
      </c>
      <c r="AJ22" t="s">
        <v>2122</v>
      </c>
      <c r="AK22" t="s">
        <v>2123</v>
      </c>
      <c r="AL22" t="s">
        <v>2123</v>
      </c>
      <c r="AM22" t="s">
        <v>2123</v>
      </c>
      <c r="AN22" t="s">
        <v>2122</v>
      </c>
      <c r="AO22" t="s">
        <v>2123</v>
      </c>
      <c r="AP22" t="s">
        <v>2123</v>
      </c>
      <c r="AQ22" t="s">
        <v>2122</v>
      </c>
    </row>
    <row r="23" spans="2:43" x14ac:dyDescent="0.2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2150</v>
      </c>
      <c r="AA23" t="s">
        <v>449</v>
      </c>
      <c r="AB23" t="s">
        <v>2122</v>
      </c>
      <c r="AC23" t="s">
        <v>2122</v>
      </c>
      <c r="AD23" t="s">
        <v>2123</v>
      </c>
      <c r="AE23" t="s">
        <v>2122</v>
      </c>
      <c r="AF23" t="s">
        <v>2123</v>
      </c>
      <c r="AG23" t="s">
        <v>2123</v>
      </c>
      <c r="AH23" t="s">
        <v>2122</v>
      </c>
      <c r="AI23" t="s">
        <v>2122</v>
      </c>
      <c r="AJ23" t="s">
        <v>2123</v>
      </c>
      <c r="AK23" t="s">
        <v>2123</v>
      </c>
      <c r="AL23" t="s">
        <v>2123</v>
      </c>
      <c r="AM23" t="s">
        <v>2122</v>
      </c>
      <c r="AN23" t="s">
        <v>2123</v>
      </c>
      <c r="AO23" t="s">
        <v>2123</v>
      </c>
      <c r="AP23" t="s">
        <v>2122</v>
      </c>
      <c r="AQ23" t="s">
        <v>2123</v>
      </c>
    </row>
    <row r="24" spans="2:43" x14ac:dyDescent="0.2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2151</v>
      </c>
      <c r="AA24" t="s">
        <v>449</v>
      </c>
      <c r="AB24" t="s">
        <v>2122</v>
      </c>
      <c r="AC24" t="s">
        <v>2122</v>
      </c>
      <c r="AD24" t="s">
        <v>2123</v>
      </c>
      <c r="AE24" t="s">
        <v>2122</v>
      </c>
      <c r="AF24" t="s">
        <v>2123</v>
      </c>
      <c r="AG24" t="s">
        <v>2123</v>
      </c>
      <c r="AH24" t="s">
        <v>2122</v>
      </c>
      <c r="AI24" t="s">
        <v>2122</v>
      </c>
      <c r="AJ24" t="s">
        <v>2123</v>
      </c>
      <c r="AK24" t="s">
        <v>2123</v>
      </c>
      <c r="AL24" t="s">
        <v>2123</v>
      </c>
      <c r="AM24" t="s">
        <v>2122</v>
      </c>
      <c r="AN24" t="s">
        <v>2123</v>
      </c>
      <c r="AO24" t="s">
        <v>2123</v>
      </c>
      <c r="AP24" t="s">
        <v>2122</v>
      </c>
      <c r="AQ24" t="s">
        <v>2123</v>
      </c>
    </row>
    <row r="25" spans="2:43" x14ac:dyDescent="0.2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2152</v>
      </c>
      <c r="AA25" t="s">
        <v>461</v>
      </c>
      <c r="AB25" t="s">
        <v>2122</v>
      </c>
      <c r="AC25" t="s">
        <v>2122</v>
      </c>
      <c r="AD25" t="s">
        <v>2123</v>
      </c>
      <c r="AE25" t="s">
        <v>2122</v>
      </c>
      <c r="AF25" t="s">
        <v>2123</v>
      </c>
      <c r="AG25" t="s">
        <v>2123</v>
      </c>
      <c r="AH25" t="s">
        <v>2122</v>
      </c>
      <c r="AI25" t="s">
        <v>2122</v>
      </c>
      <c r="AJ25" t="s">
        <v>2123</v>
      </c>
      <c r="AK25" t="s">
        <v>2123</v>
      </c>
      <c r="AL25" t="s">
        <v>2123</v>
      </c>
      <c r="AM25" t="s">
        <v>2123</v>
      </c>
      <c r="AN25" t="s">
        <v>2122</v>
      </c>
      <c r="AO25" t="s">
        <v>2122</v>
      </c>
      <c r="AP25" t="s">
        <v>2123</v>
      </c>
      <c r="AQ25" t="s">
        <v>2122</v>
      </c>
    </row>
    <row r="26" spans="2:43" x14ac:dyDescent="0.2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2153</v>
      </c>
      <c r="AA26" t="s">
        <v>453</v>
      </c>
      <c r="AB26" t="s">
        <v>2123</v>
      </c>
      <c r="AC26" t="s">
        <v>2122</v>
      </c>
      <c r="AD26" t="s">
        <v>2122</v>
      </c>
      <c r="AE26" t="s">
        <v>2123</v>
      </c>
      <c r="AF26" t="s">
        <v>2122</v>
      </c>
      <c r="AG26" t="s">
        <v>2123</v>
      </c>
      <c r="AH26" t="s">
        <v>2122</v>
      </c>
      <c r="AI26" t="s">
        <v>2123</v>
      </c>
      <c r="AJ26" t="s">
        <v>2122</v>
      </c>
      <c r="AK26" t="s">
        <v>2122</v>
      </c>
      <c r="AL26" t="s">
        <v>2122</v>
      </c>
      <c r="AM26" t="s">
        <v>2122</v>
      </c>
      <c r="AN26" t="s">
        <v>2123</v>
      </c>
      <c r="AO26" t="s">
        <v>2123</v>
      </c>
      <c r="AP26" t="s">
        <v>2122</v>
      </c>
      <c r="AQ26" t="s">
        <v>2123</v>
      </c>
    </row>
    <row r="27" spans="2:43" x14ac:dyDescent="0.2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2154</v>
      </c>
      <c r="AA27" t="s">
        <v>459</v>
      </c>
      <c r="AB27" t="s">
        <v>2122</v>
      </c>
      <c r="AC27" t="s">
        <v>2123</v>
      </c>
      <c r="AD27" t="s">
        <v>2122</v>
      </c>
      <c r="AE27" t="s">
        <v>2123</v>
      </c>
      <c r="AF27" t="s">
        <v>2123</v>
      </c>
      <c r="AG27" t="s">
        <v>2122</v>
      </c>
      <c r="AH27" t="s">
        <v>2123</v>
      </c>
      <c r="AI27" t="s">
        <v>2122</v>
      </c>
      <c r="AJ27" t="s">
        <v>2122</v>
      </c>
      <c r="AK27" t="s">
        <v>2123</v>
      </c>
      <c r="AL27" t="s">
        <v>2123</v>
      </c>
      <c r="AM27" t="s">
        <v>2122</v>
      </c>
      <c r="AN27" t="s">
        <v>2123</v>
      </c>
      <c r="AO27" t="s">
        <v>2123</v>
      </c>
      <c r="AP27" t="s">
        <v>2123</v>
      </c>
      <c r="AQ27" t="s">
        <v>2122</v>
      </c>
    </row>
    <row r="28" spans="2:43" x14ac:dyDescent="0.2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2155</v>
      </c>
      <c r="AA28" t="s">
        <v>462</v>
      </c>
      <c r="AB28" t="s">
        <v>2123</v>
      </c>
      <c r="AC28" t="s">
        <v>2122</v>
      </c>
      <c r="AD28" t="s">
        <v>2122</v>
      </c>
      <c r="AE28" t="s">
        <v>2123</v>
      </c>
      <c r="AF28" t="s">
        <v>2122</v>
      </c>
      <c r="AG28" t="s">
        <v>2123</v>
      </c>
      <c r="AH28" t="s">
        <v>2122</v>
      </c>
      <c r="AI28" t="s">
        <v>2122</v>
      </c>
      <c r="AJ28" t="s">
        <v>2123</v>
      </c>
      <c r="AK28" t="s">
        <v>2123</v>
      </c>
      <c r="AL28" t="s">
        <v>2123</v>
      </c>
      <c r="AM28" t="s">
        <v>2123</v>
      </c>
      <c r="AN28" t="s">
        <v>2122</v>
      </c>
      <c r="AO28" t="s">
        <v>2123</v>
      </c>
      <c r="AP28" t="s">
        <v>2123</v>
      </c>
      <c r="AQ28" t="s">
        <v>2122</v>
      </c>
    </row>
    <row r="29" spans="2:43" x14ac:dyDescent="0.2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2156</v>
      </c>
      <c r="AA29" t="s">
        <v>456</v>
      </c>
      <c r="AB29" t="s">
        <v>2122</v>
      </c>
      <c r="AC29" t="s">
        <v>2122</v>
      </c>
      <c r="AD29" t="s">
        <v>2123</v>
      </c>
      <c r="AE29" t="s">
        <v>2122</v>
      </c>
      <c r="AF29" t="s">
        <v>2123</v>
      </c>
      <c r="AG29" t="s">
        <v>2123</v>
      </c>
      <c r="AH29" t="s">
        <v>2122</v>
      </c>
      <c r="AI29" t="s">
        <v>2123</v>
      </c>
      <c r="AJ29" t="s">
        <v>2122</v>
      </c>
      <c r="AK29" t="s">
        <v>2122</v>
      </c>
      <c r="AL29" t="s">
        <v>2122</v>
      </c>
      <c r="AM29" t="s">
        <v>2122</v>
      </c>
      <c r="AN29" t="s">
        <v>2123</v>
      </c>
      <c r="AO29" t="s">
        <v>2123</v>
      </c>
      <c r="AP29" t="s">
        <v>2122</v>
      </c>
      <c r="AQ29" t="s">
        <v>2123</v>
      </c>
    </row>
    <row r="30" spans="2:43" x14ac:dyDescent="0.2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2157</v>
      </c>
      <c r="AA30" t="s">
        <v>460</v>
      </c>
      <c r="AB30" t="s">
        <v>2122</v>
      </c>
      <c r="AC30" t="s">
        <v>2122</v>
      </c>
      <c r="AD30" t="s">
        <v>2123</v>
      </c>
      <c r="AE30" t="s">
        <v>2122</v>
      </c>
      <c r="AF30" t="s">
        <v>2123</v>
      </c>
      <c r="AG30" t="s">
        <v>2123</v>
      </c>
      <c r="AH30" t="s">
        <v>2122</v>
      </c>
      <c r="AI30" t="s">
        <v>2123</v>
      </c>
      <c r="AJ30" t="s">
        <v>2122</v>
      </c>
      <c r="AK30" t="s">
        <v>2123</v>
      </c>
      <c r="AL30" t="s">
        <v>2123</v>
      </c>
      <c r="AM30" t="s">
        <v>2123</v>
      </c>
      <c r="AN30" t="s">
        <v>2122</v>
      </c>
      <c r="AO30" t="s">
        <v>2123</v>
      </c>
      <c r="AP30" t="s">
        <v>2123</v>
      </c>
      <c r="AQ30" t="s">
        <v>2122</v>
      </c>
    </row>
    <row r="31" spans="2:43" x14ac:dyDescent="0.2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2158</v>
      </c>
      <c r="AA31" t="s">
        <v>462</v>
      </c>
      <c r="AB31" t="s">
        <v>2123</v>
      </c>
      <c r="AC31" t="s">
        <v>2122</v>
      </c>
      <c r="AD31" t="s">
        <v>2122</v>
      </c>
      <c r="AE31" t="s">
        <v>2123</v>
      </c>
      <c r="AF31" t="s">
        <v>2122</v>
      </c>
      <c r="AG31" t="s">
        <v>2123</v>
      </c>
      <c r="AH31" t="s">
        <v>2123</v>
      </c>
      <c r="AI31" t="s">
        <v>2122</v>
      </c>
      <c r="AJ31" t="s">
        <v>2122</v>
      </c>
      <c r="AK31" t="s">
        <v>2123</v>
      </c>
      <c r="AL31" t="s">
        <v>2123</v>
      </c>
      <c r="AM31" t="s">
        <v>2123</v>
      </c>
      <c r="AN31" t="s">
        <v>2122</v>
      </c>
      <c r="AO31" t="s">
        <v>2123</v>
      </c>
      <c r="AP31" t="s">
        <v>2123</v>
      </c>
      <c r="AQ31" t="s">
        <v>2122</v>
      </c>
    </row>
    <row r="32" spans="2:43" x14ac:dyDescent="0.2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2159</v>
      </c>
      <c r="AA32" t="s">
        <v>462</v>
      </c>
      <c r="AB32" t="s">
        <v>2123</v>
      </c>
      <c r="AC32" t="s">
        <v>2122</v>
      </c>
      <c r="AD32" t="s">
        <v>2122</v>
      </c>
      <c r="AE32" t="s">
        <v>2123</v>
      </c>
      <c r="AF32" t="s">
        <v>2122</v>
      </c>
      <c r="AG32" t="s">
        <v>2123</v>
      </c>
      <c r="AH32" t="s">
        <v>2123</v>
      </c>
      <c r="AI32" t="s">
        <v>2122</v>
      </c>
      <c r="AJ32" t="s">
        <v>2122</v>
      </c>
      <c r="AK32" t="s">
        <v>2123</v>
      </c>
      <c r="AL32" t="s">
        <v>2123</v>
      </c>
      <c r="AM32" t="s">
        <v>2123</v>
      </c>
      <c r="AN32" t="s">
        <v>2122</v>
      </c>
      <c r="AO32" t="s">
        <v>2123</v>
      </c>
      <c r="AP32" t="s">
        <v>2123</v>
      </c>
      <c r="AQ32" t="s">
        <v>2122</v>
      </c>
    </row>
    <row r="33" spans="2:43" x14ac:dyDescent="0.2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2160</v>
      </c>
      <c r="AA33" t="s">
        <v>2141</v>
      </c>
      <c r="AB33" t="s">
        <v>2123</v>
      </c>
      <c r="AC33" t="s">
        <v>2122</v>
      </c>
      <c r="AD33" t="s">
        <v>2122</v>
      </c>
      <c r="AE33" t="s">
        <v>2123</v>
      </c>
      <c r="AF33" t="s">
        <v>2122</v>
      </c>
      <c r="AG33" t="s">
        <v>2123</v>
      </c>
      <c r="AH33" t="s">
        <v>2123</v>
      </c>
      <c r="AI33" t="s">
        <v>2122</v>
      </c>
      <c r="AJ33" t="s">
        <v>2122</v>
      </c>
      <c r="AK33" t="s">
        <v>2123</v>
      </c>
      <c r="AL33" t="s">
        <v>2123</v>
      </c>
      <c r="AM33" t="s">
        <v>2123</v>
      </c>
      <c r="AN33" t="s">
        <v>2122</v>
      </c>
      <c r="AO33" t="s">
        <v>2122</v>
      </c>
      <c r="AP33" t="s">
        <v>2123</v>
      </c>
      <c r="AQ33" t="s">
        <v>2122</v>
      </c>
    </row>
    <row r="34" spans="2:43" x14ac:dyDescent="0.2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2161</v>
      </c>
      <c r="AA34" t="s">
        <v>462</v>
      </c>
      <c r="AB34" t="s">
        <v>2123</v>
      </c>
      <c r="AC34" t="s">
        <v>2122</v>
      </c>
      <c r="AD34" t="s">
        <v>2122</v>
      </c>
      <c r="AE34" t="s">
        <v>2123</v>
      </c>
      <c r="AF34" t="s">
        <v>2122</v>
      </c>
      <c r="AG34" t="s">
        <v>2123</v>
      </c>
      <c r="AH34" t="s">
        <v>2122</v>
      </c>
      <c r="AI34" t="s">
        <v>2123</v>
      </c>
      <c r="AJ34" t="s">
        <v>2122</v>
      </c>
      <c r="AK34" t="s">
        <v>2123</v>
      </c>
      <c r="AL34" t="s">
        <v>2123</v>
      </c>
      <c r="AM34" t="s">
        <v>2123</v>
      </c>
      <c r="AN34" t="s">
        <v>2122</v>
      </c>
      <c r="AO34" t="s">
        <v>2123</v>
      </c>
      <c r="AP34" t="s">
        <v>2123</v>
      </c>
      <c r="AQ34" t="s">
        <v>2122</v>
      </c>
    </row>
    <row r="35" spans="2:43" x14ac:dyDescent="0.2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2162</v>
      </c>
      <c r="AA35" t="s">
        <v>2163</v>
      </c>
      <c r="AB35" t="s">
        <v>2123</v>
      </c>
      <c r="AC35" t="s">
        <v>2122</v>
      </c>
      <c r="AD35" t="s">
        <v>2122</v>
      </c>
      <c r="AE35" t="s">
        <v>2123</v>
      </c>
      <c r="AF35" t="s">
        <v>2122</v>
      </c>
      <c r="AG35" t="s">
        <v>2123</v>
      </c>
      <c r="AH35" t="s">
        <v>2123</v>
      </c>
      <c r="AI35" t="s">
        <v>2122</v>
      </c>
      <c r="AJ35" t="s">
        <v>2122</v>
      </c>
      <c r="AK35" t="s">
        <v>2123</v>
      </c>
      <c r="AL35" t="s">
        <v>2123</v>
      </c>
      <c r="AM35" t="s">
        <v>2123</v>
      </c>
      <c r="AN35" t="s">
        <v>2122</v>
      </c>
      <c r="AO35" t="s">
        <v>2122</v>
      </c>
      <c r="AP35" t="s">
        <v>2123</v>
      </c>
      <c r="AQ35" t="s">
        <v>2122</v>
      </c>
    </row>
    <row r="36" spans="2:43" x14ac:dyDescent="0.2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2164</v>
      </c>
      <c r="AA36" t="s">
        <v>461</v>
      </c>
      <c r="AB36" t="s">
        <v>2122</v>
      </c>
      <c r="AC36" t="s">
        <v>2122</v>
      </c>
      <c r="AD36" t="s">
        <v>2123</v>
      </c>
      <c r="AE36" t="s">
        <v>2122</v>
      </c>
      <c r="AF36" t="s">
        <v>2123</v>
      </c>
      <c r="AG36" t="s">
        <v>2123</v>
      </c>
      <c r="AH36" t="s">
        <v>2122</v>
      </c>
      <c r="AI36" t="s">
        <v>2123</v>
      </c>
      <c r="AJ36" t="s">
        <v>2122</v>
      </c>
      <c r="AK36" t="s">
        <v>2123</v>
      </c>
      <c r="AL36" t="s">
        <v>2123</v>
      </c>
      <c r="AM36" t="s">
        <v>2123</v>
      </c>
      <c r="AN36" t="s">
        <v>2122</v>
      </c>
      <c r="AO36" t="s">
        <v>2122</v>
      </c>
      <c r="AP36" t="s">
        <v>2123</v>
      </c>
      <c r="AQ36" t="s">
        <v>2122</v>
      </c>
    </row>
    <row r="37" spans="2:43" x14ac:dyDescent="0.2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2165</v>
      </c>
      <c r="AA37" t="s">
        <v>2136</v>
      </c>
      <c r="AB37" t="s">
        <v>2123</v>
      </c>
      <c r="AC37" t="s">
        <v>2122</v>
      </c>
      <c r="AD37" t="s">
        <v>2122</v>
      </c>
      <c r="AE37" t="s">
        <v>2123</v>
      </c>
      <c r="AF37" t="s">
        <v>2122</v>
      </c>
      <c r="AG37" t="s">
        <v>2123</v>
      </c>
      <c r="AH37" t="s">
        <v>2123</v>
      </c>
      <c r="AI37" t="s">
        <v>2122</v>
      </c>
      <c r="AJ37" t="s">
        <v>2122</v>
      </c>
      <c r="AK37" t="s">
        <v>2123</v>
      </c>
      <c r="AL37" t="s">
        <v>2123</v>
      </c>
      <c r="AM37" t="s">
        <v>2123</v>
      </c>
      <c r="AN37" t="s">
        <v>2122</v>
      </c>
      <c r="AO37" t="s">
        <v>2122</v>
      </c>
      <c r="AP37" t="s">
        <v>2123</v>
      </c>
      <c r="AQ37" t="s">
        <v>2122</v>
      </c>
    </row>
    <row r="38" spans="2:43" x14ac:dyDescent="0.2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2166</v>
      </c>
      <c r="AA38" t="s">
        <v>459</v>
      </c>
      <c r="AB38" t="s">
        <v>2122</v>
      </c>
      <c r="AC38" t="s">
        <v>2123</v>
      </c>
      <c r="AD38" t="s">
        <v>2122</v>
      </c>
      <c r="AE38" t="s">
        <v>2123</v>
      </c>
      <c r="AF38" t="s">
        <v>2123</v>
      </c>
      <c r="AG38" t="s">
        <v>2122</v>
      </c>
      <c r="AH38" t="s">
        <v>2122</v>
      </c>
      <c r="AI38" t="s">
        <v>2123</v>
      </c>
      <c r="AJ38" t="s">
        <v>2122</v>
      </c>
      <c r="AK38" t="s">
        <v>2123</v>
      </c>
      <c r="AL38" t="s">
        <v>2123</v>
      </c>
      <c r="AM38" t="s">
        <v>2122</v>
      </c>
      <c r="AN38" t="s">
        <v>2123</v>
      </c>
      <c r="AO38" t="s">
        <v>2123</v>
      </c>
      <c r="AP38" t="s">
        <v>2123</v>
      </c>
      <c r="AQ38" t="s">
        <v>2122</v>
      </c>
    </row>
    <row r="39" spans="2:43" x14ac:dyDescent="0.2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2167</v>
      </c>
      <c r="AA39" t="s">
        <v>2168</v>
      </c>
      <c r="AB39" t="s">
        <v>2123</v>
      </c>
      <c r="AC39" t="s">
        <v>2122</v>
      </c>
      <c r="AD39" t="s">
        <v>2122</v>
      </c>
      <c r="AE39" t="s">
        <v>2123</v>
      </c>
      <c r="AF39" t="s">
        <v>2122</v>
      </c>
      <c r="AG39" t="s">
        <v>2123</v>
      </c>
      <c r="AH39" t="s">
        <v>2123</v>
      </c>
      <c r="AI39" t="s">
        <v>2122</v>
      </c>
      <c r="AJ39" t="s">
        <v>2122</v>
      </c>
      <c r="AK39" t="s">
        <v>2123</v>
      </c>
      <c r="AL39" t="s">
        <v>2123</v>
      </c>
      <c r="AM39" t="s">
        <v>2123</v>
      </c>
      <c r="AN39" t="s">
        <v>2122</v>
      </c>
      <c r="AO39" t="s">
        <v>2123</v>
      </c>
      <c r="AP39" t="s">
        <v>2122</v>
      </c>
      <c r="AQ39" t="s">
        <v>2123</v>
      </c>
    </row>
    <row r="40" spans="2:43" x14ac:dyDescent="0.2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2169</v>
      </c>
      <c r="AA40" t="s">
        <v>460</v>
      </c>
      <c r="AB40" t="s">
        <v>2122</v>
      </c>
      <c r="AC40" t="s">
        <v>2122</v>
      </c>
      <c r="AD40" t="s">
        <v>2123</v>
      </c>
      <c r="AE40" t="s">
        <v>2122</v>
      </c>
      <c r="AF40" t="s">
        <v>2123</v>
      </c>
      <c r="AG40" t="s">
        <v>2123</v>
      </c>
      <c r="AH40" t="s">
        <v>2122</v>
      </c>
      <c r="AI40" t="s">
        <v>2122</v>
      </c>
      <c r="AJ40" t="s">
        <v>2123</v>
      </c>
      <c r="AK40" t="s">
        <v>2123</v>
      </c>
      <c r="AL40" t="s">
        <v>2123</v>
      </c>
      <c r="AM40" t="s">
        <v>2123</v>
      </c>
      <c r="AN40" t="s">
        <v>2122</v>
      </c>
      <c r="AO40" t="s">
        <v>2123</v>
      </c>
      <c r="AP40" t="s">
        <v>2123</v>
      </c>
      <c r="AQ40" t="s">
        <v>2122</v>
      </c>
    </row>
    <row r="41" spans="2:43" x14ac:dyDescent="0.2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2170</v>
      </c>
      <c r="AA41" t="s">
        <v>2168</v>
      </c>
      <c r="AB41" t="s">
        <v>2123</v>
      </c>
      <c r="AC41" t="s">
        <v>2122</v>
      </c>
      <c r="AD41" t="s">
        <v>2122</v>
      </c>
      <c r="AE41" t="s">
        <v>2123</v>
      </c>
      <c r="AF41" t="s">
        <v>2122</v>
      </c>
      <c r="AG41" t="s">
        <v>2123</v>
      </c>
      <c r="AH41" t="s">
        <v>2123</v>
      </c>
      <c r="AI41" t="s">
        <v>2122</v>
      </c>
      <c r="AJ41" t="s">
        <v>2122</v>
      </c>
      <c r="AK41" t="s">
        <v>2123</v>
      </c>
      <c r="AL41" t="s">
        <v>2123</v>
      </c>
      <c r="AM41" t="s">
        <v>2123</v>
      </c>
      <c r="AN41" t="s">
        <v>2122</v>
      </c>
      <c r="AO41" t="s">
        <v>2123</v>
      </c>
      <c r="AP41" t="s">
        <v>2122</v>
      </c>
      <c r="AQ41" t="s">
        <v>2123</v>
      </c>
    </row>
    <row r="42" spans="2:43" x14ac:dyDescent="0.2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2171</v>
      </c>
      <c r="AA42" t="s">
        <v>2168</v>
      </c>
      <c r="AB42" t="s">
        <v>2123</v>
      </c>
      <c r="AC42" t="s">
        <v>2122</v>
      </c>
      <c r="AD42" t="s">
        <v>2122</v>
      </c>
      <c r="AE42" t="s">
        <v>2123</v>
      </c>
      <c r="AF42" t="s">
        <v>2122</v>
      </c>
      <c r="AG42" t="s">
        <v>2123</v>
      </c>
      <c r="AH42" t="s">
        <v>2123</v>
      </c>
      <c r="AI42" t="s">
        <v>2122</v>
      </c>
      <c r="AJ42" t="s">
        <v>2122</v>
      </c>
      <c r="AK42" t="s">
        <v>2123</v>
      </c>
      <c r="AL42" t="s">
        <v>2123</v>
      </c>
      <c r="AM42" t="s">
        <v>2123</v>
      </c>
      <c r="AN42" t="s">
        <v>2122</v>
      </c>
      <c r="AO42" t="s">
        <v>2123</v>
      </c>
      <c r="AP42" t="s">
        <v>2122</v>
      </c>
      <c r="AQ42" t="s">
        <v>2123</v>
      </c>
    </row>
    <row r="43" spans="2:43" x14ac:dyDescent="0.2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2172</v>
      </c>
      <c r="AA43" t="s">
        <v>2121</v>
      </c>
      <c r="AB43" t="s">
        <v>2122</v>
      </c>
      <c r="AC43" t="s">
        <v>2122</v>
      </c>
      <c r="AD43" t="s">
        <v>2123</v>
      </c>
      <c r="AE43" t="s">
        <v>2122</v>
      </c>
      <c r="AF43" t="s">
        <v>2123</v>
      </c>
      <c r="AG43" t="s">
        <v>2123</v>
      </c>
      <c r="AH43" t="s">
        <v>2122</v>
      </c>
      <c r="AI43" t="s">
        <v>2122</v>
      </c>
      <c r="AJ43" t="s">
        <v>2123</v>
      </c>
      <c r="AK43" t="s">
        <v>2123</v>
      </c>
      <c r="AL43" t="s">
        <v>2123</v>
      </c>
      <c r="AM43" t="s">
        <v>2123</v>
      </c>
      <c r="AN43" t="s">
        <v>2122</v>
      </c>
      <c r="AO43" t="s">
        <v>2122</v>
      </c>
      <c r="AP43" t="s">
        <v>2123</v>
      </c>
      <c r="AQ43" t="s">
        <v>2122</v>
      </c>
    </row>
    <row r="44" spans="2:43" x14ac:dyDescent="0.2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2173</v>
      </c>
      <c r="AA44" t="s">
        <v>456</v>
      </c>
      <c r="AB44" t="s">
        <v>2122</v>
      </c>
      <c r="AC44" t="s">
        <v>2122</v>
      </c>
      <c r="AD44" t="s">
        <v>2123</v>
      </c>
      <c r="AE44" t="s">
        <v>2122</v>
      </c>
      <c r="AF44" t="s">
        <v>2123</v>
      </c>
      <c r="AG44" t="s">
        <v>2123</v>
      </c>
      <c r="AH44" t="s">
        <v>2122</v>
      </c>
      <c r="AI44" t="s">
        <v>2122</v>
      </c>
      <c r="AJ44" t="s">
        <v>2123</v>
      </c>
      <c r="AK44" t="s">
        <v>2123</v>
      </c>
      <c r="AL44" t="s">
        <v>2122</v>
      </c>
      <c r="AM44" t="s">
        <v>2122</v>
      </c>
      <c r="AN44" t="s">
        <v>2123</v>
      </c>
      <c r="AO44" t="s">
        <v>2123</v>
      </c>
      <c r="AP44" t="s">
        <v>2122</v>
      </c>
      <c r="AQ44" t="s">
        <v>2123</v>
      </c>
    </row>
    <row r="45" spans="2:43" x14ac:dyDescent="0.2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2174</v>
      </c>
      <c r="AA45" t="s">
        <v>2175</v>
      </c>
      <c r="AB45" t="s">
        <v>2123</v>
      </c>
      <c r="AC45" t="s">
        <v>2122</v>
      </c>
      <c r="AD45" t="s">
        <v>2122</v>
      </c>
      <c r="AE45" t="s">
        <v>2123</v>
      </c>
      <c r="AF45" t="s">
        <v>2122</v>
      </c>
      <c r="AG45" t="s">
        <v>2123</v>
      </c>
      <c r="AH45" t="s">
        <v>2122</v>
      </c>
      <c r="AI45" t="s">
        <v>2123</v>
      </c>
      <c r="AJ45" t="s">
        <v>2122</v>
      </c>
      <c r="AK45" t="s">
        <v>2123</v>
      </c>
      <c r="AL45" t="s">
        <v>2123</v>
      </c>
      <c r="AM45" t="s">
        <v>2123</v>
      </c>
      <c r="AN45" t="s">
        <v>2122</v>
      </c>
      <c r="AO45" t="s">
        <v>2122</v>
      </c>
      <c r="AP45" t="s">
        <v>2123</v>
      </c>
      <c r="AQ45" t="s">
        <v>2122</v>
      </c>
    </row>
    <row r="46" spans="2:43" x14ac:dyDescent="0.2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2176</v>
      </c>
      <c r="AA46" t="s">
        <v>2177</v>
      </c>
      <c r="AB46" t="s">
        <v>2123</v>
      </c>
      <c r="AC46" t="s">
        <v>2122</v>
      </c>
      <c r="AD46" t="s">
        <v>2122</v>
      </c>
      <c r="AE46" t="s">
        <v>2123</v>
      </c>
      <c r="AF46" t="s">
        <v>2122</v>
      </c>
      <c r="AG46" t="s">
        <v>2123</v>
      </c>
      <c r="AH46" t="s">
        <v>2123</v>
      </c>
      <c r="AI46" t="s">
        <v>2122</v>
      </c>
      <c r="AJ46" t="s">
        <v>2122</v>
      </c>
      <c r="AK46" t="s">
        <v>2123</v>
      </c>
      <c r="AL46" t="s">
        <v>2123</v>
      </c>
      <c r="AM46" t="s">
        <v>2123</v>
      </c>
      <c r="AN46" t="s">
        <v>2122</v>
      </c>
      <c r="AO46" t="s">
        <v>2122</v>
      </c>
      <c r="AP46" t="s">
        <v>2122</v>
      </c>
      <c r="AQ46" t="s">
        <v>2123</v>
      </c>
    </row>
    <row r="47" spans="2:43" x14ac:dyDescent="0.2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2178</v>
      </c>
      <c r="AA47" t="s">
        <v>2131</v>
      </c>
      <c r="AB47" t="s">
        <v>2123</v>
      </c>
      <c r="AC47" t="s">
        <v>2122</v>
      </c>
      <c r="AD47" t="s">
        <v>2122</v>
      </c>
      <c r="AE47" t="s">
        <v>2123</v>
      </c>
      <c r="AF47" t="s">
        <v>2122</v>
      </c>
      <c r="AG47" t="s">
        <v>2123</v>
      </c>
      <c r="AH47" t="s">
        <v>2122</v>
      </c>
      <c r="AI47" t="s">
        <v>2123</v>
      </c>
      <c r="AJ47" t="s">
        <v>2122</v>
      </c>
      <c r="AK47" t="s">
        <v>2122</v>
      </c>
      <c r="AL47" t="s">
        <v>2123</v>
      </c>
      <c r="AM47" t="s">
        <v>2122</v>
      </c>
      <c r="AN47" t="s">
        <v>2123</v>
      </c>
      <c r="AO47" t="s">
        <v>2123</v>
      </c>
      <c r="AP47" t="s">
        <v>2122</v>
      </c>
      <c r="AQ47" t="s">
        <v>2123</v>
      </c>
    </row>
    <row r="48" spans="2:43" x14ac:dyDescent="0.2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2179</v>
      </c>
      <c r="AA48" t="s">
        <v>459</v>
      </c>
      <c r="AB48" t="s">
        <v>2122</v>
      </c>
      <c r="AC48" t="s">
        <v>2123</v>
      </c>
      <c r="AD48" t="s">
        <v>2122</v>
      </c>
      <c r="AE48" t="s">
        <v>2123</v>
      </c>
      <c r="AF48" t="s">
        <v>2123</v>
      </c>
      <c r="AG48" t="s">
        <v>2122</v>
      </c>
      <c r="AH48" t="s">
        <v>2122</v>
      </c>
      <c r="AI48" t="s">
        <v>2122</v>
      </c>
      <c r="AJ48" t="s">
        <v>2123</v>
      </c>
      <c r="AK48" t="s">
        <v>2123</v>
      </c>
      <c r="AL48" t="s">
        <v>2123</v>
      </c>
      <c r="AM48" t="s">
        <v>2122</v>
      </c>
      <c r="AN48" t="s">
        <v>2123</v>
      </c>
      <c r="AO48" t="s">
        <v>2123</v>
      </c>
      <c r="AP48" t="s">
        <v>2123</v>
      </c>
      <c r="AQ48" t="s">
        <v>2122</v>
      </c>
    </row>
    <row r="49" spans="2:43" x14ac:dyDescent="0.2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2180</v>
      </c>
      <c r="AA49" t="s">
        <v>460</v>
      </c>
      <c r="AB49" t="s">
        <v>2122</v>
      </c>
      <c r="AC49" t="s">
        <v>2122</v>
      </c>
      <c r="AD49" t="s">
        <v>2123</v>
      </c>
      <c r="AE49" t="s">
        <v>2122</v>
      </c>
      <c r="AF49" t="s">
        <v>2123</v>
      </c>
      <c r="AG49" t="s">
        <v>2123</v>
      </c>
      <c r="AH49" t="s">
        <v>2122</v>
      </c>
      <c r="AI49" t="s">
        <v>2122</v>
      </c>
      <c r="AJ49" t="s">
        <v>2123</v>
      </c>
      <c r="AK49" t="s">
        <v>2123</v>
      </c>
      <c r="AL49" t="s">
        <v>2123</v>
      </c>
      <c r="AM49" t="s">
        <v>2123</v>
      </c>
      <c r="AN49" t="s">
        <v>2122</v>
      </c>
      <c r="AO49" t="s">
        <v>2123</v>
      </c>
      <c r="AP49" t="s">
        <v>2123</v>
      </c>
      <c r="AQ49" t="s">
        <v>2122</v>
      </c>
    </row>
    <row r="50" spans="2:43" x14ac:dyDescent="0.2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2181</v>
      </c>
      <c r="AA50" t="s">
        <v>2182</v>
      </c>
      <c r="AB50" t="s">
        <v>2123</v>
      </c>
      <c r="AC50" t="s">
        <v>2122</v>
      </c>
      <c r="AD50" t="s">
        <v>2122</v>
      </c>
      <c r="AE50" t="s">
        <v>2123</v>
      </c>
      <c r="AF50" t="s">
        <v>2122</v>
      </c>
      <c r="AG50" t="s">
        <v>2123</v>
      </c>
      <c r="AH50" t="s">
        <v>2123</v>
      </c>
      <c r="AI50" t="s">
        <v>2122</v>
      </c>
      <c r="AJ50" t="s">
        <v>2122</v>
      </c>
      <c r="AK50" t="s">
        <v>2123</v>
      </c>
      <c r="AL50" t="s">
        <v>2123</v>
      </c>
      <c r="AM50" t="s">
        <v>2123</v>
      </c>
      <c r="AN50" t="s">
        <v>2122</v>
      </c>
      <c r="AO50" t="s">
        <v>2122</v>
      </c>
      <c r="AP50" t="s">
        <v>2123</v>
      </c>
      <c r="AQ50" t="s">
        <v>2122</v>
      </c>
    </row>
    <row r="51" spans="2:43" x14ac:dyDescent="0.2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2183</v>
      </c>
      <c r="AA51" t="s">
        <v>2175</v>
      </c>
      <c r="AB51" t="s">
        <v>2123</v>
      </c>
      <c r="AC51" t="s">
        <v>2122</v>
      </c>
      <c r="AD51" t="s">
        <v>2122</v>
      </c>
      <c r="AE51" t="s">
        <v>2123</v>
      </c>
      <c r="AF51" t="s">
        <v>2122</v>
      </c>
      <c r="AG51" t="s">
        <v>2123</v>
      </c>
      <c r="AH51" t="s">
        <v>2122</v>
      </c>
      <c r="AI51" t="s">
        <v>2123</v>
      </c>
      <c r="AJ51" t="s">
        <v>2122</v>
      </c>
      <c r="AK51" t="s">
        <v>2123</v>
      </c>
      <c r="AL51" t="s">
        <v>2123</v>
      </c>
      <c r="AM51" t="s">
        <v>2123</v>
      </c>
      <c r="AN51" t="s">
        <v>2122</v>
      </c>
      <c r="AO51" t="s">
        <v>2122</v>
      </c>
      <c r="AP51" t="s">
        <v>2123</v>
      </c>
      <c r="AQ51" t="s">
        <v>2122</v>
      </c>
    </row>
    <row r="52" spans="2:43" x14ac:dyDescent="0.2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2184</v>
      </c>
      <c r="AA52" t="s">
        <v>447</v>
      </c>
      <c r="AB52" t="s">
        <v>2122</v>
      </c>
      <c r="AC52" t="s">
        <v>2123</v>
      </c>
      <c r="AD52" t="s">
        <v>2122</v>
      </c>
      <c r="AE52" t="s">
        <v>2123</v>
      </c>
      <c r="AF52" t="s">
        <v>2123</v>
      </c>
      <c r="AG52" t="s">
        <v>2122</v>
      </c>
      <c r="AH52" t="s">
        <v>2122</v>
      </c>
      <c r="AI52" t="s">
        <v>2123</v>
      </c>
      <c r="AJ52" t="s">
        <v>2122</v>
      </c>
      <c r="AK52" t="s">
        <v>2122</v>
      </c>
      <c r="AL52" t="s">
        <v>2122</v>
      </c>
      <c r="AM52" t="s">
        <v>2122</v>
      </c>
      <c r="AN52" t="s">
        <v>2123</v>
      </c>
      <c r="AO52" t="s">
        <v>2123</v>
      </c>
      <c r="AP52" t="s">
        <v>2122</v>
      </c>
      <c r="AQ52" t="s">
        <v>2123</v>
      </c>
    </row>
    <row r="53" spans="2:43" x14ac:dyDescent="0.2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2185</v>
      </c>
      <c r="AA53" t="s">
        <v>2136</v>
      </c>
      <c r="AB53" t="s">
        <v>2123</v>
      </c>
      <c r="AC53" t="s">
        <v>2122</v>
      </c>
      <c r="AD53" t="s">
        <v>2122</v>
      </c>
      <c r="AE53" t="s">
        <v>2123</v>
      </c>
      <c r="AF53" t="s">
        <v>2122</v>
      </c>
      <c r="AG53" t="s">
        <v>2123</v>
      </c>
      <c r="AH53" t="s">
        <v>2122</v>
      </c>
      <c r="AI53" t="s">
        <v>2123</v>
      </c>
      <c r="AJ53" t="s">
        <v>2122</v>
      </c>
      <c r="AK53" t="s">
        <v>2123</v>
      </c>
      <c r="AL53" t="s">
        <v>2123</v>
      </c>
      <c r="AM53" t="s">
        <v>2123</v>
      </c>
      <c r="AN53" t="s">
        <v>2122</v>
      </c>
      <c r="AO53" t="s">
        <v>2122</v>
      </c>
      <c r="AP53" t="s">
        <v>2123</v>
      </c>
      <c r="AQ53" t="s">
        <v>2122</v>
      </c>
    </row>
    <row r="54" spans="2:43" x14ac:dyDescent="0.2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2186</v>
      </c>
      <c r="AA54" t="s">
        <v>459</v>
      </c>
      <c r="AB54" t="s">
        <v>2122</v>
      </c>
      <c r="AC54" t="s">
        <v>2123</v>
      </c>
      <c r="AD54" t="s">
        <v>2122</v>
      </c>
      <c r="AE54" t="s">
        <v>2123</v>
      </c>
      <c r="AF54" t="s">
        <v>2123</v>
      </c>
      <c r="AG54" t="s">
        <v>2122</v>
      </c>
      <c r="AH54" t="s">
        <v>2122</v>
      </c>
      <c r="AI54" t="s">
        <v>2122</v>
      </c>
      <c r="AJ54" t="s">
        <v>2123</v>
      </c>
      <c r="AK54" t="s">
        <v>2123</v>
      </c>
      <c r="AL54" t="s">
        <v>2123</v>
      </c>
      <c r="AM54" t="s">
        <v>2122</v>
      </c>
      <c r="AN54" t="s">
        <v>2123</v>
      </c>
      <c r="AO54" t="s">
        <v>2123</v>
      </c>
      <c r="AP54" t="s">
        <v>2123</v>
      </c>
      <c r="AQ54" t="s">
        <v>2122</v>
      </c>
    </row>
    <row r="55" spans="2:43" x14ac:dyDescent="0.2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2187</v>
      </c>
      <c r="AA55" t="s">
        <v>2126</v>
      </c>
      <c r="AB55" t="s">
        <v>2122</v>
      </c>
      <c r="AC55" t="s">
        <v>2123</v>
      </c>
      <c r="AD55" t="s">
        <v>2122</v>
      </c>
      <c r="AE55" t="s">
        <v>2123</v>
      </c>
      <c r="AF55" t="s">
        <v>2123</v>
      </c>
      <c r="AG55" t="s">
        <v>2122</v>
      </c>
      <c r="AH55" t="s">
        <v>2123</v>
      </c>
      <c r="AI55" t="s">
        <v>2122</v>
      </c>
      <c r="AJ55" t="s">
        <v>2122</v>
      </c>
      <c r="AK55" t="s">
        <v>2123</v>
      </c>
      <c r="AL55" t="s">
        <v>2123</v>
      </c>
      <c r="AM55" t="s">
        <v>2123</v>
      </c>
      <c r="AN55" t="s">
        <v>2122</v>
      </c>
      <c r="AO55" t="s">
        <v>2122</v>
      </c>
      <c r="AP55" t="s">
        <v>2123</v>
      </c>
      <c r="AQ55" t="s">
        <v>2122</v>
      </c>
    </row>
    <row r="56" spans="2:43" x14ac:dyDescent="0.2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2188</v>
      </c>
      <c r="AA56" t="s">
        <v>2189</v>
      </c>
      <c r="AB56" t="s">
        <v>2122</v>
      </c>
      <c r="AC56" t="s">
        <v>2122</v>
      </c>
      <c r="AD56" t="s">
        <v>2123</v>
      </c>
      <c r="AE56" t="s">
        <v>2122</v>
      </c>
      <c r="AF56" t="s">
        <v>2123</v>
      </c>
      <c r="AG56" t="s">
        <v>2123</v>
      </c>
      <c r="AH56" t="s">
        <v>2122</v>
      </c>
      <c r="AI56" t="s">
        <v>2122</v>
      </c>
      <c r="AJ56" t="s">
        <v>2123</v>
      </c>
      <c r="AK56" t="s">
        <v>2123</v>
      </c>
      <c r="AL56" t="s">
        <v>2123</v>
      </c>
      <c r="AM56" t="s">
        <v>2123</v>
      </c>
      <c r="AN56" t="s">
        <v>2122</v>
      </c>
      <c r="AO56" t="s">
        <v>2122</v>
      </c>
      <c r="AP56" t="s">
        <v>2122</v>
      </c>
      <c r="AQ56" t="s">
        <v>2123</v>
      </c>
    </row>
    <row r="57" spans="2:43" x14ac:dyDescent="0.2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2190</v>
      </c>
      <c r="AA57" t="s">
        <v>460</v>
      </c>
      <c r="AB57" t="s">
        <v>2122</v>
      </c>
      <c r="AC57" t="s">
        <v>2122</v>
      </c>
      <c r="AD57" t="s">
        <v>2123</v>
      </c>
      <c r="AE57" t="s">
        <v>2122</v>
      </c>
      <c r="AF57" t="s">
        <v>2123</v>
      </c>
      <c r="AG57" t="s">
        <v>2123</v>
      </c>
      <c r="AH57" t="s">
        <v>2122</v>
      </c>
      <c r="AI57" t="s">
        <v>2122</v>
      </c>
      <c r="AJ57" t="s">
        <v>2123</v>
      </c>
      <c r="AK57" t="s">
        <v>2123</v>
      </c>
      <c r="AL57" t="s">
        <v>2123</v>
      </c>
      <c r="AM57" t="s">
        <v>2123</v>
      </c>
      <c r="AN57" t="s">
        <v>2122</v>
      </c>
      <c r="AO57" t="s">
        <v>2123</v>
      </c>
      <c r="AP57" t="s">
        <v>2123</v>
      </c>
      <c r="AQ57" t="s">
        <v>2122</v>
      </c>
    </row>
    <row r="58" spans="2:43" x14ac:dyDescent="0.2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2191</v>
      </c>
      <c r="AA58" t="s">
        <v>460</v>
      </c>
      <c r="AB58" t="s">
        <v>2122</v>
      </c>
      <c r="AC58" t="s">
        <v>2122</v>
      </c>
      <c r="AD58" t="s">
        <v>2123</v>
      </c>
      <c r="AE58" t="s">
        <v>2122</v>
      </c>
      <c r="AF58" t="s">
        <v>2123</v>
      </c>
      <c r="AG58" t="s">
        <v>2123</v>
      </c>
      <c r="AH58" t="s">
        <v>2123</v>
      </c>
      <c r="AI58" t="s">
        <v>2122</v>
      </c>
      <c r="AJ58" t="s">
        <v>2122</v>
      </c>
      <c r="AK58" t="s">
        <v>2123</v>
      </c>
      <c r="AL58" t="s">
        <v>2123</v>
      </c>
      <c r="AM58" t="s">
        <v>2123</v>
      </c>
      <c r="AN58" t="s">
        <v>2122</v>
      </c>
      <c r="AO58" t="s">
        <v>2123</v>
      </c>
      <c r="AP58" t="s">
        <v>2123</v>
      </c>
      <c r="AQ58" t="s">
        <v>2122</v>
      </c>
    </row>
    <row r="59" spans="2:43" x14ac:dyDescent="0.2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2192</v>
      </c>
      <c r="AA59" t="s">
        <v>462</v>
      </c>
      <c r="AB59" t="s">
        <v>2123</v>
      </c>
      <c r="AC59" t="s">
        <v>2122</v>
      </c>
      <c r="AD59" t="s">
        <v>2122</v>
      </c>
      <c r="AE59" t="s">
        <v>2123</v>
      </c>
      <c r="AF59" t="s">
        <v>2122</v>
      </c>
      <c r="AG59" t="s">
        <v>2123</v>
      </c>
      <c r="AH59" t="s">
        <v>2123</v>
      </c>
      <c r="AI59" t="s">
        <v>2122</v>
      </c>
      <c r="AJ59" t="s">
        <v>2122</v>
      </c>
      <c r="AK59" t="s">
        <v>2123</v>
      </c>
      <c r="AL59" t="s">
        <v>2123</v>
      </c>
      <c r="AM59" t="s">
        <v>2123</v>
      </c>
      <c r="AN59" t="s">
        <v>2122</v>
      </c>
      <c r="AO59" t="s">
        <v>2123</v>
      </c>
      <c r="AP59" t="s">
        <v>2123</v>
      </c>
      <c r="AQ59" t="s">
        <v>2122</v>
      </c>
    </row>
    <row r="60" spans="2:43" x14ac:dyDescent="0.2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2193</v>
      </c>
      <c r="AA60" t="s">
        <v>2136</v>
      </c>
      <c r="AB60" t="s">
        <v>2123</v>
      </c>
      <c r="AC60" t="s">
        <v>2122</v>
      </c>
      <c r="AD60" t="s">
        <v>2122</v>
      </c>
      <c r="AE60" t="s">
        <v>2123</v>
      </c>
      <c r="AF60" t="s">
        <v>2122</v>
      </c>
      <c r="AG60" t="s">
        <v>2123</v>
      </c>
      <c r="AH60" t="s">
        <v>2122</v>
      </c>
      <c r="AI60" t="s">
        <v>2123</v>
      </c>
      <c r="AJ60" t="s">
        <v>2122</v>
      </c>
      <c r="AK60" t="s">
        <v>2123</v>
      </c>
      <c r="AL60" t="s">
        <v>2123</v>
      </c>
      <c r="AM60" t="s">
        <v>2123</v>
      </c>
      <c r="AN60" t="s">
        <v>2122</v>
      </c>
      <c r="AO60" t="s">
        <v>2122</v>
      </c>
      <c r="AP60" t="s">
        <v>2123</v>
      </c>
      <c r="AQ60" t="s">
        <v>2122</v>
      </c>
    </row>
    <row r="61" spans="2:43" x14ac:dyDescent="0.2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2194</v>
      </c>
      <c r="AA61" t="s">
        <v>459</v>
      </c>
      <c r="AB61" t="s">
        <v>2122</v>
      </c>
      <c r="AC61" t="s">
        <v>2123</v>
      </c>
      <c r="AD61" t="s">
        <v>2122</v>
      </c>
      <c r="AE61" t="s">
        <v>2123</v>
      </c>
      <c r="AF61" t="s">
        <v>2123</v>
      </c>
      <c r="AG61" t="s">
        <v>2122</v>
      </c>
      <c r="AH61" t="s">
        <v>2123</v>
      </c>
      <c r="AI61" t="s">
        <v>2122</v>
      </c>
      <c r="AJ61" t="s">
        <v>2122</v>
      </c>
      <c r="AK61" t="s">
        <v>2123</v>
      </c>
      <c r="AL61" t="s">
        <v>2123</v>
      </c>
      <c r="AM61" t="s">
        <v>2122</v>
      </c>
      <c r="AN61" t="s">
        <v>2123</v>
      </c>
      <c r="AO61" t="s">
        <v>2123</v>
      </c>
      <c r="AP61" t="s">
        <v>2123</v>
      </c>
      <c r="AQ61" t="s">
        <v>2122</v>
      </c>
    </row>
    <row r="62" spans="2:43" x14ac:dyDescent="0.2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2195</v>
      </c>
      <c r="AA62" t="s">
        <v>453</v>
      </c>
      <c r="AB62" t="s">
        <v>2123</v>
      </c>
      <c r="AC62" t="s">
        <v>2122</v>
      </c>
      <c r="AD62" t="s">
        <v>2122</v>
      </c>
      <c r="AE62" t="s">
        <v>2123</v>
      </c>
      <c r="AF62" t="s">
        <v>2122</v>
      </c>
      <c r="AG62" t="s">
        <v>2123</v>
      </c>
      <c r="AH62" t="s">
        <v>2122</v>
      </c>
      <c r="AI62" t="s">
        <v>2123</v>
      </c>
      <c r="AJ62" t="s">
        <v>2122</v>
      </c>
      <c r="AK62" t="s">
        <v>2122</v>
      </c>
      <c r="AL62" t="s">
        <v>2122</v>
      </c>
      <c r="AM62" t="s">
        <v>2122</v>
      </c>
      <c r="AN62" t="s">
        <v>2123</v>
      </c>
      <c r="AO62" t="s">
        <v>2123</v>
      </c>
      <c r="AP62" t="s">
        <v>2122</v>
      </c>
      <c r="AQ62" t="s">
        <v>2123</v>
      </c>
    </row>
    <row r="63" spans="2:43" x14ac:dyDescent="0.2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2196</v>
      </c>
      <c r="AA63" t="s">
        <v>462</v>
      </c>
      <c r="AB63" t="s">
        <v>2123</v>
      </c>
      <c r="AC63" t="s">
        <v>2122</v>
      </c>
      <c r="AD63" t="s">
        <v>2122</v>
      </c>
      <c r="AE63" t="s">
        <v>2123</v>
      </c>
      <c r="AF63" t="s">
        <v>2122</v>
      </c>
      <c r="AG63" t="s">
        <v>2123</v>
      </c>
      <c r="AH63" t="s">
        <v>2123</v>
      </c>
      <c r="AI63" t="s">
        <v>2122</v>
      </c>
      <c r="AJ63" t="s">
        <v>2122</v>
      </c>
      <c r="AK63" t="s">
        <v>2123</v>
      </c>
      <c r="AL63" t="s">
        <v>2123</v>
      </c>
      <c r="AM63" t="s">
        <v>2123</v>
      </c>
      <c r="AN63" t="s">
        <v>2122</v>
      </c>
      <c r="AO63" t="s">
        <v>2123</v>
      </c>
      <c r="AP63" t="s">
        <v>2123</v>
      </c>
      <c r="AQ63" t="s">
        <v>2122</v>
      </c>
    </row>
    <row r="64" spans="2:43" x14ac:dyDescent="0.2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2197</v>
      </c>
      <c r="AA64" t="s">
        <v>2131</v>
      </c>
      <c r="AB64" t="s">
        <v>2123</v>
      </c>
      <c r="AC64" t="s">
        <v>2122</v>
      </c>
      <c r="AD64" t="s">
        <v>2122</v>
      </c>
      <c r="AE64" t="s">
        <v>2123</v>
      </c>
      <c r="AF64" t="s">
        <v>2122</v>
      </c>
      <c r="AG64" t="s">
        <v>2123</v>
      </c>
      <c r="AH64" t="s">
        <v>2122</v>
      </c>
      <c r="AI64" t="s">
        <v>2123</v>
      </c>
      <c r="AJ64" t="s">
        <v>2122</v>
      </c>
      <c r="AK64" t="s">
        <v>2122</v>
      </c>
      <c r="AL64" t="s">
        <v>2123</v>
      </c>
      <c r="AM64" t="s">
        <v>2122</v>
      </c>
      <c r="AN64" t="s">
        <v>2123</v>
      </c>
      <c r="AO64" t="s">
        <v>2123</v>
      </c>
      <c r="AP64" t="s">
        <v>2122</v>
      </c>
      <c r="AQ64" t="s">
        <v>2123</v>
      </c>
    </row>
    <row r="65" spans="2:43" x14ac:dyDescent="0.2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2198</v>
      </c>
      <c r="AA65" t="s">
        <v>2189</v>
      </c>
      <c r="AB65" t="s">
        <v>2122</v>
      </c>
      <c r="AC65" t="s">
        <v>2122</v>
      </c>
      <c r="AD65" t="s">
        <v>2123</v>
      </c>
      <c r="AE65" t="s">
        <v>2122</v>
      </c>
      <c r="AF65" t="s">
        <v>2123</v>
      </c>
      <c r="AG65" t="s">
        <v>2123</v>
      </c>
      <c r="AH65" t="s">
        <v>2122</v>
      </c>
      <c r="AI65" t="s">
        <v>2122</v>
      </c>
      <c r="AJ65" t="s">
        <v>2123</v>
      </c>
      <c r="AK65" t="s">
        <v>2123</v>
      </c>
      <c r="AL65" t="s">
        <v>2123</v>
      </c>
      <c r="AM65" t="s">
        <v>2123</v>
      </c>
      <c r="AN65" t="s">
        <v>2122</v>
      </c>
      <c r="AO65" t="s">
        <v>2122</v>
      </c>
      <c r="AP65" t="s">
        <v>2122</v>
      </c>
      <c r="AQ65" t="s">
        <v>2123</v>
      </c>
    </row>
    <row r="66" spans="2:43" x14ac:dyDescent="0.2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2199</v>
      </c>
      <c r="AA66" t="s">
        <v>453</v>
      </c>
      <c r="AB66" t="s">
        <v>2123</v>
      </c>
      <c r="AC66" t="s">
        <v>2122</v>
      </c>
      <c r="AD66" t="s">
        <v>2122</v>
      </c>
      <c r="AE66" t="s">
        <v>2123</v>
      </c>
      <c r="AF66" t="s">
        <v>2122</v>
      </c>
      <c r="AG66" t="s">
        <v>2123</v>
      </c>
      <c r="AH66" t="s">
        <v>2122</v>
      </c>
      <c r="AI66" t="s">
        <v>2123</v>
      </c>
      <c r="AJ66" t="s">
        <v>2122</v>
      </c>
      <c r="AK66" t="s">
        <v>2122</v>
      </c>
      <c r="AL66" t="s">
        <v>2122</v>
      </c>
      <c r="AM66" t="s">
        <v>2122</v>
      </c>
      <c r="AN66" t="s">
        <v>2123</v>
      </c>
      <c r="AO66" t="s">
        <v>2123</v>
      </c>
      <c r="AP66" t="s">
        <v>2122</v>
      </c>
      <c r="AQ66" t="s">
        <v>2123</v>
      </c>
    </row>
    <row r="67" spans="2:43" x14ac:dyDescent="0.2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2200</v>
      </c>
      <c r="AA67" t="s">
        <v>2121</v>
      </c>
      <c r="AB67" t="s">
        <v>2122</v>
      </c>
      <c r="AC67" t="s">
        <v>2122</v>
      </c>
      <c r="AD67" t="s">
        <v>2123</v>
      </c>
      <c r="AE67" t="s">
        <v>2122</v>
      </c>
      <c r="AF67" t="s">
        <v>2123</v>
      </c>
      <c r="AG67" t="s">
        <v>2123</v>
      </c>
      <c r="AH67" t="s">
        <v>2122</v>
      </c>
      <c r="AI67" t="s">
        <v>2122</v>
      </c>
      <c r="AJ67" t="s">
        <v>2123</v>
      </c>
      <c r="AK67" t="s">
        <v>2123</v>
      </c>
      <c r="AL67" t="s">
        <v>2123</v>
      </c>
      <c r="AM67" t="s">
        <v>2123</v>
      </c>
      <c r="AN67" t="s">
        <v>2122</v>
      </c>
      <c r="AO67" t="s">
        <v>2122</v>
      </c>
      <c r="AP67" t="s">
        <v>2123</v>
      </c>
      <c r="AQ67" t="s">
        <v>2122</v>
      </c>
    </row>
    <row r="68" spans="2:43" x14ac:dyDescent="0.2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2201</v>
      </c>
      <c r="AA68" t="s">
        <v>2136</v>
      </c>
      <c r="AB68" t="s">
        <v>2123</v>
      </c>
      <c r="AC68" t="s">
        <v>2122</v>
      </c>
      <c r="AD68" t="s">
        <v>2122</v>
      </c>
      <c r="AE68" t="s">
        <v>2123</v>
      </c>
      <c r="AF68" t="s">
        <v>2122</v>
      </c>
      <c r="AG68" t="s">
        <v>2123</v>
      </c>
      <c r="AH68" t="s">
        <v>2123</v>
      </c>
      <c r="AI68" t="s">
        <v>2122</v>
      </c>
      <c r="AJ68" t="s">
        <v>2122</v>
      </c>
      <c r="AK68" t="s">
        <v>2123</v>
      </c>
      <c r="AL68" t="s">
        <v>2123</v>
      </c>
      <c r="AM68" t="s">
        <v>2123</v>
      </c>
      <c r="AN68" t="s">
        <v>2122</v>
      </c>
      <c r="AO68" t="s">
        <v>2122</v>
      </c>
      <c r="AP68" t="s">
        <v>2123</v>
      </c>
      <c r="AQ68" t="s">
        <v>2122</v>
      </c>
    </row>
    <row r="69" spans="2:43" x14ac:dyDescent="0.2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2202</v>
      </c>
      <c r="AA69" t="s">
        <v>2126</v>
      </c>
      <c r="AB69" t="s">
        <v>2122</v>
      </c>
      <c r="AC69" t="s">
        <v>2123</v>
      </c>
      <c r="AD69" t="s">
        <v>2122</v>
      </c>
      <c r="AE69" t="s">
        <v>2123</v>
      </c>
      <c r="AF69" t="s">
        <v>2123</v>
      </c>
      <c r="AG69" t="s">
        <v>2122</v>
      </c>
      <c r="AH69" t="s">
        <v>2122</v>
      </c>
      <c r="AI69" t="s">
        <v>2122</v>
      </c>
      <c r="AJ69" t="s">
        <v>2123</v>
      </c>
      <c r="AK69" t="s">
        <v>2123</v>
      </c>
      <c r="AL69" t="s">
        <v>2123</v>
      </c>
      <c r="AM69" t="s">
        <v>2123</v>
      </c>
      <c r="AN69" t="s">
        <v>2122</v>
      </c>
      <c r="AO69" t="s">
        <v>2122</v>
      </c>
      <c r="AP69" t="s">
        <v>2123</v>
      </c>
      <c r="AQ69" t="s">
        <v>2122</v>
      </c>
    </row>
    <row r="70" spans="2:43" x14ac:dyDescent="0.2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2203</v>
      </c>
      <c r="AA70" t="s">
        <v>2189</v>
      </c>
      <c r="AB70" t="s">
        <v>2122</v>
      </c>
      <c r="AC70" t="s">
        <v>2122</v>
      </c>
      <c r="AD70" t="s">
        <v>2123</v>
      </c>
      <c r="AE70" t="s">
        <v>2122</v>
      </c>
      <c r="AF70" t="s">
        <v>2123</v>
      </c>
      <c r="AG70" t="s">
        <v>2123</v>
      </c>
      <c r="AH70" t="s">
        <v>2122</v>
      </c>
      <c r="AI70" t="s">
        <v>2122</v>
      </c>
      <c r="AJ70" t="s">
        <v>2123</v>
      </c>
      <c r="AK70" t="s">
        <v>2123</v>
      </c>
      <c r="AL70" t="s">
        <v>2123</v>
      </c>
      <c r="AM70" t="s">
        <v>2123</v>
      </c>
      <c r="AN70" t="s">
        <v>2122</v>
      </c>
      <c r="AO70" t="s">
        <v>2122</v>
      </c>
      <c r="AP70" t="s">
        <v>2122</v>
      </c>
      <c r="AQ70" t="s">
        <v>2123</v>
      </c>
    </row>
    <row r="71" spans="2:43" x14ac:dyDescent="0.2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2204</v>
      </c>
      <c r="AA71" t="s">
        <v>2168</v>
      </c>
      <c r="AB71" t="s">
        <v>2123</v>
      </c>
      <c r="AC71" t="s">
        <v>2122</v>
      </c>
      <c r="AD71" t="s">
        <v>2122</v>
      </c>
      <c r="AE71" t="s">
        <v>2123</v>
      </c>
      <c r="AF71" t="s">
        <v>2122</v>
      </c>
      <c r="AG71" t="s">
        <v>2123</v>
      </c>
      <c r="AH71" t="s">
        <v>2123</v>
      </c>
      <c r="AI71" t="s">
        <v>2122</v>
      </c>
      <c r="AJ71" t="s">
        <v>2122</v>
      </c>
      <c r="AK71" t="s">
        <v>2123</v>
      </c>
      <c r="AL71" t="s">
        <v>2123</v>
      </c>
      <c r="AM71" t="s">
        <v>2123</v>
      </c>
      <c r="AN71" t="s">
        <v>2122</v>
      </c>
      <c r="AO71" t="s">
        <v>2123</v>
      </c>
      <c r="AP71" t="s">
        <v>2122</v>
      </c>
      <c r="AQ71" t="s">
        <v>2123</v>
      </c>
    </row>
    <row r="72" spans="2:43" x14ac:dyDescent="0.2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2205</v>
      </c>
      <c r="AA72" t="s">
        <v>2206</v>
      </c>
      <c r="AB72" t="s">
        <v>2122</v>
      </c>
      <c r="AC72" t="s">
        <v>2122</v>
      </c>
      <c r="AD72" t="s">
        <v>2123</v>
      </c>
      <c r="AE72" t="s">
        <v>2122</v>
      </c>
      <c r="AF72" t="s">
        <v>2123</v>
      </c>
      <c r="AG72" t="s">
        <v>2123</v>
      </c>
      <c r="AH72" t="s">
        <v>2122</v>
      </c>
      <c r="AI72" t="s">
        <v>2122</v>
      </c>
      <c r="AJ72" t="s">
        <v>2123</v>
      </c>
      <c r="AK72" t="s">
        <v>2123</v>
      </c>
      <c r="AL72" t="s">
        <v>2123</v>
      </c>
      <c r="AM72" t="s">
        <v>2123</v>
      </c>
      <c r="AN72" t="s">
        <v>2122</v>
      </c>
      <c r="AO72" t="s">
        <v>2122</v>
      </c>
      <c r="AP72" t="s">
        <v>2123</v>
      </c>
      <c r="AQ72" t="s">
        <v>2122</v>
      </c>
    </row>
    <row r="73" spans="2:43" x14ac:dyDescent="0.2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2207</v>
      </c>
      <c r="AA73" t="s">
        <v>459</v>
      </c>
      <c r="AB73" t="s">
        <v>2122</v>
      </c>
      <c r="AC73" t="s">
        <v>2123</v>
      </c>
      <c r="AD73" t="s">
        <v>2122</v>
      </c>
      <c r="AE73" t="s">
        <v>2123</v>
      </c>
      <c r="AF73" t="s">
        <v>2123</v>
      </c>
      <c r="AG73" t="s">
        <v>2122</v>
      </c>
      <c r="AH73" t="s">
        <v>2122</v>
      </c>
      <c r="AI73" t="s">
        <v>2122</v>
      </c>
      <c r="AJ73" t="s">
        <v>2123</v>
      </c>
      <c r="AK73" t="s">
        <v>2123</v>
      </c>
      <c r="AL73" t="s">
        <v>2123</v>
      </c>
      <c r="AM73" t="s">
        <v>2122</v>
      </c>
      <c r="AN73" t="s">
        <v>2123</v>
      </c>
      <c r="AO73" t="s">
        <v>2123</v>
      </c>
      <c r="AP73" t="s">
        <v>2123</v>
      </c>
      <c r="AQ73" t="s">
        <v>2122</v>
      </c>
    </row>
    <row r="74" spans="2:43" x14ac:dyDescent="0.2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2208</v>
      </c>
      <c r="AA74" t="s">
        <v>462</v>
      </c>
      <c r="AB74" t="s">
        <v>2123</v>
      </c>
      <c r="AC74" t="s">
        <v>2122</v>
      </c>
      <c r="AD74" t="s">
        <v>2122</v>
      </c>
      <c r="AE74" t="s">
        <v>2123</v>
      </c>
      <c r="AF74" t="s">
        <v>2122</v>
      </c>
      <c r="AG74" t="s">
        <v>2123</v>
      </c>
      <c r="AH74" t="s">
        <v>2122</v>
      </c>
      <c r="AI74" t="s">
        <v>2123</v>
      </c>
      <c r="AJ74" t="s">
        <v>2122</v>
      </c>
      <c r="AK74" t="s">
        <v>2123</v>
      </c>
      <c r="AL74" t="s">
        <v>2123</v>
      </c>
      <c r="AM74" t="s">
        <v>2123</v>
      </c>
      <c r="AN74" t="s">
        <v>2122</v>
      </c>
      <c r="AO74" t="s">
        <v>2123</v>
      </c>
      <c r="AP74" t="s">
        <v>2123</v>
      </c>
      <c r="AQ74" t="s">
        <v>2122</v>
      </c>
    </row>
    <row r="75" spans="2:43" x14ac:dyDescent="0.2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2209</v>
      </c>
      <c r="AA75" t="s">
        <v>462</v>
      </c>
      <c r="AB75" t="s">
        <v>2123</v>
      </c>
      <c r="AC75" t="s">
        <v>2122</v>
      </c>
      <c r="AD75" t="s">
        <v>2122</v>
      </c>
      <c r="AE75" t="s">
        <v>2123</v>
      </c>
      <c r="AF75" t="s">
        <v>2122</v>
      </c>
      <c r="AG75" t="s">
        <v>2123</v>
      </c>
      <c r="AH75" t="s">
        <v>2123</v>
      </c>
      <c r="AI75" t="s">
        <v>2122</v>
      </c>
      <c r="AJ75" t="s">
        <v>2122</v>
      </c>
      <c r="AK75" t="s">
        <v>2123</v>
      </c>
      <c r="AL75" t="s">
        <v>2123</v>
      </c>
      <c r="AM75" t="s">
        <v>2123</v>
      </c>
      <c r="AN75" t="s">
        <v>2122</v>
      </c>
      <c r="AO75" t="s">
        <v>2123</v>
      </c>
      <c r="AP75" t="s">
        <v>2123</v>
      </c>
      <c r="AQ75" t="s">
        <v>2122</v>
      </c>
    </row>
    <row r="76" spans="2:43" x14ac:dyDescent="0.2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2210</v>
      </c>
      <c r="AA76" t="s">
        <v>461</v>
      </c>
      <c r="AB76" t="s">
        <v>2122</v>
      </c>
      <c r="AC76" t="s">
        <v>2122</v>
      </c>
      <c r="AD76" t="s">
        <v>2123</v>
      </c>
      <c r="AE76" t="s">
        <v>2122</v>
      </c>
      <c r="AF76" t="s">
        <v>2123</v>
      </c>
      <c r="AG76" t="s">
        <v>2123</v>
      </c>
      <c r="AH76" t="s">
        <v>2123</v>
      </c>
      <c r="AI76" t="s">
        <v>2122</v>
      </c>
      <c r="AJ76" t="s">
        <v>2122</v>
      </c>
      <c r="AK76" t="s">
        <v>2123</v>
      </c>
      <c r="AL76" t="s">
        <v>2123</v>
      </c>
      <c r="AM76" t="s">
        <v>2123</v>
      </c>
      <c r="AN76" t="s">
        <v>2122</v>
      </c>
      <c r="AO76" t="s">
        <v>2122</v>
      </c>
      <c r="AP76" t="s">
        <v>2123</v>
      </c>
      <c r="AQ76" t="s">
        <v>2122</v>
      </c>
    </row>
    <row r="77" spans="2:43" x14ac:dyDescent="0.2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2211</v>
      </c>
      <c r="AA77" t="s">
        <v>447</v>
      </c>
      <c r="AB77" t="s">
        <v>2122</v>
      </c>
      <c r="AC77" t="s">
        <v>2123</v>
      </c>
      <c r="AD77" t="s">
        <v>2122</v>
      </c>
      <c r="AE77" t="s">
        <v>2123</v>
      </c>
      <c r="AF77" t="s">
        <v>2123</v>
      </c>
      <c r="AG77" t="s">
        <v>2122</v>
      </c>
      <c r="AH77" t="s">
        <v>2122</v>
      </c>
      <c r="AI77" t="s">
        <v>2123</v>
      </c>
      <c r="AJ77" t="s">
        <v>2122</v>
      </c>
      <c r="AK77" t="s">
        <v>2122</v>
      </c>
      <c r="AL77" t="s">
        <v>2122</v>
      </c>
      <c r="AM77" t="s">
        <v>2122</v>
      </c>
      <c r="AN77" t="s">
        <v>2123</v>
      </c>
      <c r="AO77" t="s">
        <v>2123</v>
      </c>
      <c r="AP77" t="s">
        <v>2122</v>
      </c>
      <c r="AQ77" t="s">
        <v>2123</v>
      </c>
    </row>
    <row r="78" spans="2:43" x14ac:dyDescent="0.2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2212</v>
      </c>
      <c r="AA78" t="s">
        <v>2168</v>
      </c>
      <c r="AB78" t="s">
        <v>2123</v>
      </c>
      <c r="AC78" t="s">
        <v>2122</v>
      </c>
      <c r="AD78" t="s">
        <v>2122</v>
      </c>
      <c r="AE78" t="s">
        <v>2123</v>
      </c>
      <c r="AF78" t="s">
        <v>2122</v>
      </c>
      <c r="AG78" t="s">
        <v>2123</v>
      </c>
      <c r="AH78" t="s">
        <v>2123</v>
      </c>
      <c r="AI78" t="s">
        <v>2122</v>
      </c>
      <c r="AJ78" t="s">
        <v>2122</v>
      </c>
      <c r="AK78" t="s">
        <v>2123</v>
      </c>
      <c r="AL78" t="s">
        <v>2123</v>
      </c>
      <c r="AM78" t="s">
        <v>2123</v>
      </c>
      <c r="AN78" t="s">
        <v>2122</v>
      </c>
      <c r="AO78" t="s">
        <v>2123</v>
      </c>
      <c r="AP78" t="s">
        <v>2122</v>
      </c>
      <c r="AQ78" t="s">
        <v>2123</v>
      </c>
    </row>
    <row r="79" spans="2:43" x14ac:dyDescent="0.2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2213</v>
      </c>
      <c r="AA79" t="s">
        <v>462</v>
      </c>
      <c r="AB79" t="s">
        <v>2123</v>
      </c>
      <c r="AC79" t="s">
        <v>2122</v>
      </c>
      <c r="AD79" t="s">
        <v>2122</v>
      </c>
      <c r="AE79" t="s">
        <v>2123</v>
      </c>
      <c r="AF79" t="s">
        <v>2122</v>
      </c>
      <c r="AG79" t="s">
        <v>2123</v>
      </c>
      <c r="AH79" t="s">
        <v>2122</v>
      </c>
      <c r="AI79" t="s">
        <v>2123</v>
      </c>
      <c r="AJ79" t="s">
        <v>2122</v>
      </c>
      <c r="AK79" t="s">
        <v>2123</v>
      </c>
      <c r="AL79" t="s">
        <v>2123</v>
      </c>
      <c r="AM79" t="s">
        <v>2123</v>
      </c>
      <c r="AN79" t="s">
        <v>2122</v>
      </c>
      <c r="AO79" t="s">
        <v>2123</v>
      </c>
      <c r="AP79" t="s">
        <v>2123</v>
      </c>
      <c r="AQ79" t="s">
        <v>2122</v>
      </c>
    </row>
    <row r="80" spans="2:43" x14ac:dyDescent="0.2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2214</v>
      </c>
      <c r="AA80" t="s">
        <v>456</v>
      </c>
      <c r="AB80" t="s">
        <v>2122</v>
      </c>
      <c r="AC80" t="s">
        <v>2122</v>
      </c>
      <c r="AD80" t="s">
        <v>2123</v>
      </c>
      <c r="AE80" t="s">
        <v>2122</v>
      </c>
      <c r="AF80" t="s">
        <v>2123</v>
      </c>
      <c r="AG80" t="s">
        <v>2123</v>
      </c>
      <c r="AH80" t="s">
        <v>2122</v>
      </c>
      <c r="AI80" t="s">
        <v>2123</v>
      </c>
      <c r="AJ80" t="s">
        <v>2122</v>
      </c>
      <c r="AK80" t="s">
        <v>2122</v>
      </c>
      <c r="AL80" t="s">
        <v>2122</v>
      </c>
      <c r="AM80" t="s">
        <v>2122</v>
      </c>
      <c r="AN80" t="s">
        <v>2123</v>
      </c>
      <c r="AO80" t="s">
        <v>2123</v>
      </c>
      <c r="AP80" t="s">
        <v>2122</v>
      </c>
      <c r="AQ80" t="s">
        <v>2123</v>
      </c>
    </row>
    <row r="81" spans="2:43" x14ac:dyDescent="0.2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2215</v>
      </c>
      <c r="AA81" t="s">
        <v>459</v>
      </c>
      <c r="AB81" t="s">
        <v>2122</v>
      </c>
      <c r="AC81" t="s">
        <v>2123</v>
      </c>
      <c r="AD81" t="s">
        <v>2122</v>
      </c>
      <c r="AE81" t="s">
        <v>2123</v>
      </c>
      <c r="AF81" t="s">
        <v>2123</v>
      </c>
      <c r="AG81" t="s">
        <v>2122</v>
      </c>
      <c r="AH81" t="s">
        <v>2123</v>
      </c>
      <c r="AI81" t="s">
        <v>2122</v>
      </c>
      <c r="AJ81" t="s">
        <v>2122</v>
      </c>
      <c r="AK81" t="s">
        <v>2123</v>
      </c>
      <c r="AL81" t="s">
        <v>2123</v>
      </c>
      <c r="AM81" t="s">
        <v>2122</v>
      </c>
      <c r="AN81" t="s">
        <v>2123</v>
      </c>
      <c r="AO81" t="s">
        <v>2123</v>
      </c>
      <c r="AP81" t="s">
        <v>2123</v>
      </c>
      <c r="AQ81" t="s">
        <v>2122</v>
      </c>
    </row>
    <row r="82" spans="2:43" x14ac:dyDescent="0.2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2216</v>
      </c>
      <c r="AA82" t="s">
        <v>2163</v>
      </c>
      <c r="AB82" t="s">
        <v>2123</v>
      </c>
      <c r="AC82" t="s">
        <v>2122</v>
      </c>
      <c r="AD82" t="s">
        <v>2122</v>
      </c>
      <c r="AE82" t="s">
        <v>2123</v>
      </c>
      <c r="AF82" t="s">
        <v>2122</v>
      </c>
      <c r="AG82" t="s">
        <v>2123</v>
      </c>
      <c r="AH82" t="s">
        <v>2123</v>
      </c>
      <c r="AI82" t="s">
        <v>2122</v>
      </c>
      <c r="AJ82" t="s">
        <v>2122</v>
      </c>
      <c r="AK82" t="s">
        <v>2123</v>
      </c>
      <c r="AL82" t="s">
        <v>2123</v>
      </c>
      <c r="AM82" t="s">
        <v>2123</v>
      </c>
      <c r="AN82" t="s">
        <v>2122</v>
      </c>
      <c r="AO82" t="s">
        <v>2122</v>
      </c>
      <c r="AP82" t="s">
        <v>2123</v>
      </c>
      <c r="AQ82" t="s">
        <v>2122</v>
      </c>
    </row>
    <row r="83" spans="2:43" x14ac:dyDescent="0.2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2217</v>
      </c>
      <c r="AA83" t="s">
        <v>459</v>
      </c>
      <c r="AB83" t="s">
        <v>2122</v>
      </c>
      <c r="AC83" t="s">
        <v>2123</v>
      </c>
      <c r="AD83" t="s">
        <v>2122</v>
      </c>
      <c r="AE83" t="s">
        <v>2123</v>
      </c>
      <c r="AF83" t="s">
        <v>2123</v>
      </c>
      <c r="AG83" t="s">
        <v>2122</v>
      </c>
      <c r="AH83" t="s">
        <v>2122</v>
      </c>
      <c r="AI83" t="s">
        <v>2123</v>
      </c>
      <c r="AJ83" t="s">
        <v>2122</v>
      </c>
      <c r="AK83" t="s">
        <v>2123</v>
      </c>
      <c r="AL83" t="s">
        <v>2123</v>
      </c>
      <c r="AM83" t="s">
        <v>2122</v>
      </c>
      <c r="AN83" t="s">
        <v>2123</v>
      </c>
      <c r="AO83" t="s">
        <v>2123</v>
      </c>
      <c r="AP83" t="s">
        <v>2123</v>
      </c>
      <c r="AQ83" t="s">
        <v>2122</v>
      </c>
    </row>
    <row r="84" spans="2:43" x14ac:dyDescent="0.2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2255</v>
      </c>
      <c r="Y84" t="s">
        <v>124</v>
      </c>
      <c r="Z84" t="s">
        <v>2723</v>
      </c>
      <c r="AA84" t="s">
        <v>2177</v>
      </c>
      <c r="AB84" t="s">
        <v>2123</v>
      </c>
      <c r="AC84" t="s">
        <v>2122</v>
      </c>
      <c r="AD84" t="s">
        <v>2122</v>
      </c>
      <c r="AE84" t="s">
        <v>2123</v>
      </c>
      <c r="AF84" t="s">
        <v>2122</v>
      </c>
      <c r="AG84" t="s">
        <v>2123</v>
      </c>
      <c r="AH84" t="s">
        <v>2123</v>
      </c>
      <c r="AI84" t="s">
        <v>2122</v>
      </c>
      <c r="AJ84" t="s">
        <v>2122</v>
      </c>
      <c r="AK84" t="s">
        <v>2123</v>
      </c>
      <c r="AL84" t="s">
        <v>2123</v>
      </c>
      <c r="AM84" t="s">
        <v>2123</v>
      </c>
      <c r="AN84" t="s">
        <v>2122</v>
      </c>
      <c r="AO84" t="s">
        <v>2122</v>
      </c>
      <c r="AP84" t="s">
        <v>2122</v>
      </c>
      <c r="AQ84" t="s">
        <v>2123</v>
      </c>
    </row>
    <row r="85" spans="2:43" x14ac:dyDescent="0.2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2257</v>
      </c>
      <c r="Y85" t="s">
        <v>126</v>
      </c>
      <c r="Z85" t="s">
        <v>2724</v>
      </c>
      <c r="AA85" t="s">
        <v>447</v>
      </c>
      <c r="AB85" t="s">
        <v>2122</v>
      </c>
      <c r="AC85" t="s">
        <v>2123</v>
      </c>
      <c r="AD85" t="s">
        <v>2122</v>
      </c>
      <c r="AE85" t="s">
        <v>2123</v>
      </c>
      <c r="AF85" t="s">
        <v>2123</v>
      </c>
      <c r="AG85" t="s">
        <v>2122</v>
      </c>
      <c r="AH85" t="s">
        <v>2122</v>
      </c>
      <c r="AI85" t="s">
        <v>2123</v>
      </c>
      <c r="AJ85" t="s">
        <v>2122</v>
      </c>
      <c r="AK85" t="s">
        <v>2122</v>
      </c>
      <c r="AL85" t="s">
        <v>2122</v>
      </c>
      <c r="AM85" t="s">
        <v>2122</v>
      </c>
      <c r="AN85" t="s">
        <v>2123</v>
      </c>
      <c r="AO85" t="s">
        <v>2123</v>
      </c>
      <c r="AP85" t="s">
        <v>2122</v>
      </c>
      <c r="AQ85" t="s">
        <v>2123</v>
      </c>
    </row>
    <row r="86" spans="2:43" x14ac:dyDescent="0.2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2258</v>
      </c>
      <c r="Z86" t="s">
        <v>2725</v>
      </c>
      <c r="AA86" t="s">
        <v>447</v>
      </c>
      <c r="AB86" t="s">
        <v>2122</v>
      </c>
      <c r="AC86" t="s">
        <v>2123</v>
      </c>
      <c r="AD86" t="s">
        <v>2122</v>
      </c>
      <c r="AE86" t="s">
        <v>2123</v>
      </c>
      <c r="AF86" t="s">
        <v>2123</v>
      </c>
      <c r="AG86" t="s">
        <v>2122</v>
      </c>
      <c r="AH86" t="s">
        <v>2122</v>
      </c>
      <c r="AI86" t="s">
        <v>2123</v>
      </c>
      <c r="AJ86" t="s">
        <v>2122</v>
      </c>
      <c r="AK86" t="s">
        <v>2122</v>
      </c>
      <c r="AL86" t="s">
        <v>2122</v>
      </c>
      <c r="AM86" t="s">
        <v>2122</v>
      </c>
      <c r="AN86" t="s">
        <v>2123</v>
      </c>
      <c r="AO86" t="s">
        <v>2123</v>
      </c>
      <c r="AP86" t="s">
        <v>2122</v>
      </c>
      <c r="AQ86" t="s">
        <v>2123</v>
      </c>
    </row>
    <row r="87" spans="2:43" x14ac:dyDescent="0.2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2726</v>
      </c>
      <c r="AA87" t="s">
        <v>2175</v>
      </c>
      <c r="AB87" t="s">
        <v>2123</v>
      </c>
      <c r="AC87" t="s">
        <v>2122</v>
      </c>
      <c r="AD87" t="s">
        <v>2122</v>
      </c>
      <c r="AE87" t="s">
        <v>2123</v>
      </c>
      <c r="AF87" t="s">
        <v>2122</v>
      </c>
      <c r="AG87" t="s">
        <v>2123</v>
      </c>
      <c r="AH87" t="s">
        <v>2123</v>
      </c>
      <c r="AI87" t="s">
        <v>2122</v>
      </c>
      <c r="AJ87" t="s">
        <v>2122</v>
      </c>
      <c r="AK87" t="s">
        <v>2123</v>
      </c>
      <c r="AL87" t="s">
        <v>2123</v>
      </c>
      <c r="AM87" t="s">
        <v>2123</v>
      </c>
      <c r="AN87" t="s">
        <v>2122</v>
      </c>
      <c r="AO87" t="s">
        <v>2122</v>
      </c>
      <c r="AP87" t="s">
        <v>2123</v>
      </c>
      <c r="AQ87" t="s">
        <v>2122</v>
      </c>
    </row>
    <row r="88" spans="2:43" x14ac:dyDescent="0.2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2259</v>
      </c>
      <c r="Z88" t="s">
        <v>2727</v>
      </c>
      <c r="AA88" t="s">
        <v>460</v>
      </c>
      <c r="AB88" t="s">
        <v>2122</v>
      </c>
      <c r="AC88" t="s">
        <v>2122</v>
      </c>
      <c r="AD88" t="s">
        <v>2123</v>
      </c>
      <c r="AE88" t="s">
        <v>2122</v>
      </c>
      <c r="AF88" t="s">
        <v>2123</v>
      </c>
      <c r="AG88" t="s">
        <v>2123</v>
      </c>
      <c r="AH88" t="s">
        <v>2122</v>
      </c>
      <c r="AI88" t="s">
        <v>2123</v>
      </c>
      <c r="AJ88" t="s">
        <v>2122</v>
      </c>
      <c r="AK88" t="s">
        <v>2122</v>
      </c>
      <c r="AL88" t="s">
        <v>2123</v>
      </c>
      <c r="AM88" t="s">
        <v>2123</v>
      </c>
      <c r="AN88" t="s">
        <v>2122</v>
      </c>
      <c r="AO88" t="s">
        <v>2123</v>
      </c>
      <c r="AP88" t="s">
        <v>2123</v>
      </c>
      <c r="AQ88" t="s">
        <v>2122</v>
      </c>
    </row>
    <row r="89" spans="2:43" x14ac:dyDescent="0.2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2728</v>
      </c>
      <c r="AA89" t="s">
        <v>453</v>
      </c>
      <c r="AB89" t="s">
        <v>2123</v>
      </c>
      <c r="AC89" t="s">
        <v>2122</v>
      </c>
      <c r="AD89" t="s">
        <v>2122</v>
      </c>
      <c r="AE89" t="s">
        <v>2123</v>
      </c>
      <c r="AF89" t="s">
        <v>2122</v>
      </c>
      <c r="AG89" t="s">
        <v>2123</v>
      </c>
      <c r="AH89" t="s">
        <v>2123</v>
      </c>
      <c r="AI89" t="s">
        <v>2122</v>
      </c>
      <c r="AJ89" t="s">
        <v>2122</v>
      </c>
      <c r="AK89" t="s">
        <v>2123</v>
      </c>
      <c r="AL89" t="s">
        <v>2122</v>
      </c>
      <c r="AM89" t="s">
        <v>2122</v>
      </c>
      <c r="AN89" t="s">
        <v>2123</v>
      </c>
      <c r="AO89" t="s">
        <v>2123</v>
      </c>
      <c r="AP89" t="s">
        <v>2122</v>
      </c>
      <c r="AQ89" t="s">
        <v>2123</v>
      </c>
    </row>
    <row r="90" spans="2:43" x14ac:dyDescent="0.2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2593</v>
      </c>
      <c r="Y90" t="s">
        <v>136</v>
      </c>
      <c r="Z90" t="s">
        <v>2729</v>
      </c>
      <c r="AA90" t="s">
        <v>459</v>
      </c>
      <c r="AB90" t="s">
        <v>2122</v>
      </c>
      <c r="AC90" t="s">
        <v>2123</v>
      </c>
      <c r="AD90" t="s">
        <v>2122</v>
      </c>
      <c r="AE90" t="s">
        <v>2123</v>
      </c>
      <c r="AF90" t="s">
        <v>2123</v>
      </c>
      <c r="AG90" t="s">
        <v>2122</v>
      </c>
      <c r="AH90" t="s">
        <v>2122</v>
      </c>
      <c r="AI90" t="s">
        <v>2123</v>
      </c>
      <c r="AJ90" t="s">
        <v>2122</v>
      </c>
      <c r="AK90" t="s">
        <v>2122</v>
      </c>
      <c r="AL90" t="s">
        <v>2123</v>
      </c>
      <c r="AM90" t="s">
        <v>2122</v>
      </c>
      <c r="AN90" t="s">
        <v>2123</v>
      </c>
      <c r="AO90" t="s">
        <v>2123</v>
      </c>
      <c r="AP90" t="s">
        <v>2123</v>
      </c>
      <c r="AQ90" t="s">
        <v>2122</v>
      </c>
    </row>
    <row r="91" spans="2:43" x14ac:dyDescent="0.2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2594</v>
      </c>
      <c r="Y91" t="s">
        <v>138</v>
      </c>
      <c r="Z91" t="s">
        <v>2730</v>
      </c>
      <c r="AA91" t="s">
        <v>2182</v>
      </c>
      <c r="AB91" t="s">
        <v>2123</v>
      </c>
      <c r="AC91" t="s">
        <v>2122</v>
      </c>
      <c r="AD91" t="s">
        <v>2122</v>
      </c>
      <c r="AE91" t="s">
        <v>2123</v>
      </c>
      <c r="AF91" t="s">
        <v>2122</v>
      </c>
      <c r="AG91" t="s">
        <v>2123</v>
      </c>
      <c r="AH91" t="s">
        <v>2122</v>
      </c>
      <c r="AI91" t="s">
        <v>2123</v>
      </c>
      <c r="AJ91" t="s">
        <v>2122</v>
      </c>
      <c r="AK91" t="s">
        <v>2123</v>
      </c>
      <c r="AL91" t="s">
        <v>2123</v>
      </c>
      <c r="AM91" t="s">
        <v>2123</v>
      </c>
      <c r="AN91" t="s">
        <v>2122</v>
      </c>
      <c r="AO91" t="s">
        <v>2122</v>
      </c>
      <c r="AP91" t="s">
        <v>2123</v>
      </c>
      <c r="AQ91" t="s">
        <v>2122</v>
      </c>
    </row>
    <row r="92" spans="2:43" x14ac:dyDescent="0.2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2731</v>
      </c>
      <c r="AA92" t="s">
        <v>2131</v>
      </c>
      <c r="AB92" t="s">
        <v>2123</v>
      </c>
      <c r="AC92" t="s">
        <v>2122</v>
      </c>
      <c r="AD92" t="s">
        <v>2122</v>
      </c>
      <c r="AE92" t="s">
        <v>2123</v>
      </c>
      <c r="AF92" t="s">
        <v>2122</v>
      </c>
      <c r="AG92" t="s">
        <v>2123</v>
      </c>
      <c r="AH92" t="s">
        <v>2123</v>
      </c>
      <c r="AI92" t="s">
        <v>2122</v>
      </c>
      <c r="AJ92" t="s">
        <v>2122</v>
      </c>
      <c r="AK92" t="s">
        <v>2123</v>
      </c>
      <c r="AL92" t="s">
        <v>2123</v>
      </c>
      <c r="AM92" t="s">
        <v>2122</v>
      </c>
      <c r="AN92" t="s">
        <v>2123</v>
      </c>
      <c r="AO92" t="s">
        <v>2123</v>
      </c>
      <c r="AP92" t="s">
        <v>2122</v>
      </c>
      <c r="AQ92" t="s">
        <v>2123</v>
      </c>
    </row>
    <row r="93" spans="2:43" x14ac:dyDescent="0.2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2503</v>
      </c>
      <c r="Z93" t="s">
        <v>2732</v>
      </c>
      <c r="AA93" t="s">
        <v>460</v>
      </c>
      <c r="AB93" t="s">
        <v>2122</v>
      </c>
      <c r="AC93" t="s">
        <v>2122</v>
      </c>
      <c r="AD93" t="s">
        <v>2123</v>
      </c>
      <c r="AE93" t="s">
        <v>2122</v>
      </c>
      <c r="AF93" t="s">
        <v>2123</v>
      </c>
      <c r="AG93" t="s">
        <v>2123</v>
      </c>
      <c r="AH93" t="s">
        <v>2122</v>
      </c>
      <c r="AI93" t="s">
        <v>2123</v>
      </c>
      <c r="AJ93" t="s">
        <v>2122</v>
      </c>
      <c r="AK93" t="s">
        <v>2123</v>
      </c>
      <c r="AL93" t="s">
        <v>2123</v>
      </c>
      <c r="AM93" t="s">
        <v>2123</v>
      </c>
      <c r="AN93" t="s">
        <v>2122</v>
      </c>
      <c r="AO93" t="s">
        <v>2123</v>
      </c>
      <c r="AP93" t="s">
        <v>2123</v>
      </c>
      <c r="AQ93" t="s">
        <v>2122</v>
      </c>
    </row>
    <row r="94" spans="2:43" x14ac:dyDescent="0.2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2733</v>
      </c>
      <c r="AA94" t="s">
        <v>462</v>
      </c>
      <c r="AB94" t="s">
        <v>2123</v>
      </c>
      <c r="AC94" t="s">
        <v>2122</v>
      </c>
      <c r="AD94" t="s">
        <v>2122</v>
      </c>
      <c r="AE94" t="s">
        <v>2123</v>
      </c>
      <c r="AF94" t="s">
        <v>2122</v>
      </c>
      <c r="AG94" t="s">
        <v>2123</v>
      </c>
      <c r="AH94" t="s">
        <v>2123</v>
      </c>
      <c r="AI94" t="s">
        <v>2122</v>
      </c>
      <c r="AJ94" t="s">
        <v>2122</v>
      </c>
      <c r="AK94" t="s">
        <v>2123</v>
      </c>
      <c r="AL94" t="s">
        <v>2123</v>
      </c>
      <c r="AM94" t="s">
        <v>2123</v>
      </c>
      <c r="AN94" t="s">
        <v>2122</v>
      </c>
      <c r="AO94" t="s">
        <v>2123</v>
      </c>
      <c r="AP94" t="s">
        <v>2123</v>
      </c>
      <c r="AQ94" t="s">
        <v>2122</v>
      </c>
    </row>
    <row r="95" spans="2:43" x14ac:dyDescent="0.2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2504</v>
      </c>
      <c r="Y95" t="s">
        <v>154</v>
      </c>
      <c r="Z95" t="s">
        <v>2734</v>
      </c>
      <c r="AA95" t="s">
        <v>462</v>
      </c>
      <c r="AB95" t="s">
        <v>2123</v>
      </c>
      <c r="AC95" t="s">
        <v>2122</v>
      </c>
      <c r="AD95" t="s">
        <v>2122</v>
      </c>
      <c r="AE95" t="s">
        <v>2123</v>
      </c>
      <c r="AF95" t="s">
        <v>2122</v>
      </c>
      <c r="AG95" t="s">
        <v>2123</v>
      </c>
      <c r="AH95" t="s">
        <v>2123</v>
      </c>
      <c r="AI95" t="s">
        <v>2122</v>
      </c>
      <c r="AJ95" t="s">
        <v>2122</v>
      </c>
      <c r="AK95" t="s">
        <v>2123</v>
      </c>
      <c r="AL95" t="s">
        <v>2123</v>
      </c>
      <c r="AM95" t="s">
        <v>2123</v>
      </c>
      <c r="AN95" t="s">
        <v>2122</v>
      </c>
      <c r="AO95" t="s">
        <v>2123</v>
      </c>
      <c r="AP95" t="s">
        <v>2123</v>
      </c>
      <c r="AQ95" t="s">
        <v>2122</v>
      </c>
    </row>
    <row r="96" spans="2:43" x14ac:dyDescent="0.2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2505</v>
      </c>
      <c r="Y96" t="s">
        <v>2506</v>
      </c>
      <c r="Z96" t="s">
        <v>2735</v>
      </c>
      <c r="AA96" t="s">
        <v>2141</v>
      </c>
      <c r="AB96" t="s">
        <v>2123</v>
      </c>
      <c r="AC96" t="s">
        <v>2122</v>
      </c>
      <c r="AD96" t="s">
        <v>2122</v>
      </c>
      <c r="AE96" t="s">
        <v>2123</v>
      </c>
      <c r="AF96" t="s">
        <v>2122</v>
      </c>
      <c r="AG96" t="s">
        <v>2123</v>
      </c>
      <c r="AH96" t="s">
        <v>2122</v>
      </c>
      <c r="AI96" t="s">
        <v>2123</v>
      </c>
      <c r="AJ96" t="s">
        <v>2122</v>
      </c>
      <c r="AK96" t="s">
        <v>2123</v>
      </c>
      <c r="AL96" t="s">
        <v>2123</v>
      </c>
      <c r="AM96" t="s">
        <v>2123</v>
      </c>
      <c r="AN96" t="s">
        <v>2122</v>
      </c>
      <c r="AO96" t="s">
        <v>2122</v>
      </c>
      <c r="AP96" t="s">
        <v>2123</v>
      </c>
      <c r="AQ96" t="s">
        <v>2122</v>
      </c>
    </row>
    <row r="97" spans="2:43" x14ac:dyDescent="0.2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2502</v>
      </c>
      <c r="Y97" t="s">
        <v>158</v>
      </c>
      <c r="Z97" t="s">
        <v>2736</v>
      </c>
      <c r="AA97" t="s">
        <v>459</v>
      </c>
      <c r="AB97" t="s">
        <v>2122</v>
      </c>
      <c r="AC97" t="s">
        <v>2123</v>
      </c>
      <c r="AD97" t="s">
        <v>2122</v>
      </c>
      <c r="AE97" t="s">
        <v>2123</v>
      </c>
      <c r="AF97" t="s">
        <v>2123</v>
      </c>
      <c r="AG97" t="s">
        <v>2122</v>
      </c>
      <c r="AH97" t="s">
        <v>2122</v>
      </c>
      <c r="AI97" t="s">
        <v>2122</v>
      </c>
      <c r="AJ97" t="s">
        <v>2123</v>
      </c>
      <c r="AK97" t="s">
        <v>2123</v>
      </c>
      <c r="AL97" t="s">
        <v>2123</v>
      </c>
      <c r="AM97" t="s">
        <v>2122</v>
      </c>
      <c r="AN97" t="s">
        <v>2123</v>
      </c>
      <c r="AO97" t="s">
        <v>2123</v>
      </c>
      <c r="AP97" t="s">
        <v>2123</v>
      </c>
      <c r="AQ97" t="s">
        <v>2122</v>
      </c>
    </row>
    <row r="98" spans="2:43" x14ac:dyDescent="0.2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2547</v>
      </c>
      <c r="Y98" t="s">
        <v>160</v>
      </c>
      <c r="Z98" t="s">
        <v>2737</v>
      </c>
      <c r="AA98" t="s">
        <v>453</v>
      </c>
      <c r="AB98" t="s">
        <v>2123</v>
      </c>
      <c r="AC98" t="s">
        <v>2122</v>
      </c>
      <c r="AD98" t="s">
        <v>2122</v>
      </c>
      <c r="AE98" t="s">
        <v>2123</v>
      </c>
      <c r="AF98" t="s">
        <v>2122</v>
      </c>
      <c r="AG98" t="s">
        <v>2123</v>
      </c>
      <c r="AH98" t="s">
        <v>2122</v>
      </c>
      <c r="AI98" t="s">
        <v>2123</v>
      </c>
      <c r="AJ98" t="s">
        <v>2122</v>
      </c>
      <c r="AK98" t="s">
        <v>2122</v>
      </c>
      <c r="AL98" t="s">
        <v>2122</v>
      </c>
      <c r="AM98" t="s">
        <v>2122</v>
      </c>
      <c r="AN98" t="s">
        <v>2123</v>
      </c>
      <c r="AO98" t="s">
        <v>2123</v>
      </c>
      <c r="AP98" t="s">
        <v>2122</v>
      </c>
      <c r="AQ98" t="s">
        <v>2123</v>
      </c>
    </row>
    <row r="99" spans="2:43" x14ac:dyDescent="0.2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2494</v>
      </c>
      <c r="Y99" t="s">
        <v>164</v>
      </c>
      <c r="Z99" t="s">
        <v>2738</v>
      </c>
      <c r="AA99" t="s">
        <v>462</v>
      </c>
      <c r="AB99" t="s">
        <v>2123</v>
      </c>
      <c r="AC99" t="s">
        <v>2122</v>
      </c>
      <c r="AD99" t="s">
        <v>2122</v>
      </c>
      <c r="AE99" t="s">
        <v>2123</v>
      </c>
      <c r="AF99" t="s">
        <v>2122</v>
      </c>
      <c r="AG99" t="s">
        <v>2123</v>
      </c>
      <c r="AH99" t="s">
        <v>2123</v>
      </c>
      <c r="AI99" t="s">
        <v>2122</v>
      </c>
      <c r="AJ99" t="s">
        <v>2122</v>
      </c>
      <c r="AK99" t="s">
        <v>2123</v>
      </c>
      <c r="AL99" t="s">
        <v>2123</v>
      </c>
      <c r="AM99" t="s">
        <v>2123</v>
      </c>
      <c r="AN99" t="s">
        <v>2122</v>
      </c>
      <c r="AO99" t="s">
        <v>2123</v>
      </c>
      <c r="AP99" t="s">
        <v>2123</v>
      </c>
      <c r="AQ99" t="s">
        <v>2122</v>
      </c>
    </row>
    <row r="100" spans="2:43" x14ac:dyDescent="0.2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2235</v>
      </c>
      <c r="Y100" t="s">
        <v>2236</v>
      </c>
      <c r="Z100" t="s">
        <v>2739</v>
      </c>
      <c r="AA100" t="s">
        <v>453</v>
      </c>
      <c r="AB100" t="s">
        <v>2123</v>
      </c>
      <c r="AC100" t="s">
        <v>2122</v>
      </c>
      <c r="AD100" t="s">
        <v>2122</v>
      </c>
      <c r="AE100" t="s">
        <v>2123</v>
      </c>
      <c r="AF100" t="s">
        <v>2122</v>
      </c>
      <c r="AG100" t="s">
        <v>2123</v>
      </c>
      <c r="AH100" t="s">
        <v>2122</v>
      </c>
      <c r="AI100" t="s">
        <v>2123</v>
      </c>
      <c r="AJ100" t="s">
        <v>2122</v>
      </c>
      <c r="AK100" t="s">
        <v>2122</v>
      </c>
      <c r="AL100" t="s">
        <v>2122</v>
      </c>
      <c r="AM100" t="s">
        <v>2122</v>
      </c>
      <c r="AN100" t="s">
        <v>2123</v>
      </c>
      <c r="AO100" t="s">
        <v>2123</v>
      </c>
      <c r="AP100" t="s">
        <v>2122</v>
      </c>
      <c r="AQ100" t="s">
        <v>2123</v>
      </c>
    </row>
    <row r="101" spans="2:43" x14ac:dyDescent="0.2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2740</v>
      </c>
      <c r="AA101" t="s">
        <v>2121</v>
      </c>
      <c r="AB101" t="s">
        <v>2122</v>
      </c>
      <c r="AC101" t="s">
        <v>2122</v>
      </c>
      <c r="AD101" t="s">
        <v>2123</v>
      </c>
      <c r="AE101" t="s">
        <v>2122</v>
      </c>
      <c r="AF101" t="s">
        <v>2123</v>
      </c>
      <c r="AG101" t="s">
        <v>2123</v>
      </c>
      <c r="AH101" t="s">
        <v>2122</v>
      </c>
      <c r="AI101" t="s">
        <v>2122</v>
      </c>
      <c r="AJ101" t="s">
        <v>2123</v>
      </c>
      <c r="AK101" t="s">
        <v>2123</v>
      </c>
      <c r="AL101" t="s">
        <v>2123</v>
      </c>
      <c r="AM101" t="s">
        <v>2123</v>
      </c>
      <c r="AN101" t="s">
        <v>2122</v>
      </c>
      <c r="AO101" t="s">
        <v>2122</v>
      </c>
      <c r="AP101" t="s">
        <v>2123</v>
      </c>
      <c r="AQ101" t="s">
        <v>2122</v>
      </c>
    </row>
    <row r="102" spans="2:43" x14ac:dyDescent="0.2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2550</v>
      </c>
      <c r="Z102" t="s">
        <v>2741</v>
      </c>
      <c r="AA102" t="s">
        <v>2136</v>
      </c>
      <c r="AB102" t="s">
        <v>2123</v>
      </c>
      <c r="AC102" t="s">
        <v>2122</v>
      </c>
      <c r="AD102" t="s">
        <v>2122</v>
      </c>
      <c r="AE102" t="s">
        <v>2123</v>
      </c>
      <c r="AF102" t="s">
        <v>2122</v>
      </c>
      <c r="AG102" t="s">
        <v>2123</v>
      </c>
      <c r="AH102" t="s">
        <v>2123</v>
      </c>
      <c r="AI102" t="s">
        <v>2122</v>
      </c>
      <c r="AJ102" t="s">
        <v>2122</v>
      </c>
      <c r="AK102" t="s">
        <v>2123</v>
      </c>
      <c r="AL102" t="s">
        <v>2123</v>
      </c>
      <c r="AM102" t="s">
        <v>2123</v>
      </c>
      <c r="AN102" t="s">
        <v>2122</v>
      </c>
      <c r="AO102" t="s">
        <v>2122</v>
      </c>
      <c r="AP102" t="s">
        <v>2123</v>
      </c>
      <c r="AQ102" t="s">
        <v>2122</v>
      </c>
    </row>
    <row r="103" spans="2:43" x14ac:dyDescent="0.2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2401</v>
      </c>
      <c r="Z103" t="s">
        <v>2742</v>
      </c>
      <c r="AA103" t="s">
        <v>456</v>
      </c>
      <c r="AB103" t="s">
        <v>2122</v>
      </c>
      <c r="AC103" t="s">
        <v>2122</v>
      </c>
      <c r="AD103" t="s">
        <v>2123</v>
      </c>
      <c r="AE103" t="s">
        <v>2122</v>
      </c>
      <c r="AF103" t="s">
        <v>2123</v>
      </c>
      <c r="AG103" t="s">
        <v>2123</v>
      </c>
      <c r="AH103" t="s">
        <v>2122</v>
      </c>
      <c r="AI103" t="s">
        <v>2123</v>
      </c>
      <c r="AJ103" t="s">
        <v>2122</v>
      </c>
      <c r="AK103" t="s">
        <v>2122</v>
      </c>
      <c r="AL103" t="s">
        <v>2122</v>
      </c>
      <c r="AM103" t="s">
        <v>2122</v>
      </c>
      <c r="AN103" t="s">
        <v>2123</v>
      </c>
      <c r="AO103" t="s">
        <v>2123</v>
      </c>
      <c r="AP103" t="s">
        <v>2122</v>
      </c>
      <c r="AQ103" t="s">
        <v>2123</v>
      </c>
    </row>
    <row r="104" spans="2:43" x14ac:dyDescent="0.2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2548</v>
      </c>
      <c r="Y104" t="s">
        <v>176</v>
      </c>
      <c r="Z104" t="s">
        <v>2743</v>
      </c>
      <c r="AA104" t="s">
        <v>460</v>
      </c>
      <c r="AB104" t="s">
        <v>2122</v>
      </c>
      <c r="AC104" t="s">
        <v>2122</v>
      </c>
      <c r="AD104" t="s">
        <v>2123</v>
      </c>
      <c r="AE104" t="s">
        <v>2122</v>
      </c>
      <c r="AF104" t="s">
        <v>2123</v>
      </c>
      <c r="AG104" t="s">
        <v>2123</v>
      </c>
      <c r="AH104" t="s">
        <v>2123</v>
      </c>
      <c r="AI104" t="s">
        <v>2122</v>
      </c>
      <c r="AJ104" t="s">
        <v>2122</v>
      </c>
      <c r="AK104" t="s">
        <v>2123</v>
      </c>
      <c r="AL104" t="s">
        <v>2123</v>
      </c>
      <c r="AM104" t="s">
        <v>2123</v>
      </c>
      <c r="AN104" t="s">
        <v>2122</v>
      </c>
      <c r="AO104" t="s">
        <v>2123</v>
      </c>
      <c r="AP104" t="s">
        <v>2123</v>
      </c>
      <c r="AQ104" t="s">
        <v>2122</v>
      </c>
    </row>
    <row r="105" spans="2:43" x14ac:dyDescent="0.2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2237</v>
      </c>
      <c r="Y105" t="s">
        <v>178</v>
      </c>
      <c r="Z105" t="s">
        <v>2744</v>
      </c>
      <c r="AA105" t="s">
        <v>462</v>
      </c>
      <c r="AB105" t="s">
        <v>2123</v>
      </c>
      <c r="AC105" t="s">
        <v>2122</v>
      </c>
      <c r="AD105" t="s">
        <v>2122</v>
      </c>
      <c r="AE105" t="s">
        <v>2123</v>
      </c>
      <c r="AF105" t="s">
        <v>2122</v>
      </c>
      <c r="AG105" t="s">
        <v>2123</v>
      </c>
      <c r="AH105" t="s">
        <v>2122</v>
      </c>
      <c r="AI105" t="s">
        <v>2123</v>
      </c>
      <c r="AJ105" t="s">
        <v>2122</v>
      </c>
      <c r="AK105" t="s">
        <v>2123</v>
      </c>
      <c r="AL105" t="s">
        <v>2123</v>
      </c>
      <c r="AM105" t="s">
        <v>2123</v>
      </c>
      <c r="AN105" t="s">
        <v>2122</v>
      </c>
      <c r="AO105" t="s">
        <v>2123</v>
      </c>
      <c r="AP105" t="s">
        <v>2123</v>
      </c>
      <c r="AQ105" t="s">
        <v>2122</v>
      </c>
    </row>
    <row r="106" spans="2:43" x14ac:dyDescent="0.2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2238</v>
      </c>
      <c r="Y106" t="s">
        <v>2239</v>
      </c>
      <c r="Z106" t="s">
        <v>2745</v>
      </c>
      <c r="AA106" t="s">
        <v>453</v>
      </c>
      <c r="AB106" t="s">
        <v>2123</v>
      </c>
      <c r="AC106" t="s">
        <v>2122</v>
      </c>
      <c r="AD106" t="s">
        <v>2122</v>
      </c>
      <c r="AE106" t="s">
        <v>2123</v>
      </c>
      <c r="AF106" t="s">
        <v>2122</v>
      </c>
      <c r="AG106" t="s">
        <v>2123</v>
      </c>
      <c r="AH106" t="s">
        <v>2123</v>
      </c>
      <c r="AI106" t="s">
        <v>2122</v>
      </c>
      <c r="AJ106" t="s">
        <v>2122</v>
      </c>
      <c r="AK106" t="s">
        <v>2123</v>
      </c>
      <c r="AL106" t="s">
        <v>2122</v>
      </c>
      <c r="AM106" t="s">
        <v>2122</v>
      </c>
      <c r="AN106" t="s">
        <v>2123</v>
      </c>
      <c r="AO106" t="s">
        <v>2123</v>
      </c>
      <c r="AP106" t="s">
        <v>2122</v>
      </c>
      <c r="AQ106" t="s">
        <v>2123</v>
      </c>
    </row>
    <row r="107" spans="2:43" x14ac:dyDescent="0.2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2746</v>
      </c>
      <c r="AA107" t="s">
        <v>461</v>
      </c>
      <c r="AB107" t="s">
        <v>2122</v>
      </c>
      <c r="AC107" t="s">
        <v>2122</v>
      </c>
      <c r="AD107" t="s">
        <v>2123</v>
      </c>
      <c r="AE107" t="s">
        <v>2122</v>
      </c>
      <c r="AF107" t="s">
        <v>2123</v>
      </c>
      <c r="AG107" t="s">
        <v>2123</v>
      </c>
      <c r="AH107" t="s">
        <v>2123</v>
      </c>
      <c r="AI107" t="s">
        <v>2122</v>
      </c>
      <c r="AJ107" t="s">
        <v>2122</v>
      </c>
      <c r="AK107" t="s">
        <v>2123</v>
      </c>
      <c r="AL107" t="s">
        <v>2123</v>
      </c>
      <c r="AM107" t="s">
        <v>2123</v>
      </c>
      <c r="AN107" t="s">
        <v>2122</v>
      </c>
      <c r="AO107" t="s">
        <v>2122</v>
      </c>
      <c r="AP107" t="s">
        <v>2123</v>
      </c>
      <c r="AQ107" t="s">
        <v>2122</v>
      </c>
    </row>
    <row r="108" spans="2:43" x14ac:dyDescent="0.2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2396</v>
      </c>
      <c r="Y108" t="s">
        <v>2397</v>
      </c>
      <c r="Z108" t="s">
        <v>2747</v>
      </c>
      <c r="AA108" t="s">
        <v>2748</v>
      </c>
      <c r="AB108" t="s">
        <v>2122</v>
      </c>
      <c r="AC108" t="s">
        <v>2123</v>
      </c>
      <c r="AD108" t="s">
        <v>2122</v>
      </c>
      <c r="AE108" t="s">
        <v>2123</v>
      </c>
      <c r="AF108" t="s">
        <v>2123</v>
      </c>
      <c r="AG108" t="s">
        <v>2122</v>
      </c>
      <c r="AH108" t="s">
        <v>2122</v>
      </c>
      <c r="AI108" t="s">
        <v>2123</v>
      </c>
      <c r="AJ108" t="s">
        <v>2122</v>
      </c>
      <c r="AK108" t="s">
        <v>2122</v>
      </c>
      <c r="AL108" t="s">
        <v>2122</v>
      </c>
      <c r="AM108" t="s">
        <v>2122</v>
      </c>
      <c r="AN108" t="s">
        <v>2123</v>
      </c>
      <c r="AO108" t="s">
        <v>2123</v>
      </c>
      <c r="AP108" t="s">
        <v>2122</v>
      </c>
      <c r="AQ108" t="s">
        <v>2123</v>
      </c>
    </row>
    <row r="109" spans="2:43" x14ac:dyDescent="0.2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2619</v>
      </c>
      <c r="Z109" t="s">
        <v>2749</v>
      </c>
      <c r="AA109" t="s">
        <v>2748</v>
      </c>
      <c r="AB109" t="s">
        <v>2122</v>
      </c>
      <c r="AC109" t="s">
        <v>2123</v>
      </c>
      <c r="AD109" t="s">
        <v>2122</v>
      </c>
      <c r="AE109" t="s">
        <v>2123</v>
      </c>
      <c r="AF109" t="s">
        <v>2123</v>
      </c>
      <c r="AG109" t="s">
        <v>2122</v>
      </c>
      <c r="AH109" t="s">
        <v>2122</v>
      </c>
      <c r="AI109" t="s">
        <v>2123</v>
      </c>
      <c r="AJ109" t="s">
        <v>2122</v>
      </c>
      <c r="AK109" t="s">
        <v>2122</v>
      </c>
      <c r="AL109" t="s">
        <v>2122</v>
      </c>
      <c r="AM109" t="s">
        <v>2122</v>
      </c>
      <c r="AN109" t="s">
        <v>2123</v>
      </c>
      <c r="AO109" t="s">
        <v>2123</v>
      </c>
      <c r="AP109" t="s">
        <v>2122</v>
      </c>
      <c r="AQ109" t="s">
        <v>2123</v>
      </c>
    </row>
    <row r="110" spans="2:43" x14ac:dyDescent="0.2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2750</v>
      </c>
      <c r="AA110" t="s">
        <v>456</v>
      </c>
      <c r="AB110" t="s">
        <v>2122</v>
      </c>
      <c r="AC110" t="s">
        <v>2122</v>
      </c>
      <c r="AD110" t="s">
        <v>2123</v>
      </c>
      <c r="AE110" t="s">
        <v>2122</v>
      </c>
      <c r="AF110" t="s">
        <v>2123</v>
      </c>
      <c r="AG110" t="s">
        <v>2123</v>
      </c>
      <c r="AH110" t="s">
        <v>2122</v>
      </c>
      <c r="AI110" t="s">
        <v>2122</v>
      </c>
      <c r="AJ110" t="s">
        <v>2123</v>
      </c>
      <c r="AK110" t="s">
        <v>2123</v>
      </c>
      <c r="AL110" t="s">
        <v>2122</v>
      </c>
      <c r="AM110" t="s">
        <v>2122</v>
      </c>
      <c r="AN110" t="s">
        <v>2123</v>
      </c>
      <c r="AO110" t="s">
        <v>2123</v>
      </c>
      <c r="AP110" t="s">
        <v>2122</v>
      </c>
      <c r="AQ110" t="s">
        <v>2123</v>
      </c>
    </row>
    <row r="111" spans="2:43" x14ac:dyDescent="0.2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2751</v>
      </c>
      <c r="AA111" t="s">
        <v>2752</v>
      </c>
      <c r="AB111" t="s">
        <v>2122</v>
      </c>
      <c r="AC111" t="s">
        <v>2122</v>
      </c>
      <c r="AD111" t="s">
        <v>2123</v>
      </c>
      <c r="AE111" t="s">
        <v>2122</v>
      </c>
      <c r="AF111" t="s">
        <v>2123</v>
      </c>
      <c r="AG111" t="s">
        <v>2123</v>
      </c>
      <c r="AH111" t="s">
        <v>2122</v>
      </c>
      <c r="AI111" t="s">
        <v>2123</v>
      </c>
      <c r="AJ111" t="s">
        <v>2122</v>
      </c>
      <c r="AK111" t="s">
        <v>2122</v>
      </c>
      <c r="AL111" t="s">
        <v>2123</v>
      </c>
      <c r="AM111" t="s">
        <v>2123</v>
      </c>
      <c r="AN111" t="s">
        <v>2122</v>
      </c>
      <c r="AO111" t="s">
        <v>2123</v>
      </c>
      <c r="AP111" t="s">
        <v>2122</v>
      </c>
      <c r="AQ111" t="s">
        <v>2123</v>
      </c>
    </row>
    <row r="112" spans="2:43" x14ac:dyDescent="0.2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2753</v>
      </c>
      <c r="AA112" t="s">
        <v>453</v>
      </c>
      <c r="AB112" t="s">
        <v>2123</v>
      </c>
      <c r="AC112" t="s">
        <v>2122</v>
      </c>
      <c r="AD112" t="s">
        <v>2122</v>
      </c>
      <c r="AE112" t="s">
        <v>2123</v>
      </c>
      <c r="AF112" t="s">
        <v>2122</v>
      </c>
      <c r="AG112" t="s">
        <v>2123</v>
      </c>
      <c r="AH112" t="s">
        <v>2122</v>
      </c>
      <c r="AI112" t="s">
        <v>2123</v>
      </c>
      <c r="AJ112" t="s">
        <v>2122</v>
      </c>
      <c r="AK112" t="s">
        <v>2122</v>
      </c>
      <c r="AL112" t="s">
        <v>2122</v>
      </c>
      <c r="AM112" t="s">
        <v>2122</v>
      </c>
      <c r="AN112" t="s">
        <v>2123</v>
      </c>
      <c r="AO112" t="s">
        <v>2123</v>
      </c>
      <c r="AP112" t="s">
        <v>2122</v>
      </c>
      <c r="AQ112" t="s">
        <v>2123</v>
      </c>
    </row>
    <row r="113" spans="2:43" x14ac:dyDescent="0.2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2754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2240</v>
      </c>
      <c r="Y114" t="s">
        <v>198</v>
      </c>
      <c r="Z114" t="s">
        <v>2755</v>
      </c>
      <c r="AA114" t="s">
        <v>453</v>
      </c>
      <c r="AB114" t="s">
        <v>2123</v>
      </c>
      <c r="AC114" t="s">
        <v>2122</v>
      </c>
      <c r="AD114" t="s">
        <v>2122</v>
      </c>
      <c r="AE114" t="s">
        <v>2123</v>
      </c>
      <c r="AF114" t="s">
        <v>2122</v>
      </c>
      <c r="AG114" t="s">
        <v>2123</v>
      </c>
      <c r="AH114" t="s">
        <v>2122</v>
      </c>
      <c r="AI114" t="s">
        <v>2123</v>
      </c>
      <c r="AJ114" t="s">
        <v>2122</v>
      </c>
      <c r="AK114" t="s">
        <v>2122</v>
      </c>
      <c r="AL114" t="s">
        <v>2122</v>
      </c>
      <c r="AM114" t="s">
        <v>2122</v>
      </c>
      <c r="AN114" t="s">
        <v>2123</v>
      </c>
      <c r="AO114" t="s">
        <v>2123</v>
      </c>
      <c r="AP114" t="s">
        <v>2122</v>
      </c>
      <c r="AQ114" t="s">
        <v>2123</v>
      </c>
    </row>
    <row r="115" spans="2:43" x14ac:dyDescent="0.2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2241</v>
      </c>
      <c r="Y115" t="s">
        <v>2242</v>
      </c>
      <c r="Z115" t="s">
        <v>2756</v>
      </c>
      <c r="AA115" t="s">
        <v>2126</v>
      </c>
      <c r="AB115" t="s">
        <v>2122</v>
      </c>
      <c r="AC115" t="s">
        <v>2123</v>
      </c>
      <c r="AD115" t="s">
        <v>2122</v>
      </c>
      <c r="AE115" t="s">
        <v>2123</v>
      </c>
      <c r="AF115" t="s">
        <v>2123</v>
      </c>
      <c r="AG115" t="s">
        <v>2122</v>
      </c>
      <c r="AH115" t="s">
        <v>2123</v>
      </c>
      <c r="AI115" t="s">
        <v>2122</v>
      </c>
      <c r="AJ115" t="s">
        <v>2122</v>
      </c>
      <c r="AK115" t="s">
        <v>2123</v>
      </c>
      <c r="AL115" t="s">
        <v>2123</v>
      </c>
      <c r="AM115" t="s">
        <v>2123</v>
      </c>
      <c r="AN115" t="s">
        <v>2122</v>
      </c>
      <c r="AO115" t="s">
        <v>2122</v>
      </c>
      <c r="AP115" t="s">
        <v>2123</v>
      </c>
      <c r="AQ115" t="s">
        <v>2122</v>
      </c>
    </row>
    <row r="116" spans="2:43" x14ac:dyDescent="0.2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2757</v>
      </c>
      <c r="AA116" t="s">
        <v>2136</v>
      </c>
      <c r="AB116" t="s">
        <v>2123</v>
      </c>
      <c r="AC116" t="s">
        <v>2122</v>
      </c>
      <c r="AD116" t="s">
        <v>2122</v>
      </c>
      <c r="AE116" t="s">
        <v>2123</v>
      </c>
      <c r="AF116" t="s">
        <v>2122</v>
      </c>
      <c r="AG116" t="s">
        <v>2123</v>
      </c>
      <c r="AH116" t="s">
        <v>2122</v>
      </c>
      <c r="AI116" t="s">
        <v>2123</v>
      </c>
      <c r="AJ116" t="s">
        <v>2122</v>
      </c>
      <c r="AK116" t="s">
        <v>2122</v>
      </c>
      <c r="AL116" t="s">
        <v>2123</v>
      </c>
      <c r="AM116" t="s">
        <v>2123</v>
      </c>
      <c r="AN116" t="s">
        <v>2122</v>
      </c>
      <c r="AO116" t="s">
        <v>2122</v>
      </c>
      <c r="AP116" t="s">
        <v>2123</v>
      </c>
      <c r="AQ116" t="s">
        <v>2122</v>
      </c>
    </row>
    <row r="117" spans="2:43" x14ac:dyDescent="0.2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2758</v>
      </c>
      <c r="AA117" t="s">
        <v>453</v>
      </c>
      <c r="AB117" t="s">
        <v>2123</v>
      </c>
      <c r="AC117" t="s">
        <v>2122</v>
      </c>
      <c r="AD117" t="s">
        <v>2122</v>
      </c>
      <c r="AE117" t="s">
        <v>2123</v>
      </c>
      <c r="AF117" t="s">
        <v>2122</v>
      </c>
      <c r="AG117" t="s">
        <v>2123</v>
      </c>
      <c r="AH117" t="s">
        <v>2123</v>
      </c>
      <c r="AI117" t="s">
        <v>2122</v>
      </c>
      <c r="AJ117" t="s">
        <v>2122</v>
      </c>
      <c r="AK117" t="s">
        <v>2123</v>
      </c>
      <c r="AL117" t="s">
        <v>2122</v>
      </c>
      <c r="AM117" t="s">
        <v>2122</v>
      </c>
      <c r="AN117" t="s">
        <v>2123</v>
      </c>
      <c r="AO117" t="s">
        <v>2123</v>
      </c>
      <c r="AP117" t="s">
        <v>2122</v>
      </c>
      <c r="AQ117" t="s">
        <v>2123</v>
      </c>
    </row>
    <row r="118" spans="2:43" x14ac:dyDescent="0.2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2400</v>
      </c>
      <c r="Z118" t="s">
        <v>2759</v>
      </c>
      <c r="AA118" t="s">
        <v>2131</v>
      </c>
      <c r="AB118" t="s">
        <v>2123</v>
      </c>
      <c r="AC118" t="s">
        <v>2122</v>
      </c>
      <c r="AD118" t="s">
        <v>2122</v>
      </c>
      <c r="AE118" t="s">
        <v>2123</v>
      </c>
      <c r="AF118" t="s">
        <v>2122</v>
      </c>
      <c r="AG118" t="s">
        <v>2123</v>
      </c>
      <c r="AH118" t="s">
        <v>2122</v>
      </c>
      <c r="AI118" t="s">
        <v>2123</v>
      </c>
      <c r="AJ118" t="s">
        <v>2122</v>
      </c>
      <c r="AK118" t="s">
        <v>2122</v>
      </c>
      <c r="AL118" t="s">
        <v>2123</v>
      </c>
      <c r="AM118" t="s">
        <v>2122</v>
      </c>
      <c r="AN118" t="s">
        <v>2123</v>
      </c>
      <c r="AO118" t="s">
        <v>2123</v>
      </c>
      <c r="AP118" t="s">
        <v>2122</v>
      </c>
      <c r="AQ118" t="s">
        <v>2123</v>
      </c>
    </row>
    <row r="119" spans="2:43" x14ac:dyDescent="0.2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2546</v>
      </c>
      <c r="Y119" t="s">
        <v>208</v>
      </c>
      <c r="Z119" t="s">
        <v>2760</v>
      </c>
      <c r="AA119" t="s">
        <v>2126</v>
      </c>
      <c r="AB119" t="s">
        <v>2122</v>
      </c>
      <c r="AC119" t="s">
        <v>2123</v>
      </c>
      <c r="AD119" t="s">
        <v>2122</v>
      </c>
      <c r="AE119" t="s">
        <v>2123</v>
      </c>
      <c r="AF119" t="s">
        <v>2123</v>
      </c>
      <c r="AG119" t="s">
        <v>2122</v>
      </c>
      <c r="AH119" t="s">
        <v>2123</v>
      </c>
      <c r="AI119" t="s">
        <v>2122</v>
      </c>
      <c r="AJ119" t="s">
        <v>2122</v>
      </c>
      <c r="AK119" t="s">
        <v>2123</v>
      </c>
      <c r="AL119" t="s">
        <v>2123</v>
      </c>
      <c r="AM119" t="s">
        <v>2123</v>
      </c>
      <c r="AN119" t="s">
        <v>2122</v>
      </c>
      <c r="AO119" t="s">
        <v>2122</v>
      </c>
      <c r="AP119" t="s">
        <v>2123</v>
      </c>
      <c r="AQ119" t="s">
        <v>2122</v>
      </c>
    </row>
    <row r="120" spans="2:43" x14ac:dyDescent="0.2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2761</v>
      </c>
      <c r="AA120" t="s">
        <v>462</v>
      </c>
      <c r="AB120" t="s">
        <v>2123</v>
      </c>
      <c r="AC120" t="s">
        <v>2122</v>
      </c>
      <c r="AD120" t="s">
        <v>2122</v>
      </c>
      <c r="AE120" t="s">
        <v>2123</v>
      </c>
      <c r="AF120" t="s">
        <v>2122</v>
      </c>
      <c r="AG120" t="s">
        <v>2123</v>
      </c>
      <c r="AH120" t="s">
        <v>2123</v>
      </c>
      <c r="AI120" t="s">
        <v>2122</v>
      </c>
      <c r="AJ120" t="s">
        <v>2122</v>
      </c>
      <c r="AK120" t="s">
        <v>2123</v>
      </c>
      <c r="AL120" t="s">
        <v>2123</v>
      </c>
      <c r="AM120" t="s">
        <v>2123</v>
      </c>
      <c r="AN120" t="s">
        <v>2122</v>
      </c>
      <c r="AO120" t="s">
        <v>2123</v>
      </c>
      <c r="AP120" t="s">
        <v>2123</v>
      </c>
      <c r="AQ120" t="s">
        <v>2122</v>
      </c>
    </row>
    <row r="121" spans="2:43" x14ac:dyDescent="0.2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2395</v>
      </c>
      <c r="Y121" t="s">
        <v>212</v>
      </c>
      <c r="Z121" t="s">
        <v>2762</v>
      </c>
      <c r="AA121" t="s">
        <v>453</v>
      </c>
      <c r="AB121" t="s">
        <v>2123</v>
      </c>
      <c r="AC121" t="s">
        <v>2122</v>
      </c>
      <c r="AD121" t="s">
        <v>2122</v>
      </c>
      <c r="AE121" t="s">
        <v>2123</v>
      </c>
      <c r="AF121" t="s">
        <v>2122</v>
      </c>
      <c r="AG121" t="s">
        <v>2123</v>
      </c>
      <c r="AH121" t="s">
        <v>2122</v>
      </c>
      <c r="AI121" t="s">
        <v>2123</v>
      </c>
      <c r="AJ121" t="s">
        <v>2122</v>
      </c>
      <c r="AK121" t="s">
        <v>2122</v>
      </c>
      <c r="AL121" t="s">
        <v>2122</v>
      </c>
      <c r="AM121" t="s">
        <v>2122</v>
      </c>
      <c r="AN121" t="s">
        <v>2123</v>
      </c>
      <c r="AO121" t="s">
        <v>2123</v>
      </c>
      <c r="AP121" t="s">
        <v>2122</v>
      </c>
      <c r="AQ121" t="s">
        <v>2123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R57"/>
  <sheetViews>
    <sheetView showGridLines="0" tabSelected="1" topLeftCell="A21" workbookViewId="0">
      <selection activeCell="G61" sqref="G61"/>
    </sheetView>
  </sheetViews>
  <sheetFormatPr baseColWidth="10" defaultColWidth="8.83203125" defaultRowHeight="15" x14ac:dyDescent="0.2"/>
  <cols>
    <col min="1" max="1" width="13.6640625" bestFit="1" customWidth="1"/>
    <col min="2" max="2" width="11.1640625" bestFit="1" customWidth="1"/>
    <col min="3" max="3" width="6.1640625" bestFit="1" customWidth="1"/>
  </cols>
  <sheetData>
    <row r="2" spans="1:3" x14ac:dyDescent="0.2">
      <c r="A2" s="33" t="s">
        <v>2218</v>
      </c>
      <c r="B2" s="33" t="s">
        <v>2219</v>
      </c>
      <c r="C2" s="33" t="s">
        <v>2220</v>
      </c>
    </row>
    <row r="3" spans="1:3" x14ac:dyDescent="0.2">
      <c r="A3" s="37" t="s">
        <v>439</v>
      </c>
      <c r="B3" s="36">
        <v>0.42834567901234555</v>
      </c>
      <c r="C3" s="36">
        <v>0.48148148148148145</v>
      </c>
    </row>
    <row r="4" spans="1:3" x14ac:dyDescent="0.2">
      <c r="A4" s="37" t="s">
        <v>4</v>
      </c>
      <c r="B4" s="36">
        <v>0.28043209876543218</v>
      </c>
      <c r="C4" s="36">
        <v>0.22222222222222221</v>
      </c>
    </row>
    <row r="5" spans="1:3" x14ac:dyDescent="0.2">
      <c r="A5" s="37" t="s">
        <v>440</v>
      </c>
      <c r="B5" s="36">
        <v>0.29116049382716047</v>
      </c>
      <c r="C5" s="36">
        <v>0.29629629629629628</v>
      </c>
    </row>
    <row r="6" spans="1:3" x14ac:dyDescent="0.2">
      <c r="A6" s="37" t="s">
        <v>5</v>
      </c>
      <c r="B6" s="36">
        <v>0.70883950617283953</v>
      </c>
      <c r="C6" s="36">
        <v>0.70370370370370372</v>
      </c>
    </row>
    <row r="7" spans="1:3" x14ac:dyDescent="0.2">
      <c r="A7" s="37" t="s">
        <v>6</v>
      </c>
      <c r="B7" s="36">
        <v>0.57165432098765434</v>
      </c>
      <c r="C7" s="36">
        <v>0.51851851851851849</v>
      </c>
    </row>
    <row r="8" spans="1:3" x14ac:dyDescent="0.2">
      <c r="A8" s="37" t="s">
        <v>441</v>
      </c>
      <c r="B8" s="36">
        <v>0.71956790123456793</v>
      </c>
      <c r="C8" s="36">
        <v>0.77777777777777779</v>
      </c>
    </row>
    <row r="9" spans="1:3" x14ac:dyDescent="0.2">
      <c r="A9" s="37" t="s">
        <v>7</v>
      </c>
      <c r="B9" s="36">
        <v>0.3221234567901235</v>
      </c>
      <c r="C9" s="36">
        <v>0.34567901234567899</v>
      </c>
    </row>
    <row r="10" spans="1:3" x14ac:dyDescent="0.2">
      <c r="A10" s="37" t="s">
        <v>8</v>
      </c>
      <c r="B10" s="36">
        <v>0.4315679012345679</v>
      </c>
      <c r="C10" s="36">
        <v>0.38271604938271603</v>
      </c>
    </row>
    <row r="11" spans="1:3" x14ac:dyDescent="0.2">
      <c r="A11" s="37" t="s">
        <v>9</v>
      </c>
      <c r="B11" s="36">
        <v>0.24627160493827169</v>
      </c>
      <c r="C11" s="36">
        <v>0.27160493827160492</v>
      </c>
    </row>
    <row r="12" spans="1:3" x14ac:dyDescent="0.2">
      <c r="A12" s="37" t="s">
        <v>10</v>
      </c>
      <c r="B12" s="36">
        <v>0.69177777777777782</v>
      </c>
      <c r="C12" s="36">
        <v>0.81481481481481477</v>
      </c>
    </row>
    <row r="13" spans="1:3" x14ac:dyDescent="0.2">
      <c r="A13" s="37" t="s">
        <v>11</v>
      </c>
      <c r="B13" s="36">
        <v>0.76514814814814813</v>
      </c>
      <c r="C13" s="36">
        <v>0.85185185185185186</v>
      </c>
    </row>
    <row r="14" spans="1:3" x14ac:dyDescent="0.2">
      <c r="A14" s="37" t="s">
        <v>12</v>
      </c>
      <c r="B14" s="36">
        <v>0.52598765432098749</v>
      </c>
      <c r="C14" s="36">
        <v>0.65432098765432101</v>
      </c>
    </row>
    <row r="15" spans="1:3" x14ac:dyDescent="0.2">
      <c r="A15" s="37" t="s">
        <v>13</v>
      </c>
      <c r="B15" s="36">
        <v>0.4740123456790124</v>
      </c>
      <c r="C15" s="36">
        <v>0.34567901234567899</v>
      </c>
    </row>
    <row r="16" spans="1:3" x14ac:dyDescent="0.2">
      <c r="A16" s="37" t="s">
        <v>14</v>
      </c>
      <c r="B16" s="36">
        <v>0.53224691358024701</v>
      </c>
      <c r="C16" s="36">
        <v>0.62962962962962965</v>
      </c>
    </row>
    <row r="17" spans="1:18" x14ac:dyDescent="0.2">
      <c r="A17" s="37" t="s">
        <v>15</v>
      </c>
      <c r="B17" s="36">
        <v>0.55651851851851841</v>
      </c>
      <c r="C17" s="36">
        <v>0.65432098765432101</v>
      </c>
    </row>
    <row r="18" spans="1:18" x14ac:dyDescent="0.2">
      <c r="A18" s="37" t="s">
        <v>16</v>
      </c>
      <c r="B18" s="36">
        <v>0.44348148148148148</v>
      </c>
      <c r="C18" s="36">
        <v>0.34567901234567899</v>
      </c>
    </row>
    <row r="20" spans="1:18" x14ac:dyDescent="0.2">
      <c r="A20" s="4" t="s">
        <v>2224</v>
      </c>
    </row>
    <row r="21" spans="1:18" x14ac:dyDescent="0.2">
      <c r="A21" s="37" t="s">
        <v>2221</v>
      </c>
      <c r="B21" s="33" t="s">
        <v>2222</v>
      </c>
      <c r="C21" s="37" t="s">
        <v>439</v>
      </c>
      <c r="D21" s="37" t="s">
        <v>4</v>
      </c>
      <c r="E21" s="37" t="s">
        <v>440</v>
      </c>
      <c r="F21" s="37" t="s">
        <v>5</v>
      </c>
      <c r="G21" s="37" t="s">
        <v>6</v>
      </c>
      <c r="H21" s="37" t="s">
        <v>441</v>
      </c>
      <c r="I21" s="37" t="s">
        <v>7</v>
      </c>
      <c r="J21" s="37" t="s">
        <v>8</v>
      </c>
      <c r="K21" s="37" t="s">
        <v>9</v>
      </c>
      <c r="L21" s="37" t="s">
        <v>10</v>
      </c>
      <c r="M21" s="37" t="s">
        <v>11</v>
      </c>
      <c r="N21" s="37" t="s">
        <v>12</v>
      </c>
      <c r="O21" s="37" t="s">
        <v>13</v>
      </c>
      <c r="P21" s="37" t="s">
        <v>14</v>
      </c>
      <c r="Q21" s="37" t="s">
        <v>15</v>
      </c>
      <c r="R21" s="37" t="s">
        <v>16</v>
      </c>
    </row>
    <row r="22" spans="1:18" x14ac:dyDescent="0.2">
      <c r="A22" s="38">
        <v>0</v>
      </c>
      <c r="B22" s="39">
        <v>10</v>
      </c>
      <c r="C22" s="34">
        <f>COUNTIFS('Solid-Results'!H:H,"&gt;="&amp;Dashboard!$A22,'Solid-Results'!H:H,"&lt;="&amp;Dashboard!$B22)</f>
        <v>1</v>
      </c>
      <c r="D22" s="34">
        <f>COUNTIFS('Solid-Results'!I:I,"&gt;="&amp;Dashboard!$A22,'Solid-Results'!I:I,"&lt;="&amp;Dashboard!$B22)</f>
        <v>1</v>
      </c>
      <c r="E22" s="34">
        <f>COUNTIFS('Solid-Results'!J:J,"&gt;="&amp;Dashboard!$A22,'Solid-Results'!J:J,"&lt;="&amp;Dashboard!$B22)</f>
        <v>2</v>
      </c>
      <c r="F22" s="34">
        <f>COUNTIFS('Solid-Results'!K:K,"&gt;="&amp;Dashboard!$A22,'Solid-Results'!K:K,"&lt;="&amp;Dashboard!$B22)</f>
        <v>1</v>
      </c>
      <c r="G22" s="34">
        <f>COUNTIFS('Solid-Results'!L:L,"&gt;="&amp;Dashboard!$A22,'Solid-Results'!L:L,"&lt;="&amp;Dashboard!$B22)</f>
        <v>1</v>
      </c>
      <c r="H22" s="34">
        <f>COUNTIFS('Solid-Results'!M:M,"&gt;="&amp;Dashboard!$A22,'Solid-Results'!M:M,"&lt;="&amp;Dashboard!$B22)</f>
        <v>1</v>
      </c>
      <c r="I22" s="34">
        <f>COUNTIFS('Solid-Results'!N:N,"&gt;="&amp;Dashboard!$A22,'Solid-Results'!N:N,"&lt;="&amp;Dashboard!$B22)</f>
        <v>1</v>
      </c>
      <c r="J22" s="34">
        <f>COUNTIFS('Solid-Results'!O:O,"&gt;="&amp;Dashboard!$A22,'Solid-Results'!O:O,"&lt;="&amp;Dashboard!$B22)</f>
        <v>1</v>
      </c>
      <c r="K22" s="34">
        <f>COUNTIFS('Solid-Results'!P:P,"&gt;="&amp;Dashboard!$A22,'Solid-Results'!P:P,"&lt;="&amp;Dashboard!$B22)</f>
        <v>2</v>
      </c>
      <c r="L22" s="34">
        <f>COUNTIFS('Solid-Results'!Q:Q,"&gt;="&amp;Dashboard!$A22,'Solid-Results'!Q:Q,"&lt;="&amp;Dashboard!$B22)</f>
        <v>1</v>
      </c>
      <c r="M22" s="34">
        <f>COUNTIFS('Solid-Results'!R:R,"&gt;="&amp;Dashboard!$A22,'Solid-Results'!R:R,"&lt;="&amp;Dashboard!$B22)</f>
        <v>1</v>
      </c>
      <c r="N22" s="34">
        <f>COUNTIFS('Solid-Results'!S:S,"&gt;="&amp;Dashboard!$A22,'Solid-Results'!S:S,"&lt;="&amp;Dashboard!$B22)</f>
        <v>1</v>
      </c>
      <c r="O22" s="34">
        <f>COUNTIFS('Solid-Results'!T:T,"&gt;="&amp;Dashboard!$A22,'Solid-Results'!T:T,"&lt;="&amp;Dashboard!$B22)</f>
        <v>1</v>
      </c>
      <c r="P22" s="34">
        <f>COUNTIFS('Solid-Results'!U:U,"&gt;="&amp;Dashboard!$A22,'Solid-Results'!U:U,"&lt;="&amp;Dashboard!$B22)</f>
        <v>1</v>
      </c>
      <c r="Q22" s="34">
        <f>COUNTIFS('Solid-Results'!V:V,"&gt;="&amp;Dashboard!$A22,'Solid-Results'!V:V,"&lt;="&amp;Dashboard!$B22)</f>
        <v>1</v>
      </c>
      <c r="R22" s="34">
        <f>COUNTIFS('Solid-Results'!W:W,"&gt;="&amp;Dashboard!$A22,'Solid-Results'!W:W,"&lt;="&amp;Dashboard!$B22)</f>
        <v>1</v>
      </c>
    </row>
    <row r="23" spans="1:18" x14ac:dyDescent="0.2">
      <c r="A23" s="40">
        <f>B22+0.01</f>
        <v>10.01</v>
      </c>
      <c r="B23" s="39">
        <f>B22+10</f>
        <v>20</v>
      </c>
      <c r="C23" s="34">
        <f>COUNTIFS('Solid-Results'!H:H,"&gt;="&amp;Dashboard!$A23,'Solid-Results'!H:H,"&lt;="&amp;Dashboard!$B23)</f>
        <v>0</v>
      </c>
      <c r="D23" s="34">
        <f>COUNTIFS('Solid-Results'!I:I,"&gt;="&amp;Dashboard!$A23,'Solid-Results'!I:I,"&lt;="&amp;Dashboard!$B23)</f>
        <v>0</v>
      </c>
      <c r="E23" s="34">
        <f>COUNTIFS('Solid-Results'!J:J,"&gt;="&amp;Dashboard!$A23,'Solid-Results'!J:J,"&lt;="&amp;Dashboard!$B23)</f>
        <v>17</v>
      </c>
      <c r="F23" s="34">
        <f>COUNTIFS('Solid-Results'!K:K,"&gt;="&amp;Dashboard!$A23,'Solid-Results'!K:K,"&lt;="&amp;Dashboard!$B23)</f>
        <v>0</v>
      </c>
      <c r="G23" s="34">
        <f>COUNTIFS('Solid-Results'!L:L,"&gt;="&amp;Dashboard!$A23,'Solid-Results'!L:L,"&lt;="&amp;Dashboard!$B23)</f>
        <v>0</v>
      </c>
      <c r="H23" s="34">
        <f>COUNTIFS('Solid-Results'!M:M,"&gt;="&amp;Dashboard!$A23,'Solid-Results'!M:M,"&lt;="&amp;Dashboard!$B23)</f>
        <v>0</v>
      </c>
      <c r="I23" s="34">
        <f>COUNTIFS('Solid-Results'!N:N,"&gt;="&amp;Dashboard!$A23,'Solid-Results'!N:N,"&lt;="&amp;Dashboard!$B23)</f>
        <v>13</v>
      </c>
      <c r="J23" s="34">
        <f>COUNTIFS('Solid-Results'!O:O,"&gt;="&amp;Dashboard!$A23,'Solid-Results'!O:O,"&lt;="&amp;Dashboard!$B23)</f>
        <v>0</v>
      </c>
      <c r="K23" s="34">
        <f>COUNTIFS('Solid-Results'!P:P,"&gt;="&amp;Dashboard!$A23,'Solid-Results'!P:P,"&lt;="&amp;Dashboard!$B23)</f>
        <v>33</v>
      </c>
      <c r="L23" s="34">
        <f>COUNTIFS('Solid-Results'!Q:Q,"&gt;="&amp;Dashboard!$A23,'Solid-Results'!Q:Q,"&lt;="&amp;Dashboard!$B23)</f>
        <v>0</v>
      </c>
      <c r="M23" s="34">
        <f>COUNTIFS('Solid-Results'!R:R,"&gt;="&amp;Dashboard!$A23,'Solid-Results'!R:R,"&lt;="&amp;Dashboard!$B23)</f>
        <v>0</v>
      </c>
      <c r="N23" s="34">
        <f>COUNTIFS('Solid-Results'!S:S,"&gt;="&amp;Dashboard!$A23,'Solid-Results'!S:S,"&lt;="&amp;Dashboard!$B23)</f>
        <v>0</v>
      </c>
      <c r="O23" s="34">
        <f>COUNTIFS('Solid-Results'!T:T,"&gt;="&amp;Dashboard!$A23,'Solid-Results'!T:T,"&lt;="&amp;Dashboard!$B23)</f>
        <v>2</v>
      </c>
      <c r="P23" s="34">
        <f>COUNTIFS('Solid-Results'!U:U,"&gt;="&amp;Dashboard!$A23,'Solid-Results'!U:U,"&lt;="&amp;Dashboard!$B23)</f>
        <v>0</v>
      </c>
      <c r="Q23" s="34">
        <f>COUNTIFS('Solid-Results'!V:V,"&gt;="&amp;Dashboard!$A23,'Solid-Results'!V:V,"&lt;="&amp;Dashboard!$B23)</f>
        <v>0</v>
      </c>
      <c r="R23" s="34">
        <f>COUNTIFS('Solid-Results'!W:W,"&gt;="&amp;Dashboard!$A23,'Solid-Results'!W:W,"&lt;="&amp;Dashboard!$B23)</f>
        <v>0</v>
      </c>
    </row>
    <row r="24" spans="1:18" x14ac:dyDescent="0.2">
      <c r="A24" s="40">
        <f t="shared" ref="A24:A31" si="0">B23+0.01</f>
        <v>20.010000000000002</v>
      </c>
      <c r="B24" s="39">
        <f t="shared" ref="B24:B31" si="1">B23+10</f>
        <v>30</v>
      </c>
      <c r="C24" s="34">
        <f>COUNTIFS('Solid-Results'!H:H,"&gt;="&amp;Dashboard!$A24,'Solid-Results'!H:H,"&lt;="&amp;Dashboard!$B24)</f>
        <v>9</v>
      </c>
      <c r="D24" s="34">
        <f>COUNTIFS('Solid-Results'!I:I,"&gt;="&amp;Dashboard!$A24,'Solid-Results'!I:I,"&lt;="&amp;Dashboard!$B24)</f>
        <v>90</v>
      </c>
      <c r="E24" s="34">
        <f>COUNTIFS('Solid-Results'!J:J,"&gt;="&amp;Dashboard!$A24,'Solid-Results'!J:J,"&lt;="&amp;Dashboard!$B24)</f>
        <v>54</v>
      </c>
      <c r="F24" s="34">
        <f>COUNTIFS('Solid-Results'!K:K,"&gt;="&amp;Dashboard!$A24,'Solid-Results'!K:K,"&lt;="&amp;Dashboard!$B24)</f>
        <v>0</v>
      </c>
      <c r="G24" s="34">
        <f>COUNTIFS('Solid-Results'!L:L,"&gt;="&amp;Dashboard!$A24,'Solid-Results'!L:L,"&lt;="&amp;Dashboard!$B24)</f>
        <v>0</v>
      </c>
      <c r="H24" s="34">
        <f>COUNTIFS('Solid-Results'!M:M,"&gt;="&amp;Dashboard!$A24,'Solid-Results'!M:M,"&lt;="&amp;Dashboard!$B24)</f>
        <v>0</v>
      </c>
      <c r="I24" s="34">
        <f>COUNTIFS('Solid-Results'!N:N,"&gt;="&amp;Dashboard!$A24,'Solid-Results'!N:N,"&lt;="&amp;Dashboard!$B24)</f>
        <v>37</v>
      </c>
      <c r="J24" s="34">
        <f>COUNTIFS('Solid-Results'!O:O,"&gt;="&amp;Dashboard!$A24,'Solid-Results'!O:O,"&lt;="&amp;Dashboard!$B24)</f>
        <v>2</v>
      </c>
      <c r="K24" s="34">
        <f>COUNTIFS('Solid-Results'!P:P,"&gt;="&amp;Dashboard!$A24,'Solid-Results'!P:P,"&lt;="&amp;Dashboard!$B24)</f>
        <v>58</v>
      </c>
      <c r="L24" s="34">
        <f>COUNTIFS('Solid-Results'!Q:Q,"&gt;="&amp;Dashboard!$A24,'Solid-Results'!Q:Q,"&lt;="&amp;Dashboard!$B24)</f>
        <v>0</v>
      </c>
      <c r="M24" s="34">
        <f>COUNTIFS('Solid-Results'!R:R,"&gt;="&amp;Dashboard!$A24,'Solid-Results'!R:R,"&lt;="&amp;Dashboard!$B24)</f>
        <v>0</v>
      </c>
      <c r="N24" s="34">
        <f>COUNTIFS('Solid-Results'!S:S,"&gt;="&amp;Dashboard!$A24,'Solid-Results'!S:S,"&lt;="&amp;Dashboard!$B24)</f>
        <v>6</v>
      </c>
      <c r="O24" s="34">
        <f>COUNTIFS('Solid-Results'!T:T,"&gt;="&amp;Dashboard!$A24,'Solid-Results'!T:T,"&lt;="&amp;Dashboard!$B24)</f>
        <v>13</v>
      </c>
      <c r="P24" s="34">
        <f>COUNTIFS('Solid-Results'!U:U,"&gt;="&amp;Dashboard!$A24,'Solid-Results'!U:U,"&lt;="&amp;Dashboard!$B24)</f>
        <v>6</v>
      </c>
      <c r="Q24" s="34">
        <f>COUNTIFS('Solid-Results'!V:V,"&gt;="&amp;Dashboard!$A24,'Solid-Results'!V:V,"&lt;="&amp;Dashboard!$B24)</f>
        <v>0</v>
      </c>
      <c r="R24" s="34">
        <f>COUNTIFS('Solid-Results'!W:W,"&gt;="&amp;Dashboard!$A24,'Solid-Results'!W:W,"&lt;="&amp;Dashboard!$B24)</f>
        <v>13</v>
      </c>
    </row>
    <row r="25" spans="1:18" x14ac:dyDescent="0.2">
      <c r="A25" s="40">
        <f t="shared" si="0"/>
        <v>30.01</v>
      </c>
      <c r="B25" s="39">
        <f t="shared" si="1"/>
        <v>40</v>
      </c>
      <c r="C25" s="34">
        <f>COUNTIFS('Solid-Results'!H:H,"&gt;="&amp;Dashboard!$A25,'Solid-Results'!H:H,"&lt;="&amp;Dashboard!$B25)</f>
        <v>38</v>
      </c>
      <c r="D25" s="34">
        <f>COUNTIFS('Solid-Results'!I:I,"&gt;="&amp;Dashboard!$A25,'Solid-Results'!I:I,"&lt;="&amp;Dashboard!$B25)</f>
        <v>29</v>
      </c>
      <c r="E25" s="34">
        <f>COUNTIFS('Solid-Results'!J:J,"&gt;="&amp;Dashboard!$A25,'Solid-Results'!J:J,"&lt;="&amp;Dashboard!$B25)</f>
        <v>36</v>
      </c>
      <c r="F25" s="34">
        <f>COUNTIFS('Solid-Results'!K:K,"&gt;="&amp;Dashboard!$A25,'Solid-Results'!K:K,"&lt;="&amp;Dashboard!$B25)</f>
        <v>0</v>
      </c>
      <c r="G25" s="34">
        <f>COUNTIFS('Solid-Results'!L:L,"&gt;="&amp;Dashboard!$A25,'Solid-Results'!L:L,"&lt;="&amp;Dashboard!$B25)</f>
        <v>8</v>
      </c>
      <c r="H25" s="34">
        <f>COUNTIFS('Solid-Results'!M:M,"&gt;="&amp;Dashboard!$A25,'Solid-Results'!M:M,"&lt;="&amp;Dashboard!$B25)</f>
        <v>0</v>
      </c>
      <c r="I25" s="34">
        <f>COUNTIFS('Solid-Results'!N:N,"&gt;="&amp;Dashboard!$A25,'Solid-Results'!N:N,"&lt;="&amp;Dashboard!$B25)</f>
        <v>50</v>
      </c>
      <c r="J25" s="34">
        <f>COUNTIFS('Solid-Results'!O:O,"&gt;="&amp;Dashboard!$A25,'Solid-Results'!O:O,"&lt;="&amp;Dashboard!$B25)</f>
        <v>27</v>
      </c>
      <c r="K25" s="34">
        <f>COUNTIFS('Solid-Results'!P:P,"&gt;="&amp;Dashboard!$A25,'Solid-Results'!P:P,"&lt;="&amp;Dashboard!$B25)</f>
        <v>23</v>
      </c>
      <c r="L25" s="34">
        <f>COUNTIFS('Solid-Results'!Q:Q,"&gt;="&amp;Dashboard!$A25,'Solid-Results'!Q:Q,"&lt;="&amp;Dashboard!$B25)</f>
        <v>0</v>
      </c>
      <c r="M25" s="34">
        <f>COUNTIFS('Solid-Results'!R:R,"&gt;="&amp;Dashboard!$A25,'Solid-Results'!R:R,"&lt;="&amp;Dashboard!$B25)</f>
        <v>0</v>
      </c>
      <c r="N25" s="34">
        <f>COUNTIFS('Solid-Results'!S:S,"&gt;="&amp;Dashboard!$A25,'Solid-Results'!S:S,"&lt;="&amp;Dashboard!$B25)</f>
        <v>21</v>
      </c>
      <c r="O25" s="34">
        <f>COUNTIFS('Solid-Results'!T:T,"&gt;="&amp;Dashboard!$A25,'Solid-Results'!T:T,"&lt;="&amp;Dashboard!$B25)</f>
        <v>16</v>
      </c>
      <c r="P25" s="34">
        <f>COUNTIFS('Solid-Results'!U:U,"&gt;="&amp;Dashboard!$A25,'Solid-Results'!U:U,"&lt;="&amp;Dashboard!$B25)</f>
        <v>12</v>
      </c>
      <c r="Q25" s="34">
        <f>COUNTIFS('Solid-Results'!V:V,"&gt;="&amp;Dashboard!$A25,'Solid-Results'!V:V,"&lt;="&amp;Dashboard!$B25)</f>
        <v>9</v>
      </c>
      <c r="R25" s="34">
        <f>COUNTIFS('Solid-Results'!W:W,"&gt;="&amp;Dashboard!$A25,'Solid-Results'!W:W,"&lt;="&amp;Dashboard!$B25)</f>
        <v>24</v>
      </c>
    </row>
    <row r="26" spans="1:18" x14ac:dyDescent="0.2">
      <c r="A26" s="40">
        <f t="shared" si="0"/>
        <v>40.01</v>
      </c>
      <c r="B26" s="39">
        <f t="shared" si="1"/>
        <v>50</v>
      </c>
      <c r="C26" s="34">
        <f>COUNTIFS('Solid-Results'!H:H,"&gt;="&amp;Dashboard!$A26,'Solid-Results'!H:H,"&lt;="&amp;Dashboard!$B26)</f>
        <v>45</v>
      </c>
      <c r="D26" s="34">
        <f>COUNTIFS('Solid-Results'!I:I,"&gt;="&amp;Dashboard!$A26,'Solid-Results'!I:I,"&lt;="&amp;Dashboard!$B26)</f>
        <v>0</v>
      </c>
      <c r="E26" s="34">
        <f>COUNTIFS('Solid-Results'!J:J,"&gt;="&amp;Dashboard!$A26,'Solid-Results'!J:J,"&lt;="&amp;Dashboard!$B26)</f>
        <v>9</v>
      </c>
      <c r="F26" s="34">
        <f>COUNTIFS('Solid-Results'!K:K,"&gt;="&amp;Dashboard!$A26,'Solid-Results'!K:K,"&lt;="&amp;Dashboard!$B26)</f>
        <v>2</v>
      </c>
      <c r="G26" s="34">
        <f>COUNTIFS('Solid-Results'!L:L,"&gt;="&amp;Dashboard!$A26,'Solid-Results'!L:L,"&lt;="&amp;Dashboard!$B26)</f>
        <v>21</v>
      </c>
      <c r="H26" s="34">
        <f>COUNTIFS('Solid-Results'!M:M,"&gt;="&amp;Dashboard!$A26,'Solid-Results'!M:M,"&lt;="&amp;Dashboard!$B26)</f>
        <v>0</v>
      </c>
      <c r="I26" s="34">
        <f>COUNTIFS('Solid-Results'!N:N,"&gt;="&amp;Dashboard!$A26,'Solid-Results'!N:N,"&lt;="&amp;Dashboard!$B26)</f>
        <v>13</v>
      </c>
      <c r="J26" s="34">
        <f>COUNTIFS('Solid-Results'!O:O,"&gt;="&amp;Dashboard!$A26,'Solid-Results'!O:O,"&lt;="&amp;Dashboard!$B26)</f>
        <v>72</v>
      </c>
      <c r="K26" s="34">
        <f>COUNTIFS('Solid-Results'!P:P,"&gt;="&amp;Dashboard!$A26,'Solid-Results'!P:P,"&lt;="&amp;Dashboard!$B26)</f>
        <v>3</v>
      </c>
      <c r="L26" s="34">
        <f>COUNTIFS('Solid-Results'!Q:Q,"&gt;="&amp;Dashboard!$A26,'Solid-Results'!Q:Q,"&lt;="&amp;Dashboard!$B26)</f>
        <v>1</v>
      </c>
      <c r="M26" s="34">
        <f>COUNTIFS('Solid-Results'!R:R,"&gt;="&amp;Dashboard!$A26,'Solid-Results'!R:R,"&lt;="&amp;Dashboard!$B26)</f>
        <v>1</v>
      </c>
      <c r="N26" s="34">
        <f>COUNTIFS('Solid-Results'!S:S,"&gt;="&amp;Dashboard!$A26,'Solid-Results'!S:S,"&lt;="&amp;Dashboard!$B26)</f>
        <v>30</v>
      </c>
      <c r="O26" s="34">
        <f>COUNTIFS('Solid-Results'!T:T,"&gt;="&amp;Dashboard!$A26,'Solid-Results'!T:T,"&lt;="&amp;Dashboard!$B26)</f>
        <v>31</v>
      </c>
      <c r="P26" s="34">
        <f>COUNTIFS('Solid-Results'!U:U,"&gt;="&amp;Dashboard!$A26,'Solid-Results'!U:U,"&lt;="&amp;Dashboard!$B26)</f>
        <v>24</v>
      </c>
      <c r="Q26" s="34">
        <f>COUNTIFS('Solid-Results'!V:V,"&gt;="&amp;Dashboard!$A26,'Solid-Results'!V:V,"&lt;="&amp;Dashboard!$B26)</f>
        <v>31</v>
      </c>
      <c r="R26" s="34">
        <f>COUNTIFS('Solid-Results'!W:W,"&gt;="&amp;Dashboard!$A26,'Solid-Results'!W:W,"&lt;="&amp;Dashboard!$B26)</f>
        <v>42</v>
      </c>
    </row>
    <row r="27" spans="1:18" x14ac:dyDescent="0.2">
      <c r="A27" s="40">
        <f t="shared" si="0"/>
        <v>50.01</v>
      </c>
      <c r="B27" s="39">
        <f t="shared" si="1"/>
        <v>60</v>
      </c>
      <c r="C27" s="34">
        <f>COUNTIFS('Solid-Results'!H:H,"&gt;="&amp;Dashboard!$A27,'Solid-Results'!H:H,"&lt;="&amp;Dashboard!$B27)</f>
        <v>19</v>
      </c>
      <c r="D27" s="34">
        <f>COUNTIFS('Solid-Results'!I:I,"&gt;="&amp;Dashboard!$A27,'Solid-Results'!I:I,"&lt;="&amp;Dashboard!$B27)</f>
        <v>0</v>
      </c>
      <c r="E27" s="34">
        <f>COUNTIFS('Solid-Results'!J:J,"&gt;="&amp;Dashboard!$A27,'Solid-Results'!J:J,"&lt;="&amp;Dashboard!$B27)</f>
        <v>2</v>
      </c>
      <c r="F27" s="34">
        <f>COUNTIFS('Solid-Results'!K:K,"&gt;="&amp;Dashboard!$A27,'Solid-Results'!K:K,"&lt;="&amp;Dashboard!$B27)</f>
        <v>9</v>
      </c>
      <c r="G27" s="34">
        <f>COUNTIFS('Solid-Results'!L:L,"&gt;="&amp;Dashboard!$A27,'Solid-Results'!L:L,"&lt;="&amp;Dashboard!$B27)</f>
        <v>45</v>
      </c>
      <c r="H27" s="34">
        <f>COUNTIFS('Solid-Results'!M:M,"&gt;="&amp;Dashboard!$A27,'Solid-Results'!M:M,"&lt;="&amp;Dashboard!$B27)</f>
        <v>0</v>
      </c>
      <c r="I27" s="34">
        <f>COUNTIFS('Solid-Results'!N:N,"&gt;="&amp;Dashboard!$A27,'Solid-Results'!N:N,"&lt;="&amp;Dashboard!$B27)</f>
        <v>4</v>
      </c>
      <c r="J27" s="34">
        <f>COUNTIFS('Solid-Results'!O:O,"&gt;="&amp;Dashboard!$A27,'Solid-Results'!O:O,"&lt;="&amp;Dashboard!$B27)</f>
        <v>17</v>
      </c>
      <c r="K27" s="34">
        <f>COUNTIFS('Solid-Results'!P:P,"&gt;="&amp;Dashboard!$A27,'Solid-Results'!P:P,"&lt;="&amp;Dashboard!$B27)</f>
        <v>0</v>
      </c>
      <c r="L27" s="34">
        <f>COUNTIFS('Solid-Results'!Q:Q,"&gt;="&amp;Dashboard!$A27,'Solid-Results'!Q:Q,"&lt;="&amp;Dashboard!$B27)</f>
        <v>17</v>
      </c>
      <c r="M27" s="34">
        <f>COUNTIFS('Solid-Results'!R:R,"&gt;="&amp;Dashboard!$A27,'Solid-Results'!R:R,"&lt;="&amp;Dashboard!$B27)</f>
        <v>5</v>
      </c>
      <c r="N27" s="34">
        <f>COUNTIFS('Solid-Results'!S:S,"&gt;="&amp;Dashboard!$A27,'Solid-Results'!S:S,"&lt;="&amp;Dashboard!$B27)</f>
        <v>32</v>
      </c>
      <c r="O27" s="34">
        <f>COUNTIFS('Solid-Results'!T:T,"&gt;="&amp;Dashboard!$A27,'Solid-Results'!T:T,"&lt;="&amp;Dashboard!$B27)</f>
        <v>30</v>
      </c>
      <c r="P27" s="34">
        <f>COUNTIFS('Solid-Results'!U:U,"&gt;="&amp;Dashboard!$A27,'Solid-Results'!U:U,"&lt;="&amp;Dashboard!$B27)</f>
        <v>35</v>
      </c>
      <c r="Q27" s="34">
        <f>COUNTIFS('Solid-Results'!V:V,"&gt;="&amp;Dashboard!$A27,'Solid-Results'!V:V,"&lt;="&amp;Dashboard!$B27)</f>
        <v>43</v>
      </c>
      <c r="R27" s="34">
        <f>COUNTIFS('Solid-Results'!W:W,"&gt;="&amp;Dashboard!$A27,'Solid-Results'!W:W,"&lt;="&amp;Dashboard!$B27)</f>
        <v>31</v>
      </c>
    </row>
    <row r="28" spans="1:18" x14ac:dyDescent="0.2">
      <c r="A28" s="40">
        <f t="shared" si="0"/>
        <v>60.01</v>
      </c>
      <c r="B28" s="39">
        <f t="shared" si="1"/>
        <v>70</v>
      </c>
      <c r="C28" s="34">
        <f>COUNTIFS('Solid-Results'!H:H,"&gt;="&amp;Dashboard!$A28,'Solid-Results'!H:H,"&lt;="&amp;Dashboard!$B28)</f>
        <v>8</v>
      </c>
      <c r="D28" s="34">
        <f>COUNTIFS('Solid-Results'!I:I,"&gt;="&amp;Dashboard!$A28,'Solid-Results'!I:I,"&lt;="&amp;Dashboard!$B28)</f>
        <v>0</v>
      </c>
      <c r="E28" s="34">
        <f>COUNTIFS('Solid-Results'!J:J,"&gt;="&amp;Dashboard!$A28,'Solid-Results'!J:J,"&lt;="&amp;Dashboard!$B28)</f>
        <v>0</v>
      </c>
      <c r="F28" s="34">
        <f>COUNTIFS('Solid-Results'!K:K,"&gt;="&amp;Dashboard!$A28,'Solid-Results'!K:K,"&lt;="&amp;Dashboard!$B28)</f>
        <v>36</v>
      </c>
      <c r="G28" s="34">
        <f>COUNTIFS('Solid-Results'!L:L,"&gt;="&amp;Dashboard!$A28,'Solid-Results'!L:L,"&lt;="&amp;Dashboard!$B28)</f>
        <v>36</v>
      </c>
      <c r="H28" s="34">
        <f>COUNTIFS('Solid-Results'!M:M,"&gt;="&amp;Dashboard!$A28,'Solid-Results'!M:M,"&lt;="&amp;Dashboard!$B28)</f>
        <v>30</v>
      </c>
      <c r="I28" s="34">
        <f>COUNTIFS('Solid-Results'!N:N,"&gt;="&amp;Dashboard!$A28,'Solid-Results'!N:N,"&lt;="&amp;Dashboard!$B28)</f>
        <v>1</v>
      </c>
      <c r="J28" s="34">
        <f>COUNTIFS('Solid-Results'!O:O,"&gt;="&amp;Dashboard!$A28,'Solid-Results'!O:O,"&lt;="&amp;Dashboard!$B28)</f>
        <v>0</v>
      </c>
      <c r="K28" s="34">
        <f>COUNTIFS('Solid-Results'!P:P,"&gt;="&amp;Dashboard!$A28,'Solid-Results'!P:P,"&lt;="&amp;Dashboard!$B28)</f>
        <v>0</v>
      </c>
      <c r="L28" s="34">
        <f>COUNTIFS('Solid-Results'!Q:Q,"&gt;="&amp;Dashboard!$A28,'Solid-Results'!Q:Q,"&lt;="&amp;Dashboard!$B28)</f>
        <v>52</v>
      </c>
      <c r="M28" s="34">
        <f>COUNTIFS('Solid-Results'!R:R,"&gt;="&amp;Dashboard!$A28,'Solid-Results'!R:R,"&lt;="&amp;Dashboard!$B28)</f>
        <v>27</v>
      </c>
      <c r="N28" s="34">
        <f>COUNTIFS('Solid-Results'!S:S,"&gt;="&amp;Dashboard!$A28,'Solid-Results'!S:S,"&lt;="&amp;Dashboard!$B28)</f>
        <v>16</v>
      </c>
      <c r="O28" s="34">
        <f>COUNTIFS('Solid-Results'!T:T,"&gt;="&amp;Dashboard!$A28,'Solid-Results'!T:T,"&lt;="&amp;Dashboard!$B28)</f>
        <v>21</v>
      </c>
      <c r="P28" s="34">
        <f>COUNTIFS('Solid-Results'!U:U,"&gt;="&amp;Dashboard!$A28,'Solid-Results'!U:U,"&lt;="&amp;Dashboard!$B28)</f>
        <v>26</v>
      </c>
      <c r="Q28" s="34">
        <f>COUNTIFS('Solid-Results'!V:V,"&gt;="&amp;Dashboard!$A28,'Solid-Results'!V:V,"&lt;="&amp;Dashboard!$B28)</f>
        <v>23</v>
      </c>
      <c r="R28" s="34">
        <f>COUNTIFS('Solid-Results'!W:W,"&gt;="&amp;Dashboard!$A28,'Solid-Results'!W:W,"&lt;="&amp;Dashboard!$B28)</f>
        <v>9</v>
      </c>
    </row>
    <row r="29" spans="1:18" x14ac:dyDescent="0.2">
      <c r="A29" s="40">
        <f t="shared" si="0"/>
        <v>70.010000000000005</v>
      </c>
      <c r="B29" s="39">
        <f t="shared" si="1"/>
        <v>80</v>
      </c>
      <c r="C29" s="34">
        <f>COUNTIFS('Solid-Results'!H:H,"&gt;="&amp;Dashboard!$A29,'Solid-Results'!H:H,"&lt;="&amp;Dashboard!$B29)</f>
        <v>0</v>
      </c>
      <c r="D29" s="34">
        <f>COUNTIFS('Solid-Results'!I:I,"&gt;="&amp;Dashboard!$A29,'Solid-Results'!I:I,"&lt;="&amp;Dashboard!$B29)</f>
        <v>0</v>
      </c>
      <c r="E29" s="34">
        <f>COUNTIFS('Solid-Results'!J:J,"&gt;="&amp;Dashboard!$A29,'Solid-Results'!J:J,"&lt;="&amp;Dashboard!$B29)</f>
        <v>0</v>
      </c>
      <c r="F29" s="34">
        <f>COUNTIFS('Solid-Results'!K:K,"&gt;="&amp;Dashboard!$A29,'Solid-Results'!K:K,"&lt;="&amp;Dashboard!$B29)</f>
        <v>54</v>
      </c>
      <c r="G29" s="34">
        <f>COUNTIFS('Solid-Results'!L:L,"&gt;="&amp;Dashboard!$A29,'Solid-Results'!L:L,"&lt;="&amp;Dashboard!$B29)</f>
        <v>9</v>
      </c>
      <c r="H29" s="34">
        <f>COUNTIFS('Solid-Results'!M:M,"&gt;="&amp;Dashboard!$A29,'Solid-Results'!M:M,"&lt;="&amp;Dashboard!$B29)</f>
        <v>89</v>
      </c>
      <c r="I29" s="34">
        <f>COUNTIFS('Solid-Results'!N:N,"&gt;="&amp;Dashboard!$A29,'Solid-Results'!N:N,"&lt;="&amp;Dashboard!$B29)</f>
        <v>0</v>
      </c>
      <c r="J29" s="34">
        <f>COUNTIFS('Solid-Results'!O:O,"&gt;="&amp;Dashboard!$A29,'Solid-Results'!O:O,"&lt;="&amp;Dashboard!$B29)</f>
        <v>0</v>
      </c>
      <c r="K29" s="34">
        <f>COUNTIFS('Solid-Results'!P:P,"&gt;="&amp;Dashboard!$A29,'Solid-Results'!P:P,"&lt;="&amp;Dashboard!$B29)</f>
        <v>0</v>
      </c>
      <c r="L29" s="34">
        <f>COUNTIFS('Solid-Results'!Q:Q,"&gt;="&amp;Dashboard!$A29,'Solid-Results'!Q:Q,"&lt;="&amp;Dashboard!$B29)</f>
        <v>35</v>
      </c>
      <c r="M29" s="34">
        <f>COUNTIFS('Solid-Results'!R:R,"&gt;="&amp;Dashboard!$A29,'Solid-Results'!R:R,"&lt;="&amp;Dashboard!$B29)</f>
        <v>46</v>
      </c>
      <c r="N29" s="34">
        <f>COUNTIFS('Solid-Results'!S:S,"&gt;="&amp;Dashboard!$A29,'Solid-Results'!S:S,"&lt;="&amp;Dashboard!$B29)</f>
        <v>12</v>
      </c>
      <c r="O29" s="34">
        <f>COUNTIFS('Solid-Results'!T:T,"&gt;="&amp;Dashboard!$A29,'Solid-Results'!T:T,"&lt;="&amp;Dashboard!$B29)</f>
        <v>6</v>
      </c>
      <c r="P29" s="34">
        <f>COUNTIFS('Solid-Results'!U:U,"&gt;="&amp;Dashboard!$A29,'Solid-Results'!U:U,"&lt;="&amp;Dashboard!$B29)</f>
        <v>15</v>
      </c>
      <c r="Q29" s="34">
        <f>COUNTIFS('Solid-Results'!V:V,"&gt;="&amp;Dashboard!$A29,'Solid-Results'!V:V,"&lt;="&amp;Dashboard!$B29)</f>
        <v>13</v>
      </c>
      <c r="R29" s="34">
        <f>COUNTIFS('Solid-Results'!W:W,"&gt;="&amp;Dashboard!$A29,'Solid-Results'!W:W,"&lt;="&amp;Dashboard!$B29)</f>
        <v>0</v>
      </c>
    </row>
    <row r="30" spans="1:18" x14ac:dyDescent="0.2">
      <c r="A30" s="40">
        <f t="shared" si="0"/>
        <v>80.010000000000005</v>
      </c>
      <c r="B30" s="39">
        <f t="shared" si="1"/>
        <v>90</v>
      </c>
      <c r="C30" s="34">
        <f>COUNTIFS('Solid-Results'!H:H,"&gt;="&amp;Dashboard!$A30,'Solid-Results'!H:H,"&lt;="&amp;Dashboard!$B30)</f>
        <v>0</v>
      </c>
      <c r="D30" s="34">
        <f>COUNTIFS('Solid-Results'!I:I,"&gt;="&amp;Dashboard!$A30,'Solid-Results'!I:I,"&lt;="&amp;Dashboard!$B30)</f>
        <v>0</v>
      </c>
      <c r="E30" s="34">
        <f>COUNTIFS('Solid-Results'!J:J,"&gt;="&amp;Dashboard!$A30,'Solid-Results'!J:J,"&lt;="&amp;Dashboard!$B30)</f>
        <v>0</v>
      </c>
      <c r="F30" s="34">
        <f>COUNTIFS('Solid-Results'!K:K,"&gt;="&amp;Dashboard!$A30,'Solid-Results'!K:K,"&lt;="&amp;Dashboard!$B30)</f>
        <v>17</v>
      </c>
      <c r="G30" s="34">
        <f>COUNTIFS('Solid-Results'!L:L,"&gt;="&amp;Dashboard!$A30,'Solid-Results'!L:L,"&lt;="&amp;Dashboard!$B30)</f>
        <v>0</v>
      </c>
      <c r="H30" s="34">
        <f>COUNTIFS('Solid-Results'!M:M,"&gt;="&amp;Dashboard!$A30,'Solid-Results'!M:M,"&lt;="&amp;Dashboard!$B30)</f>
        <v>0</v>
      </c>
      <c r="I30" s="34">
        <f>COUNTIFS('Solid-Results'!N:N,"&gt;="&amp;Dashboard!$A30,'Solid-Results'!N:N,"&lt;="&amp;Dashboard!$B30)</f>
        <v>0</v>
      </c>
      <c r="J30" s="34">
        <f>COUNTIFS('Solid-Results'!O:O,"&gt;="&amp;Dashboard!$A30,'Solid-Results'!O:O,"&lt;="&amp;Dashboard!$B30)</f>
        <v>0</v>
      </c>
      <c r="K30" s="34">
        <f>COUNTIFS('Solid-Results'!P:P,"&gt;="&amp;Dashboard!$A30,'Solid-Results'!P:P,"&lt;="&amp;Dashboard!$B30)</f>
        <v>0</v>
      </c>
      <c r="L30" s="34">
        <f>COUNTIFS('Solid-Results'!Q:Q,"&gt;="&amp;Dashboard!$A30,'Solid-Results'!Q:Q,"&lt;="&amp;Dashboard!$B30)</f>
        <v>13</v>
      </c>
      <c r="M30" s="34">
        <f>COUNTIFS('Solid-Results'!R:R,"&gt;="&amp;Dashboard!$A30,'Solid-Results'!R:R,"&lt;="&amp;Dashboard!$B30)</f>
        <v>30</v>
      </c>
      <c r="N30" s="34">
        <f>COUNTIFS('Solid-Results'!S:S,"&gt;="&amp;Dashboard!$A30,'Solid-Results'!S:S,"&lt;="&amp;Dashboard!$B30)</f>
        <v>2</v>
      </c>
      <c r="O30" s="34">
        <f>COUNTIFS('Solid-Results'!T:T,"&gt;="&amp;Dashboard!$A30,'Solid-Results'!T:T,"&lt;="&amp;Dashboard!$B30)</f>
        <v>0</v>
      </c>
      <c r="P30" s="34">
        <f>COUNTIFS('Solid-Results'!U:U,"&gt;="&amp;Dashboard!$A30,'Solid-Results'!U:U,"&lt;="&amp;Dashboard!$B30)</f>
        <v>1</v>
      </c>
      <c r="Q30" s="34">
        <f>COUNTIFS('Solid-Results'!V:V,"&gt;="&amp;Dashboard!$A30,'Solid-Results'!V:V,"&lt;="&amp;Dashboard!$B30)</f>
        <v>0</v>
      </c>
      <c r="R30" s="34">
        <f>COUNTIFS('Solid-Results'!W:W,"&gt;="&amp;Dashboard!$A30,'Solid-Results'!W:W,"&lt;="&amp;Dashboard!$B30)</f>
        <v>0</v>
      </c>
    </row>
    <row r="31" spans="1:18" x14ac:dyDescent="0.2">
      <c r="A31" s="40">
        <f t="shared" si="0"/>
        <v>90.01</v>
      </c>
      <c r="B31" s="39">
        <f t="shared" si="1"/>
        <v>100</v>
      </c>
      <c r="C31" s="34">
        <f>COUNTIFS('Solid-Results'!H:H,"&gt;="&amp;Dashboard!$A31,'Solid-Results'!H:H,"&lt;="&amp;Dashboard!$B31)</f>
        <v>0</v>
      </c>
      <c r="D31" s="34">
        <f>COUNTIFS('Solid-Results'!I:I,"&gt;="&amp;Dashboard!$A31,'Solid-Results'!I:I,"&lt;="&amp;Dashboard!$B31)</f>
        <v>0</v>
      </c>
      <c r="E31" s="34">
        <f>COUNTIFS('Solid-Results'!J:J,"&gt;="&amp;Dashboard!$A31,'Solid-Results'!J:J,"&lt;="&amp;Dashboard!$B31)</f>
        <v>0</v>
      </c>
      <c r="F31" s="34">
        <f>COUNTIFS('Solid-Results'!K:K,"&gt;="&amp;Dashboard!$A31,'Solid-Results'!K:K,"&lt;="&amp;Dashboard!$B31)</f>
        <v>1</v>
      </c>
      <c r="G31" s="34">
        <f>COUNTIFS('Solid-Results'!L:L,"&gt;="&amp;Dashboard!$A31,'Solid-Results'!L:L,"&lt;="&amp;Dashboard!$B31)</f>
        <v>0</v>
      </c>
      <c r="H31" s="34">
        <f>COUNTIFS('Solid-Results'!M:M,"&gt;="&amp;Dashboard!$A31,'Solid-Results'!M:M,"&lt;="&amp;Dashboard!$B31)</f>
        <v>0</v>
      </c>
      <c r="I31" s="34">
        <f>COUNTIFS('Solid-Results'!N:N,"&gt;="&amp;Dashboard!$A31,'Solid-Results'!N:N,"&lt;="&amp;Dashboard!$B31)</f>
        <v>0</v>
      </c>
      <c r="J31" s="34">
        <f>COUNTIFS('Solid-Results'!O:O,"&gt;="&amp;Dashboard!$A31,'Solid-Results'!O:O,"&lt;="&amp;Dashboard!$B31)</f>
        <v>0</v>
      </c>
      <c r="K31" s="34">
        <f>COUNTIFS('Solid-Results'!P:P,"&gt;="&amp;Dashboard!$A31,'Solid-Results'!P:P,"&lt;="&amp;Dashboard!$B31)</f>
        <v>0</v>
      </c>
      <c r="L31" s="34">
        <f>COUNTIFS('Solid-Results'!Q:Q,"&gt;="&amp;Dashboard!$A31,'Solid-Results'!Q:Q,"&lt;="&amp;Dashboard!$B31)</f>
        <v>0</v>
      </c>
      <c r="M31" s="34">
        <f>COUNTIFS('Solid-Results'!R:R,"&gt;="&amp;Dashboard!$A31,'Solid-Results'!R:R,"&lt;="&amp;Dashboard!$B31)</f>
        <v>10</v>
      </c>
      <c r="N31" s="34">
        <f>COUNTIFS('Solid-Results'!S:S,"&gt;="&amp;Dashboard!$A31,'Solid-Results'!S:S,"&lt;="&amp;Dashboard!$B31)</f>
        <v>0</v>
      </c>
      <c r="O31" s="34">
        <f>COUNTIFS('Solid-Results'!T:T,"&gt;="&amp;Dashboard!$A31,'Solid-Results'!T:T,"&lt;="&amp;Dashboard!$B31)</f>
        <v>0</v>
      </c>
      <c r="P31" s="34">
        <f>COUNTIFS('Solid-Results'!U:U,"&gt;="&amp;Dashboard!$A31,'Solid-Results'!U:U,"&lt;="&amp;Dashboard!$B31)</f>
        <v>0</v>
      </c>
      <c r="Q31" s="34">
        <f>COUNTIFS('Solid-Results'!V:V,"&gt;="&amp;Dashboard!$A31,'Solid-Results'!V:V,"&lt;="&amp;Dashboard!$B31)</f>
        <v>0</v>
      </c>
      <c r="R31" s="34">
        <f>COUNTIFS('Solid-Results'!W:W,"&gt;="&amp;Dashboard!$A31,'Solid-Results'!W:W,"&lt;="&amp;Dashboard!$B31)</f>
        <v>0</v>
      </c>
    </row>
    <row r="33" spans="1:18" x14ac:dyDescent="0.2">
      <c r="A33" s="41" t="s">
        <v>2225</v>
      </c>
    </row>
    <row r="34" spans="1:18" x14ac:dyDescent="0.2">
      <c r="A34" s="37" t="s">
        <v>2221</v>
      </c>
      <c r="B34" s="33" t="s">
        <v>2222</v>
      </c>
      <c r="C34" s="37" t="s">
        <v>439</v>
      </c>
      <c r="D34" s="37" t="s">
        <v>4</v>
      </c>
      <c r="E34" s="37" t="s">
        <v>440</v>
      </c>
      <c r="F34" s="37" t="s">
        <v>5</v>
      </c>
      <c r="G34" s="37" t="s">
        <v>6</v>
      </c>
      <c r="H34" s="37" t="s">
        <v>441</v>
      </c>
      <c r="I34" s="37" t="s">
        <v>7</v>
      </c>
      <c r="J34" s="37" t="s">
        <v>8</v>
      </c>
      <c r="K34" s="37" t="s">
        <v>9</v>
      </c>
      <c r="L34" s="37" t="s">
        <v>10</v>
      </c>
      <c r="M34" s="37" t="s">
        <v>11</v>
      </c>
      <c r="N34" s="37" t="s">
        <v>12</v>
      </c>
      <c r="O34" s="37" t="s">
        <v>13</v>
      </c>
      <c r="P34" s="37" t="s">
        <v>14</v>
      </c>
      <c r="Q34" s="37" t="s">
        <v>15</v>
      </c>
      <c r="R34" s="37" t="s">
        <v>16</v>
      </c>
    </row>
    <row r="35" spans="1:18" x14ac:dyDescent="0.2">
      <c r="A35" s="38">
        <v>0</v>
      </c>
      <c r="B35" s="39">
        <v>10</v>
      </c>
      <c r="C35" s="34">
        <f>COUNTIFS('Solid-Results'!H:H,"&gt;="&amp;Dashboard!$A35,'Solid-Results'!H:H,"&lt;="&amp;Dashboard!$B35,'Solid-Results'!AB:AB,"Green")</f>
        <v>0</v>
      </c>
      <c r="D35" s="34">
        <f>COUNTIFS('Solid-Results'!I:I,"&gt;="&amp;Dashboard!$A35,'Solid-Results'!I:I,"&lt;="&amp;Dashboard!$B35,'Solid-Results'!AC:AC,"Green")</f>
        <v>0</v>
      </c>
      <c r="E35" s="34">
        <f>COUNTIFS('Solid-Results'!J:J,"&gt;="&amp;Dashboard!$A35,'Solid-Results'!J:J,"&lt;="&amp;Dashboard!$B35,'Solid-Results'!AD:AD,"Green")</f>
        <v>0</v>
      </c>
      <c r="F35" s="34">
        <f>COUNTIFS('Solid-Results'!K:K,"&gt;="&amp;Dashboard!$A35,'Solid-Results'!K:K,"&lt;="&amp;Dashboard!$B35,'Solid-Results'!AE:AE,"Green")</f>
        <v>0</v>
      </c>
      <c r="G35" s="34">
        <f>COUNTIFS('Solid-Results'!L:L,"&gt;="&amp;Dashboard!$A35,'Solid-Results'!L:L,"&lt;="&amp;Dashboard!$B35,'Solid-Results'!AF:AF,"Green")</f>
        <v>0</v>
      </c>
      <c r="H35" s="34">
        <f>COUNTIFS('Solid-Results'!M:M,"&gt;="&amp;Dashboard!$A35,'Solid-Results'!M:M,"&lt;="&amp;Dashboard!$B35,'Solid-Results'!AG:AG,"Green")</f>
        <v>0</v>
      </c>
      <c r="I35" s="34">
        <f>COUNTIFS('Solid-Results'!N:N,"&gt;="&amp;Dashboard!$A35,'Solid-Results'!N:N,"&lt;="&amp;Dashboard!$B35,'Solid-Results'!AH:AH,"Green")</f>
        <v>0</v>
      </c>
      <c r="J35" s="34">
        <f>COUNTIFS('Solid-Results'!O:O,"&gt;="&amp;Dashboard!$A35,'Solid-Results'!O:O,"&lt;="&amp;Dashboard!$B35,'Solid-Results'!AI:AI,"Green")</f>
        <v>0</v>
      </c>
      <c r="K35" s="34">
        <f>COUNTIFS('Solid-Results'!P:P,"&gt;="&amp;Dashboard!$A35,'Solid-Results'!P:P,"&lt;="&amp;Dashboard!$B35,'Solid-Results'!AJ:AJ,"Green")</f>
        <v>0</v>
      </c>
      <c r="L35" s="34">
        <f>COUNTIFS('Solid-Results'!Q:Q,"&gt;="&amp;Dashboard!$A35,'Solid-Results'!Q:Q,"&lt;="&amp;Dashboard!$B35,'Solid-Results'!AK:AK,"Green")</f>
        <v>0</v>
      </c>
      <c r="M35" s="34">
        <f>COUNTIFS('Solid-Results'!R:R,"&gt;="&amp;Dashboard!$A35,'Solid-Results'!R:R,"&lt;="&amp;Dashboard!$B35,'Solid-Results'!AL:AL,"Green")</f>
        <v>0</v>
      </c>
      <c r="N35" s="34">
        <f>COUNTIFS('Solid-Results'!S:S,"&gt;="&amp;Dashboard!$A35,'Solid-Results'!S:S,"&lt;="&amp;Dashboard!$B35,'Solid-Results'!AM:AM,"Green")</f>
        <v>0</v>
      </c>
      <c r="O35" s="34">
        <f>COUNTIFS('Solid-Results'!T:T,"&gt;="&amp;Dashboard!$A35,'Solid-Results'!T:T,"&lt;="&amp;Dashboard!$B35,'Solid-Results'!AN:AN,"Green")</f>
        <v>0</v>
      </c>
      <c r="P35" s="34">
        <f>COUNTIFS('Solid-Results'!U:U,"&gt;="&amp;Dashboard!$A35,'Solid-Results'!U:U,"&lt;="&amp;Dashboard!$B35,'Solid-Results'!AO:AO,"Green")</f>
        <v>0</v>
      </c>
      <c r="Q35" s="34">
        <f>COUNTIFS('Solid-Results'!V:V,"&gt;="&amp;Dashboard!$A35,'Solid-Results'!V:V,"&lt;="&amp;Dashboard!$B35,'Solid-Results'!AP:AP,"Green")</f>
        <v>0</v>
      </c>
      <c r="R35" s="34">
        <f>COUNTIFS('Solid-Results'!W:W,"&gt;="&amp;Dashboard!$A35,'Solid-Results'!W:W,"&lt;="&amp;Dashboard!$B35,'Solid-Results'!AQ:AQ,"Green")</f>
        <v>0</v>
      </c>
    </row>
    <row r="36" spans="1:18" x14ac:dyDescent="0.2">
      <c r="A36" s="40">
        <f>B35+0.01</f>
        <v>10.01</v>
      </c>
      <c r="B36" s="39">
        <f>B35+10</f>
        <v>20</v>
      </c>
      <c r="C36" s="34">
        <f>COUNTIFS('Solid-Results'!H:H,"&gt;="&amp;Dashboard!$A36,'Solid-Results'!H:H,"&lt;="&amp;Dashboard!$B36,'Solid-Results'!AB:AB,"Green")</f>
        <v>0</v>
      </c>
      <c r="D36" s="34">
        <f>COUNTIFS('Solid-Results'!I:I,"&gt;="&amp;Dashboard!$A36,'Solid-Results'!I:I,"&lt;="&amp;Dashboard!$B36,'Solid-Results'!AC:AC,"Green")</f>
        <v>0</v>
      </c>
      <c r="E36" s="34">
        <f>COUNTIFS('Solid-Results'!J:J,"&gt;="&amp;Dashboard!$A36,'Solid-Results'!J:J,"&lt;="&amp;Dashboard!$B36,'Solid-Results'!AD:AD,"Green")</f>
        <v>5</v>
      </c>
      <c r="F36" s="34">
        <f>COUNTIFS('Solid-Results'!K:K,"&gt;="&amp;Dashboard!$A36,'Solid-Results'!K:K,"&lt;="&amp;Dashboard!$B36,'Solid-Results'!AE:AE,"Green")</f>
        <v>0</v>
      </c>
      <c r="G36" s="34">
        <f>COUNTIFS('Solid-Results'!L:L,"&gt;="&amp;Dashboard!$A36,'Solid-Results'!L:L,"&lt;="&amp;Dashboard!$B36,'Solid-Results'!AF:AF,"Green")</f>
        <v>0</v>
      </c>
      <c r="H36" s="34">
        <f>COUNTIFS('Solid-Results'!M:M,"&gt;="&amp;Dashboard!$A36,'Solid-Results'!M:M,"&lt;="&amp;Dashboard!$B36,'Solid-Results'!AG:AG,"Green")</f>
        <v>0</v>
      </c>
      <c r="I36" s="34">
        <f>COUNTIFS('Solid-Results'!N:N,"&gt;="&amp;Dashboard!$A36,'Solid-Results'!N:N,"&lt;="&amp;Dashboard!$B36,'Solid-Results'!AH:AH,"Green")</f>
        <v>3</v>
      </c>
      <c r="J36" s="34">
        <f>COUNTIFS('Solid-Results'!O:O,"&gt;="&amp;Dashboard!$A36,'Solid-Results'!O:O,"&lt;="&amp;Dashboard!$B36,'Solid-Results'!AI:AI,"Green")</f>
        <v>0</v>
      </c>
      <c r="K36" s="34">
        <f>COUNTIFS('Solid-Results'!P:P,"&gt;="&amp;Dashboard!$A36,'Solid-Results'!P:P,"&lt;="&amp;Dashboard!$B36,'Solid-Results'!AJ:AJ,"Green")</f>
        <v>6</v>
      </c>
      <c r="L36" s="34">
        <f>COUNTIFS('Solid-Results'!Q:Q,"&gt;="&amp;Dashboard!$A36,'Solid-Results'!Q:Q,"&lt;="&amp;Dashboard!$B36,'Solid-Results'!AK:AK,"Green")</f>
        <v>0</v>
      </c>
      <c r="M36" s="34">
        <f>COUNTIFS('Solid-Results'!R:R,"&gt;="&amp;Dashboard!$A36,'Solid-Results'!R:R,"&lt;="&amp;Dashboard!$B36,'Solid-Results'!AL:AL,"Green")</f>
        <v>0</v>
      </c>
      <c r="N36" s="34">
        <f>COUNTIFS('Solid-Results'!S:S,"&gt;="&amp;Dashboard!$A36,'Solid-Results'!S:S,"&lt;="&amp;Dashboard!$B36,'Solid-Results'!AM:AM,"Green")</f>
        <v>0</v>
      </c>
      <c r="O36" s="34">
        <f>COUNTIFS('Solid-Results'!T:T,"&gt;="&amp;Dashboard!$A36,'Solid-Results'!T:T,"&lt;="&amp;Dashboard!$B36,'Solid-Results'!AN:AN,"Green")</f>
        <v>0</v>
      </c>
      <c r="P36" s="34">
        <f>COUNTIFS('Solid-Results'!U:U,"&gt;="&amp;Dashboard!$A36,'Solid-Results'!U:U,"&lt;="&amp;Dashboard!$B36,'Solid-Results'!AO:AO,"Green")</f>
        <v>0</v>
      </c>
      <c r="Q36" s="34">
        <f>COUNTIFS('Solid-Results'!V:V,"&gt;="&amp;Dashboard!$A36,'Solid-Results'!V:V,"&lt;="&amp;Dashboard!$B36,'Solid-Results'!AP:AP,"Green")</f>
        <v>0</v>
      </c>
      <c r="R36" s="34">
        <f>COUNTIFS('Solid-Results'!W:W,"&gt;="&amp;Dashboard!$A36,'Solid-Results'!W:W,"&lt;="&amp;Dashboard!$B36,'Solid-Results'!AQ:AQ,"Green")</f>
        <v>0</v>
      </c>
    </row>
    <row r="37" spans="1:18" x14ac:dyDescent="0.2">
      <c r="A37" s="40">
        <f t="shared" ref="A37:A44" si="2">B36+0.01</f>
        <v>20.010000000000002</v>
      </c>
      <c r="B37" s="39">
        <f t="shared" ref="B37:B44" si="3">B36+10</f>
        <v>30</v>
      </c>
      <c r="C37" s="34">
        <f>COUNTIFS('Solid-Results'!H:H,"&gt;="&amp;Dashboard!$A37,'Solid-Results'!H:H,"&lt;="&amp;Dashboard!$B37,'Solid-Results'!AB:AB,"Green")</f>
        <v>0</v>
      </c>
      <c r="D37" s="34">
        <f>COUNTIFS('Solid-Results'!I:I,"&gt;="&amp;Dashboard!$A37,'Solid-Results'!I:I,"&lt;="&amp;Dashboard!$B37,'Solid-Results'!AC:AC,"Green")</f>
        <v>18</v>
      </c>
      <c r="E37" s="34">
        <f>COUNTIFS('Solid-Results'!J:J,"&gt;="&amp;Dashboard!$A37,'Solid-Results'!J:J,"&lt;="&amp;Dashboard!$B37,'Solid-Results'!AD:AD,"Green")</f>
        <v>12</v>
      </c>
      <c r="F37" s="34">
        <f>COUNTIFS('Solid-Results'!K:K,"&gt;="&amp;Dashboard!$A37,'Solid-Results'!K:K,"&lt;="&amp;Dashboard!$B37,'Solid-Results'!AE:AE,"Green")</f>
        <v>0</v>
      </c>
      <c r="G37" s="34">
        <f>COUNTIFS('Solid-Results'!L:L,"&gt;="&amp;Dashboard!$A37,'Solid-Results'!L:L,"&lt;="&amp;Dashboard!$B37,'Solid-Results'!AF:AF,"Green")</f>
        <v>0</v>
      </c>
      <c r="H37" s="34">
        <f>COUNTIFS('Solid-Results'!M:M,"&gt;="&amp;Dashboard!$A37,'Solid-Results'!M:M,"&lt;="&amp;Dashboard!$B37,'Solid-Results'!AG:AG,"Green")</f>
        <v>0</v>
      </c>
      <c r="I37" s="34">
        <f>COUNTIFS('Solid-Results'!N:N,"&gt;="&amp;Dashboard!$A37,'Solid-Results'!N:N,"&lt;="&amp;Dashboard!$B37,'Solid-Results'!AH:AH,"Green")</f>
        <v>17</v>
      </c>
      <c r="J37" s="34">
        <f>COUNTIFS('Solid-Results'!O:O,"&gt;="&amp;Dashboard!$A37,'Solid-Results'!O:O,"&lt;="&amp;Dashboard!$B37,'Solid-Results'!AI:AI,"Green")</f>
        <v>1</v>
      </c>
      <c r="K37" s="34">
        <f>COUNTIFS('Solid-Results'!P:P,"&gt;="&amp;Dashboard!$A37,'Solid-Results'!P:P,"&lt;="&amp;Dashboard!$B37,'Solid-Results'!AJ:AJ,"Green")</f>
        <v>11</v>
      </c>
      <c r="L37" s="34">
        <f>COUNTIFS('Solid-Results'!Q:Q,"&gt;="&amp;Dashboard!$A37,'Solid-Results'!Q:Q,"&lt;="&amp;Dashboard!$B37,'Solid-Results'!AK:AK,"Green")</f>
        <v>0</v>
      </c>
      <c r="M37" s="34">
        <f>COUNTIFS('Solid-Results'!R:R,"&gt;="&amp;Dashboard!$A37,'Solid-Results'!R:R,"&lt;="&amp;Dashboard!$B37,'Solid-Results'!AL:AL,"Green")</f>
        <v>0</v>
      </c>
      <c r="N37" s="34">
        <f>COUNTIFS('Solid-Results'!S:S,"&gt;="&amp;Dashboard!$A37,'Solid-Results'!S:S,"&lt;="&amp;Dashboard!$B37,'Solid-Results'!AM:AM,"Green")</f>
        <v>2</v>
      </c>
      <c r="O37" s="34">
        <f>COUNTIFS('Solid-Results'!T:T,"&gt;="&amp;Dashboard!$A37,'Solid-Results'!T:T,"&lt;="&amp;Dashboard!$B37,'Solid-Results'!AN:AN,"Green")</f>
        <v>2</v>
      </c>
      <c r="P37" s="34">
        <f>COUNTIFS('Solid-Results'!U:U,"&gt;="&amp;Dashboard!$A37,'Solid-Results'!U:U,"&lt;="&amp;Dashboard!$B37,'Solid-Results'!AO:AO,"Green")</f>
        <v>3</v>
      </c>
      <c r="Q37" s="34">
        <f>COUNTIFS('Solid-Results'!V:V,"&gt;="&amp;Dashboard!$A37,'Solid-Results'!V:V,"&lt;="&amp;Dashboard!$B37,'Solid-Results'!AP:AP,"Green")</f>
        <v>0</v>
      </c>
      <c r="R37" s="34">
        <f>COUNTIFS('Solid-Results'!W:W,"&gt;="&amp;Dashboard!$A37,'Solid-Results'!W:W,"&lt;="&amp;Dashboard!$B37,'Solid-Results'!AQ:AQ,"Green")</f>
        <v>2</v>
      </c>
    </row>
    <row r="38" spans="1:18" x14ac:dyDescent="0.2">
      <c r="A38" s="40">
        <f t="shared" si="2"/>
        <v>30.01</v>
      </c>
      <c r="B38" s="39">
        <f t="shared" si="3"/>
        <v>40</v>
      </c>
      <c r="C38" s="34">
        <f>COUNTIFS('Solid-Results'!H:H,"&gt;="&amp;Dashboard!$A38,'Solid-Results'!H:H,"&lt;="&amp;Dashboard!$B38,'Solid-Results'!AB:AB,"Green")</f>
        <v>17</v>
      </c>
      <c r="D38" s="34">
        <f>COUNTIFS('Solid-Results'!I:I,"&gt;="&amp;Dashboard!$A38,'Solid-Results'!I:I,"&lt;="&amp;Dashboard!$B38,'Solid-Results'!AC:AC,"Green")</f>
        <v>8</v>
      </c>
      <c r="E38" s="34">
        <f>COUNTIFS('Solid-Results'!J:J,"&gt;="&amp;Dashboard!$A38,'Solid-Results'!J:J,"&lt;="&amp;Dashboard!$B38,'Solid-Results'!AD:AD,"Green")</f>
        <v>10</v>
      </c>
      <c r="F38" s="34">
        <f>COUNTIFS('Solid-Results'!K:K,"&gt;="&amp;Dashboard!$A38,'Solid-Results'!K:K,"&lt;="&amp;Dashboard!$B38,'Solid-Results'!AE:AE,"Green")</f>
        <v>0</v>
      </c>
      <c r="G38" s="34">
        <f>COUNTIFS('Solid-Results'!L:L,"&gt;="&amp;Dashboard!$A38,'Solid-Results'!L:L,"&lt;="&amp;Dashboard!$B38,'Solid-Results'!AF:AF,"Green")</f>
        <v>1</v>
      </c>
      <c r="H38" s="34">
        <f>COUNTIFS('Solid-Results'!M:M,"&gt;="&amp;Dashboard!$A38,'Solid-Results'!M:M,"&lt;="&amp;Dashboard!$B38,'Solid-Results'!AG:AG,"Green")</f>
        <v>0</v>
      </c>
      <c r="I38" s="34">
        <f>COUNTIFS('Solid-Results'!N:N,"&gt;="&amp;Dashboard!$A38,'Solid-Results'!N:N,"&lt;="&amp;Dashboard!$B38,'Solid-Results'!AH:AH,"Green")</f>
        <v>17</v>
      </c>
      <c r="J38" s="34">
        <f>COUNTIFS('Solid-Results'!O:O,"&gt;="&amp;Dashboard!$A38,'Solid-Results'!O:O,"&lt;="&amp;Dashboard!$B38,'Solid-Results'!AI:AI,"Green")</f>
        <v>10</v>
      </c>
      <c r="K38" s="34">
        <f>COUNTIFS('Solid-Results'!P:P,"&gt;="&amp;Dashboard!$A38,'Solid-Results'!P:P,"&lt;="&amp;Dashboard!$B38,'Solid-Results'!AJ:AJ,"Green")</f>
        <v>6</v>
      </c>
      <c r="L38" s="34">
        <f>COUNTIFS('Solid-Results'!Q:Q,"&gt;="&amp;Dashboard!$A38,'Solid-Results'!Q:Q,"&lt;="&amp;Dashboard!$B38,'Solid-Results'!AK:AK,"Green")</f>
        <v>0</v>
      </c>
      <c r="M38" s="34">
        <f>COUNTIFS('Solid-Results'!R:R,"&gt;="&amp;Dashboard!$A38,'Solid-Results'!R:R,"&lt;="&amp;Dashboard!$B38,'Solid-Results'!AL:AL,"Green")</f>
        <v>0</v>
      </c>
      <c r="N38" s="34">
        <f>COUNTIFS('Solid-Results'!S:S,"&gt;="&amp;Dashboard!$A38,'Solid-Results'!S:S,"&lt;="&amp;Dashboard!$B38,'Solid-Results'!AM:AM,"Green")</f>
        <v>10</v>
      </c>
      <c r="O38" s="34">
        <f>COUNTIFS('Solid-Results'!T:T,"&gt;="&amp;Dashboard!$A38,'Solid-Results'!T:T,"&lt;="&amp;Dashboard!$B38,'Solid-Results'!AN:AN,"Green")</f>
        <v>5</v>
      </c>
      <c r="P38" s="34">
        <f>COUNTIFS('Solid-Results'!U:U,"&gt;="&amp;Dashboard!$A38,'Solid-Results'!U:U,"&lt;="&amp;Dashboard!$B38,'Solid-Results'!AO:AO,"Green")</f>
        <v>6</v>
      </c>
      <c r="Q38" s="34">
        <f>COUNTIFS('Solid-Results'!V:V,"&gt;="&amp;Dashboard!$A38,'Solid-Results'!V:V,"&lt;="&amp;Dashboard!$B38,'Solid-Results'!AP:AP,"Green")</f>
        <v>5</v>
      </c>
      <c r="R38" s="34">
        <f>COUNTIFS('Solid-Results'!W:W,"&gt;="&amp;Dashboard!$A38,'Solid-Results'!W:W,"&lt;="&amp;Dashboard!$B38,'Solid-Results'!AQ:AQ,"Green")</f>
        <v>12</v>
      </c>
    </row>
    <row r="39" spans="1:18" x14ac:dyDescent="0.2">
      <c r="A39" s="40">
        <f t="shared" si="2"/>
        <v>40.01</v>
      </c>
      <c r="B39" s="39">
        <f t="shared" si="3"/>
        <v>50</v>
      </c>
      <c r="C39" s="34">
        <f>COUNTIFS('Solid-Results'!H:H,"&gt;="&amp;Dashboard!$A39,'Solid-Results'!H:H,"&lt;="&amp;Dashboard!$B39,'Solid-Results'!AB:AB,"Green")</f>
        <v>26</v>
      </c>
      <c r="D39" s="34">
        <f>COUNTIFS('Solid-Results'!I:I,"&gt;="&amp;Dashboard!$A39,'Solid-Results'!I:I,"&lt;="&amp;Dashboard!$B39,'Solid-Results'!AC:AC,"Green")</f>
        <v>0</v>
      </c>
      <c r="E39" s="34">
        <f>COUNTIFS('Solid-Results'!J:J,"&gt;="&amp;Dashboard!$A39,'Solid-Results'!J:J,"&lt;="&amp;Dashboard!$B39,'Solid-Results'!AD:AD,"Green")</f>
        <v>4</v>
      </c>
      <c r="F39" s="34">
        <f>COUNTIFS('Solid-Results'!K:K,"&gt;="&amp;Dashboard!$A39,'Solid-Results'!K:K,"&lt;="&amp;Dashboard!$B39,'Solid-Results'!AE:AE,"Green")</f>
        <v>1</v>
      </c>
      <c r="G39" s="34">
        <f>COUNTIFS('Solid-Results'!L:L,"&gt;="&amp;Dashboard!$A39,'Solid-Results'!L:L,"&lt;="&amp;Dashboard!$B39,'Solid-Results'!AF:AF,"Green")</f>
        <v>9</v>
      </c>
      <c r="H39" s="34">
        <f>COUNTIFS('Solid-Results'!M:M,"&gt;="&amp;Dashboard!$A39,'Solid-Results'!M:M,"&lt;="&amp;Dashboard!$B39,'Solid-Results'!AG:AG,"Green")</f>
        <v>0</v>
      </c>
      <c r="I39" s="34">
        <f>COUNTIFS('Solid-Results'!N:N,"&gt;="&amp;Dashboard!$A39,'Solid-Results'!N:N,"&lt;="&amp;Dashboard!$B39,'Solid-Results'!AH:AH,"Green")</f>
        <v>3</v>
      </c>
      <c r="J39" s="34">
        <f>COUNTIFS('Solid-Results'!O:O,"&gt;="&amp;Dashboard!$A39,'Solid-Results'!O:O,"&lt;="&amp;Dashboard!$B39,'Solid-Results'!AI:AI,"Green")</f>
        <v>29</v>
      </c>
      <c r="K39" s="34">
        <f>COUNTIFS('Solid-Results'!P:P,"&gt;="&amp;Dashboard!$A39,'Solid-Results'!P:P,"&lt;="&amp;Dashboard!$B39,'Solid-Results'!AJ:AJ,"Green")</f>
        <v>2</v>
      </c>
      <c r="L39" s="34">
        <f>COUNTIFS('Solid-Results'!Q:Q,"&gt;="&amp;Dashboard!$A39,'Solid-Results'!Q:Q,"&lt;="&amp;Dashboard!$B39,'Solid-Results'!AK:AK,"Green")</f>
        <v>1</v>
      </c>
      <c r="M39" s="34">
        <f>COUNTIFS('Solid-Results'!R:R,"&gt;="&amp;Dashboard!$A39,'Solid-Results'!R:R,"&lt;="&amp;Dashboard!$B39,'Solid-Results'!AL:AL,"Green")</f>
        <v>1</v>
      </c>
      <c r="N39" s="34">
        <f>COUNTIFS('Solid-Results'!S:S,"&gt;="&amp;Dashboard!$A39,'Solid-Results'!S:S,"&lt;="&amp;Dashboard!$B39,'Solid-Results'!AM:AM,"Green")</f>
        <v>18</v>
      </c>
      <c r="O39" s="34">
        <f>COUNTIFS('Solid-Results'!T:T,"&gt;="&amp;Dashboard!$A39,'Solid-Results'!T:T,"&lt;="&amp;Dashboard!$B39,'Solid-Results'!AN:AN,"Green")</f>
        <v>13</v>
      </c>
      <c r="P39" s="34">
        <f>COUNTIFS('Solid-Results'!U:U,"&gt;="&amp;Dashboard!$A39,'Solid-Results'!U:U,"&lt;="&amp;Dashboard!$B39,'Solid-Results'!AO:AO,"Green")</f>
        <v>14</v>
      </c>
      <c r="Q39" s="34">
        <f>COUNTIFS('Solid-Results'!V:V,"&gt;="&amp;Dashboard!$A39,'Solid-Results'!V:V,"&lt;="&amp;Dashboard!$B39,'Solid-Results'!AP:AP,"Green")</f>
        <v>19</v>
      </c>
      <c r="R39" s="34">
        <f>COUNTIFS('Solid-Results'!W:W,"&gt;="&amp;Dashboard!$A39,'Solid-Results'!W:W,"&lt;="&amp;Dashboard!$B39,'Solid-Results'!AQ:AQ,"Green")</f>
        <v>16</v>
      </c>
    </row>
    <row r="40" spans="1:18" x14ac:dyDescent="0.2">
      <c r="A40" s="40">
        <f t="shared" si="2"/>
        <v>50.01</v>
      </c>
      <c r="B40" s="39">
        <f t="shared" si="3"/>
        <v>60</v>
      </c>
      <c r="C40" s="34">
        <f>COUNTIFS('Solid-Results'!H:H,"&gt;="&amp;Dashboard!$A40,'Solid-Results'!H:H,"&lt;="&amp;Dashboard!$B40,'Solid-Results'!AB:AB,"Green")</f>
        <v>10</v>
      </c>
      <c r="D40" s="34">
        <f>COUNTIFS('Solid-Results'!I:I,"&gt;="&amp;Dashboard!$A40,'Solid-Results'!I:I,"&lt;="&amp;Dashboard!$B40,'Solid-Results'!AC:AC,"Green")</f>
        <v>0</v>
      </c>
      <c r="E40" s="34">
        <f>COUNTIFS('Solid-Results'!J:J,"&gt;="&amp;Dashboard!$A40,'Solid-Results'!J:J,"&lt;="&amp;Dashboard!$B40,'Solid-Results'!AD:AD,"Green")</f>
        <v>1</v>
      </c>
      <c r="F40" s="34">
        <f>COUNTIFS('Solid-Results'!K:K,"&gt;="&amp;Dashboard!$A40,'Solid-Results'!K:K,"&lt;="&amp;Dashboard!$B40,'Solid-Results'!AE:AE,"Green")</f>
        <v>5</v>
      </c>
      <c r="G40" s="34">
        <f>COUNTIFS('Solid-Results'!L:L,"&gt;="&amp;Dashboard!$A40,'Solid-Results'!L:L,"&lt;="&amp;Dashboard!$B40,'Solid-Results'!AF:AF,"Green")</f>
        <v>21</v>
      </c>
      <c r="H40" s="34">
        <f>COUNTIFS('Solid-Results'!M:M,"&gt;="&amp;Dashboard!$A40,'Solid-Results'!M:M,"&lt;="&amp;Dashboard!$B40,'Solid-Results'!AG:AG,"Green")</f>
        <v>0</v>
      </c>
      <c r="I40" s="34">
        <f>COUNTIFS('Solid-Results'!N:N,"&gt;="&amp;Dashboard!$A40,'Solid-Results'!N:N,"&lt;="&amp;Dashboard!$B40,'Solid-Results'!AH:AH,"Green")</f>
        <v>2</v>
      </c>
      <c r="J40" s="34">
        <f>COUNTIFS('Solid-Results'!O:O,"&gt;="&amp;Dashboard!$A40,'Solid-Results'!O:O,"&lt;="&amp;Dashboard!$B40,'Solid-Results'!AI:AI,"Green")</f>
        <v>9</v>
      </c>
      <c r="K40" s="34">
        <f>COUNTIFS('Solid-Results'!P:P,"&gt;="&amp;Dashboard!$A40,'Solid-Results'!P:P,"&lt;="&amp;Dashboard!$B40,'Solid-Results'!AJ:AJ,"Green")</f>
        <v>0</v>
      </c>
      <c r="L40" s="34">
        <f>COUNTIFS('Solid-Results'!Q:Q,"&gt;="&amp;Dashboard!$A40,'Solid-Results'!Q:Q,"&lt;="&amp;Dashboard!$B40,'Solid-Results'!AK:AK,"Green")</f>
        <v>11</v>
      </c>
      <c r="M40" s="34">
        <f>COUNTIFS('Solid-Results'!R:R,"&gt;="&amp;Dashboard!$A40,'Solid-Results'!R:R,"&lt;="&amp;Dashboard!$B40,'Solid-Results'!AL:AL,"Green")</f>
        <v>3</v>
      </c>
      <c r="N40" s="34">
        <f>COUNTIFS('Solid-Results'!S:S,"&gt;="&amp;Dashboard!$A40,'Solid-Results'!S:S,"&lt;="&amp;Dashboard!$B40,'Solid-Results'!AM:AM,"Green")</f>
        <v>19</v>
      </c>
      <c r="O40" s="34">
        <f>COUNTIFS('Solid-Results'!T:T,"&gt;="&amp;Dashboard!$A40,'Solid-Results'!T:T,"&lt;="&amp;Dashboard!$B40,'Solid-Results'!AN:AN,"Green")</f>
        <v>11</v>
      </c>
      <c r="P40" s="34">
        <f>COUNTIFS('Solid-Results'!U:U,"&gt;="&amp;Dashboard!$A40,'Solid-Results'!U:U,"&lt;="&amp;Dashboard!$B40,'Solid-Results'!AO:AO,"Green")</f>
        <v>22</v>
      </c>
      <c r="Q40" s="34">
        <f>COUNTIFS('Solid-Results'!V:V,"&gt;="&amp;Dashboard!$A40,'Solid-Results'!V:V,"&lt;="&amp;Dashboard!$B40,'Solid-Results'!AP:AP,"Green")</f>
        <v>26</v>
      </c>
      <c r="R40" s="34">
        <f>COUNTIFS('Solid-Results'!W:W,"&gt;="&amp;Dashboard!$A40,'Solid-Results'!W:W,"&lt;="&amp;Dashboard!$B40,'Solid-Results'!AQ:AQ,"Green")</f>
        <v>12</v>
      </c>
    </row>
    <row r="41" spans="1:18" x14ac:dyDescent="0.2">
      <c r="A41" s="40">
        <f t="shared" si="2"/>
        <v>60.01</v>
      </c>
      <c r="B41" s="39">
        <f t="shared" si="3"/>
        <v>70</v>
      </c>
      <c r="C41" s="34">
        <f>COUNTIFS('Solid-Results'!H:H,"&gt;="&amp;Dashboard!$A41,'Solid-Results'!H:H,"&lt;="&amp;Dashboard!$B41,'Solid-Results'!AB:AB,"Green")</f>
        <v>7</v>
      </c>
      <c r="D41" s="34">
        <f>COUNTIFS('Solid-Results'!I:I,"&gt;="&amp;Dashboard!$A41,'Solid-Results'!I:I,"&lt;="&amp;Dashboard!$B41,'Solid-Results'!AC:AC,"Green")</f>
        <v>0</v>
      </c>
      <c r="E41" s="34">
        <f>COUNTIFS('Solid-Results'!J:J,"&gt;="&amp;Dashboard!$A41,'Solid-Results'!J:J,"&lt;="&amp;Dashboard!$B41,'Solid-Results'!AD:AD,"Green")</f>
        <v>0</v>
      </c>
      <c r="F41" s="34">
        <f>COUNTIFS('Solid-Results'!K:K,"&gt;="&amp;Dashboard!$A41,'Solid-Results'!K:K,"&lt;="&amp;Dashboard!$B41,'Solid-Results'!AE:AE,"Green")</f>
        <v>25</v>
      </c>
      <c r="G41" s="34">
        <f>COUNTIFS('Solid-Results'!L:L,"&gt;="&amp;Dashboard!$A41,'Solid-Results'!L:L,"&lt;="&amp;Dashboard!$B41,'Solid-Results'!AF:AF,"Green")</f>
        <v>18</v>
      </c>
      <c r="H41" s="34">
        <f>COUNTIFS('Solid-Results'!M:M,"&gt;="&amp;Dashboard!$A41,'Solid-Results'!M:M,"&lt;="&amp;Dashboard!$B41,'Solid-Results'!AG:AG,"Green")</f>
        <v>21</v>
      </c>
      <c r="I41" s="34">
        <f>COUNTIFS('Solid-Results'!N:N,"&gt;="&amp;Dashboard!$A41,'Solid-Results'!N:N,"&lt;="&amp;Dashboard!$B41,'Solid-Results'!AH:AH,"Green")</f>
        <v>1</v>
      </c>
      <c r="J41" s="34">
        <f>COUNTIFS('Solid-Results'!O:O,"&gt;="&amp;Dashboard!$A41,'Solid-Results'!O:O,"&lt;="&amp;Dashboard!$B41,'Solid-Results'!AI:AI,"Green")</f>
        <v>0</v>
      </c>
      <c r="K41" s="34">
        <f>COUNTIFS('Solid-Results'!P:P,"&gt;="&amp;Dashboard!$A41,'Solid-Results'!P:P,"&lt;="&amp;Dashboard!$B41,'Solid-Results'!AJ:AJ,"Green")</f>
        <v>0</v>
      </c>
      <c r="L41" s="34">
        <f>COUNTIFS('Solid-Results'!Q:Q,"&gt;="&amp;Dashboard!$A41,'Solid-Results'!Q:Q,"&lt;="&amp;Dashboard!$B41,'Solid-Results'!AK:AK,"Green")</f>
        <v>41</v>
      </c>
      <c r="M41" s="34">
        <f>COUNTIFS('Solid-Results'!R:R,"&gt;="&amp;Dashboard!$A41,'Solid-Results'!R:R,"&lt;="&amp;Dashboard!$B41,'Solid-Results'!AL:AL,"Green")</f>
        <v>19</v>
      </c>
      <c r="N41" s="34">
        <f>COUNTIFS('Solid-Results'!S:S,"&gt;="&amp;Dashboard!$A41,'Solid-Results'!S:S,"&lt;="&amp;Dashboard!$B41,'Solid-Results'!AM:AM,"Green")</f>
        <v>11</v>
      </c>
      <c r="O41" s="34">
        <f>COUNTIFS('Solid-Results'!T:T,"&gt;="&amp;Dashboard!$A41,'Solid-Results'!T:T,"&lt;="&amp;Dashboard!$B41,'Solid-Results'!AN:AN,"Green")</f>
        <v>11</v>
      </c>
      <c r="P41" s="34">
        <f>COUNTIFS('Solid-Results'!U:U,"&gt;="&amp;Dashboard!$A41,'Solid-Results'!U:U,"&lt;="&amp;Dashboard!$B41,'Solid-Results'!AO:AO,"Green")</f>
        <v>20</v>
      </c>
      <c r="Q41" s="34">
        <f>COUNTIFS('Solid-Results'!V:V,"&gt;="&amp;Dashboard!$A41,'Solid-Results'!V:V,"&lt;="&amp;Dashboard!$B41,'Solid-Results'!AP:AP,"Green")</f>
        <v>11</v>
      </c>
      <c r="R41" s="34">
        <f>COUNTIFS('Solid-Results'!W:W,"&gt;="&amp;Dashboard!$A41,'Solid-Results'!W:W,"&lt;="&amp;Dashboard!$B41,'Solid-Results'!AQ:AQ,"Green")</f>
        <v>4</v>
      </c>
    </row>
    <row r="42" spans="1:18" x14ac:dyDescent="0.2">
      <c r="A42" s="40">
        <f t="shared" si="2"/>
        <v>70.010000000000005</v>
      </c>
      <c r="B42" s="39">
        <f t="shared" si="3"/>
        <v>80</v>
      </c>
      <c r="C42" s="34">
        <f>COUNTIFS('Solid-Results'!H:H,"&gt;="&amp;Dashboard!$A42,'Solid-Results'!H:H,"&lt;="&amp;Dashboard!$B42,'Solid-Results'!AB:AB,"Green")</f>
        <v>0</v>
      </c>
      <c r="D42" s="34">
        <f>COUNTIFS('Solid-Results'!I:I,"&gt;="&amp;Dashboard!$A42,'Solid-Results'!I:I,"&lt;="&amp;Dashboard!$B42,'Solid-Results'!AC:AC,"Green")</f>
        <v>0</v>
      </c>
      <c r="E42" s="34">
        <f>COUNTIFS('Solid-Results'!J:J,"&gt;="&amp;Dashboard!$A42,'Solid-Results'!J:J,"&lt;="&amp;Dashboard!$B42,'Solid-Results'!AD:AD,"Green")</f>
        <v>0</v>
      </c>
      <c r="F42" s="34">
        <f>COUNTIFS('Solid-Results'!K:K,"&gt;="&amp;Dashboard!$A42,'Solid-Results'!K:K,"&lt;="&amp;Dashboard!$B42,'Solid-Results'!AE:AE,"Green")</f>
        <v>42</v>
      </c>
      <c r="G42" s="34">
        <f>COUNTIFS('Solid-Results'!L:L,"&gt;="&amp;Dashboard!$A42,'Solid-Results'!L:L,"&lt;="&amp;Dashboard!$B42,'Solid-Results'!AF:AF,"Green")</f>
        <v>9</v>
      </c>
      <c r="H42" s="34">
        <f>COUNTIFS('Solid-Results'!M:M,"&gt;="&amp;Dashboard!$A42,'Solid-Results'!M:M,"&lt;="&amp;Dashboard!$B42,'Solid-Results'!AG:AG,"Green")</f>
        <v>71</v>
      </c>
      <c r="I42" s="34">
        <f>COUNTIFS('Solid-Results'!N:N,"&gt;="&amp;Dashboard!$A42,'Solid-Results'!N:N,"&lt;="&amp;Dashboard!$B42,'Solid-Results'!AH:AH,"Green")</f>
        <v>0</v>
      </c>
      <c r="J42" s="34">
        <f>COUNTIFS('Solid-Results'!O:O,"&gt;="&amp;Dashboard!$A42,'Solid-Results'!O:O,"&lt;="&amp;Dashboard!$B42,'Solid-Results'!AI:AI,"Green")</f>
        <v>0</v>
      </c>
      <c r="K42" s="34">
        <f>COUNTIFS('Solid-Results'!P:P,"&gt;="&amp;Dashboard!$A42,'Solid-Results'!P:P,"&lt;="&amp;Dashboard!$B42,'Solid-Results'!AJ:AJ,"Green")</f>
        <v>0</v>
      </c>
      <c r="L42" s="34">
        <f>COUNTIFS('Solid-Results'!Q:Q,"&gt;="&amp;Dashboard!$A42,'Solid-Results'!Q:Q,"&lt;="&amp;Dashboard!$B42,'Solid-Results'!AK:AK,"Green")</f>
        <v>26</v>
      </c>
      <c r="M42" s="34">
        <f>COUNTIFS('Solid-Results'!R:R,"&gt;="&amp;Dashboard!$A42,'Solid-Results'!R:R,"&lt;="&amp;Dashboard!$B42,'Solid-Results'!AL:AL,"Green")</f>
        <v>35</v>
      </c>
      <c r="N42" s="34">
        <f>COUNTIFS('Solid-Results'!S:S,"&gt;="&amp;Dashboard!$A42,'Solid-Results'!S:S,"&lt;="&amp;Dashboard!$B42,'Solid-Results'!AM:AM,"Green")</f>
        <v>10</v>
      </c>
      <c r="O42" s="34">
        <f>COUNTIFS('Solid-Results'!T:T,"&gt;="&amp;Dashboard!$A42,'Solid-Results'!T:T,"&lt;="&amp;Dashboard!$B42,'Solid-Results'!AN:AN,"Green")</f>
        <v>4</v>
      </c>
      <c r="P42" s="34">
        <f>COUNTIFS('Solid-Results'!U:U,"&gt;="&amp;Dashboard!$A42,'Solid-Results'!U:U,"&lt;="&amp;Dashboard!$B42,'Solid-Results'!AO:AO,"Green")</f>
        <v>12</v>
      </c>
      <c r="Q42" s="34">
        <f>COUNTIFS('Solid-Results'!V:V,"&gt;="&amp;Dashboard!$A42,'Solid-Results'!V:V,"&lt;="&amp;Dashboard!$B42,'Solid-Results'!AP:AP,"Green")</f>
        <v>11</v>
      </c>
      <c r="R42" s="34">
        <f>COUNTIFS('Solid-Results'!W:W,"&gt;="&amp;Dashboard!$A42,'Solid-Results'!W:W,"&lt;="&amp;Dashboard!$B42,'Solid-Results'!AQ:AQ,"Green")</f>
        <v>0</v>
      </c>
    </row>
    <row r="43" spans="1:18" x14ac:dyDescent="0.2">
      <c r="A43" s="40">
        <f t="shared" si="2"/>
        <v>80.010000000000005</v>
      </c>
      <c r="B43" s="39">
        <f t="shared" si="3"/>
        <v>90</v>
      </c>
      <c r="C43" s="34">
        <f>COUNTIFS('Solid-Results'!H:H,"&gt;="&amp;Dashboard!$A43,'Solid-Results'!H:H,"&lt;="&amp;Dashboard!$B43,'Solid-Results'!AB:AB,"Green")</f>
        <v>0</v>
      </c>
      <c r="D43" s="34">
        <f>COUNTIFS('Solid-Results'!I:I,"&gt;="&amp;Dashboard!$A43,'Solid-Results'!I:I,"&lt;="&amp;Dashboard!$B43,'Solid-Results'!AC:AC,"Green")</f>
        <v>0</v>
      </c>
      <c r="E43" s="34">
        <f>COUNTIFS('Solid-Results'!J:J,"&gt;="&amp;Dashboard!$A43,'Solid-Results'!J:J,"&lt;="&amp;Dashboard!$B43,'Solid-Results'!AD:AD,"Green")</f>
        <v>0</v>
      </c>
      <c r="F43" s="34">
        <f>COUNTIFS('Solid-Results'!K:K,"&gt;="&amp;Dashboard!$A43,'Solid-Results'!K:K,"&lt;="&amp;Dashboard!$B43,'Solid-Results'!AE:AE,"Green")</f>
        <v>12</v>
      </c>
      <c r="G43" s="34">
        <f>COUNTIFS('Solid-Results'!L:L,"&gt;="&amp;Dashboard!$A43,'Solid-Results'!L:L,"&lt;="&amp;Dashboard!$B43,'Solid-Results'!AF:AF,"Green")</f>
        <v>0</v>
      </c>
      <c r="H43" s="34">
        <f>COUNTIFS('Solid-Results'!M:M,"&gt;="&amp;Dashboard!$A43,'Solid-Results'!M:M,"&lt;="&amp;Dashboard!$B43,'Solid-Results'!AG:AG,"Green")</f>
        <v>0</v>
      </c>
      <c r="I43" s="34">
        <f>COUNTIFS('Solid-Results'!N:N,"&gt;="&amp;Dashboard!$A43,'Solid-Results'!N:N,"&lt;="&amp;Dashboard!$B43,'Solid-Results'!AH:AH,"Green")</f>
        <v>0</v>
      </c>
      <c r="J43" s="34">
        <f>COUNTIFS('Solid-Results'!O:O,"&gt;="&amp;Dashboard!$A43,'Solid-Results'!O:O,"&lt;="&amp;Dashboard!$B43,'Solid-Results'!AI:AI,"Green")</f>
        <v>0</v>
      </c>
      <c r="K43" s="34">
        <f>COUNTIFS('Solid-Results'!P:P,"&gt;="&amp;Dashboard!$A43,'Solid-Results'!P:P,"&lt;="&amp;Dashboard!$B43,'Solid-Results'!AJ:AJ,"Green")</f>
        <v>0</v>
      </c>
      <c r="L43" s="34">
        <f>COUNTIFS('Solid-Results'!Q:Q,"&gt;="&amp;Dashboard!$A43,'Solid-Results'!Q:Q,"&lt;="&amp;Dashboard!$B43,'Solid-Results'!AK:AK,"Green")</f>
        <v>9</v>
      </c>
      <c r="M43" s="34">
        <f>COUNTIFS('Solid-Results'!R:R,"&gt;="&amp;Dashboard!$A43,'Solid-Results'!R:R,"&lt;="&amp;Dashboard!$B43,'Solid-Results'!AL:AL,"Green")</f>
        <v>25</v>
      </c>
      <c r="N43" s="34">
        <f>COUNTIFS('Solid-Results'!S:S,"&gt;="&amp;Dashboard!$A43,'Solid-Results'!S:S,"&lt;="&amp;Dashboard!$B43,'Solid-Results'!AM:AM,"Green")</f>
        <v>2</v>
      </c>
      <c r="O43" s="34">
        <f>COUNTIFS('Solid-Results'!T:T,"&gt;="&amp;Dashboard!$A43,'Solid-Results'!T:T,"&lt;="&amp;Dashboard!$B43,'Solid-Results'!AN:AN,"Green")</f>
        <v>0</v>
      </c>
      <c r="P43" s="34">
        <f>COUNTIFS('Solid-Results'!U:U,"&gt;="&amp;Dashboard!$A43,'Solid-Results'!U:U,"&lt;="&amp;Dashboard!$B43,'Solid-Results'!AO:AO,"Green")</f>
        <v>1</v>
      </c>
      <c r="Q43" s="34">
        <f>COUNTIFS('Solid-Results'!V:V,"&gt;="&amp;Dashboard!$A43,'Solid-Results'!V:V,"&lt;="&amp;Dashboard!$B43,'Solid-Results'!AP:AP,"Green")</f>
        <v>0</v>
      </c>
      <c r="R43" s="34">
        <f>COUNTIFS('Solid-Results'!W:W,"&gt;="&amp;Dashboard!$A43,'Solid-Results'!W:W,"&lt;="&amp;Dashboard!$B43,'Solid-Results'!AQ:AQ,"Green")</f>
        <v>0</v>
      </c>
    </row>
    <row r="44" spans="1:18" x14ac:dyDescent="0.2">
      <c r="A44" s="40">
        <f t="shared" si="2"/>
        <v>90.01</v>
      </c>
      <c r="B44" s="39">
        <f t="shared" si="3"/>
        <v>100</v>
      </c>
      <c r="C44" s="34">
        <f>COUNTIFS('Solid-Results'!H:H,"&gt;="&amp;Dashboard!$A44,'Solid-Results'!H:H,"&lt;="&amp;Dashboard!$B44,'Solid-Results'!AB:AB,"Green")</f>
        <v>0</v>
      </c>
      <c r="D44" s="34">
        <f>COUNTIFS('Solid-Results'!I:I,"&gt;="&amp;Dashboard!$A44,'Solid-Results'!I:I,"&lt;="&amp;Dashboard!$B44,'Solid-Results'!AC:AC,"Green")</f>
        <v>0</v>
      </c>
      <c r="E44" s="34">
        <f>COUNTIFS('Solid-Results'!J:J,"&gt;="&amp;Dashboard!$A44,'Solid-Results'!J:J,"&lt;="&amp;Dashboard!$B44,'Solid-Results'!AD:AD,"Green")</f>
        <v>0</v>
      </c>
      <c r="F44" s="34">
        <f>COUNTIFS('Solid-Results'!K:K,"&gt;="&amp;Dashboard!$A44,'Solid-Results'!K:K,"&lt;="&amp;Dashboard!$B44,'Solid-Results'!AE:AE,"Green")</f>
        <v>1</v>
      </c>
      <c r="G44" s="34">
        <f>COUNTIFS('Solid-Results'!L:L,"&gt;="&amp;Dashboard!$A44,'Solid-Results'!L:L,"&lt;="&amp;Dashboard!$B44,'Solid-Results'!AF:AF,"Green")</f>
        <v>0</v>
      </c>
      <c r="H44" s="34">
        <f>COUNTIFS('Solid-Results'!M:M,"&gt;="&amp;Dashboard!$A44,'Solid-Results'!M:M,"&lt;="&amp;Dashboard!$B44,'Solid-Results'!AG:AG,"Green")</f>
        <v>0</v>
      </c>
      <c r="I44" s="34">
        <f>COUNTIFS('Solid-Results'!N:N,"&gt;="&amp;Dashboard!$A44,'Solid-Results'!N:N,"&lt;="&amp;Dashboard!$B44,'Solid-Results'!AH:AH,"Green")</f>
        <v>0</v>
      </c>
      <c r="J44" s="34">
        <f>COUNTIFS('Solid-Results'!O:O,"&gt;="&amp;Dashboard!$A44,'Solid-Results'!O:O,"&lt;="&amp;Dashboard!$B44,'Solid-Results'!AI:AI,"Green")</f>
        <v>0</v>
      </c>
      <c r="K44" s="34">
        <f>COUNTIFS('Solid-Results'!P:P,"&gt;="&amp;Dashboard!$A44,'Solid-Results'!P:P,"&lt;="&amp;Dashboard!$B44,'Solid-Results'!AJ:AJ,"Green")</f>
        <v>0</v>
      </c>
      <c r="L44" s="34">
        <f>COUNTIFS('Solid-Results'!Q:Q,"&gt;="&amp;Dashboard!$A44,'Solid-Results'!Q:Q,"&lt;="&amp;Dashboard!$B44,'Solid-Results'!AK:AK,"Green")</f>
        <v>0</v>
      </c>
      <c r="M44" s="34">
        <f>COUNTIFS('Solid-Results'!R:R,"&gt;="&amp;Dashboard!$A44,'Solid-Results'!R:R,"&lt;="&amp;Dashboard!$B44,'Solid-Results'!AL:AL,"Green")</f>
        <v>9</v>
      </c>
      <c r="N44" s="34">
        <f>COUNTIFS('Solid-Results'!S:S,"&gt;="&amp;Dashboard!$A44,'Solid-Results'!S:S,"&lt;="&amp;Dashboard!$B44,'Solid-Results'!AM:AM,"Green")</f>
        <v>0</v>
      </c>
      <c r="O44" s="34">
        <f>COUNTIFS('Solid-Results'!T:T,"&gt;="&amp;Dashboard!$A44,'Solid-Results'!T:T,"&lt;="&amp;Dashboard!$B44,'Solid-Results'!AN:AN,"Green")</f>
        <v>0</v>
      </c>
      <c r="P44" s="34">
        <f>COUNTIFS('Solid-Results'!U:U,"&gt;="&amp;Dashboard!$A44,'Solid-Results'!U:U,"&lt;="&amp;Dashboard!$B44,'Solid-Results'!AO:AO,"Green")</f>
        <v>0</v>
      </c>
      <c r="Q44" s="34">
        <f>COUNTIFS('Solid-Results'!V:V,"&gt;="&amp;Dashboard!$A44,'Solid-Results'!V:V,"&lt;="&amp;Dashboard!$B44,'Solid-Results'!AP:AP,"Green")</f>
        <v>0</v>
      </c>
      <c r="R44" s="34">
        <f>COUNTIFS('Solid-Results'!W:W,"&gt;="&amp;Dashboard!$A44,'Solid-Results'!W:W,"&lt;="&amp;Dashboard!$B44,'Solid-Results'!AQ:AQ,"Green")</f>
        <v>0</v>
      </c>
    </row>
    <row r="46" spans="1:18" x14ac:dyDescent="0.2">
      <c r="A46" s="41" t="s">
        <v>2226</v>
      </c>
    </row>
    <row r="47" spans="1:18" x14ac:dyDescent="0.2">
      <c r="A47" s="37" t="s">
        <v>2221</v>
      </c>
      <c r="B47" s="33" t="s">
        <v>2222</v>
      </c>
      <c r="C47" s="37" t="s">
        <v>439</v>
      </c>
      <c r="D47" s="37" t="s">
        <v>4</v>
      </c>
      <c r="E47" s="37" t="s">
        <v>440</v>
      </c>
      <c r="F47" s="37" t="s">
        <v>5</v>
      </c>
      <c r="G47" s="37" t="s">
        <v>6</v>
      </c>
      <c r="H47" s="37" t="s">
        <v>441</v>
      </c>
      <c r="I47" s="37" t="s">
        <v>7</v>
      </c>
      <c r="J47" s="37" t="s">
        <v>8</v>
      </c>
      <c r="K47" s="37" t="s">
        <v>9</v>
      </c>
      <c r="L47" s="37" t="s">
        <v>10</v>
      </c>
      <c r="M47" s="37" t="s">
        <v>11</v>
      </c>
      <c r="N47" s="37" t="s">
        <v>12</v>
      </c>
      <c r="O47" s="37" t="s">
        <v>13</v>
      </c>
      <c r="P47" s="37" t="s">
        <v>14</v>
      </c>
      <c r="Q47" s="37" t="s">
        <v>15</v>
      </c>
      <c r="R47" s="37" t="s">
        <v>16</v>
      </c>
    </row>
    <row r="48" spans="1:18" x14ac:dyDescent="0.2">
      <c r="A48" s="38">
        <v>0</v>
      </c>
      <c r="B48" s="39">
        <v>10</v>
      </c>
      <c r="C48" s="35">
        <f>IFERROR(C35/C22,0)</f>
        <v>0</v>
      </c>
      <c r="D48" s="35">
        <f t="shared" ref="D48:R48" si="4">IFERROR(D35/D22,0)</f>
        <v>0</v>
      </c>
      <c r="E48" s="35">
        <f t="shared" si="4"/>
        <v>0</v>
      </c>
      <c r="F48" s="35">
        <f t="shared" si="4"/>
        <v>0</v>
      </c>
      <c r="G48" s="35">
        <f t="shared" si="4"/>
        <v>0</v>
      </c>
      <c r="H48" s="35">
        <f t="shared" si="4"/>
        <v>0</v>
      </c>
      <c r="I48" s="35">
        <f t="shared" si="4"/>
        <v>0</v>
      </c>
      <c r="J48" s="35">
        <f t="shared" si="4"/>
        <v>0</v>
      </c>
      <c r="K48" s="35">
        <f t="shared" si="4"/>
        <v>0</v>
      </c>
      <c r="L48" s="35">
        <f t="shared" si="4"/>
        <v>0</v>
      </c>
      <c r="M48" s="35">
        <f t="shared" si="4"/>
        <v>0</v>
      </c>
      <c r="N48" s="35">
        <f t="shared" si="4"/>
        <v>0</v>
      </c>
      <c r="O48" s="35">
        <f t="shared" si="4"/>
        <v>0</v>
      </c>
      <c r="P48" s="35">
        <f t="shared" si="4"/>
        <v>0</v>
      </c>
      <c r="Q48" s="35">
        <f t="shared" si="4"/>
        <v>0</v>
      </c>
      <c r="R48" s="35">
        <f t="shared" si="4"/>
        <v>0</v>
      </c>
    </row>
    <row r="49" spans="1:18" x14ac:dyDescent="0.2">
      <c r="A49" s="40">
        <f>B48+0.01</f>
        <v>10.01</v>
      </c>
      <c r="B49" s="39">
        <f>B48+10</f>
        <v>20</v>
      </c>
      <c r="C49" s="35">
        <f t="shared" ref="C49:R49" si="5">IFERROR(C36/C23,0)</f>
        <v>0</v>
      </c>
      <c r="D49" s="35">
        <f t="shared" si="5"/>
        <v>0</v>
      </c>
      <c r="E49" s="35">
        <f t="shared" si="5"/>
        <v>0.29411764705882354</v>
      </c>
      <c r="F49" s="35">
        <f t="shared" si="5"/>
        <v>0</v>
      </c>
      <c r="G49" s="35">
        <f t="shared" si="5"/>
        <v>0</v>
      </c>
      <c r="H49" s="35">
        <f t="shared" si="5"/>
        <v>0</v>
      </c>
      <c r="I49" s="35">
        <f t="shared" si="5"/>
        <v>0.23076923076923078</v>
      </c>
      <c r="J49" s="35">
        <f t="shared" si="5"/>
        <v>0</v>
      </c>
      <c r="K49" s="35">
        <f t="shared" si="5"/>
        <v>0.18181818181818182</v>
      </c>
      <c r="L49" s="35">
        <f t="shared" si="5"/>
        <v>0</v>
      </c>
      <c r="M49" s="35">
        <f t="shared" si="5"/>
        <v>0</v>
      </c>
      <c r="N49" s="35">
        <f t="shared" si="5"/>
        <v>0</v>
      </c>
      <c r="O49" s="35">
        <f t="shared" si="5"/>
        <v>0</v>
      </c>
      <c r="P49" s="35">
        <f t="shared" si="5"/>
        <v>0</v>
      </c>
      <c r="Q49" s="35">
        <f t="shared" si="5"/>
        <v>0</v>
      </c>
      <c r="R49" s="35">
        <f t="shared" si="5"/>
        <v>0</v>
      </c>
    </row>
    <row r="50" spans="1:18" x14ac:dyDescent="0.2">
      <c r="A50" s="40">
        <f t="shared" ref="A50:A57" si="6">B49+0.01</f>
        <v>20.010000000000002</v>
      </c>
      <c r="B50" s="39">
        <f t="shared" ref="B50:B57" si="7">B49+10</f>
        <v>30</v>
      </c>
      <c r="C50" s="35">
        <f t="shared" ref="C50:R50" si="8">IFERROR(C37/C24,0)</f>
        <v>0</v>
      </c>
      <c r="D50" s="35">
        <f t="shared" si="8"/>
        <v>0.2</v>
      </c>
      <c r="E50" s="35">
        <f t="shared" si="8"/>
        <v>0.22222222222222221</v>
      </c>
      <c r="F50" s="35">
        <f t="shared" si="8"/>
        <v>0</v>
      </c>
      <c r="G50" s="35">
        <f t="shared" si="8"/>
        <v>0</v>
      </c>
      <c r="H50" s="35">
        <f t="shared" si="8"/>
        <v>0</v>
      </c>
      <c r="I50" s="35">
        <f t="shared" si="8"/>
        <v>0.45945945945945948</v>
      </c>
      <c r="J50" s="35">
        <f t="shared" si="8"/>
        <v>0.5</v>
      </c>
      <c r="K50" s="35">
        <f t="shared" si="8"/>
        <v>0.18965517241379309</v>
      </c>
      <c r="L50" s="35">
        <f t="shared" si="8"/>
        <v>0</v>
      </c>
      <c r="M50" s="35">
        <f t="shared" si="8"/>
        <v>0</v>
      </c>
      <c r="N50" s="35">
        <f t="shared" si="8"/>
        <v>0.33333333333333331</v>
      </c>
      <c r="O50" s="35">
        <f t="shared" si="8"/>
        <v>0.15384615384615385</v>
      </c>
      <c r="P50" s="35">
        <f t="shared" si="8"/>
        <v>0.5</v>
      </c>
      <c r="Q50" s="35">
        <f t="shared" si="8"/>
        <v>0</v>
      </c>
      <c r="R50" s="35">
        <f t="shared" si="8"/>
        <v>0.15384615384615385</v>
      </c>
    </row>
    <row r="51" spans="1:18" x14ac:dyDescent="0.2">
      <c r="A51" s="40">
        <f t="shared" si="6"/>
        <v>30.01</v>
      </c>
      <c r="B51" s="39">
        <f t="shared" si="7"/>
        <v>40</v>
      </c>
      <c r="C51" s="35">
        <f t="shared" ref="C51:R51" si="9">IFERROR(C38/C25,0)</f>
        <v>0.44736842105263158</v>
      </c>
      <c r="D51" s="35">
        <f t="shared" si="9"/>
        <v>0.27586206896551724</v>
      </c>
      <c r="E51" s="35">
        <f t="shared" si="9"/>
        <v>0.27777777777777779</v>
      </c>
      <c r="F51" s="35">
        <f t="shared" si="9"/>
        <v>0</v>
      </c>
      <c r="G51" s="35">
        <f t="shared" si="9"/>
        <v>0.125</v>
      </c>
      <c r="H51" s="35">
        <f t="shared" si="9"/>
        <v>0</v>
      </c>
      <c r="I51" s="35">
        <f t="shared" si="9"/>
        <v>0.34</v>
      </c>
      <c r="J51" s="35">
        <f t="shared" si="9"/>
        <v>0.37037037037037035</v>
      </c>
      <c r="K51" s="35">
        <f t="shared" si="9"/>
        <v>0.2608695652173913</v>
      </c>
      <c r="L51" s="35">
        <f t="shared" si="9"/>
        <v>0</v>
      </c>
      <c r="M51" s="35">
        <f t="shared" si="9"/>
        <v>0</v>
      </c>
      <c r="N51" s="35">
        <f t="shared" si="9"/>
        <v>0.47619047619047616</v>
      </c>
      <c r="O51" s="35">
        <f t="shared" si="9"/>
        <v>0.3125</v>
      </c>
      <c r="P51" s="35">
        <f t="shared" si="9"/>
        <v>0.5</v>
      </c>
      <c r="Q51" s="35">
        <f t="shared" si="9"/>
        <v>0.55555555555555558</v>
      </c>
      <c r="R51" s="35">
        <f t="shared" si="9"/>
        <v>0.5</v>
      </c>
    </row>
    <row r="52" spans="1:18" x14ac:dyDescent="0.2">
      <c r="A52" s="40">
        <f t="shared" si="6"/>
        <v>40.01</v>
      </c>
      <c r="B52" s="39">
        <f t="shared" si="7"/>
        <v>50</v>
      </c>
      <c r="C52" s="35">
        <f t="shared" ref="C52:R52" si="10">IFERROR(C39/C26,0)</f>
        <v>0.57777777777777772</v>
      </c>
      <c r="D52" s="35">
        <f t="shared" si="10"/>
        <v>0</v>
      </c>
      <c r="E52" s="35">
        <f t="shared" si="10"/>
        <v>0.44444444444444442</v>
      </c>
      <c r="F52" s="35">
        <f t="shared" si="10"/>
        <v>0.5</v>
      </c>
      <c r="G52" s="35">
        <f t="shared" si="10"/>
        <v>0.42857142857142855</v>
      </c>
      <c r="H52" s="35">
        <f t="shared" si="10"/>
        <v>0</v>
      </c>
      <c r="I52" s="35">
        <f t="shared" si="10"/>
        <v>0.23076923076923078</v>
      </c>
      <c r="J52" s="35">
        <f t="shared" si="10"/>
        <v>0.40277777777777779</v>
      </c>
      <c r="K52" s="35">
        <f t="shared" si="10"/>
        <v>0.66666666666666663</v>
      </c>
      <c r="L52" s="35">
        <f t="shared" si="10"/>
        <v>1</v>
      </c>
      <c r="M52" s="35">
        <f t="shared" si="10"/>
        <v>1</v>
      </c>
      <c r="N52" s="35">
        <f t="shared" si="10"/>
        <v>0.6</v>
      </c>
      <c r="O52" s="35">
        <f t="shared" si="10"/>
        <v>0.41935483870967744</v>
      </c>
      <c r="P52" s="35">
        <f t="shared" si="10"/>
        <v>0.58333333333333337</v>
      </c>
      <c r="Q52" s="35">
        <f t="shared" si="10"/>
        <v>0.61290322580645162</v>
      </c>
      <c r="R52" s="35">
        <f t="shared" si="10"/>
        <v>0.38095238095238093</v>
      </c>
    </row>
    <row r="53" spans="1:18" x14ac:dyDescent="0.2">
      <c r="A53" s="40">
        <f t="shared" si="6"/>
        <v>50.01</v>
      </c>
      <c r="B53" s="39">
        <f t="shared" si="7"/>
        <v>60</v>
      </c>
      <c r="C53" s="35">
        <f t="shared" ref="C53:R53" si="11">IFERROR(C40/C27,0)</f>
        <v>0.52631578947368418</v>
      </c>
      <c r="D53" s="35">
        <f t="shared" si="11"/>
        <v>0</v>
      </c>
      <c r="E53" s="35">
        <f t="shared" si="11"/>
        <v>0.5</v>
      </c>
      <c r="F53" s="35">
        <f t="shared" si="11"/>
        <v>0.55555555555555558</v>
      </c>
      <c r="G53" s="35">
        <f t="shared" si="11"/>
        <v>0.46666666666666667</v>
      </c>
      <c r="H53" s="35">
        <f t="shared" si="11"/>
        <v>0</v>
      </c>
      <c r="I53" s="35">
        <f t="shared" si="11"/>
        <v>0.5</v>
      </c>
      <c r="J53" s="35">
        <f t="shared" si="11"/>
        <v>0.52941176470588236</v>
      </c>
      <c r="K53" s="35">
        <f t="shared" si="11"/>
        <v>0</v>
      </c>
      <c r="L53" s="35">
        <f t="shared" si="11"/>
        <v>0.6470588235294118</v>
      </c>
      <c r="M53" s="35">
        <f t="shared" si="11"/>
        <v>0.6</v>
      </c>
      <c r="N53" s="35">
        <f t="shared" si="11"/>
        <v>0.59375</v>
      </c>
      <c r="O53" s="35">
        <f t="shared" si="11"/>
        <v>0.36666666666666664</v>
      </c>
      <c r="P53" s="35">
        <f t="shared" si="11"/>
        <v>0.62857142857142856</v>
      </c>
      <c r="Q53" s="35">
        <f t="shared" si="11"/>
        <v>0.60465116279069764</v>
      </c>
      <c r="R53" s="35">
        <f t="shared" si="11"/>
        <v>0.38709677419354838</v>
      </c>
    </row>
    <row r="54" spans="1:18" x14ac:dyDescent="0.2">
      <c r="A54" s="40">
        <f t="shared" si="6"/>
        <v>60.01</v>
      </c>
      <c r="B54" s="39">
        <f t="shared" si="7"/>
        <v>70</v>
      </c>
      <c r="C54" s="35">
        <f t="shared" ref="C54:R54" si="12">IFERROR(C41/C28,0)</f>
        <v>0.875</v>
      </c>
      <c r="D54" s="35">
        <f t="shared" si="12"/>
        <v>0</v>
      </c>
      <c r="E54" s="35">
        <f t="shared" si="12"/>
        <v>0</v>
      </c>
      <c r="F54" s="35">
        <f t="shared" si="12"/>
        <v>0.69444444444444442</v>
      </c>
      <c r="G54" s="35">
        <f t="shared" si="12"/>
        <v>0.5</v>
      </c>
      <c r="H54" s="35">
        <f t="shared" si="12"/>
        <v>0.7</v>
      </c>
      <c r="I54" s="35">
        <f t="shared" si="12"/>
        <v>1</v>
      </c>
      <c r="J54" s="35">
        <f t="shared" si="12"/>
        <v>0</v>
      </c>
      <c r="K54" s="35">
        <f t="shared" si="12"/>
        <v>0</v>
      </c>
      <c r="L54" s="35">
        <f t="shared" si="12"/>
        <v>0.78846153846153844</v>
      </c>
      <c r="M54" s="35">
        <f t="shared" si="12"/>
        <v>0.70370370370370372</v>
      </c>
      <c r="N54" s="35">
        <f t="shared" si="12"/>
        <v>0.6875</v>
      </c>
      <c r="O54" s="35">
        <f t="shared" si="12"/>
        <v>0.52380952380952384</v>
      </c>
      <c r="P54" s="35">
        <f t="shared" si="12"/>
        <v>0.76923076923076927</v>
      </c>
      <c r="Q54" s="35">
        <f t="shared" si="12"/>
        <v>0.47826086956521741</v>
      </c>
      <c r="R54" s="35">
        <f t="shared" si="12"/>
        <v>0.44444444444444442</v>
      </c>
    </row>
    <row r="55" spans="1:18" x14ac:dyDescent="0.2">
      <c r="A55" s="40">
        <f t="shared" si="6"/>
        <v>70.010000000000005</v>
      </c>
      <c r="B55" s="39">
        <f t="shared" si="7"/>
        <v>80</v>
      </c>
      <c r="C55" s="35">
        <f t="shared" ref="C55:R55" si="13">IFERROR(C42/C29,0)</f>
        <v>0</v>
      </c>
      <c r="D55" s="35">
        <f t="shared" si="13"/>
        <v>0</v>
      </c>
      <c r="E55" s="35">
        <f t="shared" si="13"/>
        <v>0</v>
      </c>
      <c r="F55" s="35">
        <f t="shared" si="13"/>
        <v>0.77777777777777779</v>
      </c>
      <c r="G55" s="35">
        <f t="shared" si="13"/>
        <v>1</v>
      </c>
      <c r="H55" s="35">
        <f t="shared" si="13"/>
        <v>0.797752808988764</v>
      </c>
      <c r="I55" s="35">
        <f t="shared" si="13"/>
        <v>0</v>
      </c>
      <c r="J55" s="35">
        <f t="shared" si="13"/>
        <v>0</v>
      </c>
      <c r="K55" s="35">
        <f t="shared" si="13"/>
        <v>0</v>
      </c>
      <c r="L55" s="35">
        <f t="shared" si="13"/>
        <v>0.74285714285714288</v>
      </c>
      <c r="M55" s="35">
        <f t="shared" si="13"/>
        <v>0.76086956521739135</v>
      </c>
      <c r="N55" s="35">
        <f t="shared" si="13"/>
        <v>0.83333333333333337</v>
      </c>
      <c r="O55" s="35">
        <f t="shared" si="13"/>
        <v>0.66666666666666663</v>
      </c>
      <c r="P55" s="35">
        <f t="shared" si="13"/>
        <v>0.8</v>
      </c>
      <c r="Q55" s="35">
        <f t="shared" si="13"/>
        <v>0.84615384615384615</v>
      </c>
      <c r="R55" s="35">
        <f t="shared" si="13"/>
        <v>0</v>
      </c>
    </row>
    <row r="56" spans="1:18" x14ac:dyDescent="0.2">
      <c r="A56" s="40">
        <f t="shared" si="6"/>
        <v>80.010000000000005</v>
      </c>
      <c r="B56" s="39">
        <f t="shared" si="7"/>
        <v>90</v>
      </c>
      <c r="C56" s="35">
        <f t="shared" ref="C56:R56" si="14">IFERROR(C43/C30,0)</f>
        <v>0</v>
      </c>
      <c r="D56" s="35">
        <f t="shared" si="14"/>
        <v>0</v>
      </c>
      <c r="E56" s="35">
        <f t="shared" si="14"/>
        <v>0</v>
      </c>
      <c r="F56" s="35">
        <f t="shared" si="14"/>
        <v>0.70588235294117652</v>
      </c>
      <c r="G56" s="35">
        <f t="shared" si="14"/>
        <v>0</v>
      </c>
      <c r="H56" s="35">
        <f t="shared" si="14"/>
        <v>0</v>
      </c>
      <c r="I56" s="35">
        <f t="shared" si="14"/>
        <v>0</v>
      </c>
      <c r="J56" s="35">
        <f t="shared" si="14"/>
        <v>0</v>
      </c>
      <c r="K56" s="35">
        <f t="shared" si="14"/>
        <v>0</v>
      </c>
      <c r="L56" s="35">
        <f t="shared" si="14"/>
        <v>0.69230769230769229</v>
      </c>
      <c r="M56" s="35">
        <f t="shared" si="14"/>
        <v>0.83333333333333337</v>
      </c>
      <c r="N56" s="35">
        <f t="shared" si="14"/>
        <v>1</v>
      </c>
      <c r="O56" s="35">
        <f t="shared" si="14"/>
        <v>0</v>
      </c>
      <c r="P56" s="35">
        <f t="shared" si="14"/>
        <v>1</v>
      </c>
      <c r="Q56" s="35">
        <f t="shared" si="14"/>
        <v>0</v>
      </c>
      <c r="R56" s="35">
        <f t="shared" si="14"/>
        <v>0</v>
      </c>
    </row>
    <row r="57" spans="1:18" x14ac:dyDescent="0.2">
      <c r="A57" s="40">
        <f t="shared" si="6"/>
        <v>90.01</v>
      </c>
      <c r="B57" s="39">
        <f t="shared" si="7"/>
        <v>100</v>
      </c>
      <c r="C57" s="35">
        <f t="shared" ref="C57:R57" si="15">IFERROR(C44/C31,0)</f>
        <v>0</v>
      </c>
      <c r="D57" s="35">
        <f t="shared" si="15"/>
        <v>0</v>
      </c>
      <c r="E57" s="35">
        <f t="shared" si="15"/>
        <v>0</v>
      </c>
      <c r="F57" s="35">
        <f t="shared" si="15"/>
        <v>1</v>
      </c>
      <c r="G57" s="35">
        <f t="shared" si="15"/>
        <v>0</v>
      </c>
      <c r="H57" s="35">
        <f t="shared" si="15"/>
        <v>0</v>
      </c>
      <c r="I57" s="35">
        <f t="shared" si="15"/>
        <v>0</v>
      </c>
      <c r="J57" s="35">
        <f t="shared" si="15"/>
        <v>0</v>
      </c>
      <c r="K57" s="35">
        <f t="shared" si="15"/>
        <v>0</v>
      </c>
      <c r="L57" s="35">
        <f t="shared" si="15"/>
        <v>0</v>
      </c>
      <c r="M57" s="35">
        <f t="shared" si="15"/>
        <v>0.9</v>
      </c>
      <c r="N57" s="35">
        <f t="shared" si="15"/>
        <v>0</v>
      </c>
      <c r="O57" s="35">
        <f t="shared" si="15"/>
        <v>0</v>
      </c>
      <c r="P57" s="35">
        <f t="shared" si="15"/>
        <v>0</v>
      </c>
      <c r="Q57" s="35">
        <f t="shared" si="15"/>
        <v>0</v>
      </c>
      <c r="R57" s="35">
        <f t="shared" si="15"/>
        <v>0</v>
      </c>
    </row>
  </sheetData>
  <conditionalFormatting sqref="C48:R57">
    <cfRule type="cellIs" dxfId="0" priority="1" operator="greaterThan">
      <formula>0.5</formula>
    </cfRule>
  </conditionalFormatting>
  <pageMargins left="0.7" right="0.7" top="0.75" bottom="0.75" header="0.3" footer="0.3"/>
  <ignoredErrors>
    <ignoredError sqref="A3 A5 A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2026-07-26T00:38:22Z</dcterms:modified>
</cp:coreProperties>
</file>