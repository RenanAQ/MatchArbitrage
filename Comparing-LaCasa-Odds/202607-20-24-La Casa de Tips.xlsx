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/Users/renanqueiroz/Downloads/"/>
    </mc:Choice>
  </mc:AlternateContent>
  <xr:revisionPtr revIDLastSave="0" documentId="13_ncr:1_{EBEBD53A-6032-7344-8D71-FF7E0F6F7684}" xr6:coauthVersionLast="47" xr6:coauthVersionMax="47" xr10:uidLastSave="{00000000-0000-0000-0000-000000000000}"/>
  <bookViews>
    <workbookView xWindow="0" yWindow="660" windowWidth="29400" windowHeight="18460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</sheets>
  <definedNames>
    <definedName name="_xlnm._FilterDatabase" localSheetId="0" hidden="1">'General-lacasa'!$A$3:$AQ$586</definedName>
    <definedName name="_xlnm._FilterDatabase" localSheetId="1" hidden="1">'matches-results-oddspedia (old)'!$A$1:$L$92</definedName>
    <definedName name="_xlnm._FilterDatabase" localSheetId="2" hidden="1">'oddspedia-matches'!$A$1:$AD$1</definedName>
    <definedName name="_xlnm._FilterDatabase" localSheetId="4" hidden="1">'Solid-Results'!$A$2:$AQ$121</definedName>
    <definedName name="_xlnm._FilterDatabase" localSheetId="3" hidden="1">'Transform table'!$A$1:$B$494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59" i="5" l="1"/>
  <c r="L1759" i="5"/>
  <c r="M1758" i="5"/>
  <c r="L1758" i="5"/>
  <c r="M1757" i="5"/>
  <c r="L1757" i="5"/>
  <c r="M1756" i="5"/>
  <c r="L1756" i="5"/>
  <c r="M1755" i="5"/>
  <c r="L1755" i="5"/>
  <c r="M1754" i="5"/>
  <c r="L1754" i="5"/>
  <c r="A1755" i="5" s="1"/>
  <c r="M1753" i="5"/>
  <c r="L1753" i="5"/>
  <c r="M1752" i="5"/>
  <c r="L1752" i="5"/>
  <c r="M1751" i="5"/>
  <c r="L1751" i="5"/>
  <c r="A1752" i="5" s="1"/>
  <c r="M1750" i="5"/>
  <c r="L1750" i="5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217" i="5"/>
  <c r="A1772" i="5"/>
  <c r="A1720" i="5"/>
  <c r="A1689" i="5"/>
  <c r="A1636" i="5"/>
  <c r="A1619" i="5"/>
  <c r="A1618" i="5"/>
  <c r="A1617" i="5"/>
  <c r="A1603" i="5"/>
  <c r="A1602" i="5"/>
  <c r="A1601" i="5"/>
  <c r="A1600" i="5"/>
  <c r="A1599" i="5"/>
  <c r="A1598" i="5"/>
  <c r="A1597" i="5"/>
  <c r="A1545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02" i="5"/>
  <c r="A1501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37" i="5"/>
  <c r="A1436" i="5"/>
  <c r="A1435" i="5"/>
  <c r="A1434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29" i="5"/>
  <c r="A1228" i="5"/>
  <c r="A122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156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099" i="5"/>
  <c r="A1098" i="5"/>
  <c r="A1091" i="5"/>
  <c r="A1090" i="5"/>
  <c r="A1089" i="5"/>
  <c r="A1088" i="5"/>
  <c r="A1087" i="5"/>
  <c r="A1086" i="5"/>
  <c r="A1085" i="5"/>
  <c r="A1084" i="5"/>
  <c r="A1083" i="5"/>
  <c r="A1042" i="5"/>
  <c r="A1041" i="5"/>
  <c r="A1040" i="5"/>
  <c r="A1030" i="5"/>
  <c r="A1024" i="5"/>
  <c r="A1023" i="5"/>
  <c r="A1022" i="5"/>
  <c r="A1021" i="5"/>
  <c r="A1020" i="5"/>
  <c r="A1019" i="5"/>
  <c r="A1018" i="5"/>
  <c r="A1017" i="5"/>
  <c r="A1001" i="5"/>
  <c r="A1000" i="5"/>
  <c r="A999" i="5"/>
  <c r="A991" i="5"/>
  <c r="A986" i="5"/>
  <c r="A985" i="5"/>
  <c r="A984" i="5"/>
  <c r="A983" i="5"/>
  <c r="A982" i="5"/>
  <c r="A981" i="5"/>
  <c r="A980" i="5"/>
  <c r="A1672" i="5"/>
  <c r="A1652" i="5"/>
  <c r="A1639" i="5"/>
  <c r="A1638" i="5"/>
  <c r="A1399" i="5"/>
  <c r="A1275" i="5"/>
  <c r="A1155" i="5"/>
  <c r="A1721" i="5"/>
  <c r="A1671" i="5"/>
  <c r="A1707" i="5"/>
  <c r="A1476" i="5"/>
  <c r="A1719" i="5"/>
  <c r="A1706" i="5"/>
  <c r="A1670" i="5"/>
  <c r="A1771" i="5"/>
  <c r="A1705" i="5"/>
  <c r="A1704" i="5"/>
  <c r="A1703" i="5"/>
  <c r="A1702" i="5"/>
  <c r="A1701" i="5"/>
  <c r="A1759" i="5"/>
  <c r="A1754" i="5"/>
  <c r="A1753" i="5"/>
  <c r="A1700" i="5"/>
  <c r="A1699" i="5"/>
  <c r="A1698" i="5"/>
  <c r="A1697" i="5"/>
  <c r="A1696" i="5"/>
  <c r="A1695" i="5"/>
  <c r="A1758" i="5"/>
  <c r="A1757" i="5"/>
  <c r="A1756" i="5"/>
  <c r="A1718" i="5"/>
  <c r="A1717" i="5"/>
  <c r="A1716" i="5"/>
  <c r="A1715" i="5"/>
  <c r="A1714" i="5"/>
  <c r="A1711" i="5"/>
  <c r="A1692" i="5"/>
  <c r="A1669" i="5"/>
  <c r="A1596" i="5"/>
  <c r="A1398" i="5"/>
  <c r="A1475" i="5"/>
  <c r="A1203" i="5"/>
  <c r="A1668" i="5"/>
  <c r="A1595" i="5"/>
  <c r="A1594" i="5"/>
  <c r="A1667" i="5"/>
  <c r="A1593" i="5"/>
  <c r="A1202" i="5"/>
  <c r="A1082" i="5"/>
  <c r="A1016" i="5"/>
  <c r="A1616" i="5"/>
  <c r="A1474" i="5"/>
  <c r="A1473" i="5"/>
  <c r="A1127" i="5"/>
  <c r="A1274" i="5"/>
  <c r="A1201" i="5"/>
  <c r="A1200" i="5"/>
  <c r="A1081" i="5"/>
  <c r="A1080" i="5"/>
  <c r="A1079" i="5"/>
  <c r="A1273" i="5"/>
  <c r="A1126" i="5"/>
  <c r="A1078" i="5"/>
  <c r="A1077" i="5"/>
  <c r="A1199" i="5"/>
  <c r="A1039" i="5"/>
  <c r="A1038" i="5"/>
  <c r="A1015" i="5"/>
  <c r="A979" i="5"/>
  <c r="A1049" i="5"/>
  <c r="A1048" i="5"/>
  <c r="A1047" i="5"/>
  <c r="A1046" i="5"/>
  <c r="A1045" i="5"/>
  <c r="A1044" i="5"/>
  <c r="A1606" i="5"/>
  <c r="A1472" i="5"/>
  <c r="A1397" i="5"/>
  <c r="A1396" i="5"/>
  <c r="A1395" i="5"/>
  <c r="A1394" i="5"/>
  <c r="A1393" i="5"/>
  <c r="A1272" i="5"/>
  <c r="A1615" i="5"/>
  <c r="A1471" i="5"/>
  <c r="A1470" i="5"/>
  <c r="A1592" i="5"/>
  <c r="A1591" i="5"/>
  <c r="A1433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392" i="5"/>
  <c r="A1256" i="5"/>
  <c r="A1037" i="5"/>
  <c r="A1500" i="5"/>
  <c r="A1391" i="5"/>
  <c r="A1390" i="5"/>
  <c r="A1255" i="5"/>
  <c r="A1125" i="5"/>
  <c r="A1036" i="5"/>
  <c r="A1035" i="5"/>
  <c r="A1076" i="5"/>
  <c r="A1389" i="5"/>
  <c r="A1388" i="5"/>
  <c r="A1254" i="5"/>
  <c r="A1253" i="5"/>
  <c r="A1252" i="5"/>
  <c r="A1226" i="5"/>
  <c r="A1525" i="5"/>
  <c r="A1469" i="5"/>
  <c r="A1251" i="5"/>
  <c r="A1075" i="5"/>
  <c r="A1468" i="5"/>
  <c r="A1250" i="5"/>
  <c r="A1198" i="5"/>
  <c r="A1544" i="5"/>
  <c r="A1360" i="5"/>
  <c r="A1590" i="5"/>
  <c r="A1538" i="5"/>
  <c r="A1524" i="5"/>
  <c r="A1467" i="5"/>
  <c r="A1074" i="5"/>
  <c r="A1026" i="5"/>
  <c r="A1225" i="5"/>
  <c r="A1224" i="5"/>
  <c r="A1223" i="5"/>
  <c r="A1605" i="5"/>
  <c r="A1432" i="5"/>
  <c r="A1157" i="5"/>
  <c r="A1655" i="5"/>
  <c r="A1387" i="5"/>
  <c r="A1651" i="5"/>
  <c r="A1466" i="5"/>
  <c r="A1654" i="5"/>
  <c r="A1589" i="5"/>
  <c r="A1431" i="5"/>
  <c r="A1691" i="5"/>
  <c r="A1653" i="5"/>
  <c r="A1588" i="5"/>
  <c r="A1197" i="5"/>
  <c r="A1681" i="5"/>
  <c r="A1635" i="5"/>
  <c r="A1710" i="5"/>
  <c r="A1196" i="5"/>
  <c r="A1195" i="5"/>
  <c r="A1194" i="5"/>
  <c r="A1193" i="5"/>
  <c r="A1124" i="5"/>
  <c r="A1359" i="5"/>
  <c r="A1192" i="5"/>
  <c r="A1191" i="5"/>
  <c r="A1190" i="5"/>
  <c r="A1123" i="5"/>
  <c r="A1249" i="5"/>
  <c r="A1189" i="5"/>
  <c r="A1188" i="5"/>
  <c r="A1187" i="5"/>
  <c r="A1122" i="5"/>
  <c r="A1121" i="5"/>
  <c r="A1073" i="5"/>
  <c r="A1222" i="5"/>
  <c r="A1186" i="5"/>
  <c r="A1185" i="5"/>
  <c r="A1184" i="5"/>
  <c r="A1120" i="5"/>
  <c r="A1072" i="5"/>
  <c r="A1071" i="5"/>
  <c r="A1070" i="5"/>
  <c r="A1386" i="5"/>
  <c r="A1183" i="5"/>
  <c r="A1154" i="5"/>
  <c r="A1119" i="5"/>
  <c r="A1118" i="5"/>
  <c r="A1221" i="5"/>
  <c r="A1182" i="5"/>
  <c r="A1181" i="5"/>
  <c r="A1117" i="5"/>
  <c r="A1069" i="5"/>
  <c r="A1587" i="5"/>
  <c r="A1465" i="5"/>
  <c r="A1248" i="5"/>
  <c r="A1385" i="5"/>
  <c r="A1384" i="5"/>
  <c r="A1666" i="5"/>
  <c r="A930" i="5"/>
  <c r="A1523" i="5"/>
  <c r="A1522" i="5"/>
  <c r="A1383" i="5"/>
  <c r="A1382" i="5"/>
  <c r="A1694" i="5"/>
  <c r="A1688" i="5"/>
  <c r="A1770" i="5"/>
  <c r="A1769" i="5"/>
  <c r="A1708" i="5"/>
  <c r="A1153" i="5"/>
  <c r="A1152" i="5"/>
  <c r="A1151" i="5"/>
  <c r="A1150" i="5"/>
  <c r="A1464" i="5"/>
  <c r="A1381" i="5"/>
  <c r="A1247" i="5"/>
  <c r="A1116" i="5"/>
  <c r="A1463" i="5"/>
  <c r="A1180" i="5"/>
  <c r="A1430" i="5"/>
  <c r="A1380" i="5"/>
  <c r="A1246" i="5"/>
  <c r="A1179" i="5"/>
  <c r="A1068" i="5"/>
  <c r="A1379" i="5"/>
  <c r="A1178" i="5"/>
  <c r="A1177" i="5"/>
  <c r="A1543" i="5"/>
  <c r="A1542" i="5"/>
  <c r="A1541" i="5"/>
  <c r="A1540" i="5"/>
  <c r="A1521" i="5"/>
  <c r="A1462" i="5"/>
  <c r="A1245" i="5"/>
  <c r="A1244" i="5"/>
  <c r="A1243" i="5"/>
  <c r="A1614" i="5"/>
  <c r="A1620" i="5"/>
  <c r="A1461" i="5"/>
  <c r="A1097" i="5"/>
  <c r="A1520" i="5"/>
  <c r="A1460" i="5"/>
  <c r="A1459" i="5"/>
  <c r="A1242" i="5"/>
  <c r="A1241" i="5"/>
  <c r="A1458" i="5"/>
  <c r="A1519" i="5"/>
  <c r="A1457" i="5"/>
  <c r="A1378" i="5"/>
  <c r="A1240" i="5"/>
  <c r="A1239" i="5"/>
  <c r="A1518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238" i="5"/>
  <c r="A1237" i="5"/>
  <c r="A1014" i="5"/>
  <c r="A1517" i="5"/>
  <c r="A1516" i="5"/>
  <c r="A1515" i="5"/>
  <c r="A1514" i="5"/>
  <c r="A1417" i="5"/>
  <c r="A1539" i="5"/>
  <c r="A1751" i="5"/>
  <c r="A1665" i="5"/>
  <c r="A1664" i="5"/>
  <c r="A1634" i="5"/>
  <c r="A1377" i="5"/>
  <c r="A1149" i="5"/>
  <c r="A1115" i="5"/>
  <c r="A1499" i="5"/>
  <c r="A1236" i="5"/>
  <c r="A1235" i="5"/>
  <c r="A1176" i="5"/>
  <c r="A1114" i="5"/>
  <c r="A1456" i="5"/>
  <c r="A1175" i="5"/>
  <c r="A1067" i="5"/>
  <c r="A1148" i="5"/>
  <c r="A1113" i="5"/>
  <c r="A1112" i="5"/>
  <c r="A1111" i="5"/>
  <c r="A1455" i="5"/>
  <c r="A1376" i="5"/>
  <c r="A1220" i="5"/>
  <c r="A1147" i="5"/>
  <c r="A1146" i="5"/>
  <c r="A1145" i="5"/>
  <c r="A1066" i="5"/>
  <c r="A1065" i="5"/>
  <c r="A1064" i="5"/>
  <c r="A1013" i="5"/>
  <c r="A1063" i="5"/>
  <c r="A1454" i="5"/>
  <c r="A1174" i="5"/>
  <c r="A1173" i="5"/>
  <c r="A1110" i="5"/>
  <c r="A1109" i="5"/>
  <c r="A1108" i="5"/>
  <c r="A1107" i="5"/>
  <c r="A1062" i="5"/>
  <c r="A1496" i="5"/>
  <c r="A1453" i="5"/>
  <c r="A1234" i="5"/>
  <c r="A1172" i="5"/>
  <c r="A1171" i="5"/>
  <c r="A1170" i="5"/>
  <c r="A1169" i="5"/>
  <c r="A1168" i="5"/>
  <c r="A1167" i="5"/>
  <c r="A1375" i="5"/>
  <c r="A1166" i="5"/>
  <c r="A1165" i="5"/>
  <c r="A1164" i="5"/>
  <c r="A1106" i="5"/>
  <c r="A1233" i="5"/>
  <c r="A1219" i="5"/>
  <c r="A1586" i="5"/>
  <c r="A1513" i="5"/>
  <c r="A1452" i="5"/>
  <c r="A1512" i="5"/>
  <c r="A1416" i="5"/>
  <c r="A1358" i="5"/>
  <c r="A1061" i="5"/>
  <c r="A1012" i="5"/>
  <c r="A978" i="5"/>
  <c r="A1060" i="5"/>
  <c r="A1059" i="5"/>
  <c r="A1451" i="5"/>
  <c r="A1663" i="5"/>
  <c r="A1662" i="5"/>
  <c r="A1637" i="5"/>
  <c r="A1450" i="5"/>
  <c r="A1449" i="5"/>
  <c r="A1448" i="5"/>
  <c r="A1374" i="5"/>
  <c r="A1613" i="5"/>
  <c r="A1058" i="5"/>
  <c r="A1057" i="5"/>
  <c r="A1232" i="5"/>
  <c r="A1163" i="5"/>
  <c r="A1102" i="5"/>
  <c r="A1447" i="5"/>
  <c r="A1373" i="5"/>
  <c r="A1372" i="5"/>
  <c r="A1371" i="5"/>
  <c r="A1370" i="5"/>
  <c r="A1369" i="5"/>
  <c r="A1105" i="5"/>
  <c r="A998" i="5"/>
  <c r="A997" i="5"/>
  <c r="A990" i="5"/>
  <c r="A989" i="5"/>
  <c r="A1368" i="5"/>
  <c r="A1585" i="5"/>
  <c r="A1584" i="5"/>
  <c r="A1367" i="5"/>
  <c r="A1366" i="5"/>
  <c r="A1365" i="5"/>
  <c r="A1750" i="5"/>
  <c r="A1693" i="5"/>
  <c r="A1680" i="5"/>
  <c r="A1661" i="5"/>
  <c r="A1650" i="5"/>
  <c r="A1660" i="5"/>
  <c r="A1709" i="5"/>
  <c r="A1673" i="5"/>
  <c r="A1659" i="5"/>
  <c r="A1096" i="5"/>
  <c r="A1095" i="5"/>
  <c r="A1094" i="5"/>
  <c r="A1056" i="5"/>
  <c r="A1055" i="5"/>
  <c r="A1029" i="5"/>
  <c r="A1093" i="5"/>
  <c r="A1092" i="5"/>
  <c r="A1054" i="5"/>
  <c r="A1053" i="5"/>
  <c r="A1052" i="5"/>
  <c r="A1104" i="5"/>
  <c r="A1101" i="5"/>
  <c r="A1100" i="5"/>
  <c r="A1028" i="5"/>
  <c r="A1658" i="5"/>
  <c r="A1612" i="5"/>
  <c r="A1633" i="5"/>
  <c r="A1679" i="5"/>
  <c r="A1632" i="5"/>
  <c r="A1498" i="5"/>
  <c r="A1722" i="5"/>
  <c r="A1678" i="5"/>
  <c r="A1631" i="5"/>
  <c r="A1511" i="5"/>
  <c r="A1510" i="5"/>
  <c r="A1509" i="5"/>
  <c r="A1415" i="5"/>
  <c r="A1414" i="5"/>
  <c r="A1604" i="5"/>
  <c r="A1446" i="5"/>
  <c r="A1364" i="5"/>
  <c r="A1583" i="5"/>
  <c r="A1687" i="5"/>
  <c r="A1582" i="5"/>
  <c r="A1581" i="5"/>
  <c r="A1580" i="5"/>
  <c r="A1579" i="5"/>
  <c r="A1508" i="5"/>
  <c r="A1162" i="5"/>
  <c r="A1578" i="5"/>
  <c r="A1577" i="5"/>
  <c r="A1576" i="5"/>
  <c r="A1575" i="5"/>
  <c r="A1574" i="5"/>
  <c r="A1630" i="5"/>
  <c r="A1629" i="5"/>
  <c r="A1611" i="5"/>
  <c r="A1573" i="5"/>
  <c r="A1572" i="5"/>
  <c r="A1571" i="5"/>
  <c r="A1570" i="5"/>
  <c r="A1649" i="5"/>
  <c r="A1628" i="5"/>
  <c r="A1686" i="5"/>
  <c r="A1685" i="5"/>
  <c r="A1657" i="5"/>
  <c r="A1569" i="5"/>
  <c r="A1627" i="5"/>
  <c r="A1568" i="5"/>
  <c r="A1567" i="5"/>
  <c r="A1566" i="5"/>
  <c r="A1565" i="5"/>
  <c r="A1564" i="5"/>
  <c r="A1563" i="5"/>
  <c r="A1626" i="5"/>
  <c r="A1610" i="5"/>
  <c r="A1609" i="5"/>
  <c r="A1648" i="5"/>
  <c r="A1656" i="5"/>
  <c r="A1625" i="5"/>
  <c r="A1624" i="5"/>
  <c r="A1623" i="5"/>
  <c r="A1684" i="5"/>
  <c r="A1677" i="5"/>
  <c r="A1647" i="5"/>
  <c r="A1646" i="5"/>
  <c r="A1562" i="5"/>
  <c r="A1713" i="5"/>
  <c r="A1674" i="5"/>
  <c r="A1622" i="5"/>
  <c r="A1507" i="5"/>
  <c r="A1363" i="5"/>
  <c r="A1161" i="5"/>
  <c r="A1051" i="5"/>
  <c r="A1231" i="5"/>
  <c r="A1160" i="5"/>
  <c r="A1103" i="5"/>
  <c r="A1050" i="5"/>
  <c r="A1506" i="5"/>
  <c r="A1505" i="5"/>
  <c r="A1504" i="5"/>
  <c r="A1497" i="5"/>
  <c r="A1445" i="5"/>
  <c r="A1444" i="5"/>
  <c r="A1443" i="5"/>
  <c r="A1442" i="5"/>
  <c r="A1441" i="5"/>
  <c r="A1440" i="5"/>
  <c r="A1413" i="5"/>
  <c r="A1362" i="5"/>
  <c r="A1361" i="5"/>
  <c r="A1218" i="5"/>
  <c r="A925" i="5"/>
  <c r="A885" i="5"/>
  <c r="A929" i="5"/>
  <c r="A910" i="5"/>
  <c r="A909" i="5"/>
  <c r="A908" i="5"/>
  <c r="A907" i="5"/>
  <c r="A906" i="5"/>
  <c r="A1768" i="5"/>
  <c r="A1767" i="5"/>
  <c r="A1032" i="5"/>
  <c r="A1011" i="5"/>
  <c r="A1010" i="5"/>
  <c r="A1009" i="5"/>
  <c r="A1008" i="5"/>
  <c r="A1007" i="5"/>
  <c r="A996" i="5"/>
  <c r="A995" i="5"/>
  <c r="A994" i="5"/>
  <c r="A966" i="5"/>
  <c r="A939" i="5"/>
  <c r="A924" i="5"/>
  <c r="A892" i="5"/>
  <c r="A1006" i="5"/>
  <c r="A977" i="5"/>
  <c r="A976" i="5"/>
  <c r="A965" i="5"/>
  <c r="A1766" i="5"/>
  <c r="A884" i="5"/>
  <c r="A964" i="5"/>
  <c r="A1005" i="5"/>
  <c r="A963" i="5"/>
  <c r="A931" i="5"/>
  <c r="A928" i="5"/>
  <c r="A923" i="5"/>
  <c r="A905" i="5"/>
  <c r="A891" i="5"/>
  <c r="A962" i="5"/>
  <c r="A904" i="5"/>
  <c r="A1004" i="5"/>
  <c r="A975" i="5"/>
  <c r="A903" i="5"/>
  <c r="A1043" i="5"/>
  <c r="A993" i="5"/>
  <c r="A1003" i="5"/>
  <c r="A961" i="5"/>
  <c r="A960" i="5"/>
  <c r="A959" i="5"/>
  <c r="A958" i="5"/>
  <c r="A957" i="5"/>
  <c r="A956" i="5"/>
  <c r="A955" i="5"/>
  <c r="A938" i="5"/>
  <c r="A937" i="5"/>
  <c r="A936" i="5"/>
  <c r="A1765" i="5"/>
  <c r="A890" i="5"/>
  <c r="A889" i="5"/>
  <c r="A1764" i="5"/>
  <c r="A1763" i="5"/>
  <c r="A1762" i="5"/>
  <c r="A1761" i="5"/>
  <c r="A935" i="5"/>
  <c r="A883" i="5"/>
  <c r="A974" i="5"/>
  <c r="A902" i="5"/>
  <c r="A901" i="5"/>
  <c r="A900" i="5"/>
  <c r="A899" i="5"/>
  <c r="A898" i="5"/>
  <c r="A1034" i="5"/>
  <c r="A954" i="5"/>
  <c r="A953" i="5"/>
  <c r="A952" i="5"/>
  <c r="A951" i="5"/>
  <c r="A950" i="5"/>
  <c r="A969" i="5"/>
  <c r="A927" i="5"/>
  <c r="A922" i="5"/>
  <c r="A921" i="5"/>
  <c r="A920" i="5"/>
  <c r="A919" i="5"/>
  <c r="A918" i="5"/>
  <c r="A917" i="5"/>
  <c r="A897" i="5"/>
  <c r="A1027" i="5"/>
  <c r="A968" i="5"/>
  <c r="A916" i="5"/>
  <c r="A915" i="5"/>
  <c r="A1002" i="5"/>
  <c r="A973" i="5"/>
  <c r="A949" i="5"/>
  <c r="A926" i="5"/>
  <c r="A988" i="5"/>
  <c r="A948" i="5"/>
  <c r="A882" i="5"/>
  <c r="A972" i="5"/>
  <c r="A911" i="5"/>
  <c r="A881" i="5"/>
  <c r="A947" i="5"/>
  <c r="A946" i="5"/>
  <c r="A945" i="5"/>
  <c r="A944" i="5"/>
  <c r="A943" i="5"/>
  <c r="A942" i="5"/>
  <c r="A941" i="5"/>
  <c r="A896" i="5"/>
  <c r="A888" i="5"/>
  <c r="A887" i="5"/>
  <c r="A1031" i="5"/>
  <c r="A914" i="5"/>
  <c r="A913" i="5"/>
  <c r="A912" i="5"/>
  <c r="A895" i="5"/>
  <c r="A894" i="5"/>
  <c r="A987" i="5"/>
  <c r="A1760" i="5"/>
  <c r="A934" i="5"/>
  <c r="A933" i="5"/>
  <c r="A880" i="5"/>
  <c r="A879" i="5"/>
  <c r="A1025" i="5"/>
  <c r="A992" i="5"/>
  <c r="A971" i="5"/>
  <c r="A967" i="5"/>
  <c r="A940" i="5"/>
  <c r="A970" i="5"/>
  <c r="A932" i="5"/>
  <c r="A893" i="5"/>
  <c r="A886" i="5"/>
  <c r="A1159" i="5"/>
  <c r="A1033" i="5"/>
  <c r="A1230" i="5"/>
  <c r="A1608" i="5"/>
  <c r="A1561" i="5"/>
  <c r="A1560" i="5"/>
  <c r="A1559" i="5"/>
  <c r="A1558" i="5"/>
  <c r="A1557" i="5"/>
  <c r="A1556" i="5"/>
  <c r="A1555" i="5"/>
  <c r="A1439" i="5"/>
  <c r="A1683" i="5"/>
  <c r="A1607" i="5"/>
  <c r="A1554" i="5"/>
  <c r="A1553" i="5"/>
  <c r="A1552" i="5"/>
  <c r="A1551" i="5"/>
  <c r="A1550" i="5"/>
  <c r="A1549" i="5"/>
  <c r="A1503" i="5"/>
  <c r="A1438" i="5"/>
  <c r="A1645" i="5"/>
  <c r="A1644" i="5"/>
  <c r="A1643" i="5"/>
  <c r="A1642" i="5"/>
  <c r="A1682" i="5"/>
  <c r="A1641" i="5"/>
  <c r="A1621" i="5"/>
  <c r="A1548" i="5"/>
  <c r="A1547" i="5"/>
  <c r="A1690" i="5"/>
  <c r="A1640" i="5"/>
  <c r="A1546" i="5"/>
  <c r="A1712" i="5"/>
  <c r="A1676" i="5"/>
  <c r="A1675" i="5"/>
  <c r="A1412" i="5"/>
  <c r="A1158" i="5"/>
  <c r="M872" i="5"/>
  <c r="L872" i="5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M864" i="5"/>
  <c r="L864" i="5"/>
  <c r="M863" i="5"/>
  <c r="L863" i="5"/>
  <c r="M862" i="5"/>
  <c r="L862" i="5"/>
  <c r="M861" i="5"/>
  <c r="L861" i="5"/>
  <c r="A861" i="5" s="1"/>
  <c r="M860" i="5"/>
  <c r="L860" i="5"/>
  <c r="A860" i="5" s="1"/>
  <c r="M859" i="5"/>
  <c r="L859" i="5"/>
  <c r="A859" i="5" s="1"/>
  <c r="M858" i="5"/>
  <c r="L858" i="5"/>
  <c r="M857" i="5"/>
  <c r="L857" i="5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M850" i="5"/>
  <c r="L850" i="5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Y559" i="1"/>
  <c r="X559" i="1"/>
  <c r="Y558" i="1"/>
  <c r="X558" i="1"/>
  <c r="Y557" i="1"/>
  <c r="X557" i="1"/>
  <c r="Y556" i="1"/>
  <c r="X556" i="1"/>
  <c r="Y555" i="1"/>
  <c r="X555" i="1"/>
  <c r="Y554" i="1"/>
  <c r="X554" i="1"/>
  <c r="Z554" i="1" s="1"/>
  <c r="Y553" i="1"/>
  <c r="X553" i="1"/>
  <c r="Y552" i="1"/>
  <c r="X552" i="1"/>
  <c r="Y551" i="1"/>
  <c r="X551" i="1"/>
  <c r="Y550" i="1"/>
  <c r="X550" i="1"/>
  <c r="Y549" i="1"/>
  <c r="X549" i="1"/>
  <c r="Y548" i="1"/>
  <c r="X548" i="1"/>
  <c r="Y547" i="1"/>
  <c r="X547" i="1"/>
  <c r="Y546" i="1"/>
  <c r="X546" i="1"/>
  <c r="Z546" i="1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803" i="5"/>
  <c r="A780" i="5"/>
  <c r="A747" i="5"/>
  <c r="A746" i="5"/>
  <c r="A745" i="5"/>
  <c r="A744" i="5"/>
  <c r="A743" i="5"/>
  <c r="A720" i="5"/>
  <c r="A719" i="5"/>
  <c r="A718" i="5"/>
  <c r="A717" i="5"/>
  <c r="A716" i="5"/>
  <c r="A705" i="5"/>
  <c r="A704" i="5"/>
  <c r="A591" i="5"/>
  <c r="A593" i="5"/>
  <c r="A626" i="5"/>
  <c r="A629" i="5"/>
  <c r="A625" i="5"/>
  <c r="A612" i="5"/>
  <c r="A595" i="5"/>
  <c r="A605" i="5"/>
  <c r="A592" i="5"/>
  <c r="A624" i="5"/>
  <c r="A604" i="5"/>
  <c r="A611" i="5"/>
  <c r="A610" i="5"/>
  <c r="A609" i="5"/>
  <c r="A619" i="5"/>
  <c r="A608" i="5"/>
  <c r="A607" i="5"/>
  <c r="A623" i="5"/>
  <c r="A606" i="5"/>
  <c r="A603" i="5"/>
  <c r="A602" i="5"/>
  <c r="A622" i="5"/>
  <c r="A621" i="5"/>
  <c r="A620" i="5"/>
  <c r="A618" i="5"/>
  <c r="A601" i="5"/>
  <c r="A600" i="5"/>
  <c r="A599" i="5"/>
  <c r="A598" i="5"/>
  <c r="A644" i="5"/>
  <c r="A632" i="5"/>
  <c r="A753" i="5"/>
  <c r="A818" i="5"/>
  <c r="A715" i="5"/>
  <c r="B50" i="12"/>
  <c r="B51" i="12" s="1"/>
  <c r="A50" i="12"/>
  <c r="B49" i="12"/>
  <c r="A49" i="12"/>
  <c r="B37" i="12"/>
  <c r="B38" i="12" s="1"/>
  <c r="A37" i="12"/>
  <c r="B36" i="12"/>
  <c r="A36" i="12"/>
  <c r="B24" i="12"/>
  <c r="B25" i="12" s="1"/>
  <c r="B26" i="12" s="1"/>
  <c r="B27" i="12" s="1"/>
  <c r="B28" i="12" s="1"/>
  <c r="B29" i="12" s="1"/>
  <c r="B30" i="12" s="1"/>
  <c r="B31" i="12" s="1"/>
  <c r="B23" i="12"/>
  <c r="A24" i="12" s="1"/>
  <c r="A23" i="12"/>
  <c r="W1" i="11"/>
  <c r="V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L456" i="5"/>
  <c r="A456" i="5" s="1"/>
  <c r="L455" i="5"/>
  <c r="A455" i="5" s="1"/>
  <c r="L454" i="5"/>
  <c r="A454" i="5" s="1"/>
  <c r="L453" i="5"/>
  <c r="L452" i="5"/>
  <c r="L451" i="5"/>
  <c r="L450" i="5"/>
  <c r="A450" i="5" s="1"/>
  <c r="L449" i="5"/>
  <c r="A449" i="5" s="1"/>
  <c r="L448" i="5"/>
  <c r="L447" i="5"/>
  <c r="A447" i="5" s="1"/>
  <c r="L446" i="5"/>
  <c r="A446" i="5" s="1"/>
  <c r="L445" i="5"/>
  <c r="L444" i="5"/>
  <c r="L443" i="5"/>
  <c r="L442" i="5"/>
  <c r="L441" i="5"/>
  <c r="A441" i="5" s="1"/>
  <c r="L440" i="5"/>
  <c r="A440" i="5" s="1"/>
  <c r="L439" i="5"/>
  <c r="L438" i="5"/>
  <c r="A438" i="5" s="1"/>
  <c r="L243" i="5"/>
  <c r="L242" i="5"/>
  <c r="L241" i="5"/>
  <c r="L240" i="5"/>
  <c r="A240" i="5" s="1"/>
  <c r="L239" i="5"/>
  <c r="L62" i="5"/>
  <c r="L513" i="5"/>
  <c r="A513" i="5" s="1"/>
  <c r="L486" i="5"/>
  <c r="A486" i="5" s="1"/>
  <c r="L458" i="5"/>
  <c r="A458" i="5" s="1"/>
  <c r="A443" i="5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42" i="5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2" i="5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Y27" i="1"/>
  <c r="X28" i="1"/>
  <c r="Y28" i="1"/>
  <c r="X29" i="1"/>
  <c r="Y29" i="1"/>
  <c r="X30" i="1"/>
  <c r="Y30" i="1"/>
  <c r="X31" i="1"/>
  <c r="Y31" i="1"/>
  <c r="X32" i="1"/>
  <c r="Y32" i="1"/>
  <c r="X33" i="1"/>
  <c r="Y33" i="1"/>
  <c r="X34" i="1"/>
  <c r="Y34" i="1"/>
  <c r="X35" i="1"/>
  <c r="Y35" i="1"/>
  <c r="X36" i="1"/>
  <c r="Y36" i="1"/>
  <c r="X37" i="1"/>
  <c r="Y37" i="1"/>
  <c r="X38" i="1"/>
  <c r="Y38" i="1"/>
  <c r="X39" i="1"/>
  <c r="Y39" i="1"/>
  <c r="X40" i="1"/>
  <c r="Y40" i="1"/>
  <c r="X41" i="1"/>
  <c r="Y41" i="1"/>
  <c r="X42" i="1"/>
  <c r="Y42" i="1"/>
  <c r="X43" i="1"/>
  <c r="Y43" i="1"/>
  <c r="X44" i="1"/>
  <c r="Y44" i="1"/>
  <c r="X45" i="1"/>
  <c r="Y45" i="1"/>
  <c r="X46" i="1"/>
  <c r="Y46" i="1"/>
  <c r="X47" i="1"/>
  <c r="Y47" i="1"/>
  <c r="X48" i="1"/>
  <c r="Y48" i="1"/>
  <c r="X49" i="1"/>
  <c r="Y49" i="1"/>
  <c r="X50" i="1"/>
  <c r="Y50" i="1"/>
  <c r="X51" i="1"/>
  <c r="Y51" i="1"/>
  <c r="X52" i="1"/>
  <c r="Y52" i="1"/>
  <c r="X53" i="1"/>
  <c r="Y53" i="1"/>
  <c r="X54" i="1"/>
  <c r="Y54" i="1"/>
  <c r="X55" i="1"/>
  <c r="Y55" i="1"/>
  <c r="X56" i="1"/>
  <c r="Y56" i="1"/>
  <c r="X57" i="1"/>
  <c r="Y57" i="1"/>
  <c r="X58" i="1"/>
  <c r="Y58" i="1"/>
  <c r="X59" i="1"/>
  <c r="Y59" i="1"/>
  <c r="X60" i="1"/>
  <c r="Y60" i="1"/>
  <c r="X61" i="1"/>
  <c r="Y61" i="1"/>
  <c r="X62" i="1"/>
  <c r="Y62" i="1"/>
  <c r="X63" i="1"/>
  <c r="Y63" i="1"/>
  <c r="X64" i="1"/>
  <c r="Y64" i="1"/>
  <c r="X65" i="1"/>
  <c r="Y65" i="1"/>
  <c r="X66" i="1"/>
  <c r="Y66" i="1"/>
  <c r="X67" i="1"/>
  <c r="Y67" i="1"/>
  <c r="X68" i="1"/>
  <c r="Y68" i="1"/>
  <c r="X69" i="1"/>
  <c r="Y69" i="1"/>
  <c r="X70" i="1"/>
  <c r="Y70" i="1"/>
  <c r="X71" i="1"/>
  <c r="Y71" i="1"/>
  <c r="X72" i="1"/>
  <c r="Y72" i="1"/>
  <c r="X73" i="1"/>
  <c r="Y73" i="1"/>
  <c r="X74" i="1"/>
  <c r="Y74" i="1"/>
  <c r="X75" i="1"/>
  <c r="Y75" i="1"/>
  <c r="X76" i="1"/>
  <c r="Y76" i="1"/>
  <c r="X77" i="1"/>
  <c r="Y77" i="1"/>
  <c r="X78" i="1"/>
  <c r="Y78" i="1"/>
  <c r="X79" i="1"/>
  <c r="Y79" i="1"/>
  <c r="X80" i="1"/>
  <c r="Y80" i="1"/>
  <c r="X81" i="1"/>
  <c r="Y81" i="1"/>
  <c r="X82" i="1"/>
  <c r="Y82" i="1"/>
  <c r="X83" i="1"/>
  <c r="Y83" i="1"/>
  <c r="X84" i="1"/>
  <c r="Y84" i="1"/>
  <c r="X85" i="1"/>
  <c r="Y85" i="1"/>
  <c r="X86" i="1"/>
  <c r="Y86" i="1"/>
  <c r="X87" i="1"/>
  <c r="Y87" i="1"/>
  <c r="X88" i="1"/>
  <c r="Y88" i="1"/>
  <c r="X89" i="1"/>
  <c r="Y89" i="1"/>
  <c r="X90" i="1"/>
  <c r="Y90" i="1"/>
  <c r="X91" i="1"/>
  <c r="Y91" i="1"/>
  <c r="X92" i="1"/>
  <c r="Y92" i="1"/>
  <c r="X93" i="1"/>
  <c r="Y93" i="1"/>
  <c r="X94" i="1"/>
  <c r="Y94" i="1"/>
  <c r="X95" i="1"/>
  <c r="Y95" i="1"/>
  <c r="X96" i="1"/>
  <c r="Y96" i="1"/>
  <c r="X97" i="1"/>
  <c r="Y97" i="1"/>
  <c r="X98" i="1"/>
  <c r="Y98" i="1"/>
  <c r="X99" i="1"/>
  <c r="Y99" i="1"/>
  <c r="X100" i="1"/>
  <c r="Y100" i="1"/>
  <c r="X101" i="1"/>
  <c r="Y101" i="1"/>
  <c r="X102" i="1"/>
  <c r="Y102" i="1"/>
  <c r="X103" i="1"/>
  <c r="Y103" i="1"/>
  <c r="X104" i="1"/>
  <c r="Y104" i="1"/>
  <c r="X105" i="1"/>
  <c r="Y105" i="1"/>
  <c r="X106" i="1"/>
  <c r="Y106" i="1"/>
  <c r="X107" i="1"/>
  <c r="Y107" i="1"/>
  <c r="X108" i="1"/>
  <c r="Y108" i="1"/>
  <c r="X109" i="1"/>
  <c r="Y109" i="1"/>
  <c r="X110" i="1"/>
  <c r="Y110" i="1"/>
  <c r="X111" i="1"/>
  <c r="Y111" i="1"/>
  <c r="X112" i="1"/>
  <c r="Y112" i="1"/>
  <c r="X113" i="1"/>
  <c r="Y113" i="1"/>
  <c r="X114" i="1"/>
  <c r="Y114" i="1"/>
  <c r="X115" i="1"/>
  <c r="Y115" i="1"/>
  <c r="X116" i="1"/>
  <c r="Y116" i="1"/>
  <c r="X117" i="1"/>
  <c r="Y117" i="1"/>
  <c r="X118" i="1"/>
  <c r="Y118" i="1"/>
  <c r="X119" i="1"/>
  <c r="Y119" i="1"/>
  <c r="X120" i="1"/>
  <c r="Y120" i="1"/>
  <c r="X121" i="1"/>
  <c r="Y121" i="1"/>
  <c r="X122" i="1"/>
  <c r="Y122" i="1"/>
  <c r="X123" i="1"/>
  <c r="Y123" i="1"/>
  <c r="X124" i="1"/>
  <c r="Y124" i="1"/>
  <c r="X125" i="1"/>
  <c r="Y125" i="1"/>
  <c r="X126" i="1"/>
  <c r="Y126" i="1"/>
  <c r="X127" i="1"/>
  <c r="Y127" i="1"/>
  <c r="X128" i="1"/>
  <c r="Y128" i="1"/>
  <c r="X129" i="1"/>
  <c r="Y129" i="1"/>
  <c r="X130" i="1"/>
  <c r="Y130" i="1"/>
  <c r="X131" i="1"/>
  <c r="Y131" i="1"/>
  <c r="X132" i="1"/>
  <c r="Y132" i="1"/>
  <c r="X133" i="1"/>
  <c r="Y133" i="1"/>
  <c r="X134" i="1"/>
  <c r="Y134" i="1"/>
  <c r="X135" i="1"/>
  <c r="Y135" i="1"/>
  <c r="X136" i="1"/>
  <c r="Y136" i="1"/>
  <c r="X137" i="1"/>
  <c r="Y137" i="1"/>
  <c r="X138" i="1"/>
  <c r="Y138" i="1"/>
  <c r="X139" i="1"/>
  <c r="Y139" i="1"/>
  <c r="X140" i="1"/>
  <c r="Y140" i="1"/>
  <c r="X141" i="1"/>
  <c r="Y141" i="1"/>
  <c r="X142" i="1"/>
  <c r="Y142" i="1"/>
  <c r="X143" i="1"/>
  <c r="Y143" i="1"/>
  <c r="X144" i="1"/>
  <c r="Y144" i="1"/>
  <c r="X145" i="1"/>
  <c r="Y145" i="1"/>
  <c r="X146" i="1"/>
  <c r="Y146" i="1"/>
  <c r="X147" i="1"/>
  <c r="Y147" i="1"/>
  <c r="X148" i="1"/>
  <c r="Y148" i="1"/>
  <c r="X149" i="1"/>
  <c r="Y149" i="1"/>
  <c r="X150" i="1"/>
  <c r="Y150" i="1"/>
  <c r="X151" i="1"/>
  <c r="Y151" i="1"/>
  <c r="X152" i="1"/>
  <c r="Y152" i="1"/>
  <c r="X153" i="1"/>
  <c r="Y153" i="1"/>
  <c r="X154" i="1"/>
  <c r="Y154" i="1"/>
  <c r="X155" i="1"/>
  <c r="Y155" i="1"/>
  <c r="X156" i="1"/>
  <c r="Y156" i="1"/>
  <c r="X157" i="1"/>
  <c r="Y157" i="1"/>
  <c r="X158" i="1"/>
  <c r="Y158" i="1"/>
  <c r="X159" i="1"/>
  <c r="Y159" i="1"/>
  <c r="X160" i="1"/>
  <c r="Y160" i="1"/>
  <c r="X161" i="1"/>
  <c r="Y161" i="1"/>
  <c r="X162" i="1"/>
  <c r="Y162" i="1"/>
  <c r="X163" i="1"/>
  <c r="Y163" i="1"/>
  <c r="X164" i="1"/>
  <c r="Y164" i="1"/>
  <c r="X165" i="1"/>
  <c r="Y165" i="1"/>
  <c r="X166" i="1"/>
  <c r="Y166" i="1"/>
  <c r="X167" i="1"/>
  <c r="Y167" i="1"/>
  <c r="X168" i="1"/>
  <c r="Y168" i="1"/>
  <c r="X169" i="1"/>
  <c r="Y169" i="1"/>
  <c r="X170" i="1"/>
  <c r="Y170" i="1"/>
  <c r="X171" i="1"/>
  <c r="Y171" i="1"/>
  <c r="X172" i="1"/>
  <c r="Y172" i="1"/>
  <c r="X173" i="1"/>
  <c r="Y173" i="1"/>
  <c r="X174" i="1"/>
  <c r="Y174" i="1"/>
  <c r="X175" i="1"/>
  <c r="Y175" i="1"/>
  <c r="X176" i="1"/>
  <c r="Y176" i="1"/>
  <c r="X177" i="1"/>
  <c r="Y177" i="1"/>
  <c r="X178" i="1"/>
  <c r="Y178" i="1"/>
  <c r="X179" i="1"/>
  <c r="Y179" i="1"/>
  <c r="X180" i="1"/>
  <c r="Y180" i="1"/>
  <c r="X181" i="1"/>
  <c r="Y181" i="1"/>
  <c r="X182" i="1"/>
  <c r="Y182" i="1"/>
  <c r="X183" i="1"/>
  <c r="Y183" i="1"/>
  <c r="X184" i="1"/>
  <c r="Y184" i="1"/>
  <c r="X185" i="1"/>
  <c r="Y185" i="1"/>
  <c r="X186" i="1"/>
  <c r="Y186" i="1"/>
  <c r="X187" i="1"/>
  <c r="Y187" i="1"/>
  <c r="X188" i="1"/>
  <c r="Y188" i="1"/>
  <c r="X189" i="1"/>
  <c r="Y189" i="1"/>
  <c r="X190" i="1"/>
  <c r="Y190" i="1"/>
  <c r="X191" i="1"/>
  <c r="Y191" i="1"/>
  <c r="X192" i="1"/>
  <c r="Y192" i="1"/>
  <c r="X193" i="1"/>
  <c r="Y193" i="1"/>
  <c r="X194" i="1"/>
  <c r="Y194" i="1"/>
  <c r="X195" i="1"/>
  <c r="Y195" i="1"/>
  <c r="X196" i="1"/>
  <c r="Y196" i="1"/>
  <c r="X197" i="1"/>
  <c r="Y197" i="1"/>
  <c r="X198" i="1"/>
  <c r="Y198" i="1"/>
  <c r="X199" i="1"/>
  <c r="Y199" i="1"/>
  <c r="X200" i="1"/>
  <c r="Y200" i="1"/>
  <c r="X201" i="1"/>
  <c r="Y201" i="1"/>
  <c r="X202" i="1"/>
  <c r="Y202" i="1"/>
  <c r="X203" i="1"/>
  <c r="Y203" i="1"/>
  <c r="X204" i="1"/>
  <c r="Y204" i="1"/>
  <c r="X205" i="1"/>
  <c r="Y205" i="1"/>
  <c r="X206" i="1"/>
  <c r="Y206" i="1"/>
  <c r="X207" i="1"/>
  <c r="Y207" i="1"/>
  <c r="X208" i="1"/>
  <c r="Y208" i="1"/>
  <c r="X209" i="1"/>
  <c r="Y209" i="1"/>
  <c r="X210" i="1"/>
  <c r="Y210" i="1"/>
  <c r="X211" i="1"/>
  <c r="Y211" i="1"/>
  <c r="X212" i="1"/>
  <c r="Y212" i="1"/>
  <c r="X213" i="1"/>
  <c r="Y213" i="1"/>
  <c r="X214" i="1"/>
  <c r="Y214" i="1"/>
  <c r="X215" i="1"/>
  <c r="Y215" i="1"/>
  <c r="X216" i="1"/>
  <c r="Y216" i="1"/>
  <c r="X217" i="1"/>
  <c r="Y217" i="1"/>
  <c r="X218" i="1"/>
  <c r="Y218" i="1"/>
  <c r="X219" i="1"/>
  <c r="Y219" i="1"/>
  <c r="X220" i="1"/>
  <c r="Y220" i="1"/>
  <c r="X221" i="1"/>
  <c r="Y221" i="1"/>
  <c r="X222" i="1"/>
  <c r="Y222" i="1"/>
  <c r="X223" i="1"/>
  <c r="Y223" i="1"/>
  <c r="X224" i="1"/>
  <c r="Y224" i="1"/>
  <c r="X225" i="1"/>
  <c r="Y225" i="1"/>
  <c r="X226" i="1"/>
  <c r="Y226" i="1"/>
  <c r="X227" i="1"/>
  <c r="Y227" i="1"/>
  <c r="X228" i="1"/>
  <c r="Y228" i="1"/>
  <c r="X229" i="1"/>
  <c r="Y229" i="1"/>
  <c r="X230" i="1"/>
  <c r="Y230" i="1"/>
  <c r="X231" i="1"/>
  <c r="Y231" i="1"/>
  <c r="X232" i="1"/>
  <c r="Y232" i="1"/>
  <c r="X233" i="1"/>
  <c r="Y233" i="1"/>
  <c r="X234" i="1"/>
  <c r="Y234" i="1"/>
  <c r="X235" i="1"/>
  <c r="Y235" i="1"/>
  <c r="X236" i="1"/>
  <c r="Y236" i="1"/>
  <c r="X237" i="1"/>
  <c r="Y237" i="1"/>
  <c r="X238" i="1"/>
  <c r="Y238" i="1"/>
  <c r="X239" i="1"/>
  <c r="Y239" i="1"/>
  <c r="X240" i="1"/>
  <c r="Y240" i="1"/>
  <c r="X241" i="1"/>
  <c r="Y241" i="1"/>
  <c r="X242" i="1"/>
  <c r="Y242" i="1"/>
  <c r="X243" i="1"/>
  <c r="Y243" i="1"/>
  <c r="X244" i="1"/>
  <c r="Y244" i="1"/>
  <c r="X245" i="1"/>
  <c r="Y245" i="1"/>
  <c r="X246" i="1"/>
  <c r="Y246" i="1"/>
  <c r="X247" i="1"/>
  <c r="Y247" i="1"/>
  <c r="X248" i="1"/>
  <c r="Y248" i="1"/>
  <c r="X249" i="1"/>
  <c r="Y249" i="1"/>
  <c r="X250" i="1"/>
  <c r="Y250" i="1"/>
  <c r="X251" i="1"/>
  <c r="Y251" i="1"/>
  <c r="X252" i="1"/>
  <c r="Y252" i="1"/>
  <c r="X253" i="1"/>
  <c r="Y253" i="1"/>
  <c r="X254" i="1"/>
  <c r="Y254" i="1"/>
  <c r="X255" i="1"/>
  <c r="Y255" i="1"/>
  <c r="X256" i="1"/>
  <c r="Y256" i="1"/>
  <c r="X257" i="1"/>
  <c r="Y257" i="1"/>
  <c r="X258" i="1"/>
  <c r="Y258" i="1"/>
  <c r="X259" i="1"/>
  <c r="Y259" i="1"/>
  <c r="X260" i="1"/>
  <c r="Y260" i="1"/>
  <c r="X261" i="1"/>
  <c r="Y261" i="1"/>
  <c r="X262" i="1"/>
  <c r="Y262" i="1"/>
  <c r="X263" i="1"/>
  <c r="Y263" i="1"/>
  <c r="X264" i="1"/>
  <c r="Y264" i="1"/>
  <c r="X265" i="1"/>
  <c r="Y265" i="1"/>
  <c r="X266" i="1"/>
  <c r="Y266" i="1"/>
  <c r="X267" i="1"/>
  <c r="Y267" i="1"/>
  <c r="X268" i="1"/>
  <c r="Y268" i="1"/>
  <c r="X269" i="1"/>
  <c r="Y269" i="1"/>
  <c r="X270" i="1"/>
  <c r="Y270" i="1"/>
  <c r="X271" i="1"/>
  <c r="Y271" i="1"/>
  <c r="X272" i="1"/>
  <c r="Y272" i="1"/>
  <c r="X273" i="1"/>
  <c r="Y273" i="1"/>
  <c r="X274" i="1"/>
  <c r="Y274" i="1"/>
  <c r="X275" i="1"/>
  <c r="Y275" i="1"/>
  <c r="X276" i="1"/>
  <c r="Y276" i="1"/>
  <c r="X277" i="1"/>
  <c r="Y277" i="1"/>
  <c r="X278" i="1"/>
  <c r="Y278" i="1"/>
  <c r="X279" i="1"/>
  <c r="Y279" i="1"/>
  <c r="X280" i="1"/>
  <c r="Y280" i="1"/>
  <c r="X281" i="1"/>
  <c r="Y281" i="1"/>
  <c r="X282" i="1"/>
  <c r="Y282" i="1"/>
  <c r="X283" i="1"/>
  <c r="Y283" i="1"/>
  <c r="X284" i="1"/>
  <c r="Y284" i="1"/>
  <c r="X285" i="1"/>
  <c r="Y285" i="1"/>
  <c r="X286" i="1"/>
  <c r="Y286" i="1"/>
  <c r="X287" i="1"/>
  <c r="Y287" i="1"/>
  <c r="X288" i="1"/>
  <c r="Y288" i="1"/>
  <c r="X289" i="1"/>
  <c r="Y289" i="1"/>
  <c r="X290" i="1"/>
  <c r="Y290" i="1"/>
  <c r="X291" i="1"/>
  <c r="Y291" i="1"/>
  <c r="X292" i="1"/>
  <c r="Y292" i="1"/>
  <c r="X293" i="1"/>
  <c r="Y293" i="1"/>
  <c r="X294" i="1"/>
  <c r="Y294" i="1"/>
  <c r="X295" i="1"/>
  <c r="Y295" i="1"/>
  <c r="X296" i="1"/>
  <c r="Y296" i="1"/>
  <c r="X297" i="1"/>
  <c r="Y297" i="1"/>
  <c r="X298" i="1"/>
  <c r="Y298" i="1"/>
  <c r="X299" i="1"/>
  <c r="Y299" i="1"/>
  <c r="X300" i="1"/>
  <c r="Y300" i="1"/>
  <c r="X301" i="1"/>
  <c r="Y301" i="1"/>
  <c r="X302" i="1"/>
  <c r="Y302" i="1"/>
  <c r="X303" i="1"/>
  <c r="Y303" i="1"/>
  <c r="X304" i="1"/>
  <c r="Y304" i="1"/>
  <c r="X305" i="1"/>
  <c r="Y305" i="1"/>
  <c r="X306" i="1"/>
  <c r="Y306" i="1"/>
  <c r="X307" i="1"/>
  <c r="Y307" i="1"/>
  <c r="X308" i="1"/>
  <c r="Y308" i="1"/>
  <c r="X309" i="1"/>
  <c r="Y309" i="1"/>
  <c r="X310" i="1"/>
  <c r="Y310" i="1"/>
  <c r="X311" i="1"/>
  <c r="Y311" i="1"/>
  <c r="X312" i="1"/>
  <c r="Y312" i="1"/>
  <c r="X313" i="1"/>
  <c r="Y313" i="1"/>
  <c r="X314" i="1"/>
  <c r="Y314" i="1"/>
  <c r="X315" i="1"/>
  <c r="Y315" i="1"/>
  <c r="X316" i="1"/>
  <c r="Y316" i="1"/>
  <c r="X317" i="1"/>
  <c r="Y317" i="1"/>
  <c r="X318" i="1"/>
  <c r="Y318" i="1"/>
  <c r="X319" i="1"/>
  <c r="Y319" i="1"/>
  <c r="X320" i="1"/>
  <c r="Y320" i="1"/>
  <c r="X321" i="1"/>
  <c r="Y321" i="1"/>
  <c r="X322" i="1"/>
  <c r="Y322" i="1"/>
  <c r="X323" i="1"/>
  <c r="Y323" i="1"/>
  <c r="X324" i="1"/>
  <c r="Y324" i="1"/>
  <c r="X325" i="1"/>
  <c r="Y325" i="1"/>
  <c r="X326" i="1"/>
  <c r="Y326" i="1"/>
  <c r="X327" i="1"/>
  <c r="Y327" i="1"/>
  <c r="X328" i="1"/>
  <c r="Y328" i="1"/>
  <c r="X329" i="1"/>
  <c r="Y329" i="1"/>
  <c r="X330" i="1"/>
  <c r="Y330" i="1"/>
  <c r="X331" i="1"/>
  <c r="Y331" i="1"/>
  <c r="X332" i="1"/>
  <c r="Y332" i="1"/>
  <c r="X333" i="1"/>
  <c r="Y333" i="1"/>
  <c r="X334" i="1"/>
  <c r="Y334" i="1"/>
  <c r="X335" i="1"/>
  <c r="Y335" i="1"/>
  <c r="X336" i="1"/>
  <c r="Y336" i="1"/>
  <c r="X337" i="1"/>
  <c r="Y337" i="1"/>
  <c r="X338" i="1"/>
  <c r="Y338" i="1"/>
  <c r="X339" i="1"/>
  <c r="Y339" i="1"/>
  <c r="X340" i="1"/>
  <c r="Y340" i="1"/>
  <c r="X341" i="1"/>
  <c r="Y341" i="1"/>
  <c r="X342" i="1"/>
  <c r="Y342" i="1"/>
  <c r="X343" i="1"/>
  <c r="Y343" i="1"/>
  <c r="X344" i="1"/>
  <c r="Y344" i="1"/>
  <c r="X345" i="1"/>
  <c r="Y345" i="1"/>
  <c r="X346" i="1"/>
  <c r="Y346" i="1"/>
  <c r="X347" i="1"/>
  <c r="Y347" i="1"/>
  <c r="X348" i="1"/>
  <c r="Y348" i="1"/>
  <c r="X349" i="1"/>
  <c r="Y349" i="1"/>
  <c r="X350" i="1"/>
  <c r="Y350" i="1"/>
  <c r="X351" i="1"/>
  <c r="Y351" i="1"/>
  <c r="X352" i="1"/>
  <c r="Y352" i="1"/>
  <c r="X353" i="1"/>
  <c r="Y353" i="1"/>
  <c r="X354" i="1"/>
  <c r="Y354" i="1"/>
  <c r="X355" i="1"/>
  <c r="Y355" i="1"/>
  <c r="X356" i="1"/>
  <c r="Y356" i="1"/>
  <c r="X357" i="1"/>
  <c r="Y357" i="1"/>
  <c r="X358" i="1"/>
  <c r="Y358" i="1"/>
  <c r="X359" i="1"/>
  <c r="Y359" i="1"/>
  <c r="X360" i="1"/>
  <c r="Y360" i="1"/>
  <c r="X361" i="1"/>
  <c r="Y361" i="1"/>
  <c r="X362" i="1"/>
  <c r="Y362" i="1"/>
  <c r="X363" i="1"/>
  <c r="Y363" i="1"/>
  <c r="X364" i="1"/>
  <c r="Y364" i="1"/>
  <c r="X365" i="1"/>
  <c r="Y365" i="1"/>
  <c r="X366" i="1"/>
  <c r="Y366" i="1"/>
  <c r="X367" i="1"/>
  <c r="Y367" i="1"/>
  <c r="X368" i="1"/>
  <c r="Y368" i="1"/>
  <c r="X369" i="1"/>
  <c r="Y369" i="1"/>
  <c r="X370" i="1"/>
  <c r="Y370" i="1"/>
  <c r="X371" i="1"/>
  <c r="Y371" i="1"/>
  <c r="X372" i="1"/>
  <c r="Y372" i="1"/>
  <c r="X373" i="1"/>
  <c r="Y373" i="1"/>
  <c r="X374" i="1"/>
  <c r="Y374" i="1"/>
  <c r="X375" i="1"/>
  <c r="Y375" i="1"/>
  <c r="X376" i="1"/>
  <c r="Y376" i="1"/>
  <c r="X377" i="1"/>
  <c r="Y377" i="1"/>
  <c r="X378" i="1"/>
  <c r="Y378" i="1"/>
  <c r="X379" i="1"/>
  <c r="Y379" i="1"/>
  <c r="X380" i="1"/>
  <c r="Y380" i="1"/>
  <c r="X381" i="1"/>
  <c r="Y381" i="1"/>
  <c r="X382" i="1"/>
  <c r="Y382" i="1"/>
  <c r="X383" i="1"/>
  <c r="Y383" i="1"/>
  <c r="X384" i="1"/>
  <c r="Y384" i="1"/>
  <c r="X385" i="1"/>
  <c r="Y385" i="1"/>
  <c r="X386" i="1"/>
  <c r="Y386" i="1"/>
  <c r="X387" i="1"/>
  <c r="Y387" i="1"/>
  <c r="X388" i="1"/>
  <c r="Y388" i="1"/>
  <c r="X389" i="1"/>
  <c r="Y389" i="1"/>
  <c r="X390" i="1"/>
  <c r="Y390" i="1"/>
  <c r="X391" i="1"/>
  <c r="Y391" i="1"/>
  <c r="X392" i="1"/>
  <c r="Y392" i="1"/>
  <c r="X393" i="1"/>
  <c r="Y393" i="1"/>
  <c r="X394" i="1"/>
  <c r="Y394" i="1"/>
  <c r="X395" i="1"/>
  <c r="Y395" i="1"/>
  <c r="X396" i="1"/>
  <c r="Y396" i="1"/>
  <c r="X397" i="1"/>
  <c r="Y397" i="1"/>
  <c r="X398" i="1"/>
  <c r="Y398" i="1"/>
  <c r="X399" i="1"/>
  <c r="Y399" i="1"/>
  <c r="X400" i="1"/>
  <c r="Y400" i="1"/>
  <c r="X401" i="1"/>
  <c r="Y401" i="1"/>
  <c r="X402" i="1"/>
  <c r="Y402" i="1"/>
  <c r="X403" i="1"/>
  <c r="Y403" i="1"/>
  <c r="X404" i="1"/>
  <c r="Y404" i="1"/>
  <c r="X405" i="1"/>
  <c r="Y405" i="1"/>
  <c r="X406" i="1"/>
  <c r="Y406" i="1"/>
  <c r="X407" i="1"/>
  <c r="Y407" i="1"/>
  <c r="X408" i="1"/>
  <c r="Y408" i="1"/>
  <c r="X409" i="1"/>
  <c r="Y409" i="1"/>
  <c r="X410" i="1"/>
  <c r="Y410" i="1"/>
  <c r="X411" i="1"/>
  <c r="Y411" i="1"/>
  <c r="X412" i="1"/>
  <c r="Y412" i="1"/>
  <c r="X413" i="1"/>
  <c r="Y413" i="1"/>
  <c r="X414" i="1"/>
  <c r="Y414" i="1"/>
  <c r="X415" i="1"/>
  <c r="Y415" i="1"/>
  <c r="X416" i="1"/>
  <c r="Y416" i="1"/>
  <c r="X417" i="1"/>
  <c r="Y417" i="1"/>
  <c r="X418" i="1"/>
  <c r="Y418" i="1"/>
  <c r="X419" i="1"/>
  <c r="Y419" i="1"/>
  <c r="X420" i="1"/>
  <c r="Y420" i="1"/>
  <c r="X421" i="1"/>
  <c r="Y421" i="1"/>
  <c r="X422" i="1"/>
  <c r="Y422" i="1"/>
  <c r="X423" i="1"/>
  <c r="Y423" i="1"/>
  <c r="X424" i="1"/>
  <c r="Y424" i="1"/>
  <c r="X425" i="1"/>
  <c r="Y425" i="1"/>
  <c r="X426" i="1"/>
  <c r="Y426" i="1"/>
  <c r="X427" i="1"/>
  <c r="Y427" i="1"/>
  <c r="X428" i="1"/>
  <c r="Y428" i="1"/>
  <c r="X429" i="1"/>
  <c r="Y429" i="1"/>
  <c r="X430" i="1"/>
  <c r="Y430" i="1"/>
  <c r="X431" i="1"/>
  <c r="Y431" i="1"/>
  <c r="X432" i="1"/>
  <c r="Y432" i="1"/>
  <c r="X433" i="1"/>
  <c r="Y433" i="1"/>
  <c r="X434" i="1"/>
  <c r="Y434" i="1"/>
  <c r="X435" i="1"/>
  <c r="Y435" i="1"/>
  <c r="X436" i="1"/>
  <c r="Y436" i="1"/>
  <c r="X437" i="1"/>
  <c r="Y437" i="1"/>
  <c r="X438" i="1"/>
  <c r="Y438" i="1"/>
  <c r="X439" i="1"/>
  <c r="Y439" i="1"/>
  <c r="X440" i="1"/>
  <c r="Y440" i="1"/>
  <c r="X441" i="1"/>
  <c r="Y441" i="1"/>
  <c r="X442" i="1"/>
  <c r="Y442" i="1"/>
  <c r="X443" i="1"/>
  <c r="Y443" i="1"/>
  <c r="X444" i="1"/>
  <c r="Y444" i="1"/>
  <c r="X445" i="1"/>
  <c r="Y445" i="1"/>
  <c r="X446" i="1"/>
  <c r="Y446" i="1"/>
  <c r="X447" i="1"/>
  <c r="Y447" i="1"/>
  <c r="X448" i="1"/>
  <c r="Y448" i="1"/>
  <c r="X449" i="1"/>
  <c r="Y449" i="1"/>
  <c r="X450" i="1"/>
  <c r="Y450" i="1"/>
  <c r="X451" i="1"/>
  <c r="Y451" i="1"/>
  <c r="X452" i="1"/>
  <c r="Y452" i="1"/>
  <c r="X453" i="1"/>
  <c r="Y453" i="1"/>
  <c r="X454" i="1"/>
  <c r="Y454" i="1"/>
  <c r="X455" i="1"/>
  <c r="Y455" i="1"/>
  <c r="X456" i="1"/>
  <c r="Y456" i="1"/>
  <c r="X457" i="1"/>
  <c r="Y457" i="1"/>
  <c r="X458" i="1"/>
  <c r="Y458" i="1"/>
  <c r="X459" i="1"/>
  <c r="Y459" i="1"/>
  <c r="X460" i="1"/>
  <c r="Y460" i="1"/>
  <c r="X461" i="1"/>
  <c r="Y461" i="1"/>
  <c r="X462" i="1"/>
  <c r="Y462" i="1"/>
  <c r="X463" i="1"/>
  <c r="Y463" i="1"/>
  <c r="X464" i="1"/>
  <c r="Y464" i="1"/>
  <c r="X465" i="1"/>
  <c r="Y465" i="1"/>
  <c r="X466" i="1"/>
  <c r="Y466" i="1"/>
  <c r="X467" i="1"/>
  <c r="Y467" i="1"/>
  <c r="X468" i="1"/>
  <c r="Y468" i="1"/>
  <c r="X469" i="1"/>
  <c r="Y469" i="1"/>
  <c r="X470" i="1"/>
  <c r="Y470" i="1"/>
  <c r="X471" i="1"/>
  <c r="Y471" i="1"/>
  <c r="X472" i="1"/>
  <c r="Y472" i="1"/>
  <c r="X473" i="1"/>
  <c r="Y473" i="1"/>
  <c r="X474" i="1"/>
  <c r="Y474" i="1"/>
  <c r="X475" i="1"/>
  <c r="Y475" i="1"/>
  <c r="X476" i="1"/>
  <c r="Y476" i="1"/>
  <c r="X477" i="1"/>
  <c r="Y477" i="1"/>
  <c r="X478" i="1"/>
  <c r="Y478" i="1"/>
  <c r="X479" i="1"/>
  <c r="Y479" i="1"/>
  <c r="X480" i="1"/>
  <c r="Y480" i="1"/>
  <c r="X481" i="1"/>
  <c r="Y481" i="1"/>
  <c r="X482" i="1"/>
  <c r="Y482" i="1"/>
  <c r="X483" i="1"/>
  <c r="Y483" i="1"/>
  <c r="X484" i="1"/>
  <c r="Y484" i="1"/>
  <c r="X485" i="1"/>
  <c r="Y485" i="1"/>
  <c r="X486" i="1"/>
  <c r="Y486" i="1"/>
  <c r="X487" i="1"/>
  <c r="Y487" i="1"/>
  <c r="X488" i="1"/>
  <c r="Y488" i="1"/>
  <c r="X489" i="1"/>
  <c r="Y489" i="1"/>
  <c r="X490" i="1"/>
  <c r="Y490" i="1"/>
  <c r="X491" i="1"/>
  <c r="Y491" i="1"/>
  <c r="X492" i="1"/>
  <c r="Y492" i="1"/>
  <c r="X493" i="1"/>
  <c r="Y493" i="1"/>
  <c r="X494" i="1"/>
  <c r="Y494" i="1"/>
  <c r="X495" i="1"/>
  <c r="Y495" i="1"/>
  <c r="X496" i="1"/>
  <c r="Y496" i="1"/>
  <c r="X497" i="1"/>
  <c r="Y497" i="1"/>
  <c r="X498" i="1"/>
  <c r="Y498" i="1"/>
  <c r="X499" i="1"/>
  <c r="Y499" i="1"/>
  <c r="X500" i="1"/>
  <c r="Y500" i="1"/>
  <c r="X501" i="1"/>
  <c r="Y501" i="1"/>
  <c r="X502" i="1"/>
  <c r="Y502" i="1"/>
  <c r="X503" i="1"/>
  <c r="Y503" i="1"/>
  <c r="X504" i="1"/>
  <c r="Y504" i="1"/>
  <c r="X505" i="1"/>
  <c r="Y505" i="1"/>
  <c r="X506" i="1"/>
  <c r="Y506" i="1"/>
  <c r="X507" i="1"/>
  <c r="Y507" i="1"/>
  <c r="X508" i="1"/>
  <c r="Y508" i="1"/>
  <c r="X509" i="1"/>
  <c r="Y509" i="1"/>
  <c r="X510" i="1"/>
  <c r="Y510" i="1"/>
  <c r="X511" i="1"/>
  <c r="Y511" i="1"/>
  <c r="X512" i="1"/>
  <c r="Y512" i="1"/>
  <c r="X513" i="1"/>
  <c r="Y513" i="1"/>
  <c r="X514" i="1"/>
  <c r="Y514" i="1"/>
  <c r="X515" i="1"/>
  <c r="Y515" i="1"/>
  <c r="X516" i="1"/>
  <c r="Y516" i="1"/>
  <c r="X517" i="1"/>
  <c r="Y517" i="1"/>
  <c r="X518" i="1"/>
  <c r="Y518" i="1"/>
  <c r="X519" i="1"/>
  <c r="Y519" i="1"/>
  <c r="X520" i="1"/>
  <c r="Y520" i="1"/>
  <c r="X521" i="1"/>
  <c r="Y521" i="1"/>
  <c r="X522" i="1"/>
  <c r="Y522" i="1"/>
  <c r="X523" i="1"/>
  <c r="Y523" i="1"/>
  <c r="X524" i="1"/>
  <c r="Y524" i="1"/>
  <c r="X525" i="1"/>
  <c r="Y525" i="1"/>
  <c r="X526" i="1"/>
  <c r="Y526" i="1"/>
  <c r="X527" i="1"/>
  <c r="Y527" i="1"/>
  <c r="X528" i="1"/>
  <c r="Y528" i="1"/>
  <c r="X529" i="1"/>
  <c r="Y529" i="1"/>
  <c r="X530" i="1"/>
  <c r="Y530" i="1"/>
  <c r="X531" i="1"/>
  <c r="Y531" i="1"/>
  <c r="X532" i="1"/>
  <c r="Y532" i="1"/>
  <c r="X533" i="1"/>
  <c r="Y533" i="1"/>
  <c r="X534" i="1"/>
  <c r="Y534" i="1"/>
  <c r="X535" i="1"/>
  <c r="Y535" i="1"/>
  <c r="X536" i="1"/>
  <c r="Y536" i="1"/>
  <c r="X537" i="1"/>
  <c r="Y537" i="1"/>
  <c r="X538" i="1"/>
  <c r="Y538" i="1"/>
  <c r="X539" i="1"/>
  <c r="Y539" i="1"/>
  <c r="X540" i="1"/>
  <c r="Y540" i="1"/>
  <c r="X541" i="1"/>
  <c r="Y541" i="1"/>
  <c r="X542" i="1"/>
  <c r="Y542" i="1"/>
  <c r="X543" i="1"/>
  <c r="Y543" i="1"/>
  <c r="X544" i="1"/>
  <c r="Y544" i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Y545" i="1"/>
  <c r="X545" i="1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57" i="5"/>
  <c r="A453" i="5"/>
  <c r="A452" i="5"/>
  <c r="A451" i="5"/>
  <c r="A448" i="5"/>
  <c r="A445" i="5"/>
  <c r="A444" i="5"/>
  <c r="A442" i="5"/>
  <c r="A439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43" i="5"/>
  <c r="A241" i="5"/>
  <c r="A239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Z553" i="1" l="1"/>
  <c r="Z557" i="1"/>
  <c r="R42" i="12"/>
  <c r="R31" i="12"/>
  <c r="R26" i="12"/>
  <c r="R35" i="12"/>
  <c r="R25" i="12"/>
  <c r="R27" i="12"/>
  <c r="R30" i="12"/>
  <c r="R36" i="12"/>
  <c r="R29" i="12"/>
  <c r="R22" i="12"/>
  <c r="R37" i="12"/>
  <c r="R38" i="12"/>
  <c r="R28" i="12"/>
  <c r="R39" i="12"/>
  <c r="R52" i="12" s="1"/>
  <c r="R23" i="12"/>
  <c r="R24" i="12"/>
  <c r="R44" i="12"/>
  <c r="R57" i="12" s="1"/>
  <c r="R41" i="12"/>
  <c r="R54" i="12" s="1"/>
  <c r="R43" i="12"/>
  <c r="R56" i="12" s="1"/>
  <c r="R40" i="12"/>
  <c r="Q29" i="12"/>
  <c r="Q36" i="12"/>
  <c r="Q22" i="12"/>
  <c r="Q39" i="12"/>
  <c r="Q31" i="12"/>
  <c r="Q41" i="12"/>
  <c r="Q44" i="12"/>
  <c r="Q27" i="12"/>
  <c r="Q30" i="12"/>
  <c r="Q42" i="12"/>
  <c r="Q55" i="12" s="1"/>
  <c r="Q38" i="12"/>
  <c r="Q40" i="12"/>
  <c r="Q25" i="12"/>
  <c r="Q43" i="12"/>
  <c r="Q56" i="12" s="1"/>
  <c r="Q35" i="12"/>
  <c r="Q48" i="12" s="1"/>
  <c r="Q26" i="12"/>
  <c r="Q24" i="12"/>
  <c r="Q28" i="12"/>
  <c r="Q37" i="12"/>
  <c r="Q50" i="12" s="1"/>
  <c r="Q23" i="12"/>
  <c r="P42" i="12"/>
  <c r="P37" i="12"/>
  <c r="P22" i="12"/>
  <c r="P36" i="12"/>
  <c r="P29" i="12"/>
  <c r="P55" i="12" s="1"/>
  <c r="P30" i="12"/>
  <c r="P31" i="12"/>
  <c r="P23" i="12"/>
  <c r="P35" i="12"/>
  <c r="P48" i="12" s="1"/>
  <c r="P26" i="12"/>
  <c r="P24" i="12"/>
  <c r="P44" i="12"/>
  <c r="P57" i="12" s="1"/>
  <c r="P39" i="12"/>
  <c r="P25" i="12"/>
  <c r="P38" i="12"/>
  <c r="P40" i="12"/>
  <c r="P28" i="12"/>
  <c r="P41" i="12"/>
  <c r="P43" i="12"/>
  <c r="P56" i="12" s="1"/>
  <c r="P27" i="12"/>
  <c r="O28" i="12"/>
  <c r="O39" i="12"/>
  <c r="O31" i="12"/>
  <c r="O25" i="12"/>
  <c r="O26" i="12"/>
  <c r="O29" i="12"/>
  <c r="O23" i="12"/>
  <c r="O36" i="12"/>
  <c r="O49" i="12" s="1"/>
  <c r="O37" i="12"/>
  <c r="O27" i="12"/>
  <c r="O30" i="12"/>
  <c r="O40" i="12"/>
  <c r="O53" i="12" s="1"/>
  <c r="O43" i="12"/>
  <c r="O56" i="12" s="1"/>
  <c r="O44" i="12"/>
  <c r="O57" i="12" s="1"/>
  <c r="O22" i="12"/>
  <c r="O41" i="12"/>
  <c r="O54" i="12" s="1"/>
  <c r="O35" i="12"/>
  <c r="O42" i="12"/>
  <c r="O55" i="12" s="1"/>
  <c r="O38" i="12"/>
  <c r="O51" i="12" s="1"/>
  <c r="O24" i="12"/>
  <c r="N25" i="12"/>
  <c r="N44" i="12"/>
  <c r="N29" i="12"/>
  <c r="N35" i="12"/>
  <c r="N38" i="12"/>
  <c r="N51" i="12" s="1"/>
  <c r="N41" i="12"/>
  <c r="N54" i="12" s="1"/>
  <c r="N31" i="12"/>
  <c r="N28" i="12"/>
  <c r="N22" i="12"/>
  <c r="N27" i="12"/>
  <c r="N30" i="12"/>
  <c r="N37" i="12"/>
  <c r="N26" i="12"/>
  <c r="N24" i="12"/>
  <c r="N42" i="12"/>
  <c r="N55" i="12" s="1"/>
  <c r="N40" i="12"/>
  <c r="N53" i="12" s="1"/>
  <c r="N43" i="12"/>
  <c r="N56" i="12" s="1"/>
  <c r="N39" i="12"/>
  <c r="N52" i="12" s="1"/>
  <c r="N36" i="12"/>
  <c r="N23" i="12"/>
  <c r="M43" i="12"/>
  <c r="M24" i="12"/>
  <c r="M39" i="12"/>
  <c r="M38" i="12"/>
  <c r="M22" i="12"/>
  <c r="M44" i="12"/>
  <c r="M35" i="12"/>
  <c r="M48" i="12" s="1"/>
  <c r="M27" i="12"/>
  <c r="M28" i="12"/>
  <c r="M29" i="12"/>
  <c r="M37" i="12"/>
  <c r="M50" i="12" s="1"/>
  <c r="M36" i="12"/>
  <c r="M42" i="12"/>
  <c r="M55" i="12" s="1"/>
  <c r="M30" i="12"/>
  <c r="M23" i="12"/>
  <c r="M31" i="12"/>
  <c r="M40" i="12"/>
  <c r="M53" i="12" s="1"/>
  <c r="M26" i="12"/>
  <c r="M25" i="12"/>
  <c r="M41" i="12"/>
  <c r="M54" i="12" s="1"/>
  <c r="L31" i="12"/>
  <c r="L22" i="12"/>
  <c r="L27" i="12"/>
  <c r="L37" i="12"/>
  <c r="L40" i="12"/>
  <c r="L29" i="12"/>
  <c r="L30" i="12"/>
  <c r="L28" i="12"/>
  <c r="L42" i="12"/>
  <c r="L24" i="12"/>
  <c r="L25" i="12"/>
  <c r="L41" i="12"/>
  <c r="L26" i="12"/>
  <c r="L35" i="12"/>
  <c r="L48" i="12" s="1"/>
  <c r="L36" i="12"/>
  <c r="L39" i="12"/>
  <c r="L52" i="12" s="1"/>
  <c r="L38" i="12"/>
  <c r="L51" i="12" s="1"/>
  <c r="L43" i="12"/>
  <c r="L56" i="12" s="1"/>
  <c r="L23" i="12"/>
  <c r="L44" i="12"/>
  <c r="K31" i="12"/>
  <c r="K39" i="12"/>
  <c r="K27" i="12"/>
  <c r="K42" i="12"/>
  <c r="K41" i="12"/>
  <c r="K44" i="12"/>
  <c r="K28" i="12"/>
  <c r="K24" i="12"/>
  <c r="K22" i="12"/>
  <c r="K35" i="12"/>
  <c r="K48" i="12" s="1"/>
  <c r="K36" i="12"/>
  <c r="K40" i="12"/>
  <c r="K38" i="12"/>
  <c r="K30" i="12"/>
  <c r="K23" i="12"/>
  <c r="K26" i="12"/>
  <c r="K29" i="12"/>
  <c r="K25" i="12"/>
  <c r="K37" i="12"/>
  <c r="K43" i="12"/>
  <c r="J31" i="12"/>
  <c r="J25" i="12"/>
  <c r="J39" i="12"/>
  <c r="J42" i="12"/>
  <c r="J28" i="12"/>
  <c r="J29" i="12"/>
  <c r="J35" i="12"/>
  <c r="J26" i="12"/>
  <c r="J36" i="12"/>
  <c r="J27" i="12"/>
  <c r="J22" i="12"/>
  <c r="J23" i="12"/>
  <c r="J24" i="12"/>
  <c r="J44" i="12"/>
  <c r="J57" i="12" s="1"/>
  <c r="J40" i="12"/>
  <c r="J53" i="12" s="1"/>
  <c r="J43" i="12"/>
  <c r="J30" i="12"/>
  <c r="J38" i="12"/>
  <c r="J51" i="12" s="1"/>
  <c r="J37" i="12"/>
  <c r="J50" i="12" s="1"/>
  <c r="J41" i="12"/>
  <c r="J54" i="12" s="1"/>
  <c r="I28" i="12"/>
  <c r="I41" i="12"/>
  <c r="I54" i="12" s="1"/>
  <c r="I22" i="12"/>
  <c r="I37" i="12"/>
  <c r="I40" i="12"/>
  <c r="I27" i="12"/>
  <c r="I43" i="12"/>
  <c r="I29" i="12"/>
  <c r="I38" i="12"/>
  <c r="I24" i="12"/>
  <c r="I26" i="12"/>
  <c r="I31" i="12"/>
  <c r="I44" i="12"/>
  <c r="I57" i="12" s="1"/>
  <c r="I42" i="12"/>
  <c r="I55" i="12" s="1"/>
  <c r="I23" i="12"/>
  <c r="I30" i="12"/>
  <c r="I36" i="12"/>
  <c r="I39" i="12"/>
  <c r="I52" i="12" s="1"/>
  <c r="I25" i="12"/>
  <c r="I35" i="12"/>
  <c r="I48" i="12" s="1"/>
  <c r="H36" i="12"/>
  <c r="H26" i="12"/>
  <c r="H41" i="12"/>
  <c r="H38" i="12"/>
  <c r="H39" i="12"/>
  <c r="H52" i="12" s="1"/>
  <c r="H25" i="12"/>
  <c r="H24" i="12"/>
  <c r="H42" i="12"/>
  <c r="H37" i="12"/>
  <c r="H50" i="12" s="1"/>
  <c r="H40" i="12"/>
  <c r="H35" i="12"/>
  <c r="H23" i="12"/>
  <c r="H30" i="12"/>
  <c r="H22" i="12"/>
  <c r="H27" i="12"/>
  <c r="H43" i="12"/>
  <c r="H56" i="12" s="1"/>
  <c r="H44" i="12"/>
  <c r="H31" i="12"/>
  <c r="H29" i="12"/>
  <c r="H28" i="12"/>
  <c r="G44" i="12"/>
  <c r="G29" i="12"/>
  <c r="G41" i="12"/>
  <c r="G23" i="12"/>
  <c r="G28" i="12"/>
  <c r="G24" i="12"/>
  <c r="G35" i="12"/>
  <c r="G37" i="12"/>
  <c r="G50" i="12" s="1"/>
  <c r="G26" i="12"/>
  <c r="G43" i="12"/>
  <c r="G22" i="12"/>
  <c r="G40" i="12"/>
  <c r="G42" i="12"/>
  <c r="G55" i="12" s="1"/>
  <c r="G38" i="12"/>
  <c r="G31" i="12"/>
  <c r="G36" i="12"/>
  <c r="G49" i="12" s="1"/>
  <c r="G27" i="12"/>
  <c r="G39" i="12"/>
  <c r="G52" i="12" s="1"/>
  <c r="G25" i="12"/>
  <c r="G30" i="12"/>
  <c r="F41" i="12"/>
  <c r="F40" i="12"/>
  <c r="F23" i="12"/>
  <c r="F26" i="12"/>
  <c r="F43" i="12"/>
  <c r="F30" i="12"/>
  <c r="F44" i="12"/>
  <c r="F39" i="12"/>
  <c r="F52" i="12" s="1"/>
  <c r="F29" i="12"/>
  <c r="F28" i="12"/>
  <c r="F25" i="12"/>
  <c r="F36" i="12"/>
  <c r="F49" i="12" s="1"/>
  <c r="F37" i="12"/>
  <c r="F22" i="12"/>
  <c r="F31" i="12"/>
  <c r="F35" i="12"/>
  <c r="F38" i="12"/>
  <c r="F51" i="12" s="1"/>
  <c r="F24" i="12"/>
  <c r="F42" i="12"/>
  <c r="F55" i="12" s="1"/>
  <c r="F27" i="12"/>
  <c r="E27" i="12"/>
  <c r="E43" i="12"/>
  <c r="E37" i="12"/>
  <c r="E42" i="12"/>
  <c r="E22" i="12"/>
  <c r="E28" i="12"/>
  <c r="E30" i="12"/>
  <c r="E39" i="12"/>
  <c r="E41" i="12"/>
  <c r="E23" i="12"/>
  <c r="E38" i="12"/>
  <c r="E36" i="12"/>
  <c r="E49" i="12" s="1"/>
  <c r="E44" i="12"/>
  <c r="E40" i="12"/>
  <c r="E53" i="12" s="1"/>
  <c r="E31" i="12"/>
  <c r="E25" i="12"/>
  <c r="E35" i="12"/>
  <c r="E48" i="12" s="1"/>
  <c r="E29" i="12"/>
  <c r="E26" i="12"/>
  <c r="E24" i="12"/>
  <c r="E50" i="12" s="1"/>
  <c r="D24" i="12"/>
  <c r="D44" i="12"/>
  <c r="D29" i="12"/>
  <c r="D42" i="12"/>
  <c r="D55" i="12" s="1"/>
  <c r="D43" i="12"/>
  <c r="D25" i="12"/>
  <c r="D28" i="12"/>
  <c r="D26" i="12"/>
  <c r="D41" i="12"/>
  <c r="D54" i="12" s="1"/>
  <c r="D27" i="12"/>
  <c r="D36" i="12"/>
  <c r="D39" i="12"/>
  <c r="D52" i="12" s="1"/>
  <c r="D23" i="12"/>
  <c r="D22" i="12"/>
  <c r="D38" i="12"/>
  <c r="D51" i="12" s="1"/>
  <c r="D40" i="12"/>
  <c r="D53" i="12" s="1"/>
  <c r="D37" i="12"/>
  <c r="D31" i="12"/>
  <c r="D35" i="12"/>
  <c r="D48" i="12" s="1"/>
  <c r="D30" i="12"/>
  <c r="C23" i="12"/>
  <c r="C29" i="12"/>
  <c r="C24" i="12"/>
  <c r="C28" i="12"/>
  <c r="C40" i="12"/>
  <c r="C36" i="12"/>
  <c r="C49" i="12" s="1"/>
  <c r="C42" i="12"/>
  <c r="C55" i="12" s="1"/>
  <c r="C38" i="12"/>
  <c r="C44" i="12"/>
  <c r="C25" i="12"/>
  <c r="C30" i="12"/>
  <c r="C41" i="12"/>
  <c r="C54" i="12" s="1"/>
  <c r="C26" i="12"/>
  <c r="C31" i="12"/>
  <c r="C22" i="12"/>
  <c r="C43" i="12"/>
  <c r="C39" i="12"/>
  <c r="C37" i="12"/>
  <c r="C35" i="12"/>
  <c r="C48" i="12" s="1"/>
  <c r="C27" i="12"/>
  <c r="R51" i="12"/>
  <c r="Q53" i="12"/>
  <c r="R53" i="12"/>
  <c r="Q57" i="12"/>
  <c r="Q54" i="12"/>
  <c r="Z558" i="1"/>
  <c r="Z559" i="1"/>
  <c r="Z548" i="1"/>
  <c r="Z556" i="1"/>
  <c r="Z555" i="1"/>
  <c r="Z547" i="1"/>
  <c r="Z549" i="1"/>
  <c r="Z551" i="1"/>
  <c r="AB551" i="1" s="1"/>
  <c r="Z552" i="1"/>
  <c r="Z550" i="1"/>
  <c r="AA559" i="1"/>
  <c r="AB559" i="1"/>
  <c r="AC559" i="1"/>
  <c r="AD559" i="1"/>
  <c r="AE559" i="1"/>
  <c r="AF559" i="1"/>
  <c r="AG559" i="1"/>
  <c r="AH559" i="1"/>
  <c r="AI559" i="1"/>
  <c r="AJ559" i="1"/>
  <c r="AK559" i="1"/>
  <c r="AL559" i="1"/>
  <c r="AM559" i="1"/>
  <c r="AN559" i="1"/>
  <c r="AO559" i="1"/>
  <c r="AP559" i="1"/>
  <c r="AQ559" i="1"/>
  <c r="AA558" i="1"/>
  <c r="AB558" i="1"/>
  <c r="AC558" i="1"/>
  <c r="AD558" i="1"/>
  <c r="AE558" i="1"/>
  <c r="AF558" i="1"/>
  <c r="AG558" i="1"/>
  <c r="AH558" i="1"/>
  <c r="AI558" i="1"/>
  <c r="AJ558" i="1"/>
  <c r="AK558" i="1"/>
  <c r="AL558" i="1"/>
  <c r="AM558" i="1"/>
  <c r="AN558" i="1"/>
  <c r="AO558" i="1"/>
  <c r="AQ558" i="1"/>
  <c r="AP558" i="1"/>
  <c r="AA557" i="1"/>
  <c r="AB557" i="1"/>
  <c r="AC557" i="1"/>
  <c r="AD557" i="1"/>
  <c r="AE557" i="1"/>
  <c r="AF557" i="1"/>
  <c r="AG557" i="1"/>
  <c r="AH557" i="1"/>
  <c r="AI557" i="1"/>
  <c r="AJ557" i="1"/>
  <c r="AK557" i="1"/>
  <c r="AL557" i="1"/>
  <c r="AM557" i="1"/>
  <c r="AN557" i="1"/>
  <c r="AO557" i="1"/>
  <c r="AP557" i="1"/>
  <c r="AQ557" i="1"/>
  <c r="AA556" i="1"/>
  <c r="AB556" i="1"/>
  <c r="AC556" i="1"/>
  <c r="AD556" i="1"/>
  <c r="AE556" i="1"/>
  <c r="AF556" i="1"/>
  <c r="AG556" i="1"/>
  <c r="AH556" i="1"/>
  <c r="AI556" i="1"/>
  <c r="AJ556" i="1"/>
  <c r="AK556" i="1"/>
  <c r="AL556" i="1"/>
  <c r="AM556" i="1"/>
  <c r="AN556" i="1"/>
  <c r="AO556" i="1"/>
  <c r="AP556" i="1"/>
  <c r="AQ556" i="1"/>
  <c r="AA555" i="1"/>
  <c r="AB555" i="1"/>
  <c r="AC555" i="1"/>
  <c r="AD555" i="1"/>
  <c r="AE555" i="1"/>
  <c r="AF555" i="1"/>
  <c r="AG555" i="1"/>
  <c r="AH555" i="1"/>
  <c r="AI555" i="1"/>
  <c r="AJ555" i="1"/>
  <c r="AK555" i="1"/>
  <c r="AL555" i="1"/>
  <c r="AM555" i="1"/>
  <c r="AN555" i="1"/>
  <c r="AO555" i="1"/>
  <c r="AP555" i="1"/>
  <c r="AQ555" i="1"/>
  <c r="AA554" i="1"/>
  <c r="AB554" i="1"/>
  <c r="AC554" i="1"/>
  <c r="AD554" i="1"/>
  <c r="AE554" i="1"/>
  <c r="AF554" i="1"/>
  <c r="AG554" i="1"/>
  <c r="AH554" i="1"/>
  <c r="AI554" i="1"/>
  <c r="AJ554" i="1"/>
  <c r="AK554" i="1"/>
  <c r="AL554" i="1"/>
  <c r="AM554" i="1"/>
  <c r="AN554" i="1"/>
  <c r="AO554" i="1"/>
  <c r="AP554" i="1"/>
  <c r="AQ554" i="1"/>
  <c r="AA553" i="1"/>
  <c r="AC553" i="1"/>
  <c r="AD553" i="1"/>
  <c r="AE553" i="1"/>
  <c r="AF553" i="1"/>
  <c r="AG553" i="1"/>
  <c r="AH553" i="1"/>
  <c r="AI553" i="1"/>
  <c r="AJ553" i="1"/>
  <c r="AK553" i="1"/>
  <c r="AL553" i="1"/>
  <c r="AM553" i="1"/>
  <c r="AN553" i="1"/>
  <c r="AP553" i="1"/>
  <c r="AQ553" i="1"/>
  <c r="AB553" i="1"/>
  <c r="AO553" i="1"/>
  <c r="AI552" i="1"/>
  <c r="AC546" i="1"/>
  <c r="AE546" i="1"/>
  <c r="AF546" i="1"/>
  <c r="AH546" i="1"/>
  <c r="AK546" i="1"/>
  <c r="AA546" i="1"/>
  <c r="AB546" i="1"/>
  <c r="AD546" i="1"/>
  <c r="AG546" i="1"/>
  <c r="AI546" i="1"/>
  <c r="AJ546" i="1"/>
  <c r="AL546" i="1"/>
  <c r="AM546" i="1"/>
  <c r="AN546" i="1"/>
  <c r="AO546" i="1"/>
  <c r="AP546" i="1"/>
  <c r="AQ546" i="1"/>
  <c r="Z4" i="1"/>
  <c r="B52" i="12"/>
  <c r="A52" i="12"/>
  <c r="A51" i="12"/>
  <c r="B39" i="12"/>
  <c r="A39" i="12"/>
  <c r="A38" i="12"/>
  <c r="A25" i="12"/>
  <c r="Z32" i="1"/>
  <c r="AL4" i="1"/>
  <c r="Z117" i="1"/>
  <c r="Z105" i="1"/>
  <c r="Z81" i="1"/>
  <c r="Z17" i="1"/>
  <c r="Z13" i="1"/>
  <c r="Z6" i="1"/>
  <c r="Z9" i="1"/>
  <c r="Z19" i="1"/>
  <c r="AG19" i="1" s="1"/>
  <c r="Z15" i="1"/>
  <c r="Z11" i="1"/>
  <c r="Z7" i="1"/>
  <c r="AL7" i="1" s="1"/>
  <c r="Z5" i="1"/>
  <c r="Z16" i="1"/>
  <c r="AM16" i="1" s="1"/>
  <c r="Z12" i="1"/>
  <c r="AH12" i="1" s="1"/>
  <c r="Z8" i="1"/>
  <c r="AE8" i="1" s="1"/>
  <c r="Z10" i="1"/>
  <c r="AG10" i="1" s="1"/>
  <c r="Z50" i="1"/>
  <c r="AO50" i="1" s="1"/>
  <c r="Z37" i="1"/>
  <c r="Z54" i="1"/>
  <c r="AA54" i="1" s="1"/>
  <c r="Z46" i="1"/>
  <c r="Z42" i="1"/>
  <c r="Z38" i="1"/>
  <c r="Z34" i="1"/>
  <c r="Z30" i="1"/>
  <c r="AP30" i="1" s="1"/>
  <c r="Z26" i="1"/>
  <c r="Z22" i="1"/>
  <c r="AI22" i="1" s="1"/>
  <c r="Z18" i="1"/>
  <c r="AF18" i="1" s="1"/>
  <c r="Z14" i="1"/>
  <c r="AM14" i="1" s="1"/>
  <c r="Z65" i="1"/>
  <c r="AK65" i="1" s="1"/>
  <c r="Z61" i="1"/>
  <c r="AC61" i="1" s="1"/>
  <c r="Z57" i="1"/>
  <c r="Z49" i="1"/>
  <c r="Z45" i="1"/>
  <c r="Z33" i="1"/>
  <c r="AM33" i="1" s="1"/>
  <c r="Z29" i="1"/>
  <c r="AM29" i="1" s="1"/>
  <c r="Z104" i="1"/>
  <c r="AH104" i="1" s="1"/>
  <c r="Z80" i="1"/>
  <c r="AP80" i="1" s="1"/>
  <c r="Z68" i="1"/>
  <c r="AQ68" i="1" s="1"/>
  <c r="Z64" i="1"/>
  <c r="Z60" i="1"/>
  <c r="Z56" i="1"/>
  <c r="Z52" i="1"/>
  <c r="AP52" i="1" s="1"/>
  <c r="Z48" i="1"/>
  <c r="AQ48" i="1" s="1"/>
  <c r="Z44" i="1"/>
  <c r="Z36" i="1"/>
  <c r="AE36" i="1" s="1"/>
  <c r="Z28" i="1"/>
  <c r="AO28" i="1" s="1"/>
  <c r="Z83" i="1"/>
  <c r="AB83" i="1" s="1"/>
  <c r="Z79" i="1"/>
  <c r="AF79" i="1" s="1"/>
  <c r="Z75" i="1"/>
  <c r="AM75" i="1" s="1"/>
  <c r="Z71" i="1"/>
  <c r="Z67" i="1"/>
  <c r="Z63" i="1"/>
  <c r="AG63" i="1" s="1"/>
  <c r="Z59" i="1"/>
  <c r="Z51" i="1"/>
  <c r="Z47" i="1"/>
  <c r="AD47" i="1" s="1"/>
  <c r="Z43" i="1"/>
  <c r="Z39" i="1"/>
  <c r="AM39" i="1" s="1"/>
  <c r="Z35" i="1"/>
  <c r="AO35" i="1" s="1"/>
  <c r="Z31" i="1"/>
  <c r="Z27" i="1"/>
  <c r="Z23" i="1"/>
  <c r="AM23" i="1" s="1"/>
  <c r="Z41" i="1"/>
  <c r="Z25" i="1"/>
  <c r="AP25" i="1" s="1"/>
  <c r="Z21" i="1"/>
  <c r="Z228" i="1"/>
  <c r="AM228" i="1" s="1"/>
  <c r="Z128" i="1"/>
  <c r="AL128" i="1" s="1"/>
  <c r="Z120" i="1"/>
  <c r="Z116" i="1"/>
  <c r="AH116" i="1" s="1"/>
  <c r="Z112" i="1"/>
  <c r="AO112" i="1" s="1"/>
  <c r="Z108" i="1"/>
  <c r="AM108" i="1" s="1"/>
  <c r="Z100" i="1"/>
  <c r="Z84" i="1"/>
  <c r="AH84" i="1" s="1"/>
  <c r="Z76" i="1"/>
  <c r="AM76" i="1" s="1"/>
  <c r="Z72" i="1"/>
  <c r="AH72" i="1" s="1"/>
  <c r="Z40" i="1"/>
  <c r="AH40" i="1" s="1"/>
  <c r="Z24" i="1"/>
  <c r="Z20" i="1"/>
  <c r="Z55" i="1"/>
  <c r="AP55" i="1" s="1"/>
  <c r="Z106" i="1"/>
  <c r="Z545" i="1"/>
  <c r="Z544" i="1"/>
  <c r="Z540" i="1"/>
  <c r="Z536" i="1"/>
  <c r="Z532" i="1"/>
  <c r="AQ532" i="1" s="1"/>
  <c r="Z528" i="1"/>
  <c r="AQ528" i="1" s="1"/>
  <c r="Z524" i="1"/>
  <c r="AN524" i="1" s="1"/>
  <c r="Z520" i="1"/>
  <c r="Z516" i="1"/>
  <c r="Z512" i="1"/>
  <c r="Z508" i="1"/>
  <c r="Z504" i="1"/>
  <c r="Z500" i="1"/>
  <c r="Z496" i="1"/>
  <c r="Z492" i="1"/>
  <c r="AA492" i="1" s="1"/>
  <c r="Z488" i="1"/>
  <c r="AM488" i="1" s="1"/>
  <c r="Z484" i="1"/>
  <c r="Z480" i="1"/>
  <c r="Z476" i="1"/>
  <c r="AH476" i="1" s="1"/>
  <c r="Z472" i="1"/>
  <c r="AH472" i="1" s="1"/>
  <c r="Z468" i="1"/>
  <c r="AH468" i="1" s="1"/>
  <c r="Z464" i="1"/>
  <c r="AH464" i="1" s="1"/>
  <c r="Z460" i="1"/>
  <c r="AH460" i="1" s="1"/>
  <c r="Z456" i="1"/>
  <c r="AA456" i="1" s="1"/>
  <c r="Z452" i="1"/>
  <c r="Z448" i="1"/>
  <c r="Z444" i="1"/>
  <c r="Z440" i="1"/>
  <c r="AQ440" i="1" s="1"/>
  <c r="Z436" i="1"/>
  <c r="Z432" i="1"/>
  <c r="AJ432" i="1" s="1"/>
  <c r="Z428" i="1"/>
  <c r="AB428" i="1" s="1"/>
  <c r="Z424" i="1"/>
  <c r="Z420" i="1"/>
  <c r="Z416" i="1"/>
  <c r="AH416" i="1" s="1"/>
  <c r="Z412" i="1"/>
  <c r="Z408" i="1"/>
  <c r="AF408" i="1" s="1"/>
  <c r="Z404" i="1"/>
  <c r="Z400" i="1"/>
  <c r="AF400" i="1" s="1"/>
  <c r="Z396" i="1"/>
  <c r="AH396" i="1" s="1"/>
  <c r="Z392" i="1"/>
  <c r="AH392" i="1" s="1"/>
  <c r="Z388" i="1"/>
  <c r="Z384" i="1"/>
  <c r="Z380" i="1"/>
  <c r="Z376" i="1"/>
  <c r="AF376" i="1" s="1"/>
  <c r="Z372" i="1"/>
  <c r="Z368" i="1"/>
  <c r="AQ368" i="1" s="1"/>
  <c r="Z364" i="1"/>
  <c r="AP364" i="1" s="1"/>
  <c r="Z360" i="1"/>
  <c r="AG360" i="1" s="1"/>
  <c r="Z356" i="1"/>
  <c r="Z352" i="1"/>
  <c r="Z348" i="1"/>
  <c r="Z344" i="1"/>
  <c r="Z340" i="1"/>
  <c r="Z336" i="1"/>
  <c r="Z332" i="1"/>
  <c r="AB332" i="1" s="1"/>
  <c r="Z328" i="1"/>
  <c r="AB328" i="1" s="1"/>
  <c r="Z324" i="1"/>
  <c r="Z320" i="1"/>
  <c r="Z316" i="1"/>
  <c r="Z312" i="1"/>
  <c r="AG312" i="1" s="1"/>
  <c r="Z308" i="1"/>
  <c r="Z304" i="1"/>
  <c r="AQ304" i="1" s="1"/>
  <c r="Z300" i="1"/>
  <c r="AB300" i="1" s="1"/>
  <c r="Z296" i="1"/>
  <c r="AA296" i="1" s="1"/>
  <c r="Z292" i="1"/>
  <c r="Z288" i="1"/>
  <c r="Z284" i="1"/>
  <c r="Z280" i="1"/>
  <c r="Z276" i="1"/>
  <c r="Z272" i="1"/>
  <c r="Z268" i="1"/>
  <c r="AO268" i="1" s="1"/>
  <c r="Z264" i="1"/>
  <c r="AI264" i="1" s="1"/>
  <c r="Z260" i="1"/>
  <c r="AG260" i="1" s="1"/>
  <c r="Z256" i="1"/>
  <c r="Z252" i="1"/>
  <c r="Z248" i="1"/>
  <c r="AI248" i="1" s="1"/>
  <c r="Z244" i="1"/>
  <c r="Z240" i="1"/>
  <c r="Z236" i="1"/>
  <c r="AO236" i="1" s="1"/>
  <c r="Z232" i="1"/>
  <c r="AC232" i="1" s="1"/>
  <c r="Z224" i="1"/>
  <c r="Z220" i="1"/>
  <c r="AF220" i="1" s="1"/>
  <c r="Z216" i="1"/>
  <c r="AH216" i="1" s="1"/>
  <c r="Z212" i="1"/>
  <c r="Z208" i="1"/>
  <c r="Z204" i="1"/>
  <c r="AB204" i="1" s="1"/>
  <c r="Z200" i="1"/>
  <c r="AD200" i="1" s="1"/>
  <c r="Z196" i="1"/>
  <c r="AF196" i="1" s="1"/>
  <c r="Z192" i="1"/>
  <c r="Z188" i="1"/>
  <c r="AE188" i="1" s="1"/>
  <c r="Z184" i="1"/>
  <c r="Z180" i="1"/>
  <c r="Z176" i="1"/>
  <c r="AH176" i="1" s="1"/>
  <c r="Z172" i="1"/>
  <c r="AH172" i="1" s="1"/>
  <c r="Z168" i="1"/>
  <c r="AH168" i="1" s="1"/>
  <c r="Z164" i="1"/>
  <c r="Z160" i="1"/>
  <c r="AH160" i="1" s="1"/>
  <c r="Z156" i="1"/>
  <c r="AH156" i="1" s="1"/>
  <c r="Z152" i="1"/>
  <c r="AH152" i="1" s="1"/>
  <c r="Z148" i="1"/>
  <c r="AH148" i="1" s="1"/>
  <c r="Z144" i="1"/>
  <c r="AH144" i="1" s="1"/>
  <c r="Z140" i="1"/>
  <c r="AH140" i="1" s="1"/>
  <c r="Z136" i="1"/>
  <c r="AH136" i="1" s="1"/>
  <c r="Z132" i="1"/>
  <c r="Z124" i="1"/>
  <c r="AH124" i="1" s="1"/>
  <c r="Z96" i="1"/>
  <c r="AH96" i="1" s="1"/>
  <c r="Z92" i="1"/>
  <c r="AH92" i="1" s="1"/>
  <c r="Z88" i="1"/>
  <c r="AH88" i="1" s="1"/>
  <c r="Z543" i="1"/>
  <c r="Z539" i="1"/>
  <c r="AH539" i="1" s="1"/>
  <c r="Z535" i="1"/>
  <c r="Z531" i="1"/>
  <c r="Z527" i="1"/>
  <c r="AH527" i="1" s="1"/>
  <c r="Z523" i="1"/>
  <c r="AH523" i="1" s="1"/>
  <c r="Z519" i="1"/>
  <c r="AH519" i="1" s="1"/>
  <c r="Z515" i="1"/>
  <c r="AC515" i="1" s="1"/>
  <c r="Z511" i="1"/>
  <c r="Z507" i="1"/>
  <c r="Z503" i="1"/>
  <c r="Z499" i="1"/>
  <c r="Z495" i="1"/>
  <c r="AC495" i="1" s="1"/>
  <c r="Z491" i="1"/>
  <c r="AK491" i="1" s="1"/>
  <c r="Z487" i="1"/>
  <c r="AG487" i="1" s="1"/>
  <c r="Z483" i="1"/>
  <c r="Z479" i="1"/>
  <c r="Z475" i="1"/>
  <c r="AJ475" i="1" s="1"/>
  <c r="Z471" i="1"/>
  <c r="Z467" i="1"/>
  <c r="Z463" i="1"/>
  <c r="AO463" i="1" s="1"/>
  <c r="Z459" i="1"/>
  <c r="Z455" i="1"/>
  <c r="AC455" i="1" s="1"/>
  <c r="Z451" i="1"/>
  <c r="AL451" i="1" s="1"/>
  <c r="Z447" i="1"/>
  <c r="Z443" i="1"/>
  <c r="Z439" i="1"/>
  <c r="Z435" i="1"/>
  <c r="Z431" i="1"/>
  <c r="AH431" i="1" s="1"/>
  <c r="Z427" i="1"/>
  <c r="AH427" i="1" s="1"/>
  <c r="Z423" i="1"/>
  <c r="AH423" i="1" s="1"/>
  <c r="Z419" i="1"/>
  <c r="AH419" i="1" s="1"/>
  <c r="Z415" i="1"/>
  <c r="AH415" i="1" s="1"/>
  <c r="Z411" i="1"/>
  <c r="AH411" i="1" s="1"/>
  <c r="Z407" i="1"/>
  <c r="AH407" i="1" s="1"/>
  <c r="Z403" i="1"/>
  <c r="AH403" i="1" s="1"/>
  <c r="Z399" i="1"/>
  <c r="AH399" i="1" s="1"/>
  <c r="Z395" i="1"/>
  <c r="AH395" i="1" s="1"/>
  <c r="Z391" i="1"/>
  <c r="AH391" i="1" s="1"/>
  <c r="Z387" i="1"/>
  <c r="AH387" i="1" s="1"/>
  <c r="Z383" i="1"/>
  <c r="AH383" i="1" s="1"/>
  <c r="Z379" i="1"/>
  <c r="AG379" i="1" s="1"/>
  <c r="Z375" i="1"/>
  <c r="Z371" i="1"/>
  <c r="Z367" i="1"/>
  <c r="AO367" i="1" s="1"/>
  <c r="Z363" i="1"/>
  <c r="AH363" i="1" s="1"/>
  <c r="Z359" i="1"/>
  <c r="AH359" i="1" s="1"/>
  <c r="Z355" i="1"/>
  <c r="Z351" i="1"/>
  <c r="Z347" i="1"/>
  <c r="AO347" i="1" s="1"/>
  <c r="Z343" i="1"/>
  <c r="Z339" i="1"/>
  <c r="Z335" i="1"/>
  <c r="AL335" i="1" s="1"/>
  <c r="Z331" i="1"/>
  <c r="Z327" i="1"/>
  <c r="AO327" i="1" s="1"/>
  <c r="Z323" i="1"/>
  <c r="Z319" i="1"/>
  <c r="Z315" i="1"/>
  <c r="Z311" i="1"/>
  <c r="AD311" i="1" s="1"/>
  <c r="Z307" i="1"/>
  <c r="Z303" i="1"/>
  <c r="AL303" i="1" s="1"/>
  <c r="Z299" i="1"/>
  <c r="Z295" i="1"/>
  <c r="AK295" i="1" s="1"/>
  <c r="Z291" i="1"/>
  <c r="AQ291" i="1" s="1"/>
  <c r="Z287" i="1"/>
  <c r="Z283" i="1"/>
  <c r="Z279" i="1"/>
  <c r="AF279" i="1" s="1"/>
  <c r="Z275" i="1"/>
  <c r="Z271" i="1"/>
  <c r="AG271" i="1" s="1"/>
  <c r="Z267" i="1"/>
  <c r="AM267" i="1" s="1"/>
  <c r="Z263" i="1"/>
  <c r="AM263" i="1" s="1"/>
  <c r="Z259" i="1"/>
  <c r="AG259" i="1" s="1"/>
  <c r="Z255" i="1"/>
  <c r="Z251" i="1"/>
  <c r="Z247" i="1"/>
  <c r="Z243" i="1"/>
  <c r="Z239" i="1"/>
  <c r="AM239" i="1" s="1"/>
  <c r="Z235" i="1"/>
  <c r="Z231" i="1"/>
  <c r="AE231" i="1" s="1"/>
  <c r="Z227" i="1"/>
  <c r="Z223" i="1"/>
  <c r="Z219" i="1"/>
  <c r="Z215" i="1"/>
  <c r="AH215" i="1" s="1"/>
  <c r="Z211" i="1"/>
  <c r="Z207" i="1"/>
  <c r="AO207" i="1" s="1"/>
  <c r="Z203" i="1"/>
  <c r="Z199" i="1"/>
  <c r="AH199" i="1" s="1"/>
  <c r="Z195" i="1"/>
  <c r="Z191" i="1"/>
  <c r="Z187" i="1"/>
  <c r="Z183" i="1"/>
  <c r="AF183" i="1" s="1"/>
  <c r="Z179" i="1"/>
  <c r="Z175" i="1"/>
  <c r="AP175" i="1" s="1"/>
  <c r="Z171" i="1"/>
  <c r="Z167" i="1"/>
  <c r="AH167" i="1" s="1"/>
  <c r="Z163" i="1"/>
  <c r="Z159" i="1"/>
  <c r="Z155" i="1"/>
  <c r="AH155" i="1" s="1"/>
  <c r="Z151" i="1"/>
  <c r="AP151" i="1" s="1"/>
  <c r="Z147" i="1"/>
  <c r="Z143" i="1"/>
  <c r="AH143" i="1" s="1"/>
  <c r="Z139" i="1"/>
  <c r="Z135" i="1"/>
  <c r="AH135" i="1" s="1"/>
  <c r="Z131" i="1"/>
  <c r="AB131" i="1" s="1"/>
  <c r="Z127" i="1"/>
  <c r="Z123" i="1"/>
  <c r="AB123" i="1" s="1"/>
  <c r="Z119" i="1"/>
  <c r="AH119" i="1" s="1"/>
  <c r="Z115" i="1"/>
  <c r="Z111" i="1"/>
  <c r="AP111" i="1" s="1"/>
  <c r="Z107" i="1"/>
  <c r="Z103" i="1"/>
  <c r="AH103" i="1" s="1"/>
  <c r="Z99" i="1"/>
  <c r="AP99" i="1" s="1"/>
  <c r="Z95" i="1"/>
  <c r="AB95" i="1" s="1"/>
  <c r="Z91" i="1"/>
  <c r="AP91" i="1" s="1"/>
  <c r="Z87" i="1"/>
  <c r="AP87" i="1" s="1"/>
  <c r="Z542" i="1"/>
  <c r="Z538" i="1"/>
  <c r="AH538" i="1" s="1"/>
  <c r="Z534" i="1"/>
  <c r="Z530" i="1"/>
  <c r="AF530" i="1" s="1"/>
  <c r="Z526" i="1"/>
  <c r="AN526" i="1" s="1"/>
  <c r="Z522" i="1"/>
  <c r="AM522" i="1" s="1"/>
  <c r="Z518" i="1"/>
  <c r="AA518" i="1" s="1"/>
  <c r="Z514" i="1"/>
  <c r="AE514" i="1" s="1"/>
  <c r="Z510" i="1"/>
  <c r="AA510" i="1" s="1"/>
  <c r="Z506" i="1"/>
  <c r="Z502" i="1"/>
  <c r="Z498" i="1"/>
  <c r="AE498" i="1" s="1"/>
  <c r="Z494" i="1"/>
  <c r="AA494" i="1" s="1"/>
  <c r="Z490" i="1"/>
  <c r="AM490" i="1" s="1"/>
  <c r="Z486" i="1"/>
  <c r="AA486" i="1" s="1"/>
  <c r="Z482" i="1"/>
  <c r="AO482" i="1" s="1"/>
  <c r="Z478" i="1"/>
  <c r="Z474" i="1"/>
  <c r="Z470" i="1"/>
  <c r="Z466" i="1"/>
  <c r="Z462" i="1"/>
  <c r="AE462" i="1" s="1"/>
  <c r="Z458" i="1"/>
  <c r="AM458" i="1" s="1"/>
  <c r="Z454" i="1"/>
  <c r="AQ454" i="1" s="1"/>
  <c r="Z450" i="1"/>
  <c r="AO450" i="1" s="1"/>
  <c r="Z446" i="1"/>
  <c r="Z442" i="1"/>
  <c r="AL442" i="1" s="1"/>
  <c r="Z438" i="1"/>
  <c r="Z434" i="1"/>
  <c r="AA434" i="1" s="1"/>
  <c r="Z430" i="1"/>
  <c r="AP430" i="1" s="1"/>
  <c r="Z426" i="1"/>
  <c r="Z422" i="1"/>
  <c r="AH422" i="1" s="1"/>
  <c r="Z418" i="1"/>
  <c r="AP418" i="1" s="1"/>
  <c r="Z414" i="1"/>
  <c r="Z410" i="1"/>
  <c r="Z406" i="1"/>
  <c r="Z402" i="1"/>
  <c r="Z398" i="1"/>
  <c r="AJ398" i="1" s="1"/>
  <c r="Z394" i="1"/>
  <c r="AH394" i="1" s="1"/>
  <c r="Z390" i="1"/>
  <c r="AJ390" i="1" s="1"/>
  <c r="Z386" i="1"/>
  <c r="Z382" i="1"/>
  <c r="Z378" i="1"/>
  <c r="AP378" i="1" s="1"/>
  <c r="Z182" i="1"/>
  <c r="AC182" i="1" s="1"/>
  <c r="Z170" i="1"/>
  <c r="Z142" i="1"/>
  <c r="AK142" i="1" s="1"/>
  <c r="Z122" i="1"/>
  <c r="Z118" i="1"/>
  <c r="AN118" i="1" s="1"/>
  <c r="Z102" i="1"/>
  <c r="AL102" i="1" s="1"/>
  <c r="Z98" i="1"/>
  <c r="Z94" i="1"/>
  <c r="AO94" i="1" s="1"/>
  <c r="Z78" i="1"/>
  <c r="AM78" i="1" s="1"/>
  <c r="Z541" i="1"/>
  <c r="AB541" i="1" s="1"/>
  <c r="Z537" i="1"/>
  <c r="AL537" i="1" s="1"/>
  <c r="Z533" i="1"/>
  <c r="Z529" i="1"/>
  <c r="AD529" i="1" s="1"/>
  <c r="Z525" i="1"/>
  <c r="AM525" i="1" s="1"/>
  <c r="Z521" i="1"/>
  <c r="AO521" i="1" s="1"/>
  <c r="Z517" i="1"/>
  <c r="AJ517" i="1" s="1"/>
  <c r="Z513" i="1"/>
  <c r="AO513" i="1" s="1"/>
  <c r="Z509" i="1"/>
  <c r="AI509" i="1" s="1"/>
  <c r="Z505" i="1"/>
  <c r="AL505" i="1" s="1"/>
  <c r="Z501" i="1"/>
  <c r="AG501" i="1" s="1"/>
  <c r="Z497" i="1"/>
  <c r="AI497" i="1" s="1"/>
  <c r="Z493" i="1"/>
  <c r="AP493" i="1" s="1"/>
  <c r="Z489" i="1"/>
  <c r="AG489" i="1" s="1"/>
  <c r="Z485" i="1"/>
  <c r="Z481" i="1"/>
  <c r="AO481" i="1" s="1"/>
  <c r="Z477" i="1"/>
  <c r="AN477" i="1" s="1"/>
  <c r="Z473" i="1"/>
  <c r="AQ473" i="1" s="1"/>
  <c r="Z469" i="1"/>
  <c r="Z465" i="1"/>
  <c r="AH465" i="1" s="1"/>
  <c r="Z461" i="1"/>
  <c r="AJ461" i="1" s="1"/>
  <c r="Z457" i="1"/>
  <c r="AN457" i="1" s="1"/>
  <c r="Z453" i="1"/>
  <c r="AG453" i="1" s="1"/>
  <c r="Z449" i="1"/>
  <c r="AQ449" i="1" s="1"/>
  <c r="Z445" i="1"/>
  <c r="AJ445" i="1" s="1"/>
  <c r="Z441" i="1"/>
  <c r="Z437" i="1"/>
  <c r="Z433" i="1"/>
  <c r="AH433" i="1" s="1"/>
  <c r="Z429" i="1"/>
  <c r="AD429" i="1" s="1"/>
  <c r="Z425" i="1"/>
  <c r="AI425" i="1" s="1"/>
  <c r="Z421" i="1"/>
  <c r="Z417" i="1"/>
  <c r="Z413" i="1"/>
  <c r="Z409" i="1"/>
  <c r="Z405" i="1"/>
  <c r="AL405" i="1" s="1"/>
  <c r="Z401" i="1"/>
  <c r="Z397" i="1"/>
  <c r="AI397" i="1" s="1"/>
  <c r="Z393" i="1"/>
  <c r="AL393" i="1" s="1"/>
  <c r="Z389" i="1"/>
  <c r="AL389" i="1" s="1"/>
  <c r="Z385" i="1"/>
  <c r="Z381" i="1"/>
  <c r="Z377" i="1"/>
  <c r="Z373" i="1"/>
  <c r="AB373" i="1" s="1"/>
  <c r="Z337" i="1"/>
  <c r="AI337" i="1" s="1"/>
  <c r="Z257" i="1"/>
  <c r="Z133" i="1"/>
  <c r="AC133" i="1" s="1"/>
  <c r="Z129" i="1"/>
  <c r="AD129" i="1" s="1"/>
  <c r="Z93" i="1"/>
  <c r="Z89" i="1"/>
  <c r="AB89" i="1" s="1"/>
  <c r="Z85" i="1"/>
  <c r="AI85" i="1" s="1"/>
  <c r="Z374" i="1"/>
  <c r="Z370" i="1"/>
  <c r="AC370" i="1" s="1"/>
  <c r="Z366" i="1"/>
  <c r="AB366" i="1" s="1"/>
  <c r="Z362" i="1"/>
  <c r="AJ362" i="1" s="1"/>
  <c r="Z358" i="1"/>
  <c r="AQ358" i="1" s="1"/>
  <c r="Z354" i="1"/>
  <c r="AK354" i="1" s="1"/>
  <c r="Z350" i="1"/>
  <c r="Z346" i="1"/>
  <c r="AB346" i="1" s="1"/>
  <c r="Z342" i="1"/>
  <c r="Z338" i="1"/>
  <c r="AH338" i="1" s="1"/>
  <c r="Z334" i="1"/>
  <c r="AN334" i="1" s="1"/>
  <c r="Z330" i="1"/>
  <c r="AQ330" i="1" s="1"/>
  <c r="Z326" i="1"/>
  <c r="AO326" i="1" s="1"/>
  <c r="Z322" i="1"/>
  <c r="AK322" i="1" s="1"/>
  <c r="Z318" i="1"/>
  <c r="AJ318" i="1" s="1"/>
  <c r="Z314" i="1"/>
  <c r="AL314" i="1" s="1"/>
  <c r="Z310" i="1"/>
  <c r="AM310" i="1" s="1"/>
  <c r="Z306" i="1"/>
  <c r="AA306" i="1" s="1"/>
  <c r="Z302" i="1"/>
  <c r="Z298" i="1"/>
  <c r="AE298" i="1" s="1"/>
  <c r="Z294" i="1"/>
  <c r="Z290" i="1"/>
  <c r="AN290" i="1" s="1"/>
  <c r="Z286" i="1"/>
  <c r="AL286" i="1" s="1"/>
  <c r="Z282" i="1"/>
  <c r="AB282" i="1" s="1"/>
  <c r="Z278" i="1"/>
  <c r="AB278" i="1" s="1"/>
  <c r="Z274" i="1"/>
  <c r="AF274" i="1" s="1"/>
  <c r="Z270" i="1"/>
  <c r="Z266" i="1"/>
  <c r="AN266" i="1" s="1"/>
  <c r="Z262" i="1"/>
  <c r="Z258" i="1"/>
  <c r="Z254" i="1"/>
  <c r="AO254" i="1" s="1"/>
  <c r="Z250" i="1"/>
  <c r="AL250" i="1" s="1"/>
  <c r="Z246" i="1"/>
  <c r="Z242" i="1"/>
  <c r="AD242" i="1" s="1"/>
  <c r="Z238" i="1"/>
  <c r="AO238" i="1" s="1"/>
  <c r="Z234" i="1"/>
  <c r="AA234" i="1" s="1"/>
  <c r="Z230" i="1"/>
  <c r="Z226" i="1"/>
  <c r="AL226" i="1" s="1"/>
  <c r="Z222" i="1"/>
  <c r="Z218" i="1"/>
  <c r="AI218" i="1" s="1"/>
  <c r="Z214" i="1"/>
  <c r="AQ214" i="1" s="1"/>
  <c r="Z210" i="1"/>
  <c r="AF210" i="1" s="1"/>
  <c r="Z206" i="1"/>
  <c r="AN206" i="1" s="1"/>
  <c r="Z202" i="1"/>
  <c r="AG202" i="1" s="1"/>
  <c r="Z198" i="1"/>
  <c r="Z194" i="1"/>
  <c r="Z190" i="1"/>
  <c r="AA190" i="1" s="1"/>
  <c r="Z186" i="1"/>
  <c r="AI186" i="1" s="1"/>
  <c r="Z178" i="1"/>
  <c r="Z174" i="1"/>
  <c r="AM174" i="1" s="1"/>
  <c r="Z166" i="1"/>
  <c r="AI166" i="1" s="1"/>
  <c r="Z162" i="1"/>
  <c r="AE162" i="1" s="1"/>
  <c r="Z158" i="1"/>
  <c r="Z154" i="1"/>
  <c r="AE154" i="1" s="1"/>
  <c r="Z150" i="1"/>
  <c r="AC150" i="1" s="1"/>
  <c r="Z146" i="1"/>
  <c r="AI146" i="1" s="1"/>
  <c r="Z138" i="1"/>
  <c r="AA138" i="1" s="1"/>
  <c r="Z134" i="1"/>
  <c r="AC134" i="1" s="1"/>
  <c r="Z130" i="1"/>
  <c r="AQ130" i="1" s="1"/>
  <c r="Z126" i="1"/>
  <c r="AN126" i="1" s="1"/>
  <c r="Z114" i="1"/>
  <c r="Z110" i="1"/>
  <c r="Z90" i="1"/>
  <c r="AP90" i="1" s="1"/>
  <c r="Z86" i="1"/>
  <c r="AP86" i="1" s="1"/>
  <c r="Z82" i="1"/>
  <c r="Z74" i="1"/>
  <c r="Z70" i="1"/>
  <c r="AL70" i="1" s="1"/>
  <c r="Z66" i="1"/>
  <c r="AI66" i="1" s="1"/>
  <c r="Z62" i="1"/>
  <c r="AG62" i="1" s="1"/>
  <c r="Z58" i="1"/>
  <c r="AD58" i="1" s="1"/>
  <c r="Z369" i="1"/>
  <c r="AL369" i="1" s="1"/>
  <c r="Z365" i="1"/>
  <c r="AD365" i="1" s="1"/>
  <c r="Z361" i="1"/>
  <c r="AG361" i="1" s="1"/>
  <c r="Z357" i="1"/>
  <c r="AK357" i="1" s="1"/>
  <c r="Z353" i="1"/>
  <c r="AD353" i="1" s="1"/>
  <c r="Z349" i="1"/>
  <c r="AB349" i="1" s="1"/>
  <c r="Z345" i="1"/>
  <c r="AM345" i="1" s="1"/>
  <c r="Z341" i="1"/>
  <c r="AI341" i="1" s="1"/>
  <c r="Z333" i="1"/>
  <c r="AP333" i="1" s="1"/>
  <c r="Z329" i="1"/>
  <c r="AH329" i="1" s="1"/>
  <c r="Z325" i="1"/>
  <c r="AH325" i="1" s="1"/>
  <c r="Z321" i="1"/>
  <c r="AE321" i="1" s="1"/>
  <c r="Z317" i="1"/>
  <c r="Z313" i="1"/>
  <c r="AH313" i="1" s="1"/>
  <c r="Z309" i="1"/>
  <c r="Z305" i="1"/>
  <c r="AM305" i="1" s="1"/>
  <c r="Z301" i="1"/>
  <c r="Z297" i="1"/>
  <c r="AH297" i="1" s="1"/>
  <c r="Z293" i="1"/>
  <c r="AH293" i="1" s="1"/>
  <c r="Z289" i="1"/>
  <c r="AE289" i="1" s="1"/>
  <c r="Z285" i="1"/>
  <c r="Z281" i="1"/>
  <c r="AH281" i="1" s="1"/>
  <c r="Z277" i="1"/>
  <c r="Z273" i="1"/>
  <c r="AM273" i="1" s="1"/>
  <c r="Z269" i="1"/>
  <c r="AE269" i="1" s="1"/>
  <c r="Z265" i="1"/>
  <c r="AE265" i="1" s="1"/>
  <c r="Z261" i="1"/>
  <c r="Z253" i="1"/>
  <c r="AP253" i="1" s="1"/>
  <c r="Z249" i="1"/>
  <c r="AE249" i="1" s="1"/>
  <c r="Z245" i="1"/>
  <c r="Z241" i="1"/>
  <c r="AA241" i="1" s="1"/>
  <c r="Z237" i="1"/>
  <c r="AN237" i="1" s="1"/>
  <c r="Z233" i="1"/>
  <c r="AG233" i="1" s="1"/>
  <c r="Z229" i="1"/>
  <c r="AO229" i="1" s="1"/>
  <c r="Z225" i="1"/>
  <c r="AQ225" i="1" s="1"/>
  <c r="Z221" i="1"/>
  <c r="Z217" i="1"/>
  <c r="AL217" i="1" s="1"/>
  <c r="Z213" i="1"/>
  <c r="Z209" i="1"/>
  <c r="AH209" i="1" s="1"/>
  <c r="Z205" i="1"/>
  <c r="AP205" i="1" s="1"/>
  <c r="Z201" i="1"/>
  <c r="AE201" i="1" s="1"/>
  <c r="Z197" i="1"/>
  <c r="AM197" i="1" s="1"/>
  <c r="Z193" i="1"/>
  <c r="AE193" i="1" s="1"/>
  <c r="Z189" i="1"/>
  <c r="Z185" i="1"/>
  <c r="AM185" i="1" s="1"/>
  <c r="Z181" i="1"/>
  <c r="Z177" i="1"/>
  <c r="AJ177" i="1" s="1"/>
  <c r="Z173" i="1"/>
  <c r="AH173" i="1" s="1"/>
  <c r="Z169" i="1"/>
  <c r="Z165" i="1"/>
  <c r="AK165" i="1" s="1"/>
  <c r="Z161" i="1"/>
  <c r="AJ161" i="1" s="1"/>
  <c r="Z157" i="1"/>
  <c r="AB157" i="1" s="1"/>
  <c r="Z153" i="1"/>
  <c r="AF153" i="1" s="1"/>
  <c r="Z149" i="1"/>
  <c r="Z145" i="1"/>
  <c r="AD145" i="1" s="1"/>
  <c r="Z141" i="1"/>
  <c r="Z137" i="1"/>
  <c r="AM137" i="1" s="1"/>
  <c r="Z125" i="1"/>
  <c r="AQ125" i="1" s="1"/>
  <c r="Z121" i="1"/>
  <c r="AQ121" i="1" s="1"/>
  <c r="Z113" i="1"/>
  <c r="AE113" i="1" s="1"/>
  <c r="Z109" i="1"/>
  <c r="Z101" i="1"/>
  <c r="Z97" i="1"/>
  <c r="AQ97" i="1" s="1"/>
  <c r="Z77" i="1"/>
  <c r="AJ77" i="1" s="1"/>
  <c r="Z73" i="1"/>
  <c r="AN73" i="1" s="1"/>
  <c r="Z69" i="1"/>
  <c r="AF69" i="1" s="1"/>
  <c r="Z53" i="1"/>
  <c r="AN53" i="1" s="1"/>
  <c r="N50" i="12" l="1"/>
  <c r="L57" i="12"/>
  <c r="K52" i="12"/>
  <c r="K55" i="12"/>
  <c r="G51" i="12"/>
  <c r="F48" i="12"/>
  <c r="D56" i="12"/>
  <c r="D49" i="12"/>
  <c r="M51" i="12"/>
  <c r="M49" i="12"/>
  <c r="I53" i="12"/>
  <c r="G53" i="12"/>
  <c r="O50" i="12"/>
  <c r="L49" i="12"/>
  <c r="E54" i="12"/>
  <c r="M52" i="12"/>
  <c r="H51" i="12"/>
  <c r="L54" i="12"/>
  <c r="K50" i="12"/>
  <c r="K56" i="12"/>
  <c r="C56" i="12"/>
  <c r="C52" i="12"/>
  <c r="C50" i="12"/>
  <c r="C53" i="12"/>
  <c r="N49" i="12"/>
  <c r="Q51" i="12"/>
  <c r="O48" i="12"/>
  <c r="F56" i="12"/>
  <c r="E57" i="12"/>
  <c r="L53" i="12"/>
  <c r="D57" i="12"/>
  <c r="R55" i="12"/>
  <c r="P53" i="12"/>
  <c r="I49" i="12"/>
  <c r="G57" i="12"/>
  <c r="K54" i="12"/>
  <c r="K57" i="12"/>
  <c r="K49" i="12"/>
  <c r="K53" i="12"/>
  <c r="K51" i="12"/>
  <c r="J52" i="12"/>
  <c r="J55" i="12"/>
  <c r="J48" i="12"/>
  <c r="J49" i="12"/>
  <c r="G54" i="12"/>
  <c r="E56" i="12"/>
  <c r="D50" i="12"/>
  <c r="C51" i="12"/>
  <c r="C57" i="12"/>
  <c r="P51" i="12"/>
  <c r="L50" i="12"/>
  <c r="J56" i="12"/>
  <c r="I56" i="12"/>
  <c r="H54" i="12"/>
  <c r="F53" i="12"/>
  <c r="F57" i="12"/>
  <c r="E55" i="12"/>
  <c r="E52" i="12"/>
  <c r="Q49" i="12"/>
  <c r="N57" i="12"/>
  <c r="M56" i="12"/>
  <c r="L55" i="12"/>
  <c r="H49" i="12"/>
  <c r="H55" i="12"/>
  <c r="H48" i="12"/>
  <c r="G48" i="12"/>
  <c r="F54" i="12"/>
  <c r="R48" i="12"/>
  <c r="R49" i="12"/>
  <c r="Q52" i="12"/>
  <c r="P50" i="12"/>
  <c r="O52" i="12"/>
  <c r="N48" i="12"/>
  <c r="I51" i="12"/>
  <c r="F50" i="12"/>
  <c r="E51" i="12"/>
  <c r="P49" i="12"/>
  <c r="P52" i="12"/>
  <c r="P54" i="12"/>
  <c r="I50" i="12"/>
  <c r="G56" i="12"/>
  <c r="R50" i="12"/>
  <c r="M57" i="12"/>
  <c r="H53" i="12"/>
  <c r="H57" i="12"/>
  <c r="AB548" i="1"/>
  <c r="AC548" i="1"/>
  <c r="AD548" i="1"/>
  <c r="AE548" i="1"/>
  <c r="AF548" i="1"/>
  <c r="AH548" i="1"/>
  <c r="AI548" i="1"/>
  <c r="AJ548" i="1"/>
  <c r="AK548" i="1"/>
  <c r="AL548" i="1"/>
  <c r="AM548" i="1"/>
  <c r="AN548" i="1"/>
  <c r="AO548" i="1"/>
  <c r="AP548" i="1"/>
  <c r="AQ548" i="1"/>
  <c r="AG548" i="1"/>
  <c r="AA548" i="1"/>
  <c r="AJ552" i="1"/>
  <c r="AN552" i="1"/>
  <c r="AO552" i="1"/>
  <c r="AP552" i="1"/>
  <c r="AQ552" i="1"/>
  <c r="AB552" i="1"/>
  <c r="AO4" i="1"/>
  <c r="AB4" i="1"/>
  <c r="AQ4" i="1"/>
  <c r="AI4" i="1"/>
  <c r="AA4" i="1"/>
  <c r="AP4" i="1"/>
  <c r="AH4" i="1"/>
  <c r="AL32" i="1"/>
  <c r="AN32" i="1"/>
  <c r="AE32" i="1"/>
  <c r="AH32" i="1"/>
  <c r="AO105" i="1"/>
  <c r="AJ105" i="1"/>
  <c r="AP105" i="1"/>
  <c r="AB147" i="1"/>
  <c r="AP147" i="1"/>
  <c r="AH127" i="1"/>
  <c r="AP127" i="1"/>
  <c r="AB127" i="1"/>
  <c r="AB115" i="1"/>
  <c r="AP115" i="1"/>
  <c r="AH107" i="1"/>
  <c r="AP107" i="1"/>
  <c r="AG552" i="1"/>
  <c r="AH552" i="1"/>
  <c r="AK552" i="1"/>
  <c r="AM552" i="1"/>
  <c r="AC552" i="1"/>
  <c r="AD552" i="1"/>
  <c r="AN547" i="1"/>
  <c r="AQ547" i="1"/>
  <c r="AP547" i="1"/>
  <c r="AO547" i="1"/>
  <c r="AA547" i="1"/>
  <c r="AB547" i="1"/>
  <c r="AC547" i="1"/>
  <c r="AD547" i="1"/>
  <c r="AE547" i="1"/>
  <c r="AF547" i="1"/>
  <c r="AG547" i="1"/>
  <c r="AH547" i="1"/>
  <c r="AI547" i="1"/>
  <c r="AJ547" i="1"/>
  <c r="AK547" i="1"/>
  <c r="AL547" i="1"/>
  <c r="AM547" i="1"/>
  <c r="AA552" i="1"/>
  <c r="AL552" i="1"/>
  <c r="AF552" i="1"/>
  <c r="AE552" i="1"/>
  <c r="AK252" i="1"/>
  <c r="AC252" i="1"/>
  <c r="AJ252" i="1"/>
  <c r="AB252" i="1"/>
  <c r="AJ244" i="1"/>
  <c r="AB244" i="1"/>
  <c r="AA549" i="1"/>
  <c r="AL549" i="1"/>
  <c r="AQ549" i="1"/>
  <c r="AP549" i="1"/>
  <c r="AO549" i="1"/>
  <c r="AN549" i="1"/>
  <c r="AM549" i="1"/>
  <c r="AK549" i="1"/>
  <c r="AJ549" i="1"/>
  <c r="AI549" i="1"/>
  <c r="AH549" i="1"/>
  <c r="AG549" i="1"/>
  <c r="AF549" i="1"/>
  <c r="AE549" i="1"/>
  <c r="AD549" i="1"/>
  <c r="AC549" i="1"/>
  <c r="AB549" i="1"/>
  <c r="AE551" i="1"/>
  <c r="AA551" i="1"/>
  <c r="AO551" i="1"/>
  <c r="AP551" i="1"/>
  <c r="AQ551" i="1"/>
  <c r="AC551" i="1"/>
  <c r="AP550" i="1"/>
  <c r="AQ550" i="1"/>
  <c r="AO550" i="1"/>
  <c r="AM550" i="1"/>
  <c r="AG550" i="1"/>
  <c r="AE550" i="1"/>
  <c r="AD550" i="1"/>
  <c r="AB550" i="1"/>
  <c r="AA550" i="1"/>
  <c r="AN550" i="1"/>
  <c r="AC550" i="1"/>
  <c r="AL550" i="1"/>
  <c r="AK550" i="1"/>
  <c r="AJ550" i="1"/>
  <c r="AI550" i="1"/>
  <c r="AH550" i="1"/>
  <c r="AF550" i="1"/>
  <c r="AD551" i="1"/>
  <c r="AF551" i="1"/>
  <c r="AG551" i="1"/>
  <c r="AH551" i="1"/>
  <c r="AI551" i="1"/>
  <c r="AJ551" i="1"/>
  <c r="AK551" i="1"/>
  <c r="AL551" i="1"/>
  <c r="AM551" i="1"/>
  <c r="AN551" i="1"/>
  <c r="AG4" i="1"/>
  <c r="AN4" i="1"/>
  <c r="AF4" i="1"/>
  <c r="AM4" i="1"/>
  <c r="AE4" i="1"/>
  <c r="AK4" i="1"/>
  <c r="AC4" i="1"/>
  <c r="AH105" i="1"/>
  <c r="AG105" i="1"/>
  <c r="AB105" i="1"/>
  <c r="AP81" i="1"/>
  <c r="AM81" i="1"/>
  <c r="AB81" i="1"/>
  <c r="AK256" i="1"/>
  <c r="AN256" i="1"/>
  <c r="AJ4" i="1"/>
  <c r="AD4" i="1"/>
  <c r="AP117" i="1"/>
  <c r="AN117" i="1"/>
  <c r="AJ117" i="1"/>
  <c r="AB117" i="1"/>
  <c r="AA117" i="1"/>
  <c r="AI117" i="1"/>
  <c r="AQ117" i="1"/>
  <c r="AO117" i="1"/>
  <c r="AC117" i="1"/>
  <c r="AH117" i="1"/>
  <c r="AK117" i="1"/>
  <c r="AD117" i="1"/>
  <c r="AL117" i="1"/>
  <c r="AE117" i="1"/>
  <c r="AM117" i="1"/>
  <c r="AF117" i="1"/>
  <c r="AG117" i="1"/>
  <c r="AK105" i="1"/>
  <c r="AC105" i="1"/>
  <c r="AQ105" i="1"/>
  <c r="AN105" i="1"/>
  <c r="AL105" i="1"/>
  <c r="AE105" i="1"/>
  <c r="AI105" i="1"/>
  <c r="AA105" i="1"/>
  <c r="AM105" i="1"/>
  <c r="AF105" i="1"/>
  <c r="AD105" i="1"/>
  <c r="AE81" i="1"/>
  <c r="AG81" i="1"/>
  <c r="AN81" i="1"/>
  <c r="AF81" i="1"/>
  <c r="AL81" i="1"/>
  <c r="AD81" i="1"/>
  <c r="AK81" i="1"/>
  <c r="AQ81" i="1"/>
  <c r="AI81" i="1"/>
  <c r="AA81" i="1"/>
  <c r="AO81" i="1"/>
  <c r="AH81" i="1"/>
  <c r="AC81" i="1"/>
  <c r="AJ81" i="1"/>
  <c r="AD17" i="1"/>
  <c r="AP17" i="1"/>
  <c r="AK17" i="1"/>
  <c r="AC17" i="1"/>
  <c r="AL17" i="1"/>
  <c r="AG17" i="1"/>
  <c r="AN17" i="1"/>
  <c r="AF17" i="1"/>
  <c r="AQ17" i="1"/>
  <c r="AI17" i="1"/>
  <c r="AA17" i="1"/>
  <c r="AJ17" i="1"/>
  <c r="AB17" i="1"/>
  <c r="AG13" i="1"/>
  <c r="AF13" i="1"/>
  <c r="AH13" i="1"/>
  <c r="AP13" i="1"/>
  <c r="AN13" i="1"/>
  <c r="AB13" i="1"/>
  <c r="AL13" i="1"/>
  <c r="AJ13" i="1"/>
  <c r="AC13" i="1"/>
  <c r="AK13" i="1"/>
  <c r="AD13" i="1"/>
  <c r="AF6" i="1"/>
  <c r="AJ6" i="1"/>
  <c r="AQ9" i="1"/>
  <c r="AG9" i="1"/>
  <c r="AK9" i="1"/>
  <c r="AC9" i="1"/>
  <c r="AF9" i="1"/>
  <c r="AJ9" i="1"/>
  <c r="AB9" i="1"/>
  <c r="AN9" i="1"/>
  <c r="AD9" i="1"/>
  <c r="AP9" i="1"/>
  <c r="AH9" i="1"/>
  <c r="AL9" i="1"/>
  <c r="AJ15" i="1"/>
  <c r="AH15" i="1"/>
  <c r="AG15" i="1"/>
  <c r="AE15" i="1"/>
  <c r="AM15" i="1"/>
  <c r="AC15" i="1"/>
  <c r="AO15" i="1"/>
  <c r="AB15" i="1"/>
  <c r="AP15" i="1"/>
  <c r="AO11" i="1"/>
  <c r="AH11" i="1"/>
  <c r="AE11" i="1"/>
  <c r="AB11" i="1"/>
  <c r="AJ11" i="1"/>
  <c r="AC11" i="1"/>
  <c r="AG11" i="1"/>
  <c r="AP11" i="1"/>
  <c r="AE5" i="1"/>
  <c r="AI5" i="1"/>
  <c r="AG5" i="1"/>
  <c r="AL5" i="1"/>
  <c r="AJ5" i="1"/>
  <c r="AB5" i="1"/>
  <c r="AC5" i="1"/>
  <c r="AK5" i="1"/>
  <c r="AQ5" i="1"/>
  <c r="AD5" i="1"/>
  <c r="AP5" i="1"/>
  <c r="AH5" i="1"/>
  <c r="AN5" i="1"/>
  <c r="AF5" i="1"/>
  <c r="AM50" i="1"/>
  <c r="AG50" i="1"/>
  <c r="AJ50" i="1"/>
  <c r="AA50" i="1"/>
  <c r="AI37" i="1"/>
  <c r="AA37" i="1"/>
  <c r="AG37" i="1"/>
  <c r="AK37" i="1"/>
  <c r="AP37" i="1"/>
  <c r="AL37" i="1"/>
  <c r="AD37" i="1"/>
  <c r="AC37" i="1"/>
  <c r="AN37" i="1"/>
  <c r="AH37" i="1"/>
  <c r="AQ37" i="1"/>
  <c r="AB37" i="1"/>
  <c r="AF37" i="1"/>
  <c r="AJ37" i="1"/>
  <c r="AG46" i="1"/>
  <c r="AJ46" i="1"/>
  <c r="AA46" i="1"/>
  <c r="AF38" i="1"/>
  <c r="AH38" i="1"/>
  <c r="AL34" i="1"/>
  <c r="AJ34" i="1"/>
  <c r="AG34" i="1"/>
  <c r="AO34" i="1"/>
  <c r="AD34" i="1"/>
  <c r="AH34" i="1"/>
  <c r="AP34" i="1"/>
  <c r="AA34" i="1"/>
  <c r="AI34" i="1"/>
  <c r="AQ34" i="1"/>
  <c r="AE34" i="1"/>
  <c r="AB34" i="1"/>
  <c r="AC26" i="1"/>
  <c r="AD26" i="1"/>
  <c r="AJ14" i="1"/>
  <c r="AQ14" i="1"/>
  <c r="AG14" i="1"/>
  <c r="AE14" i="1"/>
  <c r="AH14" i="1"/>
  <c r="AP14" i="1"/>
  <c r="AL14" i="1"/>
  <c r="AB14" i="1"/>
  <c r="AA14" i="1"/>
  <c r="AI14" i="1"/>
  <c r="AA57" i="1"/>
  <c r="AJ57" i="1"/>
  <c r="AG57" i="1"/>
  <c r="AD64" i="1"/>
  <c r="AH64" i="1"/>
  <c r="AK44" i="1"/>
  <c r="AH44" i="1"/>
  <c r="AK67" i="1"/>
  <c r="AG67" i="1"/>
  <c r="AO59" i="1"/>
  <c r="AK59" i="1"/>
  <c r="AE31" i="1"/>
  <c r="AG31" i="1"/>
  <c r="AO31" i="1"/>
  <c r="AH31" i="1"/>
  <c r="AP31" i="1"/>
  <c r="AJ31" i="1"/>
  <c r="AC31" i="1"/>
  <c r="AM31" i="1"/>
  <c r="AP27" i="1"/>
  <c r="AJ27" i="1"/>
  <c r="AK120" i="1"/>
  <c r="AH120" i="1"/>
  <c r="AK20" i="1"/>
  <c r="AE20" i="1"/>
  <c r="AK224" i="1"/>
  <c r="AM224" i="1"/>
  <c r="AH224" i="1"/>
  <c r="AD224" i="1"/>
  <c r="AA224" i="1"/>
  <c r="AI224" i="1"/>
  <c r="AJ224" i="1"/>
  <c r="AB224" i="1"/>
  <c r="AL224" i="1"/>
  <c r="AE224" i="1"/>
  <c r="AN224" i="1"/>
  <c r="AG224" i="1"/>
  <c r="AP224" i="1"/>
  <c r="AC224" i="1"/>
  <c r="AF224" i="1"/>
  <c r="AL212" i="1"/>
  <c r="AJ212" i="1"/>
  <c r="AE208" i="1"/>
  <c r="AJ208" i="1"/>
  <c r="AG192" i="1"/>
  <c r="AB192" i="1"/>
  <c r="AF192" i="1"/>
  <c r="AK192" i="1"/>
  <c r="AA192" i="1"/>
  <c r="AQ192" i="1"/>
  <c r="AJ192" i="1"/>
  <c r="AE192" i="1"/>
  <c r="AP192" i="1"/>
  <c r="AO192" i="1"/>
  <c r="AD192" i="1"/>
  <c r="AN192" i="1"/>
  <c r="AM192" i="1"/>
  <c r="AC192" i="1"/>
  <c r="AL192" i="1"/>
  <c r="AE184" i="1"/>
  <c r="AO184" i="1"/>
  <c r="AG184" i="1"/>
  <c r="AM184" i="1"/>
  <c r="AJ184" i="1"/>
  <c r="AH180" i="1"/>
  <c r="AF180" i="1"/>
  <c r="AQ287" i="1"/>
  <c r="AA287" i="1"/>
  <c r="AL287" i="1"/>
  <c r="AD287" i="1"/>
  <c r="AI287" i="1"/>
  <c r="AN247" i="1"/>
  <c r="AH247" i="1"/>
  <c r="AO243" i="1"/>
  <c r="AF243" i="1"/>
  <c r="AM243" i="1"/>
  <c r="AJ243" i="1"/>
  <c r="AA243" i="1"/>
  <c r="AH243" i="1"/>
  <c r="AG243" i="1"/>
  <c r="AI243" i="1"/>
  <c r="AA223" i="1"/>
  <c r="AC223" i="1"/>
  <c r="AL223" i="1"/>
  <c r="AI223" i="1"/>
  <c r="AM223" i="1"/>
  <c r="AE223" i="1"/>
  <c r="AP223" i="1"/>
  <c r="AG223" i="1"/>
  <c r="AN223" i="1"/>
  <c r="AH223" i="1"/>
  <c r="AD223" i="1"/>
  <c r="AK223" i="1"/>
  <c r="AJ223" i="1"/>
  <c r="AF223" i="1"/>
  <c r="AE211" i="1"/>
  <c r="AA211" i="1"/>
  <c r="AO211" i="1"/>
  <c r="AD211" i="1"/>
  <c r="AM211" i="1"/>
  <c r="AC211" i="1"/>
  <c r="AQ203" i="1"/>
  <c r="AB203" i="1"/>
  <c r="AB191" i="1"/>
  <c r="AK191" i="1"/>
  <c r="AG191" i="1"/>
  <c r="AA191" i="1"/>
  <c r="AL191" i="1"/>
  <c r="AI191" i="1"/>
  <c r="AP191" i="1"/>
  <c r="AE191" i="1"/>
  <c r="AH191" i="1"/>
  <c r="AQ191" i="1"/>
  <c r="AP187" i="1"/>
  <c r="AQ187" i="1"/>
  <c r="AD179" i="1"/>
  <c r="AQ179" i="1"/>
  <c r="AH159" i="1"/>
  <c r="AB159" i="1"/>
  <c r="AP159" i="1"/>
  <c r="AP95" i="1"/>
  <c r="AH95" i="1"/>
  <c r="AO17" i="1"/>
  <c r="AE17" i="1"/>
  <c r="AM17" i="1"/>
  <c r="AO13" i="1"/>
  <c r="AE13" i="1"/>
  <c r="AM13" i="1"/>
  <c r="AO9" i="1"/>
  <c r="AE9" i="1"/>
  <c r="AM9" i="1"/>
  <c r="AK15" i="1"/>
  <c r="AA15" i="1"/>
  <c r="AI15" i="1"/>
  <c r="AQ15" i="1"/>
  <c r="AF11" i="1"/>
  <c r="AA11" i="1"/>
  <c r="AI11" i="1"/>
  <c r="AQ11" i="1"/>
  <c r="AO5" i="1"/>
  <c r="AM5" i="1"/>
  <c r="AC50" i="1"/>
  <c r="AI50" i="1"/>
  <c r="AD50" i="1"/>
  <c r="AL50" i="1"/>
  <c r="AO37" i="1"/>
  <c r="AM37" i="1"/>
  <c r="AE37" i="1"/>
  <c r="AF46" i="1"/>
  <c r="AL46" i="1"/>
  <c r="AD46" i="1"/>
  <c r="AI46" i="1"/>
  <c r="AM34" i="1"/>
  <c r="AC34" i="1"/>
  <c r="AK34" i="1"/>
  <c r="AF14" i="1"/>
  <c r="AK14" i="1"/>
  <c r="AC14" i="1"/>
  <c r="AB57" i="1"/>
  <c r="AI57" i="1"/>
  <c r="AN57" i="1"/>
  <c r="AF57" i="1"/>
  <c r="AL45" i="1"/>
  <c r="AF45" i="1"/>
  <c r="AO67" i="1"/>
  <c r="AI67" i="1"/>
  <c r="AB67" i="1"/>
  <c r="AJ67" i="1"/>
  <c r="AN51" i="1"/>
  <c r="AJ51" i="1"/>
  <c r="AB51" i="1"/>
  <c r="AF31" i="1"/>
  <c r="AI31" i="1"/>
  <c r="AA31" i="1"/>
  <c r="AQ31" i="1"/>
  <c r="AL41" i="1"/>
  <c r="AI41" i="1"/>
  <c r="AD545" i="1"/>
  <c r="AG545" i="1"/>
  <c r="AO545" i="1"/>
  <c r="AH545" i="1"/>
  <c r="AL545" i="1"/>
  <c r="AJ544" i="1"/>
  <c r="AB544" i="1"/>
  <c r="AO544" i="1"/>
  <c r="AG544" i="1"/>
  <c r="AH544" i="1"/>
  <c r="AC544" i="1"/>
  <c r="AM544" i="1"/>
  <c r="AF544" i="1"/>
  <c r="AN544" i="1"/>
  <c r="AA540" i="1"/>
  <c r="AQ540" i="1"/>
  <c r="AN540" i="1"/>
  <c r="AK540" i="1"/>
  <c r="AC540" i="1"/>
  <c r="AM540" i="1"/>
  <c r="AF540" i="1"/>
  <c r="AI540" i="1"/>
  <c r="AI536" i="1"/>
  <c r="AC536" i="1"/>
  <c r="AQ520" i="1"/>
  <c r="AF520" i="1"/>
  <c r="AK516" i="1"/>
  <c r="AL516" i="1"/>
  <c r="AJ516" i="1"/>
  <c r="AG516" i="1"/>
  <c r="AI516" i="1"/>
  <c r="AN516" i="1"/>
  <c r="AP516" i="1"/>
  <c r="AO516" i="1"/>
  <c r="AM516" i="1"/>
  <c r="AH516" i="1"/>
  <c r="AD516" i="1"/>
  <c r="AQ516" i="1"/>
  <c r="AA516" i="1"/>
  <c r="AF516" i="1"/>
  <c r="AE516" i="1"/>
  <c r="AC516" i="1"/>
  <c r="AB516" i="1"/>
  <c r="AA512" i="1"/>
  <c r="AQ512" i="1"/>
  <c r="AI512" i="1"/>
  <c r="AD512" i="1"/>
  <c r="AH512" i="1"/>
  <c r="AG512" i="1"/>
  <c r="AP512" i="1"/>
  <c r="AB508" i="1"/>
  <c r="AQ508" i="1"/>
  <c r="AF508" i="1"/>
  <c r="AA508" i="1"/>
  <c r="AC508" i="1"/>
  <c r="AN508" i="1"/>
  <c r="AO508" i="1"/>
  <c r="AP508" i="1"/>
  <c r="AI508" i="1"/>
  <c r="AE508" i="1"/>
  <c r="AD508" i="1"/>
  <c r="AJ508" i="1"/>
  <c r="AE504" i="1"/>
  <c r="AD504" i="1"/>
  <c r="AK500" i="1"/>
  <c r="AO500" i="1"/>
  <c r="AC500" i="1"/>
  <c r="AK496" i="1"/>
  <c r="AJ496" i="1"/>
  <c r="AB496" i="1"/>
  <c r="AP484" i="1"/>
  <c r="AE484" i="1"/>
  <c r="AN484" i="1"/>
  <c r="AD484" i="1"/>
  <c r="AJ484" i="1"/>
  <c r="AF484" i="1"/>
  <c r="AO484" i="1"/>
  <c r="AM484" i="1"/>
  <c r="AC484" i="1"/>
  <c r="AO480" i="1"/>
  <c r="AD480" i="1"/>
  <c r="AE480" i="1"/>
  <c r="AC480" i="1"/>
  <c r="AQ480" i="1"/>
  <c r="AN480" i="1"/>
  <c r="AD452" i="1"/>
  <c r="AF452" i="1"/>
  <c r="AG452" i="1"/>
  <c r="AH452" i="1"/>
  <c r="AL452" i="1"/>
  <c r="AN452" i="1"/>
  <c r="AP452" i="1"/>
  <c r="AB452" i="1"/>
  <c r="AM452" i="1"/>
  <c r="AE452" i="1"/>
  <c r="AO452" i="1"/>
  <c r="AA452" i="1"/>
  <c r="AI452" i="1"/>
  <c r="AQ452" i="1"/>
  <c r="AC452" i="1"/>
  <c r="AK452" i="1"/>
  <c r="AJ452" i="1"/>
  <c r="AI448" i="1"/>
  <c r="AP448" i="1"/>
  <c r="AQ448" i="1"/>
  <c r="AA448" i="1"/>
  <c r="AD448" i="1"/>
  <c r="AE448" i="1"/>
  <c r="AC448" i="1"/>
  <c r="AM444" i="1"/>
  <c r="AI444" i="1"/>
  <c r="AQ444" i="1"/>
  <c r="AP444" i="1"/>
  <c r="AB444" i="1"/>
  <c r="AK444" i="1"/>
  <c r="AF444" i="1"/>
  <c r="AO444" i="1"/>
  <c r="AA444" i="1"/>
  <c r="AD444" i="1"/>
  <c r="AD436" i="1"/>
  <c r="AM436" i="1"/>
  <c r="AJ424" i="1"/>
  <c r="AD424" i="1"/>
  <c r="AM420" i="1"/>
  <c r="AJ420" i="1"/>
  <c r="AI420" i="1"/>
  <c r="AN420" i="1"/>
  <c r="AF420" i="1"/>
  <c r="AL420" i="1"/>
  <c r="AD420" i="1"/>
  <c r="AO420" i="1"/>
  <c r="AP420" i="1"/>
  <c r="AC420" i="1"/>
  <c r="AQ420" i="1"/>
  <c r="AE420" i="1"/>
  <c r="AG420" i="1"/>
  <c r="AH420" i="1"/>
  <c r="AA420" i="1"/>
  <c r="AK420" i="1"/>
  <c r="AB420" i="1"/>
  <c r="AH412" i="1"/>
  <c r="AI412" i="1"/>
  <c r="AF412" i="1"/>
  <c r="AN412" i="1"/>
  <c r="AH404" i="1"/>
  <c r="AF404" i="1"/>
  <c r="AH388" i="1"/>
  <c r="AI388" i="1"/>
  <c r="AF388" i="1"/>
  <c r="AN388" i="1"/>
  <c r="AN384" i="1"/>
  <c r="AH384" i="1"/>
  <c r="AH380" i="1"/>
  <c r="AI380" i="1"/>
  <c r="AF380" i="1"/>
  <c r="AN380" i="1"/>
  <c r="AJ372" i="1"/>
  <c r="AN372" i="1"/>
  <c r="AL356" i="1"/>
  <c r="AC356" i="1"/>
  <c r="AD356" i="1"/>
  <c r="AP356" i="1"/>
  <c r="AO356" i="1"/>
  <c r="AE356" i="1"/>
  <c r="AM356" i="1"/>
  <c r="AF356" i="1"/>
  <c r="AN356" i="1"/>
  <c r="AK356" i="1"/>
  <c r="AA356" i="1"/>
  <c r="AB356" i="1"/>
  <c r="AK352" i="1"/>
  <c r="AN352" i="1"/>
  <c r="AA352" i="1"/>
  <c r="AM352" i="1"/>
  <c r="AF352" i="1"/>
  <c r="AL348" i="1"/>
  <c r="AJ348" i="1"/>
  <c r="AF348" i="1"/>
  <c r="AM348" i="1"/>
  <c r="AE348" i="1"/>
  <c r="AD344" i="1"/>
  <c r="AN344" i="1"/>
  <c r="AE340" i="1"/>
  <c r="AC340" i="1"/>
  <c r="AN340" i="1"/>
  <c r="AD336" i="1"/>
  <c r="AL336" i="1"/>
  <c r="AK336" i="1"/>
  <c r="AA324" i="1"/>
  <c r="AP324" i="1"/>
  <c r="AH324" i="1"/>
  <c r="AO324" i="1"/>
  <c r="AG324" i="1"/>
  <c r="AI324" i="1"/>
  <c r="AQ324" i="1"/>
  <c r="AB324" i="1"/>
  <c r="AI320" i="1"/>
  <c r="AG320" i="1"/>
  <c r="AB320" i="1"/>
  <c r="AP320" i="1"/>
  <c r="AH316" i="1"/>
  <c r="AB316" i="1"/>
  <c r="AQ316" i="1"/>
  <c r="AI316" i="1"/>
  <c r="AA316" i="1"/>
  <c r="AP316" i="1"/>
  <c r="AO316" i="1"/>
  <c r="AG316" i="1"/>
  <c r="AA308" i="1"/>
  <c r="AO308" i="1"/>
  <c r="AQ292" i="1"/>
  <c r="AF292" i="1"/>
  <c r="AJ292" i="1"/>
  <c r="AB292" i="1"/>
  <c r="AH292" i="1"/>
  <c r="AI292" i="1"/>
  <c r="AA292" i="1"/>
  <c r="AO292" i="1"/>
  <c r="AG292" i="1"/>
  <c r="AM292" i="1"/>
  <c r="AA288" i="1"/>
  <c r="AO288" i="1"/>
  <c r="AG284" i="1"/>
  <c r="AK284" i="1"/>
  <c r="AO284" i="1"/>
  <c r="AB284" i="1"/>
  <c r="AJ284" i="1"/>
  <c r="AN280" i="1"/>
  <c r="AF280" i="1"/>
  <c r="AQ276" i="1"/>
  <c r="AD276" i="1"/>
  <c r="AK272" i="1"/>
  <c r="AG272" i="1"/>
  <c r="AA260" i="1"/>
  <c r="AO260" i="1"/>
  <c r="AK260" i="1"/>
  <c r="AC260" i="1"/>
  <c r="AB260" i="1"/>
  <c r="AH260" i="1"/>
  <c r="AN260" i="1"/>
  <c r="AF260" i="1"/>
  <c r="AM260" i="1"/>
  <c r="AJ260" i="1"/>
  <c r="AE252" i="1"/>
  <c r="AQ252" i="1"/>
  <c r="AG252" i="1"/>
  <c r="AL216" i="1"/>
  <c r="AB216" i="1"/>
  <c r="AI216" i="1"/>
  <c r="AC216" i="1"/>
  <c r="AK216" i="1"/>
  <c r="AE216" i="1"/>
  <c r="AN216" i="1"/>
  <c r="AC543" i="1"/>
  <c r="AH543" i="1"/>
  <c r="AP543" i="1"/>
  <c r="AC535" i="1"/>
  <c r="AP535" i="1"/>
  <c r="AH535" i="1"/>
  <c r="AC531" i="1"/>
  <c r="AH531" i="1"/>
  <c r="AP531" i="1"/>
  <c r="AC511" i="1"/>
  <c r="AH511" i="1"/>
  <c r="AP511" i="1"/>
  <c r="AK507" i="1"/>
  <c r="AA507" i="1"/>
  <c r="AO503" i="1"/>
  <c r="AG503" i="1"/>
  <c r="AM503" i="1"/>
  <c r="AI503" i="1"/>
  <c r="AQ503" i="1"/>
  <c r="AE503" i="1"/>
  <c r="AC503" i="1"/>
  <c r="AK503" i="1"/>
  <c r="AP503" i="1"/>
  <c r="AB503" i="1"/>
  <c r="AF503" i="1"/>
  <c r="AD503" i="1"/>
  <c r="AA503" i="1"/>
  <c r="AP499" i="1"/>
  <c r="AA499" i="1"/>
  <c r="AO499" i="1"/>
  <c r="AB499" i="1"/>
  <c r="AD499" i="1"/>
  <c r="AM499" i="1"/>
  <c r="AL499" i="1"/>
  <c r="AK499" i="1"/>
  <c r="AC499" i="1"/>
  <c r="AQ483" i="1"/>
  <c r="AE483" i="1"/>
  <c r="AG483" i="1"/>
  <c r="AJ479" i="1"/>
  <c r="AG479" i="1"/>
  <c r="AD479" i="1"/>
  <c r="AK479" i="1"/>
  <c r="AA479" i="1"/>
  <c r="AO479" i="1"/>
  <c r="AM479" i="1"/>
  <c r="AM471" i="1"/>
  <c r="AJ471" i="1"/>
  <c r="AH471" i="1"/>
  <c r="AD471" i="1"/>
  <c r="AE471" i="1"/>
  <c r="AC471" i="1"/>
  <c r="AO467" i="1"/>
  <c r="AK467" i="1"/>
  <c r="AA467" i="1"/>
  <c r="AM467" i="1"/>
  <c r="AG467" i="1"/>
  <c r="AQ467" i="1"/>
  <c r="AB467" i="1"/>
  <c r="AJ467" i="1"/>
  <c r="AD459" i="1"/>
  <c r="AJ459" i="1"/>
  <c r="AB459" i="1"/>
  <c r="AO459" i="1"/>
  <c r="AD447" i="1"/>
  <c r="AF447" i="1"/>
  <c r="AJ447" i="1"/>
  <c r="AO447" i="1"/>
  <c r="AM447" i="1"/>
  <c r="AE447" i="1"/>
  <c r="AK447" i="1"/>
  <c r="AC447" i="1"/>
  <c r="AI447" i="1"/>
  <c r="AQ447" i="1"/>
  <c r="AG447" i="1"/>
  <c r="AH447" i="1"/>
  <c r="AA447" i="1"/>
  <c r="AB447" i="1"/>
  <c r="AE443" i="1"/>
  <c r="AK443" i="1"/>
  <c r="AC439" i="1"/>
  <c r="AN439" i="1"/>
  <c r="AI439" i="1"/>
  <c r="AB435" i="1"/>
  <c r="AK435" i="1"/>
  <c r="AM435" i="1"/>
  <c r="AA435" i="1"/>
  <c r="AQ435" i="1"/>
  <c r="AH435" i="1"/>
  <c r="AL435" i="1"/>
  <c r="AG435" i="1"/>
  <c r="AG375" i="1"/>
  <c r="AO375" i="1"/>
  <c r="AH371" i="1"/>
  <c r="AO371" i="1"/>
  <c r="AG371" i="1"/>
  <c r="AO351" i="1"/>
  <c r="AH351" i="1"/>
  <c r="AG351" i="1"/>
  <c r="AM343" i="1"/>
  <c r="AO343" i="1"/>
  <c r="AE343" i="1"/>
  <c r="AN343" i="1"/>
  <c r="AN339" i="1"/>
  <c r="AF339" i="1"/>
  <c r="AG339" i="1"/>
  <c r="AD339" i="1"/>
  <c r="AL339" i="1"/>
  <c r="AM339" i="1"/>
  <c r="AI339" i="1"/>
  <c r="AL331" i="1"/>
  <c r="AE331" i="1"/>
  <c r="AM319" i="1"/>
  <c r="AK319" i="1"/>
  <c r="AH319" i="1"/>
  <c r="AD319" i="1"/>
  <c r="AJ319" i="1"/>
  <c r="AL319" i="1"/>
  <c r="AB319" i="1"/>
  <c r="AQ319" i="1"/>
  <c r="AE319" i="1"/>
  <c r="AI319" i="1"/>
  <c r="AA319" i="1"/>
  <c r="AP319" i="1"/>
  <c r="AG319" i="1"/>
  <c r="AC319" i="1"/>
  <c r="AH315" i="1"/>
  <c r="AE315" i="1"/>
  <c r="AD307" i="1"/>
  <c r="AQ307" i="1"/>
  <c r="AB307" i="1"/>
  <c r="AM307" i="1"/>
  <c r="AF307" i="1"/>
  <c r="AJ307" i="1"/>
  <c r="AK307" i="1"/>
  <c r="AD299" i="1"/>
  <c r="AL299" i="1"/>
  <c r="AJ287" i="1"/>
  <c r="AH287" i="1"/>
  <c r="AG287" i="1"/>
  <c r="AO287" i="1"/>
  <c r="AE287" i="1"/>
  <c r="AN287" i="1"/>
  <c r="AC287" i="1"/>
  <c r="AM287" i="1"/>
  <c r="AB287" i="1"/>
  <c r="AP287" i="1"/>
  <c r="AD283" i="1"/>
  <c r="AL283" i="1"/>
  <c r="AA275" i="1"/>
  <c r="AI275" i="1"/>
  <c r="AQ275" i="1"/>
  <c r="AL275" i="1"/>
  <c r="AD275" i="1"/>
  <c r="AH275" i="1"/>
  <c r="AC275" i="1"/>
  <c r="AB255" i="1"/>
  <c r="AP255" i="1"/>
  <c r="AF255" i="1"/>
  <c r="AN255" i="1"/>
  <c r="AJ255" i="1"/>
  <c r="AD255" i="1"/>
  <c r="AL255" i="1"/>
  <c r="AE255" i="1"/>
  <c r="AM255" i="1"/>
  <c r="AO251" i="1"/>
  <c r="AF251" i="1"/>
  <c r="AN215" i="1"/>
  <c r="AK215" i="1"/>
  <c r="AE215" i="1"/>
  <c r="AF542" i="1"/>
  <c r="AJ542" i="1"/>
  <c r="AA542" i="1"/>
  <c r="AB534" i="1"/>
  <c r="AC534" i="1"/>
  <c r="AD534" i="1"/>
  <c r="AJ534" i="1"/>
  <c r="AM534" i="1"/>
  <c r="AK502" i="1"/>
  <c r="AC502" i="1"/>
  <c r="AD502" i="1"/>
  <c r="AG478" i="1"/>
  <c r="AN478" i="1"/>
  <c r="AQ470" i="1"/>
  <c r="AA470" i="1"/>
  <c r="AD470" i="1"/>
  <c r="AO470" i="1"/>
  <c r="AC466" i="1"/>
  <c r="AL466" i="1"/>
  <c r="AQ446" i="1"/>
  <c r="AM446" i="1"/>
  <c r="AD438" i="1"/>
  <c r="AI438" i="1"/>
  <c r="AN438" i="1"/>
  <c r="AB414" i="1"/>
  <c r="AI414" i="1"/>
  <c r="B53" i="12"/>
  <c r="A53" i="12"/>
  <c r="B40" i="12"/>
  <c r="A40" i="12"/>
  <c r="A26" i="12"/>
  <c r="AI455" i="1"/>
  <c r="AI368" i="1"/>
  <c r="AL6" i="1"/>
  <c r="AF41" i="1"/>
  <c r="AG55" i="1"/>
  <c r="AN41" i="1"/>
  <c r="AG51" i="1"/>
  <c r="AM528" i="1"/>
  <c r="AI336" i="1"/>
  <c r="AK55" i="1"/>
  <c r="AJ41" i="1"/>
  <c r="AH28" i="1"/>
  <c r="AP204" i="1"/>
  <c r="AO528" i="1"/>
  <c r="AN432" i="1"/>
  <c r="AA368" i="1"/>
  <c r="AG304" i="1"/>
  <c r="AA55" i="1"/>
  <c r="AA41" i="1"/>
  <c r="AM204" i="1"/>
  <c r="AO304" i="1"/>
  <c r="AK51" i="1"/>
  <c r="AI55" i="1"/>
  <c r="AG41" i="1"/>
  <c r="AA51" i="1"/>
  <c r="AB55" i="1"/>
  <c r="AE28" i="1"/>
  <c r="AF432" i="1"/>
  <c r="AI400" i="1"/>
  <c r="AL455" i="1"/>
  <c r="AH368" i="1"/>
  <c r="AJ55" i="1"/>
  <c r="AM28" i="1"/>
  <c r="AI6" i="1"/>
  <c r="AE204" i="1"/>
  <c r="AA5" i="1"/>
  <c r="AO14" i="1"/>
  <c r="AH17" i="1"/>
  <c r="AO46" i="1"/>
  <c r="AI522" i="1"/>
  <c r="AM482" i="1"/>
  <c r="AP450" i="1"/>
  <c r="AN482" i="1"/>
  <c r="AM505" i="1"/>
  <c r="AA482" i="1"/>
  <c r="AC450" i="1"/>
  <c r="AB514" i="1"/>
  <c r="AI450" i="1"/>
  <c r="AJ514" i="1"/>
  <c r="AK514" i="1"/>
  <c r="AH505" i="1"/>
  <c r="AH482" i="1"/>
  <c r="AJ102" i="1"/>
  <c r="AK522" i="1"/>
  <c r="AH108" i="1"/>
  <c r="AI51" i="1"/>
  <c r="AQ38" i="1"/>
  <c r="AC204" i="1"/>
  <c r="AB68" i="1"/>
  <c r="AE23" i="1"/>
  <c r="AQ13" i="1"/>
  <c r="AI9" i="1"/>
  <c r="AA9" i="1"/>
  <c r="AJ541" i="1"/>
  <c r="AN404" i="1"/>
  <c r="AA436" i="1"/>
  <c r="AB6" i="1"/>
  <c r="AI38" i="1"/>
  <c r="AD244" i="1"/>
  <c r="AB23" i="1"/>
  <c r="AJ38" i="1"/>
  <c r="AE12" i="1"/>
  <c r="AG436" i="1"/>
  <c r="AL340" i="1"/>
  <c r="AI340" i="1"/>
  <c r="AG244" i="1"/>
  <c r="AM244" i="1"/>
  <c r="AO208" i="1"/>
  <c r="AE38" i="1"/>
  <c r="AH23" i="1"/>
  <c r="AL500" i="1"/>
  <c r="AG308" i="1"/>
  <c r="AN276" i="1"/>
  <c r="AL244" i="1"/>
  <c r="AM208" i="1"/>
  <c r="AA59" i="1"/>
  <c r="AA6" i="1"/>
  <c r="AK532" i="1"/>
  <c r="AE500" i="1"/>
  <c r="AQ436" i="1"/>
  <c r="AF276" i="1"/>
  <c r="AG208" i="1"/>
  <c r="AI61" i="1"/>
  <c r="AF532" i="1"/>
  <c r="AA500" i="1"/>
  <c r="AJ23" i="1"/>
  <c r="AD6" i="1"/>
  <c r="AG59" i="1"/>
  <c r="AD500" i="1"/>
  <c r="AL436" i="1"/>
  <c r="AE436" i="1"/>
  <c r="AD340" i="1"/>
  <c r="AB308" i="1"/>
  <c r="AK38" i="1"/>
  <c r="AP23" i="1"/>
  <c r="AA38" i="1"/>
  <c r="AF500" i="1"/>
  <c r="AH276" i="1"/>
  <c r="AH20" i="1"/>
  <c r="AF61" i="1"/>
  <c r="AC38" i="1"/>
  <c r="AN532" i="1"/>
  <c r="AH500" i="1"/>
  <c r="AI500" i="1"/>
  <c r="AJ436" i="1"/>
  <c r="AH436" i="1"/>
  <c r="AM340" i="1"/>
  <c r="AQ308" i="1"/>
  <c r="AA276" i="1"/>
  <c r="AG276" i="1"/>
  <c r="AP244" i="1"/>
  <c r="AC244" i="1"/>
  <c r="AN244" i="1"/>
  <c r="AN61" i="1"/>
  <c r="AQ23" i="1"/>
  <c r="AK6" i="1"/>
  <c r="AA532" i="1"/>
  <c r="AJ500" i="1"/>
  <c r="AQ500" i="1"/>
  <c r="AE372" i="1"/>
  <c r="AB436" i="1"/>
  <c r="AP340" i="1"/>
  <c r="AI308" i="1"/>
  <c r="AP308" i="1"/>
  <c r="AL276" i="1"/>
  <c r="AO276" i="1"/>
  <c r="AH244" i="1"/>
  <c r="AK244" i="1"/>
  <c r="AH68" i="1"/>
  <c r="AF244" i="1"/>
  <c r="AB59" i="1"/>
  <c r="AA23" i="1"/>
  <c r="AC6" i="1"/>
  <c r="AO23" i="1"/>
  <c r="AP6" i="1"/>
  <c r="AP500" i="1"/>
  <c r="AG340" i="1"/>
  <c r="AQ372" i="1"/>
  <c r="AB340" i="1"/>
  <c r="AH308" i="1"/>
  <c r="AB276" i="1"/>
  <c r="AE6" i="1"/>
  <c r="AJ61" i="1"/>
  <c r="AL38" i="1"/>
  <c r="AJ59" i="1"/>
  <c r="AG23" i="1"/>
  <c r="AH6" i="1"/>
  <c r="AK340" i="1"/>
  <c r="AI532" i="1"/>
  <c r="AN500" i="1"/>
  <c r="AM372" i="1"/>
  <c r="AC436" i="1"/>
  <c r="AK436" i="1"/>
  <c r="AC276" i="1"/>
  <c r="AQ244" i="1"/>
  <c r="AL208" i="1"/>
  <c r="AI404" i="1"/>
  <c r="AB500" i="1"/>
  <c r="AF372" i="1"/>
  <c r="AG372" i="1"/>
  <c r="AJ340" i="1"/>
  <c r="AH340" i="1"/>
  <c r="AM276" i="1"/>
  <c r="AJ276" i="1"/>
  <c r="AA244" i="1"/>
  <c r="AB208" i="1"/>
  <c r="AH112" i="1"/>
  <c r="AC23" i="1"/>
  <c r="AA61" i="1"/>
  <c r="AD38" i="1"/>
  <c r="AM20" i="1"/>
  <c r="AQ6" i="1"/>
  <c r="AP38" i="1"/>
  <c r="AO38" i="1"/>
  <c r="AD20" i="1"/>
  <c r="AO6" i="1"/>
  <c r="AG6" i="1"/>
  <c r="AQ61" i="1"/>
  <c r="AN513" i="1"/>
  <c r="AI13" i="1"/>
  <c r="AH393" i="1"/>
  <c r="AA13" i="1"/>
  <c r="AN50" i="1"/>
  <c r="AB50" i="1"/>
  <c r="AB394" i="1"/>
  <c r="AQ50" i="1"/>
  <c r="AH57" i="1"/>
  <c r="AH46" i="1"/>
  <c r="AM19" i="1"/>
  <c r="AI487" i="1"/>
  <c r="AO364" i="1"/>
  <c r="AB487" i="1"/>
  <c r="AO455" i="1"/>
  <c r="AN295" i="1"/>
  <c r="AL487" i="1"/>
  <c r="AA295" i="1"/>
  <c r="AA455" i="1"/>
  <c r="AF327" i="1"/>
  <c r="AI295" i="1"/>
  <c r="AK57" i="1"/>
  <c r="AF59" i="1"/>
  <c r="AC487" i="1"/>
  <c r="AQ455" i="1"/>
  <c r="AE455" i="1"/>
  <c r="AC428" i="1"/>
  <c r="AJ327" i="1"/>
  <c r="AQ295" i="1"/>
  <c r="AD487" i="1"/>
  <c r="AO487" i="1"/>
  <c r="AO359" i="1"/>
  <c r="AN455" i="1"/>
  <c r="AA364" i="1"/>
  <c r="AF428" i="1"/>
  <c r="AE327" i="1"/>
  <c r="AG359" i="1"/>
  <c r="AK455" i="1"/>
  <c r="AM327" i="1"/>
  <c r="AE524" i="1"/>
  <c r="AJ455" i="1"/>
  <c r="AN200" i="1"/>
  <c r="AF32" i="1"/>
  <c r="AB455" i="1"/>
  <c r="AM455" i="1"/>
  <c r="AG327" i="1"/>
  <c r="AD295" i="1"/>
  <c r="AN487" i="1"/>
  <c r="AF487" i="1"/>
  <c r="AF455" i="1"/>
  <c r="AD455" i="1"/>
  <c r="AL295" i="1"/>
  <c r="AH263" i="1"/>
  <c r="AD51" i="1"/>
  <c r="AE50" i="1"/>
  <c r="AC519" i="1"/>
  <c r="AI492" i="1"/>
  <c r="AM487" i="1"/>
  <c r="AP519" i="1"/>
  <c r="AA487" i="1"/>
  <c r="AP487" i="1"/>
  <c r="AG455" i="1"/>
  <c r="AP455" i="1"/>
  <c r="AN263" i="1"/>
  <c r="AD263" i="1"/>
  <c r="AI263" i="1"/>
  <c r="AD199" i="1"/>
  <c r="AI10" i="1"/>
  <c r="AH487" i="1"/>
  <c r="AH455" i="1"/>
  <c r="AE263" i="1"/>
  <c r="AL199" i="1"/>
  <c r="AH50" i="1"/>
  <c r="AP50" i="1"/>
  <c r="AO20" i="1"/>
  <c r="AE59" i="1"/>
  <c r="AK32" i="1"/>
  <c r="AD61" i="1"/>
  <c r="AD393" i="1"/>
  <c r="AE61" i="1"/>
  <c r="AN38" i="1"/>
  <c r="AM38" i="1"/>
  <c r="AQ378" i="1"/>
  <c r="AH41" i="1"/>
  <c r="AM41" i="1"/>
  <c r="AO41" i="1"/>
  <c r="AD57" i="1"/>
  <c r="AG268" i="1"/>
  <c r="AP268" i="1"/>
  <c r="AH268" i="1"/>
  <c r="AE268" i="1"/>
  <c r="AN106" i="1"/>
  <c r="AD106" i="1"/>
  <c r="AO106" i="1"/>
  <c r="AK106" i="1"/>
  <c r="AG106" i="1"/>
  <c r="AC106" i="1"/>
  <c r="AJ106" i="1"/>
  <c r="AE106" i="1"/>
  <c r="AH49" i="1"/>
  <c r="AD49" i="1"/>
  <c r="AF49" i="1"/>
  <c r="AA49" i="1"/>
  <c r="AI49" i="1"/>
  <c r="AJ49" i="1"/>
  <c r="AP49" i="1"/>
  <c r="AQ49" i="1"/>
  <c r="AO49" i="1"/>
  <c r="AM49" i="1"/>
  <c r="AD364" i="1"/>
  <c r="AB268" i="1"/>
  <c r="AI30" i="1"/>
  <c r="AI460" i="1"/>
  <c r="AG428" i="1"/>
  <c r="AN332" i="1"/>
  <c r="AJ268" i="1"/>
  <c r="AP200" i="1"/>
  <c r="AH83" i="1"/>
  <c r="AM200" i="1"/>
  <c r="AA47" i="1"/>
  <c r="AN25" i="1"/>
  <c r="AA106" i="1"/>
  <c r="AC10" i="1"/>
  <c r="AJ30" i="1"/>
  <c r="AG49" i="1"/>
  <c r="AA30" i="1"/>
  <c r="AG83" i="1"/>
  <c r="AI179" i="1"/>
  <c r="AA179" i="1"/>
  <c r="AL179" i="1"/>
  <c r="AP211" i="1"/>
  <c r="AH211" i="1"/>
  <c r="AI211" i="1"/>
  <c r="AQ243" i="1"/>
  <c r="AL243" i="1"/>
  <c r="AC243" i="1"/>
  <c r="AK243" i="1"/>
  <c r="AN275" i="1"/>
  <c r="AK275" i="1"/>
  <c r="AE275" i="1"/>
  <c r="AO275" i="1"/>
  <c r="AN307" i="1"/>
  <c r="AI307" i="1"/>
  <c r="AA307" i="1"/>
  <c r="AE307" i="1"/>
  <c r="AL307" i="1"/>
  <c r="AP307" i="1"/>
  <c r="AE339" i="1"/>
  <c r="AP339" i="1"/>
  <c r="AO339" i="1"/>
  <c r="AD435" i="1"/>
  <c r="AE435" i="1"/>
  <c r="AJ435" i="1"/>
  <c r="AF435" i="1"/>
  <c r="AH467" i="1"/>
  <c r="AD467" i="1"/>
  <c r="AP467" i="1"/>
  <c r="AQ499" i="1"/>
  <c r="AF499" i="1"/>
  <c r="AJ236" i="1"/>
  <c r="AK236" i="1"/>
  <c r="AC236" i="1"/>
  <c r="AE236" i="1"/>
  <c r="AE364" i="1"/>
  <c r="AH364" i="1"/>
  <c r="AH524" i="1"/>
  <c r="AG524" i="1"/>
  <c r="AJ524" i="1"/>
  <c r="AD19" i="1"/>
  <c r="AA19" i="1"/>
  <c r="AE19" i="1"/>
  <c r="AI19" i="1"/>
  <c r="AF524" i="1"/>
  <c r="AE25" i="1"/>
  <c r="AA10" i="1"/>
  <c r="AA524" i="1"/>
  <c r="AA460" i="1"/>
  <c r="AG364" i="1"/>
  <c r="AI428" i="1"/>
  <c r="AC268" i="1"/>
  <c r="AF236" i="1"/>
  <c r="AC200" i="1"/>
  <c r="AG200" i="1"/>
  <c r="AI106" i="1"/>
  <c r="AG47" i="1"/>
  <c r="AK332" i="1"/>
  <c r="AQ332" i="1"/>
  <c r="AC332" i="1"/>
  <c r="AO100" i="1"/>
  <c r="AH100" i="1"/>
  <c r="AN30" i="1"/>
  <c r="AQ30" i="1"/>
  <c r="AD30" i="1"/>
  <c r="AL30" i="1"/>
  <c r="AG30" i="1"/>
  <c r="AC30" i="1"/>
  <c r="AH30" i="1"/>
  <c r="AB30" i="1"/>
  <c r="AK30" i="1"/>
  <c r="AM30" i="1"/>
  <c r="AE30" i="1"/>
  <c r="AO30" i="1"/>
  <c r="AF30" i="1"/>
  <c r="AI524" i="1"/>
  <c r="AP460" i="1"/>
  <c r="AI396" i="1"/>
  <c r="AA428" i="1"/>
  <c r="AQ364" i="1"/>
  <c r="AK364" i="1"/>
  <c r="AJ332" i="1"/>
  <c r="AQ268" i="1"/>
  <c r="AN236" i="1"/>
  <c r="AQ200" i="1"/>
  <c r="AO200" i="1"/>
  <c r="AQ106" i="1"/>
  <c r="AN49" i="1"/>
  <c r="AQ19" i="1"/>
  <c r="AO10" i="1"/>
  <c r="AE49" i="1"/>
  <c r="AI300" i="1"/>
  <c r="AF300" i="1"/>
  <c r="AA300" i="1"/>
  <c r="AH300" i="1"/>
  <c r="AO300" i="1"/>
  <c r="AH428" i="1"/>
  <c r="AN428" i="1"/>
  <c r="AK428" i="1"/>
  <c r="AN60" i="1"/>
  <c r="AH60" i="1"/>
  <c r="AJ300" i="1"/>
  <c r="AQ524" i="1"/>
  <c r="AF396" i="1"/>
  <c r="AM364" i="1"/>
  <c r="AJ428" i="1"/>
  <c r="AE332" i="1"/>
  <c r="AM300" i="1"/>
  <c r="AA236" i="1"/>
  <c r="AI268" i="1"/>
  <c r="AC19" i="1"/>
  <c r="AB106" i="1"/>
  <c r="AI47" i="1"/>
  <c r="AA25" i="1"/>
  <c r="AK49" i="1"/>
  <c r="AA83" i="1"/>
  <c r="AQ83" i="1"/>
  <c r="AE428" i="1"/>
  <c r="AJ492" i="1"/>
  <c r="AI489" i="1"/>
  <c r="AN396" i="1"/>
  <c r="AF364" i="1"/>
  <c r="AD428" i="1"/>
  <c r="AM332" i="1"/>
  <c r="AG300" i="1"/>
  <c r="AD268" i="1"/>
  <c r="AJ19" i="1"/>
  <c r="AL106" i="1"/>
  <c r="AB47" i="1"/>
  <c r="AP19" i="1"/>
  <c r="AE200" i="1"/>
  <c r="AJ200" i="1"/>
  <c r="AB200" i="1"/>
  <c r="AH200" i="1"/>
  <c r="AF200" i="1"/>
  <c r="AO25" i="1"/>
  <c r="AI25" i="1"/>
  <c r="AD25" i="1"/>
  <c r="AM25" i="1"/>
  <c r="AQ25" i="1"/>
  <c r="AB25" i="1"/>
  <c r="AL25" i="1"/>
  <c r="AG25" i="1"/>
  <c r="AH25" i="1"/>
  <c r="AJ25" i="1"/>
  <c r="AC25" i="1"/>
  <c r="AK25" i="1"/>
  <c r="AF25" i="1"/>
  <c r="AN10" i="1"/>
  <c r="AB10" i="1"/>
  <c r="AH10" i="1"/>
  <c r="AJ10" i="1"/>
  <c r="AE10" i="1"/>
  <c r="AP10" i="1"/>
  <c r="AD10" i="1"/>
  <c r="AL10" i="1"/>
  <c r="AF10" i="1"/>
  <c r="AQ492" i="1"/>
  <c r="AI236" i="1"/>
  <c r="AP83" i="1"/>
  <c r="AA200" i="1"/>
  <c r="AL200" i="1"/>
  <c r="AK47" i="1"/>
  <c r="AK10" i="1"/>
  <c r="AO19" i="1"/>
  <c r="AO524" i="1"/>
  <c r="AP489" i="1"/>
  <c r="AC364" i="1"/>
  <c r="AN364" i="1"/>
  <c r="AL428" i="1"/>
  <c r="AJ364" i="1"/>
  <c r="AQ300" i="1"/>
  <c r="AH236" i="1"/>
  <c r="AN268" i="1"/>
  <c r="AB19" i="1"/>
  <c r="AJ47" i="1"/>
  <c r="AH19" i="1"/>
  <c r="AQ10" i="1"/>
  <c r="AC41" i="1"/>
  <c r="AL57" i="1"/>
  <c r="AK61" i="1"/>
  <c r="AQ59" i="1"/>
  <c r="AQ41" i="1"/>
  <c r="AB61" i="1"/>
  <c r="AP61" i="1"/>
  <c r="AD28" i="1"/>
  <c r="AL59" i="1"/>
  <c r="AE41" i="1"/>
  <c r="AL61" i="1"/>
  <c r="AM59" i="1"/>
  <c r="AH55" i="1"/>
  <c r="AC57" i="1"/>
  <c r="AM61" i="1"/>
  <c r="AN34" i="1"/>
  <c r="AC51" i="1"/>
  <c r="AC59" i="1"/>
  <c r="AJ20" i="1"/>
  <c r="AN6" i="1"/>
  <c r="AQ32" i="1"/>
  <c r="AO57" i="1"/>
  <c r="AO51" i="1"/>
  <c r="AP59" i="1"/>
  <c r="AL28" i="1"/>
  <c r="AM10" i="1"/>
  <c r="AF19" i="1"/>
  <c r="AL19" i="1"/>
  <c r="AN19" i="1"/>
  <c r="AC481" i="1"/>
  <c r="AK19" i="1"/>
  <c r="AK513" i="1"/>
  <c r="AI493" i="1"/>
  <c r="AA20" i="1"/>
  <c r="AN112" i="1"/>
  <c r="AC162" i="1"/>
  <c r="AM462" i="1"/>
  <c r="AO461" i="1"/>
  <c r="AK525" i="1"/>
  <c r="AJ32" i="1"/>
  <c r="AG112" i="1"/>
  <c r="AP337" i="1"/>
  <c r="AN473" i="1"/>
  <c r="AF112" i="1"/>
  <c r="AO465" i="1"/>
  <c r="AA453" i="1"/>
  <c r="AH501" i="1"/>
  <c r="AP497" i="1"/>
  <c r="AP46" i="1"/>
  <c r="AO44" i="1"/>
  <c r="AF47" i="1"/>
  <c r="AA237" i="1"/>
  <c r="AC46" i="1"/>
  <c r="AC83" i="1"/>
  <c r="AQ46" i="1"/>
  <c r="AM83" i="1"/>
  <c r="AI338" i="1"/>
  <c r="AB20" i="1"/>
  <c r="AO32" i="1"/>
  <c r="AB112" i="1"/>
  <c r="AM6" i="1"/>
  <c r="AB473" i="1"/>
  <c r="AP537" i="1"/>
  <c r="AB505" i="1"/>
  <c r="AO457" i="1"/>
  <c r="AK473" i="1"/>
  <c r="AC210" i="1"/>
  <c r="AL20" i="1"/>
  <c r="AK112" i="1"/>
  <c r="AM537" i="1"/>
  <c r="AG537" i="1"/>
  <c r="AQ365" i="1"/>
  <c r="AE346" i="1"/>
  <c r="AH305" i="1"/>
  <c r="AA473" i="1"/>
  <c r="AK274" i="1"/>
  <c r="AH59" i="1"/>
  <c r="AQ20" i="1"/>
  <c r="AA32" i="1"/>
  <c r="AE112" i="1"/>
  <c r="AQ55" i="1"/>
  <c r="AG28" i="1"/>
  <c r="AQ112" i="1"/>
  <c r="AC341" i="1"/>
  <c r="AL424" i="1"/>
  <c r="AO495" i="1"/>
  <c r="AK488" i="1"/>
  <c r="AF228" i="1"/>
  <c r="AE174" i="1"/>
  <c r="AG39" i="1"/>
  <c r="AP456" i="1"/>
  <c r="AQ360" i="1"/>
  <c r="AN22" i="1"/>
  <c r="AK495" i="1"/>
  <c r="AN501" i="1"/>
  <c r="AO338" i="1"/>
  <c r="AG218" i="1"/>
  <c r="AO242" i="1"/>
  <c r="AF134" i="1"/>
  <c r="AC55" i="1"/>
  <c r="AA488" i="1"/>
  <c r="AC229" i="1"/>
  <c r="AQ196" i="1"/>
  <c r="AM271" i="1"/>
  <c r="AA242" i="1"/>
  <c r="AE495" i="1"/>
  <c r="AM370" i="1"/>
  <c r="AQ341" i="1"/>
  <c r="AJ242" i="1"/>
  <c r="AA39" i="1"/>
  <c r="AQ134" i="1"/>
  <c r="AH530" i="1"/>
  <c r="AM264" i="1"/>
  <c r="AD306" i="1"/>
  <c r="AP242" i="1"/>
  <c r="AG264" i="1"/>
  <c r="AE33" i="1"/>
  <c r="AA125" i="1"/>
  <c r="AM463" i="1"/>
  <c r="AL328" i="1"/>
  <c r="AH456" i="1"/>
  <c r="AB207" i="1"/>
  <c r="AD130" i="1"/>
  <c r="AD193" i="1"/>
  <c r="AM542" i="1"/>
  <c r="AF501" i="1"/>
  <c r="AH414" i="1"/>
  <c r="AP329" i="1"/>
  <c r="AI296" i="1"/>
  <c r="AJ22" i="1"/>
  <c r="AL520" i="1"/>
  <c r="AO501" i="1"/>
  <c r="AI405" i="1"/>
  <c r="AN335" i="1"/>
  <c r="AI306" i="1"/>
  <c r="AO22" i="1"/>
  <c r="AI112" i="1"/>
  <c r="AC527" i="1"/>
  <c r="AG520" i="1"/>
  <c r="AF466" i="1"/>
  <c r="AA210" i="1"/>
  <c r="AB430" i="1"/>
  <c r="AF424" i="1"/>
  <c r="AI392" i="1"/>
  <c r="AA463" i="1"/>
  <c r="AO335" i="1"/>
  <c r="AJ328" i="1"/>
  <c r="AE360" i="1"/>
  <c r="AB296" i="1"/>
  <c r="AA271" i="1"/>
  <c r="AG232" i="1"/>
  <c r="AD207" i="1"/>
  <c r="AO228" i="1"/>
  <c r="AN33" i="1"/>
  <c r="AB22" i="1"/>
  <c r="AK33" i="1"/>
  <c r="AH196" i="1"/>
  <c r="AJ33" i="1"/>
  <c r="AG22" i="1"/>
  <c r="AP33" i="1"/>
  <c r="AP22" i="1"/>
  <c r="AP527" i="1"/>
  <c r="AF488" i="1"/>
  <c r="AF392" i="1"/>
  <c r="AQ463" i="1"/>
  <c r="AL207" i="1"/>
  <c r="AH228" i="1"/>
  <c r="AL39" i="1"/>
  <c r="AK39" i="1"/>
  <c r="AF33" i="1"/>
  <c r="AA196" i="1"/>
  <c r="AI196" i="1"/>
  <c r="AB33" i="1"/>
  <c r="AF22" i="1"/>
  <c r="AP495" i="1"/>
  <c r="AO488" i="1"/>
  <c r="AA520" i="1"/>
  <c r="AN328" i="1"/>
  <c r="AK22" i="1"/>
  <c r="AN520" i="1"/>
  <c r="AQ495" i="1"/>
  <c r="AK328" i="1"/>
  <c r="AF360" i="1"/>
  <c r="AJ296" i="1"/>
  <c r="AD495" i="1"/>
  <c r="AJ495" i="1"/>
  <c r="AO494" i="1"/>
  <c r="AH360" i="1"/>
  <c r="AA328" i="1"/>
  <c r="AE328" i="1"/>
  <c r="AB360" i="1"/>
  <c r="AN264" i="1"/>
  <c r="AJ228" i="1"/>
  <c r="AG228" i="1"/>
  <c r="AI207" i="1"/>
  <c r="AK196" i="1"/>
  <c r="AM22" i="1"/>
  <c r="AD39" i="1"/>
  <c r="AD75" i="1"/>
  <c r="AA495" i="1"/>
  <c r="AN424" i="1"/>
  <c r="AD271" i="1"/>
  <c r="AI520" i="1"/>
  <c r="AQ488" i="1"/>
  <c r="AN392" i="1"/>
  <c r="AD463" i="1"/>
  <c r="AI360" i="1"/>
  <c r="AN360" i="1"/>
  <c r="AF296" i="1"/>
  <c r="AH52" i="1"/>
  <c r="AQ228" i="1"/>
  <c r="AC39" i="1"/>
  <c r="AM196" i="1"/>
  <c r="AB52" i="1"/>
  <c r="AH22" i="1"/>
  <c r="AC522" i="1"/>
  <c r="AI456" i="1"/>
  <c r="AI490" i="1"/>
  <c r="AB495" i="1"/>
  <c r="AG488" i="1"/>
  <c r="AH367" i="1"/>
  <c r="AF346" i="1"/>
  <c r="AN463" i="1"/>
  <c r="AP335" i="1"/>
  <c r="AC360" i="1"/>
  <c r="AK346" i="1"/>
  <c r="AN303" i="1"/>
  <c r="AI237" i="1"/>
  <c r="AP75" i="1"/>
  <c r="AE228" i="1"/>
  <c r="AK228" i="1"/>
  <c r="AB196" i="1"/>
  <c r="AO196" i="1"/>
  <c r="AQ33" i="1"/>
  <c r="AF495" i="1"/>
  <c r="AL495" i="1"/>
  <c r="AM513" i="1"/>
  <c r="AE488" i="1"/>
  <c r="AG367" i="1"/>
  <c r="AA329" i="1"/>
  <c r="AP341" i="1"/>
  <c r="AJ346" i="1"/>
  <c r="AB463" i="1"/>
  <c r="AA335" i="1"/>
  <c r="AO360" i="1"/>
  <c r="AI303" i="1"/>
  <c r="AO334" i="1"/>
  <c r="AM296" i="1"/>
  <c r="AH75" i="1"/>
  <c r="AL228" i="1"/>
  <c r="AL33" i="1"/>
  <c r="AC196" i="1"/>
  <c r="AL165" i="1"/>
  <c r="AE39" i="1"/>
  <c r="AI33" i="1"/>
  <c r="AJ39" i="1"/>
  <c r="AN75" i="1"/>
  <c r="AJ60" i="1"/>
  <c r="AP20" i="1"/>
  <c r="AM112" i="1"/>
  <c r="AJ112" i="1"/>
  <c r="AC463" i="1"/>
  <c r="AD335" i="1"/>
  <c r="AP360" i="1"/>
  <c r="AQ303" i="1"/>
  <c r="AG296" i="1"/>
  <c r="AI232" i="1"/>
  <c r="AI239" i="1"/>
  <c r="AD228" i="1"/>
  <c r="AL22" i="1"/>
  <c r="AH33" i="1"/>
  <c r="AQ39" i="1"/>
  <c r="AD33" i="1"/>
  <c r="AQ22" i="1"/>
  <c r="AN196" i="1"/>
  <c r="AA33" i="1"/>
  <c r="AL11" i="1"/>
  <c r="AC112" i="1"/>
  <c r="AP112" i="1"/>
  <c r="AK232" i="1"/>
  <c r="AE239" i="1"/>
  <c r="AH76" i="1"/>
  <c r="AL142" i="1"/>
  <c r="AD22" i="1"/>
  <c r="AI39" i="1"/>
  <c r="AH39" i="1"/>
  <c r="AP39" i="1"/>
  <c r="AN11" i="1"/>
  <c r="AK149" i="1"/>
  <c r="AP149" i="1"/>
  <c r="AA194" i="1"/>
  <c r="AI194" i="1"/>
  <c r="AO421" i="1"/>
  <c r="AE421" i="1"/>
  <c r="AA485" i="1"/>
  <c r="AC485" i="1"/>
  <c r="AE21" i="1"/>
  <c r="AJ21" i="1"/>
  <c r="AN21" i="1"/>
  <c r="AA21" i="1"/>
  <c r="AM21" i="1"/>
  <c r="AQ21" i="1"/>
  <c r="AB21" i="1"/>
  <c r="AC21" i="1"/>
  <c r="AD21" i="1"/>
  <c r="AK21" i="1"/>
  <c r="AH21" i="1"/>
  <c r="AL21" i="1"/>
  <c r="AG21" i="1"/>
  <c r="AO43" i="1"/>
  <c r="AP43" i="1"/>
  <c r="AG43" i="1"/>
  <c r="AA43" i="1"/>
  <c r="AL43" i="1"/>
  <c r="AJ43" i="1"/>
  <c r="AK43" i="1"/>
  <c r="AE43" i="1"/>
  <c r="AB43" i="1"/>
  <c r="AI43" i="1"/>
  <c r="AN43" i="1"/>
  <c r="AM43" i="1"/>
  <c r="AQ79" i="1"/>
  <c r="AN79" i="1"/>
  <c r="AH79" i="1"/>
  <c r="AD79" i="1"/>
  <c r="AP79" i="1"/>
  <c r="AG79" i="1"/>
  <c r="AB79" i="1"/>
  <c r="AQ56" i="1"/>
  <c r="AH56" i="1"/>
  <c r="AK45" i="1"/>
  <c r="AP45" i="1"/>
  <c r="AH45" i="1"/>
  <c r="AI45" i="1"/>
  <c r="AD45" i="1"/>
  <c r="AE45" i="1"/>
  <c r="AQ45" i="1"/>
  <c r="AC45" i="1"/>
  <c r="AG45" i="1"/>
  <c r="AO45" i="1"/>
  <c r="AA45" i="1"/>
  <c r="AB45" i="1"/>
  <c r="AJ45" i="1"/>
  <c r="AM45" i="1"/>
  <c r="AN45" i="1"/>
  <c r="AM26" i="1"/>
  <c r="AK26" i="1"/>
  <c r="AL26" i="1"/>
  <c r="AF26" i="1"/>
  <c r="AH26" i="1"/>
  <c r="AE26" i="1"/>
  <c r="AN26" i="1"/>
  <c r="AG26" i="1"/>
  <c r="AP26" i="1"/>
  <c r="AO26" i="1"/>
  <c r="AA26" i="1"/>
  <c r="AB26" i="1"/>
  <c r="AI26" i="1"/>
  <c r="AJ26" i="1"/>
  <c r="AQ26" i="1"/>
  <c r="AI410" i="1"/>
  <c r="AJ410" i="1"/>
  <c r="AK474" i="1"/>
  <c r="AP474" i="1"/>
  <c r="AN506" i="1"/>
  <c r="AO506" i="1"/>
  <c r="AG506" i="1"/>
  <c r="AO188" i="1"/>
  <c r="AL188" i="1"/>
  <c r="AG188" i="1"/>
  <c r="AJ188" i="1"/>
  <c r="AD220" i="1"/>
  <c r="AM220" i="1"/>
  <c r="AO220" i="1"/>
  <c r="AK220" i="1"/>
  <c r="AC220" i="1"/>
  <c r="AI220" i="1"/>
  <c r="AC256" i="1"/>
  <c r="AD256" i="1"/>
  <c r="AJ256" i="1"/>
  <c r="AM256" i="1"/>
  <c r="AB256" i="1"/>
  <c r="AA256" i="1"/>
  <c r="AH256" i="1"/>
  <c r="AO256" i="1"/>
  <c r="AQ256" i="1"/>
  <c r="AL256" i="1"/>
  <c r="AG256" i="1"/>
  <c r="AE256" i="1"/>
  <c r="AF256" i="1"/>
  <c r="AJ288" i="1"/>
  <c r="AL288" i="1"/>
  <c r="AB288" i="1"/>
  <c r="AG288" i="1"/>
  <c r="AK288" i="1"/>
  <c r="AQ320" i="1"/>
  <c r="AO320" i="1"/>
  <c r="AH320" i="1"/>
  <c r="AA320" i="1"/>
  <c r="AE352" i="1"/>
  <c r="AJ352" i="1"/>
  <c r="AC352" i="1"/>
  <c r="AO352" i="1"/>
  <c r="AF384" i="1"/>
  <c r="AI384" i="1"/>
  <c r="AN416" i="1"/>
  <c r="AF416" i="1"/>
  <c r="AI416" i="1"/>
  <c r="AM448" i="1"/>
  <c r="AB448" i="1"/>
  <c r="AJ448" i="1"/>
  <c r="AH448" i="1"/>
  <c r="AG448" i="1"/>
  <c r="AF448" i="1"/>
  <c r="AK448" i="1"/>
  <c r="AL480" i="1"/>
  <c r="AB480" i="1"/>
  <c r="AM480" i="1"/>
  <c r="AI480" i="1"/>
  <c r="AN512" i="1"/>
  <c r="AF512" i="1"/>
  <c r="AO512" i="1"/>
  <c r="AQ544" i="1"/>
  <c r="AI544" i="1"/>
  <c r="AE544" i="1"/>
  <c r="AA544" i="1"/>
  <c r="AF453" i="1"/>
  <c r="AJ7" i="1"/>
  <c r="AK11" i="1"/>
  <c r="AO83" i="1"/>
  <c r="AD83" i="1"/>
  <c r="AB60" i="1"/>
  <c r="AA346" i="1"/>
  <c r="AH273" i="1"/>
  <c r="AC7" i="1"/>
  <c r="AB7" i="1"/>
  <c r="AJ165" i="1"/>
  <c r="AO7" i="1"/>
  <c r="AM7" i="1"/>
  <c r="AE482" i="1"/>
  <c r="AI393" i="1"/>
  <c r="AJ373" i="1"/>
  <c r="AQ346" i="1"/>
  <c r="AB146" i="1"/>
  <c r="AQ7" i="1"/>
  <c r="AG7" i="1"/>
  <c r="AO102" i="1"/>
  <c r="AM11" i="1"/>
  <c r="AE7" i="1"/>
  <c r="AF50" i="1"/>
  <c r="AN7" i="1"/>
  <c r="AD41" i="1"/>
  <c r="AL49" i="1"/>
  <c r="AM57" i="1"/>
  <c r="AP57" i="1"/>
  <c r="AF34" i="1"/>
  <c r="AQ51" i="1"/>
  <c r="AE83" i="1"/>
  <c r="AN83" i="1"/>
  <c r="AA28" i="1"/>
  <c r="AL60" i="1"/>
  <c r="AD15" i="1"/>
  <c r="AI7" i="1"/>
  <c r="AD7" i="1"/>
  <c r="AE55" i="1"/>
  <c r="AF83" i="1"/>
  <c r="AJ83" i="1"/>
  <c r="AJ64" i="1"/>
  <c r="AP108" i="1"/>
  <c r="AF15" i="1"/>
  <c r="AA7" i="1"/>
  <c r="AP7" i="1"/>
  <c r="AG165" i="1"/>
  <c r="AK50" i="1"/>
  <c r="AK41" i="1"/>
  <c r="AP41" i="1"/>
  <c r="AB49" i="1"/>
  <c r="AQ57" i="1"/>
  <c r="AK7" i="1"/>
  <c r="AL55" i="1"/>
  <c r="AI83" i="1"/>
  <c r="AL64" i="1"/>
  <c r="AL15" i="1"/>
  <c r="AH7" i="1"/>
  <c r="AD11" i="1"/>
  <c r="AL51" i="1"/>
  <c r="AM55" i="1"/>
  <c r="AK83" i="1"/>
  <c r="AN64" i="1"/>
  <c r="AN15" i="1"/>
  <c r="AM100" i="1"/>
  <c r="AB41" i="1"/>
  <c r="AC49" i="1"/>
  <c r="AE57" i="1"/>
  <c r="AF64" i="1"/>
  <c r="AM51" i="1"/>
  <c r="AN55" i="1"/>
  <c r="AL83" i="1"/>
  <c r="AC219" i="1"/>
  <c r="AF219" i="1"/>
  <c r="AB475" i="1"/>
  <c r="AO475" i="1"/>
  <c r="AQ475" i="1"/>
  <c r="AK248" i="1"/>
  <c r="AL248" i="1"/>
  <c r="AC248" i="1"/>
  <c r="AE248" i="1"/>
  <c r="AM536" i="1"/>
  <c r="AM344" i="1"/>
  <c r="AN248" i="1"/>
  <c r="AG315" i="1"/>
  <c r="AH187" i="1"/>
  <c r="AQ180" i="1"/>
  <c r="AN504" i="1"/>
  <c r="AE536" i="1"/>
  <c r="AD536" i="1"/>
  <c r="AH507" i="1"/>
  <c r="AM493" i="1"/>
  <c r="AK475" i="1"/>
  <c r="AB443" i="1"/>
  <c r="AQ312" i="1"/>
  <c r="AG283" i="1"/>
  <c r="AD280" i="1"/>
  <c r="AI251" i="1"/>
  <c r="AM212" i="1"/>
  <c r="AB245" i="1"/>
  <c r="AL245" i="1"/>
  <c r="AO315" i="1"/>
  <c r="AN315" i="1"/>
  <c r="AP315" i="1"/>
  <c r="AN180" i="1"/>
  <c r="AJ180" i="1"/>
  <c r="AO180" i="1"/>
  <c r="AK180" i="1"/>
  <c r="AN376" i="1"/>
  <c r="AM376" i="1"/>
  <c r="AE376" i="1"/>
  <c r="AF475" i="1"/>
  <c r="AH344" i="1"/>
  <c r="AM280" i="1"/>
  <c r="AE212" i="1"/>
  <c r="AC539" i="1"/>
  <c r="AA504" i="1"/>
  <c r="AG536" i="1"/>
  <c r="AO536" i="1"/>
  <c r="AE507" i="1"/>
  <c r="AA475" i="1"/>
  <c r="AJ440" i="1"/>
  <c r="AH347" i="1"/>
  <c r="AQ344" i="1"/>
  <c r="AB312" i="1"/>
  <c r="AI312" i="1"/>
  <c r="AG344" i="1"/>
  <c r="AI315" i="1"/>
  <c r="AH248" i="1"/>
  <c r="AO212" i="1"/>
  <c r="AI180" i="1"/>
  <c r="AB382" i="1"/>
  <c r="AJ382" i="1"/>
  <c r="AF443" i="1"/>
  <c r="AM443" i="1"/>
  <c r="AH280" i="1"/>
  <c r="AB280" i="1"/>
  <c r="AO280" i="1"/>
  <c r="AI504" i="1"/>
  <c r="AN507" i="1"/>
  <c r="AI379" i="1"/>
  <c r="AH443" i="1"/>
  <c r="AK344" i="1"/>
  <c r="AP539" i="1"/>
  <c r="AL525" i="1"/>
  <c r="AQ504" i="1"/>
  <c r="AP536" i="1"/>
  <c r="AD507" i="1"/>
  <c r="AF507" i="1"/>
  <c r="AG475" i="1"/>
  <c r="AI440" i="1"/>
  <c r="AH379" i="1"/>
  <c r="AI443" i="1"/>
  <c r="AA443" i="1"/>
  <c r="AP312" i="1"/>
  <c r="AA283" i="1"/>
  <c r="AP280" i="1"/>
  <c r="AJ315" i="1"/>
  <c r="AC212" i="1"/>
  <c r="AQ433" i="1"/>
  <c r="AD433" i="1"/>
  <c r="AI529" i="1"/>
  <c r="AB529" i="1"/>
  <c r="AC344" i="1"/>
  <c r="AO344" i="1"/>
  <c r="AJ344" i="1"/>
  <c r="AI344" i="1"/>
  <c r="AB344" i="1"/>
  <c r="AH408" i="1"/>
  <c r="AI408" i="1"/>
  <c r="AA536" i="1"/>
  <c r="AB536" i="1"/>
  <c r="AN536" i="1"/>
  <c r="AJ536" i="1"/>
  <c r="AM504" i="1"/>
  <c r="AK536" i="1"/>
  <c r="AM475" i="1"/>
  <c r="AA440" i="1"/>
  <c r="AN408" i="1"/>
  <c r="AO312" i="1"/>
  <c r="AL251" i="1"/>
  <c r="AB315" i="1"/>
  <c r="AB180" i="1"/>
  <c r="AE180" i="1"/>
  <c r="AG525" i="1"/>
  <c r="AH536" i="1"/>
  <c r="AQ536" i="1"/>
  <c r="AI507" i="1"/>
  <c r="AN440" i="1"/>
  <c r="AP475" i="1"/>
  <c r="AP379" i="1"/>
  <c r="AK376" i="1"/>
  <c r="AJ443" i="1"/>
  <c r="AL344" i="1"/>
  <c r="AH312" i="1"/>
  <c r="AP283" i="1"/>
  <c r="AI283" i="1"/>
  <c r="AI280" i="1"/>
  <c r="AB248" i="1"/>
  <c r="AK315" i="1"/>
  <c r="AP123" i="1"/>
  <c r="AA180" i="1"/>
  <c r="AH265" i="1"/>
  <c r="AM265" i="1"/>
  <c r="AM297" i="1"/>
  <c r="AE297" i="1"/>
  <c r="AI329" i="1"/>
  <c r="AQ329" i="1"/>
  <c r="AC329" i="1"/>
  <c r="AC365" i="1"/>
  <c r="AK365" i="1"/>
  <c r="AD74" i="1"/>
  <c r="AK74" i="1"/>
  <c r="AD134" i="1"/>
  <c r="AA134" i="1"/>
  <c r="AG174" i="1"/>
  <c r="AJ174" i="1"/>
  <c r="AN306" i="1"/>
  <c r="AH306" i="1"/>
  <c r="AE306" i="1"/>
  <c r="AF338" i="1"/>
  <c r="AG338" i="1"/>
  <c r="AA338" i="1"/>
  <c r="AJ370" i="1"/>
  <c r="AQ370" i="1"/>
  <c r="AI370" i="1"/>
  <c r="AO370" i="1"/>
  <c r="AQ469" i="1"/>
  <c r="AH469" i="1"/>
  <c r="AJ469" i="1"/>
  <c r="AC533" i="1"/>
  <c r="AJ533" i="1"/>
  <c r="AQ490" i="1"/>
  <c r="AA490" i="1"/>
  <c r="AI187" i="1"/>
  <c r="AM187" i="1"/>
  <c r="AG187" i="1"/>
  <c r="AC507" i="1"/>
  <c r="AP507" i="1"/>
  <c r="AO507" i="1"/>
  <c r="AM507" i="1"/>
  <c r="AF536" i="1"/>
  <c r="AN443" i="1"/>
  <c r="AL443" i="1"/>
  <c r="AG443" i="1"/>
  <c r="AA312" i="1"/>
  <c r="AE280" i="1"/>
  <c r="AE35" i="1"/>
  <c r="AK493" i="1"/>
  <c r="AA493" i="1"/>
  <c r="AO525" i="1"/>
  <c r="AL504" i="1"/>
  <c r="AL536" i="1"/>
  <c r="AG507" i="1"/>
  <c r="AE440" i="1"/>
  <c r="AH475" i="1"/>
  <c r="AG347" i="1"/>
  <c r="AA376" i="1"/>
  <c r="AJ376" i="1"/>
  <c r="AH376" i="1"/>
  <c r="AC443" i="1"/>
  <c r="AE344" i="1"/>
  <c r="AJ280" i="1"/>
  <c r="AD315" i="1"/>
  <c r="AH128" i="1"/>
  <c r="AB212" i="1"/>
  <c r="AH123" i="1"/>
  <c r="AP180" i="1"/>
  <c r="AA85" i="1"/>
  <c r="AP85" i="1"/>
  <c r="AC377" i="1"/>
  <c r="AO377" i="1"/>
  <c r="AD409" i="1"/>
  <c r="AL409" i="1"/>
  <c r="AC441" i="1"/>
  <c r="AN441" i="1"/>
  <c r="AM441" i="1"/>
  <c r="AM494" i="1"/>
  <c r="AF494" i="1"/>
  <c r="AE526" i="1"/>
  <c r="AM526" i="1"/>
  <c r="AH526" i="1"/>
  <c r="AE75" i="1"/>
  <c r="AO75" i="1"/>
  <c r="AN346" i="1"/>
  <c r="AL346" i="1"/>
  <c r="AA75" i="1"/>
  <c r="AF75" i="1"/>
  <c r="AC76" i="1"/>
  <c r="AI75" i="1"/>
  <c r="AG75" i="1"/>
  <c r="AF39" i="1"/>
  <c r="AK75" i="1"/>
  <c r="AJ75" i="1"/>
  <c r="AO39" i="1"/>
  <c r="AC75" i="1"/>
  <c r="AM258" i="1"/>
  <c r="AA258" i="1"/>
  <c r="AK453" i="1"/>
  <c r="AB421" i="1"/>
  <c r="AI478" i="1"/>
  <c r="AM478" i="1"/>
  <c r="AB478" i="1"/>
  <c r="AB272" i="1"/>
  <c r="AO272" i="1"/>
  <c r="AI528" i="1"/>
  <c r="AC528" i="1"/>
  <c r="AI474" i="1"/>
  <c r="AD204" i="1"/>
  <c r="AN461" i="1"/>
  <c r="AG461" i="1"/>
  <c r="AI386" i="1"/>
  <c r="AB386" i="1"/>
  <c r="AE450" i="1"/>
  <c r="AM450" i="1"/>
  <c r="AM183" i="1"/>
  <c r="AQ183" i="1"/>
  <c r="AN183" i="1"/>
  <c r="AM247" i="1"/>
  <c r="AI247" i="1"/>
  <c r="AE279" i="1"/>
  <c r="AL279" i="1"/>
  <c r="AK311" i="1"/>
  <c r="AP311" i="1"/>
  <c r="AK439" i="1"/>
  <c r="AE439" i="1"/>
  <c r="AN503" i="1"/>
  <c r="AH503" i="1"/>
  <c r="AH506" i="1"/>
  <c r="AK485" i="1"/>
  <c r="AC489" i="1"/>
  <c r="AH478" i="1"/>
  <c r="AL485" i="1"/>
  <c r="AQ474" i="1"/>
  <c r="AE368" i="1"/>
  <c r="AK378" i="1"/>
  <c r="AJ414" i="1"/>
  <c r="AN400" i="1"/>
  <c r="AJ386" i="1"/>
  <c r="AH386" i="1"/>
  <c r="AF471" i="1"/>
  <c r="AH446" i="1"/>
  <c r="AC453" i="1"/>
  <c r="AD421" i="1"/>
  <c r="AH442" i="1"/>
  <c r="AB474" i="1"/>
  <c r="AD378" i="1"/>
  <c r="AI354" i="1"/>
  <c r="AM336" i="1"/>
  <c r="AM368" i="1"/>
  <c r="AJ368" i="1"/>
  <c r="AG336" i="1"/>
  <c r="AP272" i="1"/>
  <c r="AK279" i="1"/>
  <c r="AI304" i="1"/>
  <c r="AK183" i="1"/>
  <c r="AQ204" i="1"/>
  <c r="AO204" i="1"/>
  <c r="AD102" i="1"/>
  <c r="AC497" i="1"/>
  <c r="AG497" i="1"/>
  <c r="AO485" i="1"/>
  <c r="AE485" i="1"/>
  <c r="AK538" i="1"/>
  <c r="AJ485" i="1"/>
  <c r="AH474" i="1"/>
  <c r="AD538" i="1"/>
  <c r="AI506" i="1"/>
  <c r="AE336" i="1"/>
  <c r="AA304" i="1"/>
  <c r="AJ272" i="1"/>
  <c r="AG204" i="1"/>
  <c r="AH257" i="1"/>
  <c r="AI257" i="1"/>
  <c r="AI517" i="1"/>
  <c r="AB482" i="1"/>
  <c r="AI482" i="1"/>
  <c r="AD478" i="1"/>
  <c r="AK457" i="1"/>
  <c r="AN450" i="1"/>
  <c r="AM538" i="1"/>
  <c r="AJ521" i="1"/>
  <c r="AM514" i="1"/>
  <c r="AJ510" i="1"/>
  <c r="AE517" i="1"/>
  <c r="AD517" i="1"/>
  <c r="AA496" i="1"/>
  <c r="AI464" i="1"/>
  <c r="AP464" i="1"/>
  <c r="AB528" i="1"/>
  <c r="AJ528" i="1"/>
  <c r="AA506" i="1"/>
  <c r="AG493" i="1"/>
  <c r="AJ503" i="1"/>
  <c r="AO489" i="1"/>
  <c r="AG482" i="1"/>
  <c r="AQ482" i="1"/>
  <c r="AQ478" i="1"/>
  <c r="AI471" i="1"/>
  <c r="AA457" i="1"/>
  <c r="AF450" i="1"/>
  <c r="AM432" i="1"/>
  <c r="AH400" i="1"/>
  <c r="AG471" i="1"/>
  <c r="AB485" i="1"/>
  <c r="AI446" i="1"/>
  <c r="AE453" i="1"/>
  <c r="AL421" i="1"/>
  <c r="AA442" i="1"/>
  <c r="AA474" i="1"/>
  <c r="AN378" i="1"/>
  <c r="AB354" i="1"/>
  <c r="AP336" i="1"/>
  <c r="AF368" i="1"/>
  <c r="AP343" i="1"/>
  <c r="AL368" i="1"/>
  <c r="AH336" i="1"/>
  <c r="AI311" i="1"/>
  <c r="AQ272" i="1"/>
  <c r="AE272" i="1"/>
  <c r="AN322" i="1"/>
  <c r="AI279" i="1"/>
  <c r="AO183" i="1"/>
  <c r="AF204" i="1"/>
  <c r="AE506" i="1"/>
  <c r="AH389" i="1"/>
  <c r="AI453" i="1"/>
  <c r="AG290" i="1"/>
  <c r="AK240" i="1"/>
  <c r="AC240" i="1"/>
  <c r="AH517" i="1"/>
  <c r="AL453" i="1"/>
  <c r="AA63" i="1"/>
  <c r="AM221" i="1"/>
  <c r="AO221" i="1"/>
  <c r="AE538" i="1"/>
  <c r="AK510" i="1"/>
  <c r="AL496" i="1"/>
  <c r="AP528" i="1"/>
  <c r="AJ506" i="1"/>
  <c r="AB493" i="1"/>
  <c r="AK489" i="1"/>
  <c r="AD521" i="1"/>
  <c r="AA525" i="1"/>
  <c r="AE510" i="1"/>
  <c r="AL517" i="1"/>
  <c r="AI496" i="1"/>
  <c r="AA464" i="1"/>
  <c r="AF528" i="1"/>
  <c r="AL506" i="1"/>
  <c r="AF493" i="1"/>
  <c r="AO493" i="1"/>
  <c r="AL503" i="1"/>
  <c r="AD489" i="1"/>
  <c r="AC482" i="1"/>
  <c r="AB418" i="1"/>
  <c r="AD482" i="1"/>
  <c r="AP478" i="1"/>
  <c r="AM457" i="1"/>
  <c r="AQ450" i="1"/>
  <c r="AB432" i="1"/>
  <c r="AI389" i="1"/>
  <c r="AA471" i="1"/>
  <c r="AH397" i="1"/>
  <c r="AH382" i="1"/>
  <c r="AP471" i="1"/>
  <c r="AM485" i="1"/>
  <c r="AD446" i="1"/>
  <c r="AP453" i="1"/>
  <c r="AJ442" i="1"/>
  <c r="AE474" i="1"/>
  <c r="AE378" i="1"/>
  <c r="AB336" i="1"/>
  <c r="AD368" i="1"/>
  <c r="AN368" i="1"/>
  <c r="AD343" i="1"/>
  <c r="AQ311" i="1"/>
  <c r="AF272" i="1"/>
  <c r="AQ279" i="1"/>
  <c r="AK247" i="1"/>
  <c r="AI183" i="1"/>
  <c r="AG65" i="1"/>
  <c r="AH204" i="1"/>
  <c r="AJ181" i="1"/>
  <c r="AK181" i="1"/>
  <c r="AP538" i="1"/>
  <c r="AB538" i="1"/>
  <c r="AO538" i="1"/>
  <c r="AN517" i="1"/>
  <c r="AQ322" i="1"/>
  <c r="AQ542" i="1"/>
  <c r="AE542" i="1"/>
  <c r="AJ304" i="1"/>
  <c r="AH304" i="1"/>
  <c r="AB304" i="1"/>
  <c r="AH24" i="1"/>
  <c r="AM24" i="1"/>
  <c r="AJ538" i="1"/>
  <c r="AC496" i="1"/>
  <c r="AK528" i="1"/>
  <c r="AF446" i="1"/>
  <c r="AF538" i="1"/>
  <c r="AG517" i="1"/>
  <c r="AQ496" i="1"/>
  <c r="AN489" i="1"/>
  <c r="AQ457" i="1"/>
  <c r="AD432" i="1"/>
  <c r="AD389" i="1"/>
  <c r="AP485" i="1"/>
  <c r="AG485" i="1"/>
  <c r="AG446" i="1"/>
  <c r="AE442" i="1"/>
  <c r="AJ474" i="1"/>
  <c r="AF378" i="1"/>
  <c r="AJ336" i="1"/>
  <c r="AP368" i="1"/>
  <c r="AL378" i="1"/>
  <c r="AE354" i="1"/>
  <c r="AB311" i="1"/>
  <c r="AF304" i="1"/>
  <c r="AI240" i="1"/>
  <c r="AF102" i="1"/>
  <c r="AL86" i="1"/>
  <c r="AD86" i="1"/>
  <c r="AM453" i="1"/>
  <c r="AQ453" i="1"/>
  <c r="AN453" i="1"/>
  <c r="AD506" i="1"/>
  <c r="AQ506" i="1"/>
  <c r="AH149" i="1"/>
  <c r="AL149" i="1"/>
  <c r="AK204" i="1"/>
  <c r="AN204" i="1"/>
  <c r="AL204" i="1"/>
  <c r="AI204" i="1"/>
  <c r="AA204" i="1"/>
  <c r="AL528" i="1"/>
  <c r="AD528" i="1"/>
  <c r="AH457" i="1"/>
  <c r="AJ421" i="1"/>
  <c r="AK542" i="1"/>
  <c r="AL521" i="1"/>
  <c r="AM510" i="1"/>
  <c r="AH528" i="1"/>
  <c r="AE528" i="1"/>
  <c r="AN528" i="1"/>
  <c r="AB506" i="1"/>
  <c r="AC478" i="1"/>
  <c r="AK478" i="1"/>
  <c r="AL542" i="1"/>
  <c r="AB542" i="1"/>
  <c r="AG521" i="1"/>
  <c r="AG542" i="1"/>
  <c r="AP542" i="1"/>
  <c r="AD525" i="1"/>
  <c r="AO517" i="1"/>
  <c r="AO496" i="1"/>
  <c r="AG528" i="1"/>
  <c r="AA528" i="1"/>
  <c r="AC506" i="1"/>
  <c r="AF506" i="1"/>
  <c r="AL493" i="1"/>
  <c r="AH489" i="1"/>
  <c r="AF461" i="1"/>
  <c r="AJ482" i="1"/>
  <c r="AA478" i="1"/>
  <c r="AH418" i="1"/>
  <c r="AI457" i="1"/>
  <c r="AG450" i="1"/>
  <c r="AL432" i="1"/>
  <c r="AI382" i="1"/>
  <c r="AH375" i="1"/>
  <c r="AB471" i="1"/>
  <c r="AH485" i="1"/>
  <c r="AE446" i="1"/>
  <c r="AD442" i="1"/>
  <c r="AO453" i="1"/>
  <c r="AN421" i="1"/>
  <c r="AM442" i="1"/>
  <c r="AF474" i="1"/>
  <c r="AC336" i="1"/>
  <c r="AG368" i="1"/>
  <c r="AF343" i="1"/>
  <c r="AK368" i="1"/>
  <c r="AJ311" i="1"/>
  <c r="AM304" i="1"/>
  <c r="AJ204" i="1"/>
  <c r="AB222" i="1"/>
  <c r="AE222" i="1"/>
  <c r="AF350" i="1"/>
  <c r="AC350" i="1"/>
  <c r="AO449" i="1"/>
  <c r="AA449" i="1"/>
  <c r="AI406" i="1"/>
  <c r="AB406" i="1"/>
  <c r="AL469" i="1"/>
  <c r="AL365" i="1"/>
  <c r="AL370" i="1"/>
  <c r="AB174" i="1"/>
  <c r="AO125" i="1"/>
  <c r="AG64" i="1"/>
  <c r="AF93" i="1"/>
  <c r="AK93" i="1"/>
  <c r="AG40" i="1"/>
  <c r="AC40" i="1"/>
  <c r="AO40" i="1"/>
  <c r="AN31" i="1"/>
  <c r="AK31" i="1"/>
  <c r="AB31" i="1"/>
  <c r="AL31" i="1"/>
  <c r="AL67" i="1"/>
  <c r="AA67" i="1"/>
  <c r="AN104" i="1"/>
  <c r="AB104" i="1"/>
  <c r="AN14" i="1"/>
  <c r="AD14" i="1"/>
  <c r="AN46" i="1"/>
  <c r="AM46" i="1"/>
  <c r="AE46" i="1"/>
  <c r="AK46" i="1"/>
  <c r="AQ12" i="1"/>
  <c r="AM12" i="1"/>
  <c r="AE27" i="1"/>
  <c r="AQ27" i="1"/>
  <c r="AO42" i="1"/>
  <c r="AF42" i="1"/>
  <c r="AB42" i="1"/>
  <c r="AQ518" i="1"/>
  <c r="AB27" i="1"/>
  <c r="AA27" i="1"/>
  <c r="AO27" i="1"/>
  <c r="AD121" i="1"/>
  <c r="AK121" i="1"/>
  <c r="AE302" i="1"/>
  <c r="AN302" i="1"/>
  <c r="AA366" i="1"/>
  <c r="AI366" i="1"/>
  <c r="AP421" i="1"/>
  <c r="AF421" i="1"/>
  <c r="AC421" i="1"/>
  <c r="AQ485" i="1"/>
  <c r="AD485" i="1"/>
  <c r="AN120" i="1"/>
  <c r="AM180" i="1"/>
  <c r="AC180" i="1"/>
  <c r="AI518" i="1"/>
  <c r="AH80" i="1"/>
  <c r="AN65" i="1"/>
  <c r="AF229" i="1"/>
  <c r="AE229" i="1"/>
  <c r="AJ274" i="1"/>
  <c r="AL274" i="1"/>
  <c r="AL252" i="1"/>
  <c r="AO252" i="1"/>
  <c r="AN348" i="1"/>
  <c r="AB348" i="1"/>
  <c r="AK486" i="1"/>
  <c r="AF518" i="1"/>
  <c r="AB63" i="1"/>
  <c r="AM36" i="1"/>
  <c r="AF65" i="1"/>
  <c r="AP65" i="1"/>
  <c r="AO486" i="1"/>
  <c r="AL518" i="1"/>
  <c r="AH8" i="1"/>
  <c r="AJ63" i="1"/>
  <c r="AA341" i="1"/>
  <c r="AH341" i="1"/>
  <c r="AM282" i="1"/>
  <c r="AN282" i="1"/>
  <c r="AO346" i="1"/>
  <c r="AG346" i="1"/>
  <c r="AL65" i="1"/>
  <c r="AP42" i="1"/>
  <c r="AB378" i="1"/>
  <c r="AJ378" i="1"/>
  <c r="AF442" i="1"/>
  <c r="AI442" i="1"/>
  <c r="AO474" i="1"/>
  <c r="AD474" i="1"/>
  <c r="AN474" i="1"/>
  <c r="AK454" i="1"/>
  <c r="AL454" i="1"/>
  <c r="AH27" i="1"/>
  <c r="AE24" i="1"/>
  <c r="AJ509" i="1"/>
  <c r="AJ518" i="1"/>
  <c r="AJ65" i="1"/>
  <c r="AI42" i="1"/>
  <c r="AH65" i="1"/>
  <c r="AK446" i="1"/>
  <c r="AJ446" i="1"/>
  <c r="AF27" i="1"/>
  <c r="AK303" i="1"/>
  <c r="AD303" i="1"/>
  <c r="AM335" i="1"/>
  <c r="AG335" i="1"/>
  <c r="AJ463" i="1"/>
  <c r="AI463" i="1"/>
  <c r="AA65" i="1"/>
  <c r="AJ42" i="1"/>
  <c r="AD42" i="1"/>
  <c r="AQ118" i="1"/>
  <c r="AQ40" i="1"/>
  <c r="AK179" i="1"/>
  <c r="AO179" i="1"/>
  <c r="AG211" i="1"/>
  <c r="AQ211" i="1"/>
  <c r="AC307" i="1"/>
  <c r="AG307" i="1"/>
  <c r="AC435" i="1"/>
  <c r="AI435" i="1"/>
  <c r="AD43" i="1"/>
  <c r="AF51" i="1"/>
  <c r="AE51" i="1"/>
  <c r="AO55" i="1"/>
  <c r="AI79" i="1"/>
  <c r="AE79" i="1"/>
  <c r="AN20" i="1"/>
  <c r="AC28" i="1"/>
  <c r="AQ64" i="1"/>
  <c r="AQ43" i="1"/>
  <c r="AH51" i="1"/>
  <c r="AP51" i="1"/>
  <c r="AD55" i="1"/>
  <c r="AK79" i="1"/>
  <c r="AO79" i="1"/>
  <c r="AF20" i="1"/>
  <c r="AF28" i="1"/>
  <c r="AA64" i="1"/>
  <c r="AF7" i="1"/>
  <c r="AF43" i="1"/>
  <c r="AF55" i="1"/>
  <c r="AA79" i="1"/>
  <c r="AJ79" i="1"/>
  <c r="AI20" i="1"/>
  <c r="AJ28" i="1"/>
  <c r="AC64" i="1"/>
  <c r="AB108" i="1"/>
  <c r="AH43" i="1"/>
  <c r="AC79" i="1"/>
  <c r="AM79" i="1"/>
  <c r="AN101" i="1"/>
  <c r="AG101" i="1"/>
  <c r="AH101" i="1"/>
  <c r="AH213" i="1"/>
  <c r="AK213" i="1"/>
  <c r="AL349" i="1"/>
  <c r="AN349" i="1"/>
  <c r="AB110" i="1"/>
  <c r="AF110" i="1"/>
  <c r="AB154" i="1"/>
  <c r="AL154" i="1"/>
  <c r="AG154" i="1"/>
  <c r="AH226" i="1"/>
  <c r="AF226" i="1"/>
  <c r="AF290" i="1"/>
  <c r="AQ290" i="1"/>
  <c r="AC322" i="1"/>
  <c r="AA322" i="1"/>
  <c r="AG322" i="1"/>
  <c r="AI401" i="1"/>
  <c r="AD401" i="1"/>
  <c r="AB390" i="1"/>
  <c r="AH390" i="1"/>
  <c r="AE537" i="1"/>
  <c r="AO537" i="1"/>
  <c r="AM529" i="1"/>
  <c r="AQ505" i="1"/>
  <c r="AF486" i="1"/>
  <c r="AA526" i="1"/>
  <c r="AG526" i="1"/>
  <c r="AN518" i="1"/>
  <c r="AD505" i="1"/>
  <c r="AK518" i="1"/>
  <c r="AB518" i="1"/>
  <c r="AI494" i="1"/>
  <c r="AD497" i="1"/>
  <c r="AO497" i="1"/>
  <c r="AE465" i="1"/>
  <c r="AL401" i="1"/>
  <c r="AI390" i="1"/>
  <c r="AE377" i="1"/>
  <c r="AI441" i="1"/>
  <c r="AO441" i="1"/>
  <c r="AB454" i="1"/>
  <c r="AQ354" i="1"/>
  <c r="AF454" i="1"/>
  <c r="AE349" i="1"/>
  <c r="AJ473" i="1"/>
  <c r="AI322" i="1"/>
  <c r="AD302" i="1"/>
  <c r="AP322" i="1"/>
  <c r="AM266" i="1"/>
  <c r="AM213" i="1"/>
  <c r="AQ194" i="1"/>
  <c r="AE181" i="1"/>
  <c r="AD245" i="1"/>
  <c r="AE258" i="1"/>
  <c r="AB258" i="1"/>
  <c r="AN226" i="1"/>
  <c r="AO154" i="1"/>
  <c r="AM154" i="1"/>
  <c r="AE142" i="1"/>
  <c r="AE149" i="1"/>
  <c r="AI101" i="1"/>
  <c r="AG110" i="1"/>
  <c r="AG458" i="1"/>
  <c r="AI458" i="1"/>
  <c r="AK85" i="1"/>
  <c r="AF85" i="1"/>
  <c r="AJ85" i="1"/>
  <c r="AM149" i="1"/>
  <c r="AJ354" i="1"/>
  <c r="AA454" i="1"/>
  <c r="AD473" i="1"/>
  <c r="AE245" i="1"/>
  <c r="AD226" i="1"/>
  <c r="AC258" i="1"/>
  <c r="AG226" i="1"/>
  <c r="AK18" i="1"/>
  <c r="AQ85" i="1"/>
  <c r="AQ537" i="1"/>
  <c r="AG529" i="1"/>
  <c r="AI526" i="1"/>
  <c r="AI486" i="1"/>
  <c r="AG494" i="1"/>
  <c r="AO526" i="1"/>
  <c r="AN505" i="1"/>
  <c r="AP494" i="1"/>
  <c r="AO518" i="1"/>
  <c r="AM518" i="1"/>
  <c r="AB494" i="1"/>
  <c r="AQ497" i="1"/>
  <c r="AH430" i="1"/>
  <c r="AL465" i="1"/>
  <c r="AF430" i="1"/>
  <c r="AC477" i="1"/>
  <c r="AJ441" i="1"/>
  <c r="AM377" i="1"/>
  <c r="AJ377" i="1"/>
  <c r="AP354" i="1"/>
  <c r="AE454" i="1"/>
  <c r="AP349" i="1"/>
  <c r="AM473" i="1"/>
  <c r="AP473" i="1"/>
  <c r="AM313" i="1"/>
  <c r="AM293" i="1"/>
  <c r="AL322" i="1"/>
  <c r="AJ290" i="1"/>
  <c r="AC213" i="1"/>
  <c r="AQ258" i="1"/>
  <c r="AP245" i="1"/>
  <c r="AQ245" i="1"/>
  <c r="AF258" i="1"/>
  <c r="AO226" i="1"/>
  <c r="AQ154" i="1"/>
  <c r="AO142" i="1"/>
  <c r="AP110" i="1"/>
  <c r="AL58" i="1"/>
  <c r="AE29" i="1"/>
  <c r="AO149" i="1"/>
  <c r="AK101" i="1"/>
  <c r="AC85" i="1"/>
  <c r="AQ110" i="1"/>
  <c r="AE213" i="1"/>
  <c r="AP258" i="1"/>
  <c r="AC194" i="1"/>
  <c r="AD258" i="1"/>
  <c r="AQ101" i="1"/>
  <c r="AA110" i="1"/>
  <c r="AO128" i="1"/>
  <c r="AG128" i="1"/>
  <c r="AD128" i="1"/>
  <c r="AL71" i="1"/>
  <c r="AM71" i="1"/>
  <c r="AQ16" i="1"/>
  <c r="AI16" i="1"/>
  <c r="AE518" i="1"/>
  <c r="AJ494" i="1"/>
  <c r="AJ497" i="1"/>
  <c r="AH409" i="1"/>
  <c r="AG142" i="1"/>
  <c r="AC101" i="1"/>
  <c r="AB361" i="1"/>
  <c r="AH361" i="1"/>
  <c r="AN270" i="1"/>
  <c r="AJ270" i="1"/>
  <c r="AA537" i="1"/>
  <c r="AH537" i="1"/>
  <c r="AO529" i="1"/>
  <c r="AQ486" i="1"/>
  <c r="AB526" i="1"/>
  <c r="AG505" i="1"/>
  <c r="AC494" i="1"/>
  <c r="AD518" i="1"/>
  <c r="AK494" i="1"/>
  <c r="AB497" i="1"/>
  <c r="AJ462" i="1"/>
  <c r="AB422" i="1"/>
  <c r="AP422" i="1"/>
  <c r="AP465" i="1"/>
  <c r="AI398" i="1"/>
  <c r="AH401" i="1"/>
  <c r="AD441" i="1"/>
  <c r="AA377" i="1"/>
  <c r="AK377" i="1"/>
  <c r="AG354" i="1"/>
  <c r="AC349" i="1"/>
  <c r="AP330" i="1"/>
  <c r="AO473" i="1"/>
  <c r="AH473" i="1"/>
  <c r="AE313" i="1"/>
  <c r="AM281" i="1"/>
  <c r="AH322" i="1"/>
  <c r="AE290" i="1"/>
  <c r="AA302" i="1"/>
  <c r="AE322" i="1"/>
  <c r="AC290" i="1"/>
  <c r="AH245" i="1"/>
  <c r="AN258" i="1"/>
  <c r="AB226" i="1"/>
  <c r="AC154" i="1"/>
  <c r="AI142" i="1"/>
  <c r="AO101" i="1"/>
  <c r="AG85" i="1"/>
  <c r="AA157" i="1"/>
  <c r="AD101" i="1"/>
  <c r="AD85" i="1"/>
  <c r="AJ110" i="1"/>
  <c r="AH453" i="1"/>
  <c r="AJ453" i="1"/>
  <c r="AN485" i="1"/>
  <c r="AF485" i="1"/>
  <c r="AI485" i="1"/>
  <c r="AA245" i="1"/>
  <c r="AQ226" i="1"/>
  <c r="AA154" i="1"/>
  <c r="AG357" i="1"/>
  <c r="AH357" i="1"/>
  <c r="AG441" i="1"/>
  <c r="AK441" i="1"/>
  <c r="AF537" i="1"/>
  <c r="AA465" i="1"/>
  <c r="AN430" i="1"/>
  <c r="AF330" i="1"/>
  <c r="AD322" i="1"/>
  <c r="AI245" i="1"/>
  <c r="AI154" i="1"/>
  <c r="AH85" i="1"/>
  <c r="AI110" i="1"/>
  <c r="AK537" i="1"/>
  <c r="AN529" i="1"/>
  <c r="AP505" i="1"/>
  <c r="AC526" i="1"/>
  <c r="AJ526" i="1"/>
  <c r="AO505" i="1"/>
  <c r="AP518" i="1"/>
  <c r="AE494" i="1"/>
  <c r="AK497" i="1"/>
  <c r="AD462" i="1"/>
  <c r="AQ465" i="1"/>
  <c r="AI409" i="1"/>
  <c r="AB398" i="1"/>
  <c r="AL441" i="1"/>
  <c r="AQ337" i="1"/>
  <c r="AD377" i="1"/>
  <c r="AH354" i="1"/>
  <c r="AA349" i="1"/>
  <c r="AK349" i="1"/>
  <c r="AL354" i="1"/>
  <c r="AC473" i="1"/>
  <c r="AE281" i="1"/>
  <c r="AB334" i="1"/>
  <c r="AM322" i="1"/>
  <c r="AK290" i="1"/>
  <c r="AJ226" i="1"/>
  <c r="AK245" i="1"/>
  <c r="AH258" i="1"/>
  <c r="AG258" i="1"/>
  <c r="AK226" i="1"/>
  <c r="AK154" i="1"/>
  <c r="AB142" i="1"/>
  <c r="AN110" i="1"/>
  <c r="AJ58" i="1"/>
  <c r="AB149" i="1"/>
  <c r="AB85" i="1"/>
  <c r="AG58" i="1"/>
  <c r="AA149" i="1"/>
  <c r="AF101" i="1"/>
  <c r="AN85" i="1"/>
  <c r="AD110" i="1"/>
  <c r="AK237" i="1"/>
  <c r="AB237" i="1"/>
  <c r="AK314" i="1"/>
  <c r="AE314" i="1"/>
  <c r="AF457" i="1"/>
  <c r="AG457" i="1"/>
  <c r="AI436" i="1"/>
  <c r="AF436" i="1"/>
  <c r="AN436" i="1"/>
  <c r="AM500" i="1"/>
  <c r="AG500" i="1"/>
  <c r="AO349" i="1"/>
  <c r="AP213" i="1"/>
  <c r="AM181" i="1"/>
  <c r="AL258" i="1"/>
  <c r="AL473" i="1"/>
  <c r="AI473" i="1"/>
  <c r="AJ72" i="1"/>
  <c r="AC72" i="1"/>
  <c r="AN72" i="1"/>
  <c r="AC54" i="1"/>
  <c r="AK54" i="1"/>
  <c r="AD54" i="1"/>
  <c r="AL529" i="1"/>
  <c r="AD526" i="1"/>
  <c r="AE505" i="1"/>
  <c r="AC518" i="1"/>
  <c r="AA441" i="1"/>
  <c r="AF354" i="1"/>
  <c r="AF349" i="1"/>
  <c r="AG473" i="1"/>
  <c r="AK194" i="1"/>
  <c r="AJ258" i="1"/>
  <c r="AF149" i="1"/>
  <c r="AD537" i="1"/>
  <c r="AB537" i="1"/>
  <c r="AH494" i="1"/>
  <c r="AA505" i="1"/>
  <c r="AF526" i="1"/>
  <c r="AA497" i="1"/>
  <c r="AL462" i="1"/>
  <c r="AL433" i="1"/>
  <c r="AF465" i="1"/>
  <c r="AH398" i="1"/>
  <c r="AE441" i="1"/>
  <c r="AL377" i="1"/>
  <c r="AC454" i="1"/>
  <c r="AA354" i="1"/>
  <c r="AD454" i="1"/>
  <c r="AM349" i="1"/>
  <c r="AD349" i="1"/>
  <c r="AM354" i="1"/>
  <c r="AE473" i="1"/>
  <c r="AF473" i="1"/>
  <c r="AF322" i="1"/>
  <c r="AM302" i="1"/>
  <c r="AM290" i="1"/>
  <c r="AO234" i="1"/>
  <c r="AL194" i="1"/>
  <c r="AC181" i="1"/>
  <c r="AC245" i="1"/>
  <c r="AI258" i="1"/>
  <c r="AK225" i="1"/>
  <c r="AC226" i="1"/>
  <c r="AD154" i="1"/>
  <c r="AD142" i="1"/>
  <c r="AO130" i="1"/>
  <c r="AH35" i="1"/>
  <c r="AQ149" i="1"/>
  <c r="AL397" i="1"/>
  <c r="AD397" i="1"/>
  <c r="AH429" i="1"/>
  <c r="AP429" i="1"/>
  <c r="AI271" i="1"/>
  <c r="AC271" i="1"/>
  <c r="AP463" i="1"/>
  <c r="AH463" i="1"/>
  <c r="AL44" i="1"/>
  <c r="AD67" i="1"/>
  <c r="AP44" i="1"/>
  <c r="AN67" i="1"/>
  <c r="AD31" i="1"/>
  <c r="AQ67" i="1"/>
  <c r="AK12" i="1"/>
  <c r="AM64" i="1"/>
  <c r="AC12" i="1"/>
  <c r="AB118" i="1"/>
  <c r="AO118" i="1"/>
  <c r="AG118" i="1"/>
  <c r="AI454" i="1"/>
  <c r="AP454" i="1"/>
  <c r="AG454" i="1"/>
  <c r="AN454" i="1"/>
  <c r="AF24" i="1"/>
  <c r="AD24" i="1"/>
  <c r="AB24" i="1"/>
  <c r="AA24" i="1"/>
  <c r="AN24" i="1"/>
  <c r="AP24" i="1"/>
  <c r="AI24" i="1"/>
  <c r="AD27" i="1"/>
  <c r="AG27" i="1"/>
  <c r="AM27" i="1"/>
  <c r="AK27" i="1"/>
  <c r="AI27" i="1"/>
  <c r="AC27" i="1"/>
  <c r="AP63" i="1"/>
  <c r="AN63" i="1"/>
  <c r="AH63" i="1"/>
  <c r="AI63" i="1"/>
  <c r="AF63" i="1"/>
  <c r="AO63" i="1"/>
  <c r="AE63" i="1"/>
  <c r="AK63" i="1"/>
  <c r="AJ36" i="1"/>
  <c r="AH36" i="1"/>
  <c r="AB36" i="1"/>
  <c r="AK36" i="1"/>
  <c r="AA36" i="1"/>
  <c r="AG36" i="1"/>
  <c r="AD36" i="1"/>
  <c r="AO80" i="1"/>
  <c r="AG80" i="1"/>
  <c r="AD80" i="1"/>
  <c r="AC80" i="1"/>
  <c r="AM65" i="1"/>
  <c r="AD65" i="1"/>
  <c r="AQ65" i="1"/>
  <c r="AO65" i="1"/>
  <c r="AB65" i="1"/>
  <c r="AI65" i="1"/>
  <c r="AE42" i="1"/>
  <c r="AN42" i="1"/>
  <c r="AM42" i="1"/>
  <c r="AG42" i="1"/>
  <c r="AL42" i="1"/>
  <c r="AA42" i="1"/>
  <c r="AH42" i="1"/>
  <c r="AQ42" i="1"/>
  <c r="AA8" i="1"/>
  <c r="AC8" i="1"/>
  <c r="AL8" i="1"/>
  <c r="AM8" i="1"/>
  <c r="AP8" i="1"/>
  <c r="AM169" i="1"/>
  <c r="AA169" i="1"/>
  <c r="AI246" i="1"/>
  <c r="AG246" i="1"/>
  <c r="AI342" i="1"/>
  <c r="AG342" i="1"/>
  <c r="AH342" i="1"/>
  <c r="AO374" i="1"/>
  <c r="AF374" i="1"/>
  <c r="AK374" i="1"/>
  <c r="AA342" i="1"/>
  <c r="AJ118" i="1"/>
  <c r="AM141" i="1"/>
  <c r="AE141" i="1"/>
  <c r="AH205" i="1"/>
  <c r="AK205" i="1"/>
  <c r="AQ186" i="1"/>
  <c r="AB186" i="1"/>
  <c r="AI346" i="1"/>
  <c r="AD346" i="1"/>
  <c r="AP346" i="1"/>
  <c r="AL385" i="1"/>
  <c r="AD385" i="1"/>
  <c r="AH417" i="1"/>
  <c r="AI417" i="1"/>
  <c r="AE481" i="1"/>
  <c r="AA481" i="1"/>
  <c r="AI394" i="1"/>
  <c r="AJ394" i="1"/>
  <c r="AB426" i="1"/>
  <c r="AP426" i="1"/>
  <c r="AL27" i="1"/>
  <c r="AC63" i="1"/>
  <c r="AN8" i="1"/>
  <c r="AP342" i="1"/>
  <c r="AH269" i="1"/>
  <c r="AE310" i="1"/>
  <c r="AF118" i="1"/>
  <c r="AC118" i="1"/>
  <c r="AE277" i="1"/>
  <c r="AH277" i="1"/>
  <c r="AK286" i="1"/>
  <c r="AP286" i="1"/>
  <c r="AF286" i="1"/>
  <c r="AQ142" i="1"/>
  <c r="AJ142" i="1"/>
  <c r="AM142" i="1"/>
  <c r="AA142" i="1"/>
  <c r="AN27" i="1"/>
  <c r="AH454" i="1"/>
  <c r="AM454" i="1"/>
  <c r="AQ138" i="1"/>
  <c r="AC65" i="1"/>
  <c r="AQ82" i="1"/>
  <c r="AB82" i="1"/>
  <c r="AJ454" i="1"/>
  <c r="AO454" i="1"/>
  <c r="AP118" i="1"/>
  <c r="AI137" i="1"/>
  <c r="AE65" i="1"/>
  <c r="AJ493" i="1"/>
  <c r="AE493" i="1"/>
  <c r="AD493" i="1"/>
  <c r="AQ24" i="1"/>
  <c r="AB189" i="1"/>
  <c r="AC189" i="1"/>
  <c r="AF298" i="1"/>
  <c r="AA298" i="1"/>
  <c r="AH337" i="1"/>
  <c r="AA337" i="1"/>
  <c r="AC337" i="1"/>
  <c r="AG465" i="1"/>
  <c r="AN465" i="1"/>
  <c r="AJ465" i="1"/>
  <c r="AE497" i="1"/>
  <c r="AL497" i="1"/>
  <c r="AH497" i="1"/>
  <c r="AG94" i="1"/>
  <c r="AA94" i="1"/>
  <c r="AF94" i="1"/>
  <c r="AA378" i="1"/>
  <c r="AI378" i="1"/>
  <c r="AO378" i="1"/>
  <c r="AB410" i="1"/>
  <c r="AH410" i="1"/>
  <c r="AO442" i="1"/>
  <c r="AG442" i="1"/>
  <c r="AB442" i="1"/>
  <c r="AK442" i="1"/>
  <c r="AC442" i="1"/>
  <c r="AG474" i="1"/>
  <c r="AM474" i="1"/>
  <c r="AL474" i="1"/>
  <c r="AC474" i="1"/>
  <c r="AP506" i="1"/>
  <c r="AM506" i="1"/>
  <c r="AK506" i="1"/>
  <c r="AN451" i="1"/>
  <c r="AK451" i="1"/>
  <c r="AM118" i="1"/>
  <c r="AM437" i="1"/>
  <c r="AD437" i="1"/>
  <c r="AP469" i="1"/>
  <c r="AF469" i="1"/>
  <c r="AA469" i="1"/>
  <c r="AC42" i="1"/>
  <c r="AI231" i="1"/>
  <c r="AM231" i="1"/>
  <c r="AF342" i="1"/>
  <c r="AP374" i="1"/>
  <c r="AH125" i="1"/>
  <c r="AE125" i="1"/>
  <c r="AQ165" i="1"/>
  <c r="AP165" i="1"/>
  <c r="AJ197" i="1"/>
  <c r="AE197" i="1"/>
  <c r="AI229" i="1"/>
  <c r="AL229" i="1"/>
  <c r="AJ74" i="1"/>
  <c r="AO74" i="1"/>
  <c r="AO174" i="1"/>
  <c r="AI174" i="1"/>
  <c r="AH242" i="1"/>
  <c r="AL242" i="1"/>
  <c r="AK306" i="1"/>
  <c r="AM306" i="1"/>
  <c r="AP306" i="1"/>
  <c r="AP338" i="1"/>
  <c r="AN338" i="1"/>
  <c r="AB370" i="1"/>
  <c r="AA370" i="1"/>
  <c r="AK42" i="1"/>
  <c r="AP196" i="1"/>
  <c r="AJ196" i="1"/>
  <c r="AE196" i="1"/>
  <c r="AL196" i="1"/>
  <c r="AD264" i="1"/>
  <c r="AE264" i="1"/>
  <c r="AO264" i="1"/>
  <c r="AQ296" i="1"/>
  <c r="AO296" i="1"/>
  <c r="AH296" i="1"/>
  <c r="AM328" i="1"/>
  <c r="AC328" i="1"/>
  <c r="AO328" i="1"/>
  <c r="AD360" i="1"/>
  <c r="AM360" i="1"/>
  <c r="AL360" i="1"/>
  <c r="AD488" i="1"/>
  <c r="AP488" i="1"/>
  <c r="AL40" i="1"/>
  <c r="AG12" i="1"/>
  <c r="AK104" i="1"/>
  <c r="AE457" i="1"/>
  <c r="AL182" i="1"/>
  <c r="AC67" i="1"/>
  <c r="AB28" i="1"/>
  <c r="AK28" i="1"/>
  <c r="AD40" i="1"/>
  <c r="AK64" i="1"/>
  <c r="AO72" i="1"/>
  <c r="AQ120" i="1"/>
  <c r="AI12" i="1"/>
  <c r="AC104" i="1"/>
  <c r="AQ128" i="1"/>
  <c r="AF67" i="1"/>
  <c r="AN44" i="1"/>
  <c r="AD72" i="1"/>
  <c r="AO120" i="1"/>
  <c r="AP12" i="1"/>
  <c r="AF104" i="1"/>
  <c r="AP128" i="1"/>
  <c r="AH67" i="1"/>
  <c r="AG44" i="1"/>
  <c r="AE72" i="1"/>
  <c r="AC120" i="1"/>
  <c r="AO104" i="1"/>
  <c r="AM67" i="1"/>
  <c r="AN40" i="1"/>
  <c r="AQ44" i="1"/>
  <c r="AB72" i="1"/>
  <c r="AD120" i="1"/>
  <c r="AP104" i="1"/>
  <c r="AP67" i="1"/>
  <c r="AQ28" i="1"/>
  <c r="AF40" i="1"/>
  <c r="AC44" i="1"/>
  <c r="AI64" i="1"/>
  <c r="AE64" i="1"/>
  <c r="AK72" i="1"/>
  <c r="AA12" i="1"/>
  <c r="AC128" i="1"/>
  <c r="AF54" i="1"/>
  <c r="AK35" i="1"/>
  <c r="AK16" i="1"/>
  <c r="AC35" i="1"/>
  <c r="AK71" i="1"/>
  <c r="AD18" i="1"/>
  <c r="AG93" i="1"/>
  <c r="AJ71" i="1"/>
  <c r="AG71" i="1"/>
  <c r="AG54" i="1"/>
  <c r="AI534" i="1"/>
  <c r="AN534" i="1"/>
  <c r="AE534" i="1"/>
  <c r="AL502" i="1"/>
  <c r="AB513" i="1"/>
  <c r="AJ470" i="1"/>
  <c r="AL470" i="1"/>
  <c r="AI449" i="1"/>
  <c r="AJ406" i="1"/>
  <c r="AI385" i="1"/>
  <c r="AH385" i="1"/>
  <c r="AC362" i="1"/>
  <c r="AB481" i="1"/>
  <c r="AK481" i="1"/>
  <c r="AH362" i="1"/>
  <c r="AC357" i="1"/>
  <c r="AP266" i="1"/>
  <c r="AQ162" i="1"/>
  <c r="AA71" i="1"/>
  <c r="AJ54" i="1"/>
  <c r="AI54" i="1"/>
  <c r="AP35" i="1"/>
  <c r="AL126" i="1"/>
  <c r="AM35" i="1"/>
  <c r="AP54" i="1"/>
  <c r="AO29" i="1"/>
  <c r="AP29" i="1"/>
  <c r="AN502" i="1"/>
  <c r="AH513" i="1"/>
  <c r="AH321" i="1"/>
  <c r="AA182" i="1"/>
  <c r="AE18" i="1"/>
  <c r="AQ113" i="1"/>
  <c r="AL54" i="1"/>
  <c r="AC18" i="1"/>
  <c r="AK157" i="1"/>
  <c r="AC161" i="1"/>
  <c r="AK161" i="1"/>
  <c r="AB161" i="1"/>
  <c r="AA261" i="1"/>
  <c r="AH261" i="1"/>
  <c r="AQ166" i="1"/>
  <c r="AJ166" i="1"/>
  <c r="AK334" i="1"/>
  <c r="AC334" i="1"/>
  <c r="AC129" i="1"/>
  <c r="AL129" i="1"/>
  <c r="AN54" i="1"/>
  <c r="AN71" i="1"/>
  <c r="AM279" i="1"/>
  <c r="AP279" i="1"/>
  <c r="AF76" i="1"/>
  <c r="AI76" i="1"/>
  <c r="AK76" i="1"/>
  <c r="AQ76" i="1"/>
  <c r="AJ76" i="1"/>
  <c r="AG76" i="1"/>
  <c r="AA76" i="1"/>
  <c r="AO76" i="1"/>
  <c r="AN76" i="1"/>
  <c r="AD76" i="1"/>
  <c r="AP76" i="1"/>
  <c r="AL76" i="1"/>
  <c r="AP228" i="1"/>
  <c r="AC228" i="1"/>
  <c r="AB228" i="1"/>
  <c r="AA228" i="1"/>
  <c r="AK298" i="1"/>
  <c r="AD298" i="1"/>
  <c r="AM470" i="1"/>
  <c r="AE438" i="1"/>
  <c r="AD417" i="1"/>
  <c r="AL481" i="1"/>
  <c r="AH289" i="1"/>
  <c r="AN330" i="1"/>
  <c r="AN234" i="1"/>
  <c r="AF202" i="1"/>
  <c r="AD162" i="1"/>
  <c r="AL29" i="1"/>
  <c r="AG534" i="1"/>
  <c r="AE502" i="1"/>
  <c r="AE513" i="1"/>
  <c r="AD513" i="1"/>
  <c r="AG470" i="1"/>
  <c r="AP449" i="1"/>
  <c r="AM438" i="1"/>
  <c r="AL417" i="1"/>
  <c r="AF481" i="1"/>
  <c r="AA362" i="1"/>
  <c r="AB357" i="1"/>
  <c r="AE357" i="1"/>
  <c r="AO330" i="1"/>
  <c r="AI253" i="1"/>
  <c r="AC266" i="1"/>
  <c r="AE234" i="1"/>
  <c r="AD234" i="1"/>
  <c r="AP189" i="1"/>
  <c r="AK182" i="1"/>
  <c r="AN202" i="1"/>
  <c r="AG29" i="1"/>
  <c r="AD113" i="1"/>
  <c r="AD78" i="1"/>
  <c r="AD29" i="1"/>
  <c r="AB18" i="1"/>
  <c r="AP18" i="1"/>
  <c r="AQ29" i="1"/>
  <c r="AB54" i="1"/>
  <c r="AQ98" i="1"/>
  <c r="AI98" i="1"/>
  <c r="AH71" i="1"/>
  <c r="AG180" i="1"/>
  <c r="AD180" i="1"/>
  <c r="AL180" i="1"/>
  <c r="AG212" i="1"/>
  <c r="AP212" i="1"/>
  <c r="AG280" i="1"/>
  <c r="AC280" i="1"/>
  <c r="AL35" i="1"/>
  <c r="AF35" i="1"/>
  <c r="AG35" i="1"/>
  <c r="AJ35" i="1"/>
  <c r="AE48" i="1"/>
  <c r="AK48" i="1"/>
  <c r="AF48" i="1"/>
  <c r="AB48" i="1"/>
  <c r="AM48" i="1"/>
  <c r="AH48" i="1"/>
  <c r="AJ48" i="1"/>
  <c r="AD48" i="1"/>
  <c r="AA48" i="1"/>
  <c r="AL48" i="1"/>
  <c r="AI48" i="1"/>
  <c r="AC48" i="1"/>
  <c r="AG48" i="1"/>
  <c r="AN48" i="1"/>
  <c r="AP48" i="1"/>
  <c r="AO48" i="1"/>
  <c r="AH266" i="1"/>
  <c r="AM189" i="1"/>
  <c r="AB35" i="1"/>
  <c r="AK78" i="1"/>
  <c r="AJ18" i="1"/>
  <c r="AQ534" i="1"/>
  <c r="AM502" i="1"/>
  <c r="AF513" i="1"/>
  <c r="AL513" i="1"/>
  <c r="AP470" i="1"/>
  <c r="AE449" i="1"/>
  <c r="AK449" i="1"/>
  <c r="AD481" i="1"/>
  <c r="AP481" i="1"/>
  <c r="AI362" i="1"/>
  <c r="AO357" i="1"/>
  <c r="AA330" i="1"/>
  <c r="AM321" i="1"/>
  <c r="AM289" i="1"/>
  <c r="AQ298" i="1"/>
  <c r="AF266" i="1"/>
  <c r="AI221" i="1"/>
  <c r="AQ189" i="1"/>
  <c r="AQ202" i="1"/>
  <c r="AF113" i="1"/>
  <c r="AN29" i="1"/>
  <c r="AL78" i="1"/>
  <c r="AQ35" i="1"/>
  <c r="AQ18" i="1"/>
  <c r="AH18" i="1"/>
  <c r="AI29" i="1"/>
  <c r="AO54" i="1"/>
  <c r="AC71" i="1"/>
  <c r="AF71" i="1"/>
  <c r="AE71" i="1"/>
  <c r="AQ71" i="1"/>
  <c r="AD71" i="1"/>
  <c r="AO71" i="1"/>
  <c r="AC16" i="1"/>
  <c r="AF16" i="1"/>
  <c r="AO16" i="1"/>
  <c r="AE16" i="1"/>
  <c r="AD16" i="1"/>
  <c r="AP16" i="1"/>
  <c r="AL16" i="1"/>
  <c r="AJ16" i="1"/>
  <c r="AB16" i="1"/>
  <c r="AG16" i="1"/>
  <c r="AA16" i="1"/>
  <c r="AO534" i="1"/>
  <c r="AH534" i="1"/>
  <c r="AJ513" i="1"/>
  <c r="AI513" i="1"/>
  <c r="AP513" i="1"/>
  <c r="AG513" i="1"/>
  <c r="AH470" i="1"/>
  <c r="AG449" i="1"/>
  <c r="AJ481" i="1"/>
  <c r="AQ481" i="1"/>
  <c r="AB362" i="1"/>
  <c r="AP357" i="1"/>
  <c r="AI330" i="1"/>
  <c r="AQ221" i="1"/>
  <c r="AG189" i="1"/>
  <c r="AF29" i="1"/>
  <c r="AJ157" i="1"/>
  <c r="AI71" i="1"/>
  <c r="AI35" i="1"/>
  <c r="AK29" i="1"/>
  <c r="AI18" i="1"/>
  <c r="AJ29" i="1"/>
  <c r="AA29" i="1"/>
  <c r="AO18" i="1"/>
  <c r="AN18" i="1"/>
  <c r="AD35" i="1"/>
  <c r="AP71" i="1"/>
  <c r="AJ66" i="1"/>
  <c r="AA66" i="1"/>
  <c r="AK202" i="1"/>
  <c r="AO202" i="1"/>
  <c r="AH54" i="1"/>
  <c r="AM54" i="1"/>
  <c r="AQ54" i="1"/>
  <c r="AH406" i="1"/>
  <c r="AA357" i="1"/>
  <c r="AD357" i="1"/>
  <c r="AH16" i="1"/>
  <c r="AF534" i="1"/>
  <c r="AA513" i="1"/>
  <c r="AH481" i="1"/>
  <c r="AB330" i="1"/>
  <c r="AL298" i="1"/>
  <c r="AI234" i="1"/>
  <c r="AD189" i="1"/>
  <c r="AH29" i="1"/>
  <c r="AL18" i="1"/>
  <c r="AB71" i="1"/>
  <c r="AA35" i="1"/>
  <c r="AC29" i="1"/>
  <c r="AA18" i="1"/>
  <c r="AB29" i="1"/>
  <c r="AG18" i="1"/>
  <c r="AF345" i="1"/>
  <c r="AG345" i="1"/>
  <c r="AM18" i="1"/>
  <c r="AE54" i="1"/>
  <c r="AN16" i="1"/>
  <c r="AN35" i="1"/>
  <c r="AF120" i="1"/>
  <c r="AL120" i="1"/>
  <c r="AL80" i="1"/>
  <c r="AQ80" i="1"/>
  <c r="AB46" i="1"/>
  <c r="AL63" i="1"/>
  <c r="AE67" i="1"/>
  <c r="AL79" i="1"/>
  <c r="AD8" i="1"/>
  <c r="AG20" i="1"/>
  <c r="AN28" i="1"/>
  <c r="AP28" i="1"/>
  <c r="AO36" i="1"/>
  <c r="AL36" i="1"/>
  <c r="AI40" i="1"/>
  <c r="AM40" i="1"/>
  <c r="AI44" i="1"/>
  <c r="AK60" i="1"/>
  <c r="AB64" i="1"/>
  <c r="AP64" i="1"/>
  <c r="AG72" i="1"/>
  <c r="AL72" i="1"/>
  <c r="AL112" i="1"/>
  <c r="AA112" i="1"/>
  <c r="AI120" i="1"/>
  <c r="AM120" i="1"/>
  <c r="AN12" i="1"/>
  <c r="AA80" i="1"/>
  <c r="AM80" i="1"/>
  <c r="AA104" i="1"/>
  <c r="AL104" i="1"/>
  <c r="AB128" i="1"/>
  <c r="AM128" i="1"/>
  <c r="AQ63" i="1"/>
  <c r="AM63" i="1"/>
  <c r="AI8" i="1"/>
  <c r="AO8" i="1"/>
  <c r="AF36" i="1"/>
  <c r="AC36" i="1"/>
  <c r="AA40" i="1"/>
  <c r="AP40" i="1"/>
  <c r="AA44" i="1"/>
  <c r="AQ72" i="1"/>
  <c r="AP72" i="1"/>
  <c r="AA120" i="1"/>
  <c r="AP120" i="1"/>
  <c r="AD12" i="1"/>
  <c r="AB80" i="1"/>
  <c r="AE80" i="1"/>
  <c r="AG104" i="1"/>
  <c r="AD104" i="1"/>
  <c r="AI128" i="1"/>
  <c r="AE128" i="1"/>
  <c r="AF8" i="1"/>
  <c r="AQ36" i="1"/>
  <c r="AN36" i="1"/>
  <c r="AJ40" i="1"/>
  <c r="AD44" i="1"/>
  <c r="AJ44" i="1"/>
  <c r="AI72" i="1"/>
  <c r="AJ120" i="1"/>
  <c r="AL12" i="1"/>
  <c r="AO12" i="1"/>
  <c r="AI80" i="1"/>
  <c r="AN80" i="1"/>
  <c r="AI104" i="1"/>
  <c r="AM104" i="1"/>
  <c r="AK128" i="1"/>
  <c r="AN128" i="1"/>
  <c r="AD63" i="1"/>
  <c r="AF44" i="1"/>
  <c r="AJ8" i="1"/>
  <c r="AQ8" i="1"/>
  <c r="AI36" i="1"/>
  <c r="AP36" i="1"/>
  <c r="AB40" i="1"/>
  <c r="AM44" i="1"/>
  <c r="AB44" i="1"/>
  <c r="AF72" i="1"/>
  <c r="AA72" i="1"/>
  <c r="AE120" i="1"/>
  <c r="AB120" i="1"/>
  <c r="AB12" i="1"/>
  <c r="AF12" i="1"/>
  <c r="AJ80" i="1"/>
  <c r="AF80" i="1"/>
  <c r="AJ104" i="1"/>
  <c r="AE104" i="1"/>
  <c r="AA128" i="1"/>
  <c r="AF128" i="1"/>
  <c r="AK8" i="1"/>
  <c r="AB8" i="1"/>
  <c r="AG8" i="1"/>
  <c r="AC20" i="1"/>
  <c r="AI28" i="1"/>
  <c r="AE40" i="1"/>
  <c r="AK40" i="1"/>
  <c r="AE44" i="1"/>
  <c r="AO64" i="1"/>
  <c r="AM72" i="1"/>
  <c r="AD112" i="1"/>
  <c r="AG120" i="1"/>
  <c r="AJ12" i="1"/>
  <c r="AK80" i="1"/>
  <c r="AQ104" i="1"/>
  <c r="AJ128" i="1"/>
  <c r="AM309" i="1"/>
  <c r="AE309" i="1"/>
  <c r="AP318" i="1"/>
  <c r="AF318" i="1"/>
  <c r="AB350" i="1"/>
  <c r="AJ350" i="1"/>
  <c r="AL373" i="1"/>
  <c r="AN373" i="1"/>
  <c r="AI122" i="1"/>
  <c r="AC122" i="1"/>
  <c r="AE458" i="1"/>
  <c r="AJ458" i="1"/>
  <c r="AF323" i="1"/>
  <c r="AJ323" i="1"/>
  <c r="AG323" i="1"/>
  <c r="AM235" i="1"/>
  <c r="AO235" i="1"/>
  <c r="AL267" i="1"/>
  <c r="AB267" i="1"/>
  <c r="AK267" i="1"/>
  <c r="AK299" i="1"/>
  <c r="AN299" i="1"/>
  <c r="AD331" i="1"/>
  <c r="AM331" i="1"/>
  <c r="AE459" i="1"/>
  <c r="AN459" i="1"/>
  <c r="AL113" i="1"/>
  <c r="AK113" i="1"/>
  <c r="AO157" i="1"/>
  <c r="AI157" i="1"/>
  <c r="AJ189" i="1"/>
  <c r="AO189" i="1"/>
  <c r="AL189" i="1"/>
  <c r="AF189" i="1"/>
  <c r="AE189" i="1"/>
  <c r="AJ221" i="1"/>
  <c r="AD221" i="1"/>
  <c r="AF221" i="1"/>
  <c r="AA253" i="1"/>
  <c r="AH253" i="1"/>
  <c r="AL357" i="1"/>
  <c r="AF357" i="1"/>
  <c r="AQ357" i="1"/>
  <c r="AK126" i="1"/>
  <c r="AC126" i="1"/>
  <c r="AM126" i="1"/>
  <c r="AM162" i="1"/>
  <c r="AO162" i="1"/>
  <c r="AL162" i="1"/>
  <c r="AB162" i="1"/>
  <c r="AM202" i="1"/>
  <c r="AB202" i="1"/>
  <c r="AH202" i="1"/>
  <c r="AI202" i="1"/>
  <c r="AH234" i="1"/>
  <c r="AM234" i="1"/>
  <c r="AG234" i="1"/>
  <c r="AJ234" i="1"/>
  <c r="AK266" i="1"/>
  <c r="AI266" i="1"/>
  <c r="AB266" i="1"/>
  <c r="AN298" i="1"/>
  <c r="AM298" i="1"/>
  <c r="AC298" i="1"/>
  <c r="AO298" i="1"/>
  <c r="AG298" i="1"/>
  <c r="AL330" i="1"/>
  <c r="AM330" i="1"/>
  <c r="AC330" i="1"/>
  <c r="AG330" i="1"/>
  <c r="AL362" i="1"/>
  <c r="AM362" i="1"/>
  <c r="AQ362" i="1"/>
  <c r="AB93" i="1"/>
  <c r="AN93" i="1"/>
  <c r="AG481" i="1"/>
  <c r="AM481" i="1"/>
  <c r="AN481" i="1"/>
  <c r="AI481" i="1"/>
  <c r="AA78" i="1"/>
  <c r="AJ78" i="1"/>
  <c r="AN182" i="1"/>
  <c r="AQ182" i="1"/>
  <c r="AP143" i="1"/>
  <c r="AB143" i="1"/>
  <c r="AB175" i="1"/>
  <c r="AH175" i="1"/>
  <c r="AA207" i="1"/>
  <c r="AQ207" i="1"/>
  <c r="AG207" i="1"/>
  <c r="AN207" i="1"/>
  <c r="AE207" i="1"/>
  <c r="AL271" i="1"/>
  <c r="AB271" i="1"/>
  <c r="AQ271" i="1"/>
  <c r="AN271" i="1"/>
  <c r="AA303" i="1"/>
  <c r="AC303" i="1"/>
  <c r="AK335" i="1"/>
  <c r="AE335" i="1"/>
  <c r="AK463" i="1"/>
  <c r="AG463" i="1"/>
  <c r="AE463" i="1"/>
  <c r="AF463" i="1"/>
  <c r="AL463" i="1"/>
  <c r="AA162" i="1"/>
  <c r="AL150" i="1"/>
  <c r="AC113" i="1"/>
  <c r="AE93" i="1"/>
  <c r="AG69" i="1"/>
  <c r="AJ69" i="1"/>
  <c r="AN69" i="1"/>
  <c r="AM125" i="1"/>
  <c r="AN125" i="1"/>
  <c r="AB125" i="1"/>
  <c r="AD125" i="1"/>
  <c r="AG125" i="1"/>
  <c r="AF165" i="1"/>
  <c r="AD165" i="1"/>
  <c r="AC165" i="1"/>
  <c r="AO165" i="1"/>
  <c r="AK197" i="1"/>
  <c r="AC197" i="1"/>
  <c r="AQ229" i="1"/>
  <c r="AH229" i="1"/>
  <c r="AM229" i="1"/>
  <c r="AG365" i="1"/>
  <c r="AJ365" i="1"/>
  <c r="AL74" i="1"/>
  <c r="AB74" i="1"/>
  <c r="AI134" i="1"/>
  <c r="AB134" i="1"/>
  <c r="AQ174" i="1"/>
  <c r="AA174" i="1"/>
  <c r="AL174" i="1"/>
  <c r="AQ210" i="1"/>
  <c r="AN210" i="1"/>
  <c r="AM210" i="1"/>
  <c r="AK210" i="1"/>
  <c r="AK242" i="1"/>
  <c r="AG242" i="1"/>
  <c r="AB242" i="1"/>
  <c r="AI242" i="1"/>
  <c r="AQ242" i="1"/>
  <c r="AC274" i="1"/>
  <c r="AN274" i="1"/>
  <c r="AA274" i="1"/>
  <c r="AC306" i="1"/>
  <c r="AQ306" i="1"/>
  <c r="AG306" i="1"/>
  <c r="AF306" i="1"/>
  <c r="AL306" i="1"/>
  <c r="AD133" i="1"/>
  <c r="AH133" i="1"/>
  <c r="AO446" i="1"/>
  <c r="AB446" i="1"/>
  <c r="AN446" i="1"/>
  <c r="AC446" i="1"/>
  <c r="AH87" i="1"/>
  <c r="AB87" i="1"/>
  <c r="AB119" i="1"/>
  <c r="AP119" i="1"/>
  <c r="AB151" i="1"/>
  <c r="AH151" i="1"/>
  <c r="AA183" i="1"/>
  <c r="AD183" i="1"/>
  <c r="AG183" i="1"/>
  <c r="AC183" i="1"/>
  <c r="AM215" i="1"/>
  <c r="AI215" i="1"/>
  <c r="AB215" i="1"/>
  <c r="AD215" i="1"/>
  <c r="AB247" i="1"/>
  <c r="AD247" i="1"/>
  <c r="AE247" i="1"/>
  <c r="AB279" i="1"/>
  <c r="AD279" i="1"/>
  <c r="AA279" i="1"/>
  <c r="AO279" i="1"/>
  <c r="AC311" i="1"/>
  <c r="AL311" i="1"/>
  <c r="AA311" i="1"/>
  <c r="AI343" i="1"/>
  <c r="AG343" i="1"/>
  <c r="AL343" i="1"/>
  <c r="AQ471" i="1"/>
  <c r="AK471" i="1"/>
  <c r="AO471" i="1"/>
  <c r="AE301" i="1"/>
  <c r="AH301" i="1"/>
  <c r="AL278" i="1"/>
  <c r="AM278" i="1"/>
  <c r="AL310" i="1"/>
  <c r="AI310" i="1"/>
  <c r="AA310" i="1"/>
  <c r="AN342" i="1"/>
  <c r="AO342" i="1"/>
  <c r="AA257" i="1"/>
  <c r="AP257" i="1"/>
  <c r="AK102" i="1"/>
  <c r="AN102" i="1"/>
  <c r="AI102" i="1"/>
  <c r="AP102" i="1"/>
  <c r="AB91" i="1"/>
  <c r="AH91" i="1"/>
  <c r="AP155" i="1"/>
  <c r="AB155" i="1"/>
  <c r="AC187" i="1"/>
  <c r="AE187" i="1"/>
  <c r="AO187" i="1"/>
  <c r="AF187" i="1"/>
  <c r="AK187" i="1"/>
  <c r="AI219" i="1"/>
  <c r="AE219" i="1"/>
  <c r="AL219" i="1"/>
  <c r="AO219" i="1"/>
  <c r="AE251" i="1"/>
  <c r="AC251" i="1"/>
  <c r="AK283" i="1"/>
  <c r="AF283" i="1"/>
  <c r="AQ283" i="1"/>
  <c r="AQ315" i="1"/>
  <c r="AF315" i="1"/>
  <c r="AL315" i="1"/>
  <c r="AA315" i="1"/>
  <c r="AC315" i="1"/>
  <c r="AM315" i="1"/>
  <c r="AP443" i="1"/>
  <c r="AD443" i="1"/>
  <c r="AO443" i="1"/>
  <c r="AQ443" i="1"/>
  <c r="AP106" i="1"/>
  <c r="AK56" i="1"/>
  <c r="AL100" i="1"/>
  <c r="AA56" i="1"/>
  <c r="AB100" i="1"/>
  <c r="AD56" i="1"/>
  <c r="AG100" i="1"/>
  <c r="AM56" i="1"/>
  <c r="AQ100" i="1"/>
  <c r="AE56" i="1"/>
  <c r="AP56" i="1"/>
  <c r="AN228" i="1"/>
  <c r="AL97" i="1"/>
  <c r="AB97" i="1"/>
  <c r="AE97" i="1"/>
  <c r="AI145" i="1"/>
  <c r="AB145" i="1"/>
  <c r="AQ177" i="1"/>
  <c r="AH177" i="1"/>
  <c r="AI90" i="1"/>
  <c r="AB90" i="1"/>
  <c r="AP190" i="1"/>
  <c r="AI190" i="1"/>
  <c r="AD222" i="1"/>
  <c r="AI222" i="1"/>
  <c r="AD84" i="1"/>
  <c r="AI84" i="1"/>
  <c r="AL84" i="1"/>
  <c r="AG84" i="1"/>
  <c r="AC84" i="1"/>
  <c r="AF84" i="1"/>
  <c r="AK84" i="1"/>
  <c r="AQ84" i="1"/>
  <c r="AP84" i="1"/>
  <c r="AB84" i="1"/>
  <c r="AN84" i="1"/>
  <c r="AJ84" i="1"/>
  <c r="AE84" i="1"/>
  <c r="AA84" i="1"/>
  <c r="AO21" i="1"/>
  <c r="AI21" i="1"/>
  <c r="AP21" i="1"/>
  <c r="AF21" i="1"/>
  <c r="AN39" i="1"/>
  <c r="AB39" i="1"/>
  <c r="AQ75" i="1"/>
  <c r="AL75" i="1"/>
  <c r="AB75" i="1"/>
  <c r="AI52" i="1"/>
  <c r="AD52" i="1"/>
  <c r="AQ52" i="1"/>
  <c r="AL52" i="1"/>
  <c r="AG52" i="1"/>
  <c r="AK52" i="1"/>
  <c r="AO52" i="1"/>
  <c r="AJ52" i="1"/>
  <c r="AF52" i="1"/>
  <c r="AC52" i="1"/>
  <c r="AO33" i="1"/>
  <c r="AC33" i="1"/>
  <c r="AG33" i="1"/>
  <c r="AA22" i="1"/>
  <c r="AC22" i="1"/>
  <c r="AE22" i="1"/>
  <c r="AH309" i="1"/>
  <c r="AP350" i="1"/>
  <c r="AH345" i="1"/>
  <c r="AD345" i="1"/>
  <c r="AE286" i="1"/>
  <c r="AO286" i="1"/>
  <c r="AQ326" i="1"/>
  <c r="AA286" i="1"/>
  <c r="AN286" i="1"/>
  <c r="AO318" i="1"/>
  <c r="AN318" i="1"/>
  <c r="AJ241" i="1"/>
  <c r="AF235" i="1"/>
  <c r="AL222" i="1"/>
  <c r="AB107" i="1"/>
  <c r="AK222" i="1"/>
  <c r="AM150" i="1"/>
  <c r="AH97" i="1"/>
  <c r="AD122" i="1"/>
  <c r="AG97" i="1"/>
  <c r="AH161" i="1"/>
  <c r="AO90" i="1"/>
  <c r="AQ190" i="1"/>
  <c r="AA165" i="1"/>
  <c r="AI161" i="1"/>
  <c r="AM145" i="1"/>
  <c r="AC125" i="1"/>
  <c r="AF97" i="1"/>
  <c r="AG350" i="1"/>
  <c r="AL541" i="1"/>
  <c r="AD533" i="1"/>
  <c r="AI491" i="1"/>
  <c r="AN522" i="1"/>
  <c r="AC501" i="1"/>
  <c r="AH426" i="1"/>
  <c r="AM445" i="1"/>
  <c r="AC469" i="1"/>
  <c r="AN469" i="1"/>
  <c r="AD405" i="1"/>
  <c r="AQ477" i="1"/>
  <c r="AA458" i="1"/>
  <c r="AH405" i="1"/>
  <c r="AQ459" i="1"/>
  <c r="AC459" i="1"/>
  <c r="AC373" i="1"/>
  <c r="AH350" i="1"/>
  <c r="AM277" i="1"/>
  <c r="AP345" i="1"/>
  <c r="AE345" i="1"/>
  <c r="AA299" i="1"/>
  <c r="AA291" i="1"/>
  <c r="AF331" i="1"/>
  <c r="AG331" i="1"/>
  <c r="AA267" i="1"/>
  <c r="AK323" i="1"/>
  <c r="AA235" i="1"/>
  <c r="AQ318" i="1"/>
  <c r="AK318" i="1"/>
  <c r="AJ254" i="1"/>
  <c r="AI241" i="1"/>
  <c r="AF222" i="1"/>
  <c r="AI150" i="1"/>
  <c r="AF90" i="1"/>
  <c r="AO122" i="1"/>
  <c r="AH145" i="1"/>
  <c r="AQ90" i="1"/>
  <c r="AD190" i="1"/>
  <c r="AI177" i="1"/>
  <c r="AG145" i="1"/>
  <c r="AF206" i="1"/>
  <c r="AG66" i="1"/>
  <c r="AD66" i="1"/>
  <c r="AJ162" i="1"/>
  <c r="AI162" i="1"/>
  <c r="AA202" i="1"/>
  <c r="AP202" i="1"/>
  <c r="AP93" i="1"/>
  <c r="AH93" i="1"/>
  <c r="AI182" i="1"/>
  <c r="AD182" i="1"/>
  <c r="AH111" i="1"/>
  <c r="AB111" i="1"/>
  <c r="AI345" i="1"/>
  <c r="AC318" i="1"/>
  <c r="AP145" i="1"/>
  <c r="AB190" i="1"/>
  <c r="AC523" i="1"/>
  <c r="AP523" i="1"/>
  <c r="AK533" i="1"/>
  <c r="AL533" i="1"/>
  <c r="AC491" i="1"/>
  <c r="AB522" i="1"/>
  <c r="AE501" i="1"/>
  <c r="AP501" i="1"/>
  <c r="AL501" i="1"/>
  <c r="AI437" i="1"/>
  <c r="AH434" i="1"/>
  <c r="AO469" i="1"/>
  <c r="AH459" i="1"/>
  <c r="AK458" i="1"/>
  <c r="AO363" i="1"/>
  <c r="AG459" i="1"/>
  <c r="AK459" i="1"/>
  <c r="AK373" i="1"/>
  <c r="AA350" i="1"/>
  <c r="AQ345" i="1"/>
  <c r="AO345" i="1"/>
  <c r="AI299" i="1"/>
  <c r="AH331" i="1"/>
  <c r="AO331" i="1"/>
  <c r="AI267" i="1"/>
  <c r="AI235" i="1"/>
  <c r="AB318" i="1"/>
  <c r="AD318" i="1"/>
  <c r="AF254" i="1"/>
  <c r="AQ241" i="1"/>
  <c r="AH235" i="1"/>
  <c r="AK209" i="1"/>
  <c r="AI217" i="1"/>
  <c r="AH259" i="1"/>
  <c r="AH222" i="1"/>
  <c r="AP222" i="1"/>
  <c r="AQ150" i="1"/>
  <c r="AJ145" i="1"/>
  <c r="AA122" i="1"/>
  <c r="AJ90" i="1"/>
  <c r="AN190" i="1"/>
  <c r="AD177" i="1"/>
  <c r="AP193" i="1"/>
  <c r="AF193" i="1"/>
  <c r="AI225" i="1"/>
  <c r="AL225" i="1"/>
  <c r="AA70" i="1"/>
  <c r="AI70" i="1"/>
  <c r="AJ70" i="1"/>
  <c r="AE243" i="1"/>
  <c r="AP243" i="1"/>
  <c r="AA52" i="1"/>
  <c r="AA318" i="1"/>
  <c r="AM222" i="1"/>
  <c r="AG150" i="1"/>
  <c r="AL122" i="1"/>
  <c r="AA90" i="1"/>
  <c r="AF145" i="1"/>
  <c r="AG533" i="1"/>
  <c r="AJ522" i="1"/>
  <c r="AL490" i="1"/>
  <c r="AK490" i="1"/>
  <c r="AA501" i="1"/>
  <c r="AD501" i="1"/>
  <c r="AG437" i="1"/>
  <c r="AJ477" i="1"/>
  <c r="AE469" i="1"/>
  <c r="AB458" i="1"/>
  <c r="AF459" i="1"/>
  <c r="AD458" i="1"/>
  <c r="AG363" i="1"/>
  <c r="AA459" i="1"/>
  <c r="AD373" i="1"/>
  <c r="AI350" i="1"/>
  <c r="AA345" i="1"/>
  <c r="AC345" i="1"/>
  <c r="AA331" i="1"/>
  <c r="AQ299" i="1"/>
  <c r="AI331" i="1"/>
  <c r="AE323" i="1"/>
  <c r="AQ267" i="1"/>
  <c r="AJ286" i="1"/>
  <c r="AE235" i="1"/>
  <c r="AG318" i="1"/>
  <c r="AL318" i="1"/>
  <c r="AN254" i="1"/>
  <c r="AC209" i="1"/>
  <c r="AO222" i="1"/>
  <c r="AB150" i="1"/>
  <c r="AQ122" i="1"/>
  <c r="AD90" i="1"/>
  <c r="AE190" i="1"/>
  <c r="AM177" i="1"/>
  <c r="AA229" i="1"/>
  <c r="AG229" i="1"/>
  <c r="AO134" i="1"/>
  <c r="AM134" i="1"/>
  <c r="AN134" i="1"/>
  <c r="AD174" i="1"/>
  <c r="AK174" i="1"/>
  <c r="AA425" i="1"/>
  <c r="AE425" i="1"/>
  <c r="AM52" i="1"/>
  <c r="AB177" i="1"/>
  <c r="AN533" i="1"/>
  <c r="AO533" i="1"/>
  <c r="AA530" i="1"/>
  <c r="AE522" i="1"/>
  <c r="AB490" i="1"/>
  <c r="AG490" i="1"/>
  <c r="AO498" i="1"/>
  <c r="AM501" i="1"/>
  <c r="AO437" i="1"/>
  <c r="AI477" i="1"/>
  <c r="AG469" i="1"/>
  <c r="AC458" i="1"/>
  <c r="AL458" i="1"/>
  <c r="AM459" i="1"/>
  <c r="AD350" i="1"/>
  <c r="AE350" i="1"/>
  <c r="AQ350" i="1"/>
  <c r="AB466" i="1"/>
  <c r="AJ345" i="1"/>
  <c r="AK345" i="1"/>
  <c r="AC299" i="1"/>
  <c r="AJ331" i="1"/>
  <c r="AD267" i="1"/>
  <c r="AC286" i="1"/>
  <c r="AH318" i="1"/>
  <c r="AE318" i="1"/>
  <c r="AG254" i="1"/>
  <c r="AC222" i="1"/>
  <c r="AJ150" i="1"/>
  <c r="AB122" i="1"/>
  <c r="AO190" i="1"/>
  <c r="AF177" i="1"/>
  <c r="AA145" i="1"/>
  <c r="AD178" i="1"/>
  <c r="AL178" i="1"/>
  <c r="AC102" i="1"/>
  <c r="AG102" i="1"/>
  <c r="AE52" i="1"/>
  <c r="AO84" i="1"/>
  <c r="AN345" i="1"/>
  <c r="AD286" i="1"/>
  <c r="AK190" i="1"/>
  <c r="AN97" i="1"/>
  <c r="AG522" i="1"/>
  <c r="AP522" i="1"/>
  <c r="AI501" i="1"/>
  <c r="AI459" i="1"/>
  <c r="AQ458" i="1"/>
  <c r="AO350" i="1"/>
  <c r="AJ466" i="1"/>
  <c r="AB345" i="1"/>
  <c r="AL345" i="1"/>
  <c r="AE209" i="1"/>
  <c r="AI318" i="1"/>
  <c r="AM318" i="1"/>
  <c r="AJ222" i="1"/>
  <c r="AK150" i="1"/>
  <c r="AP177" i="1"/>
  <c r="AE122" i="1"/>
  <c r="AJ122" i="1"/>
  <c r="AG190" i="1"/>
  <c r="AN177" i="1"/>
  <c r="AC145" i="1"/>
  <c r="AA97" i="1"/>
  <c r="AD173" i="1"/>
  <c r="AK173" i="1"/>
  <c r="AK118" i="1"/>
  <c r="AD118" i="1"/>
  <c r="AN52" i="1"/>
  <c r="AM84" i="1"/>
  <c r="AM188" i="1"/>
  <c r="AB188" i="1"/>
  <c r="AP256" i="1"/>
  <c r="AI256" i="1"/>
  <c r="AB56" i="1"/>
  <c r="AN56" i="1"/>
  <c r="AC100" i="1"/>
  <c r="AI100" i="1"/>
  <c r="AC43" i="1"/>
  <c r="AI56" i="1"/>
  <c r="AF56" i="1"/>
  <c r="AF60" i="1"/>
  <c r="AD100" i="1"/>
  <c r="AA100" i="1"/>
  <c r="AJ56" i="1"/>
  <c r="AO56" i="1"/>
  <c r="AO60" i="1"/>
  <c r="AE76" i="1"/>
  <c r="AE100" i="1"/>
  <c r="AJ100" i="1"/>
  <c r="AF106" i="1"/>
  <c r="AC56" i="1"/>
  <c r="AG56" i="1"/>
  <c r="AN100" i="1"/>
  <c r="AP100" i="1"/>
  <c r="AH106" i="1"/>
  <c r="AL56" i="1"/>
  <c r="AB76" i="1"/>
  <c r="AF100" i="1"/>
  <c r="AF108" i="1"/>
  <c r="AM106" i="1"/>
  <c r="AN47" i="1"/>
  <c r="AK100" i="1"/>
  <c r="AA108" i="1"/>
  <c r="AQ47" i="1"/>
  <c r="AD326" i="1"/>
  <c r="AK185" i="1"/>
  <c r="AN185" i="1"/>
  <c r="AP109" i="1"/>
  <c r="AM109" i="1"/>
  <c r="AA109" i="1"/>
  <c r="AG109" i="1"/>
  <c r="AD109" i="1"/>
  <c r="AK109" i="1"/>
  <c r="AB109" i="1"/>
  <c r="AC109" i="1"/>
  <c r="AJ109" i="1"/>
  <c r="AQ109" i="1"/>
  <c r="AO109" i="1"/>
  <c r="AN109" i="1"/>
  <c r="AI109" i="1"/>
  <c r="AF109" i="1"/>
  <c r="AE109" i="1"/>
  <c r="AC185" i="1"/>
  <c r="AJ185" i="1"/>
  <c r="AB185" i="1"/>
  <c r="AE185" i="1"/>
  <c r="AA217" i="1"/>
  <c r="AJ217" i="1"/>
  <c r="AE217" i="1"/>
  <c r="AN217" i="1"/>
  <c r="AC217" i="1"/>
  <c r="AQ217" i="1"/>
  <c r="AE285" i="1"/>
  <c r="AM285" i="1"/>
  <c r="AH285" i="1"/>
  <c r="AE317" i="1"/>
  <c r="AM317" i="1"/>
  <c r="AH317" i="1"/>
  <c r="AQ353" i="1"/>
  <c r="AM353" i="1"/>
  <c r="AG353" i="1"/>
  <c r="AJ353" i="1"/>
  <c r="AP353" i="1"/>
  <c r="AI353" i="1"/>
  <c r="AF353" i="1"/>
  <c r="AH353" i="1"/>
  <c r="AL353" i="1"/>
  <c r="AO353" i="1"/>
  <c r="AA353" i="1"/>
  <c r="AK353" i="1"/>
  <c r="AN353" i="1"/>
  <c r="AA62" i="1"/>
  <c r="AJ62" i="1"/>
  <c r="AL62" i="1"/>
  <c r="AD62" i="1"/>
  <c r="AI114" i="1"/>
  <c r="AL114" i="1"/>
  <c r="AO114" i="1"/>
  <c r="AD114" i="1"/>
  <c r="AG114" i="1"/>
  <c r="AK114" i="1"/>
  <c r="AC114" i="1"/>
  <c r="AJ114" i="1"/>
  <c r="AB114" i="1"/>
  <c r="AQ114" i="1"/>
  <c r="AE114" i="1"/>
  <c r="AL158" i="1"/>
  <c r="AA158" i="1"/>
  <c r="AJ158" i="1"/>
  <c r="AB158" i="1"/>
  <c r="AQ158" i="1"/>
  <c r="AM158" i="1"/>
  <c r="AI158" i="1"/>
  <c r="AE158" i="1"/>
  <c r="AO158" i="1"/>
  <c r="AG158" i="1"/>
  <c r="AD158" i="1"/>
  <c r="AK158" i="1"/>
  <c r="AI198" i="1"/>
  <c r="AA198" i="1"/>
  <c r="AN198" i="1"/>
  <c r="AD198" i="1"/>
  <c r="AF198" i="1"/>
  <c r="AP198" i="1"/>
  <c r="AM198" i="1"/>
  <c r="AC198" i="1"/>
  <c r="AO230" i="1"/>
  <c r="AG230" i="1"/>
  <c r="AF230" i="1"/>
  <c r="AI230" i="1"/>
  <c r="AO262" i="1"/>
  <c r="AG262" i="1"/>
  <c r="AN262" i="1"/>
  <c r="AF262" i="1"/>
  <c r="AJ262" i="1"/>
  <c r="AL262" i="1"/>
  <c r="AF294" i="1"/>
  <c r="AM294" i="1"/>
  <c r="AD294" i="1"/>
  <c r="AE294" i="1"/>
  <c r="AQ294" i="1"/>
  <c r="AG294" i="1"/>
  <c r="AK294" i="1"/>
  <c r="AA294" i="1"/>
  <c r="AC294" i="1"/>
  <c r="AO294" i="1"/>
  <c r="AG326" i="1"/>
  <c r="AA326" i="1"/>
  <c r="AB326" i="1"/>
  <c r="AH326" i="1"/>
  <c r="AF326" i="1"/>
  <c r="AP326" i="1"/>
  <c r="AK326" i="1"/>
  <c r="AE326" i="1"/>
  <c r="AN326" i="1"/>
  <c r="AI326" i="1"/>
  <c r="AM326" i="1"/>
  <c r="AL358" i="1"/>
  <c r="AJ358" i="1"/>
  <c r="AB358" i="1"/>
  <c r="AI358" i="1"/>
  <c r="AH381" i="1"/>
  <c r="AL381" i="1"/>
  <c r="AD381" i="1"/>
  <c r="AI381" i="1"/>
  <c r="AH413" i="1"/>
  <c r="AL413" i="1"/>
  <c r="AD413" i="1"/>
  <c r="AI413" i="1"/>
  <c r="AB445" i="1"/>
  <c r="AO445" i="1"/>
  <c r="AN445" i="1"/>
  <c r="AG445" i="1"/>
  <c r="AP445" i="1"/>
  <c r="AF445" i="1"/>
  <c r="AD445" i="1"/>
  <c r="AH477" i="1"/>
  <c r="AA477" i="1"/>
  <c r="AP477" i="1"/>
  <c r="AL477" i="1"/>
  <c r="AG477" i="1"/>
  <c r="AE477" i="1"/>
  <c r="AO477" i="1"/>
  <c r="AF477" i="1"/>
  <c r="AD477" i="1"/>
  <c r="AH509" i="1"/>
  <c r="AP509" i="1"/>
  <c r="AL509" i="1"/>
  <c r="AN509" i="1"/>
  <c r="AO509" i="1"/>
  <c r="AC509" i="1"/>
  <c r="AG509" i="1"/>
  <c r="AQ509" i="1"/>
  <c r="AA509" i="1"/>
  <c r="AM541" i="1"/>
  <c r="AF541" i="1"/>
  <c r="AE541" i="1"/>
  <c r="AQ541" i="1"/>
  <c r="AC541" i="1"/>
  <c r="AG541" i="1"/>
  <c r="AP541" i="1"/>
  <c r="AO541" i="1"/>
  <c r="AH541" i="1"/>
  <c r="AD541" i="1"/>
  <c r="AB170" i="1"/>
  <c r="AQ170" i="1"/>
  <c r="AI170" i="1"/>
  <c r="AM170" i="1"/>
  <c r="AO170" i="1"/>
  <c r="AE170" i="1"/>
  <c r="AG170" i="1"/>
  <c r="AD170" i="1"/>
  <c r="AK170" i="1"/>
  <c r="AC170" i="1"/>
  <c r="AH402" i="1"/>
  <c r="AJ402" i="1"/>
  <c r="AB402" i="1"/>
  <c r="AI402" i="1"/>
  <c r="AM434" i="1"/>
  <c r="AO434" i="1"/>
  <c r="AE434" i="1"/>
  <c r="AL434" i="1"/>
  <c r="AC434" i="1"/>
  <c r="AK434" i="1"/>
  <c r="AJ434" i="1"/>
  <c r="AQ434" i="1"/>
  <c r="AD466" i="1"/>
  <c r="AE466" i="1"/>
  <c r="AQ466" i="1"/>
  <c r="AA466" i="1"/>
  <c r="AH466" i="1"/>
  <c r="AM466" i="1"/>
  <c r="AP466" i="1"/>
  <c r="AN466" i="1"/>
  <c r="AG466" i="1"/>
  <c r="AK466" i="1"/>
  <c r="AO466" i="1"/>
  <c r="AI466" i="1"/>
  <c r="AL498" i="1"/>
  <c r="AF498" i="1"/>
  <c r="AC498" i="1"/>
  <c r="AK498" i="1"/>
  <c r="AB498" i="1"/>
  <c r="AG498" i="1"/>
  <c r="AJ498" i="1"/>
  <c r="AM498" i="1"/>
  <c r="AM530" i="1"/>
  <c r="AO530" i="1"/>
  <c r="AE530" i="1"/>
  <c r="AJ530" i="1"/>
  <c r="AB530" i="1"/>
  <c r="AP530" i="1"/>
  <c r="AL530" i="1"/>
  <c r="AP163" i="1"/>
  <c r="AB163" i="1"/>
  <c r="AQ195" i="1"/>
  <c r="AI195" i="1"/>
  <c r="AA195" i="1"/>
  <c r="AB195" i="1"/>
  <c r="AG195" i="1"/>
  <c r="AL195" i="1"/>
  <c r="AN195" i="1"/>
  <c r="AL227" i="1"/>
  <c r="AC227" i="1"/>
  <c r="AK227" i="1"/>
  <c r="AM227" i="1"/>
  <c r="AB227" i="1"/>
  <c r="AE227" i="1"/>
  <c r="AO227" i="1"/>
  <c r="AG227" i="1"/>
  <c r="AJ227" i="1"/>
  <c r="AC259" i="1"/>
  <c r="AE259" i="1"/>
  <c r="AQ259" i="1"/>
  <c r="AL259" i="1"/>
  <c r="AD259" i="1"/>
  <c r="AP259" i="1"/>
  <c r="AK259" i="1"/>
  <c r="AN291" i="1"/>
  <c r="AL291" i="1"/>
  <c r="AD291" i="1"/>
  <c r="AK291" i="1"/>
  <c r="AC291" i="1"/>
  <c r="AI291" i="1"/>
  <c r="AB323" i="1"/>
  <c r="AN323" i="1"/>
  <c r="AQ323" i="1"/>
  <c r="AM323" i="1"/>
  <c r="AI323" i="1"/>
  <c r="AL323" i="1"/>
  <c r="AA323" i="1"/>
  <c r="AD323" i="1"/>
  <c r="AP323" i="1"/>
  <c r="AC323" i="1"/>
  <c r="AG355" i="1"/>
  <c r="AO355" i="1"/>
  <c r="AH355" i="1"/>
  <c r="AA451" i="1"/>
  <c r="AI451" i="1"/>
  <c r="AQ451" i="1"/>
  <c r="AM451" i="1"/>
  <c r="AG451" i="1"/>
  <c r="AE451" i="1"/>
  <c r="AP451" i="1"/>
  <c r="AC451" i="1"/>
  <c r="AL483" i="1"/>
  <c r="AB483" i="1"/>
  <c r="AK483" i="1"/>
  <c r="AA483" i="1"/>
  <c r="AO483" i="1"/>
  <c r="AH483" i="1"/>
  <c r="AN483" i="1"/>
  <c r="AH515" i="1"/>
  <c r="AP515" i="1"/>
  <c r="AI249" i="1"/>
  <c r="AA249" i="1"/>
  <c r="AJ249" i="1"/>
  <c r="AC249" i="1"/>
  <c r="AL249" i="1"/>
  <c r="AN249" i="1"/>
  <c r="AC158" i="1"/>
  <c r="AN541" i="1"/>
  <c r="AB353" i="1"/>
  <c r="AQ249" i="1"/>
  <c r="AQ198" i="1"/>
  <c r="AD227" i="1"/>
  <c r="AM153" i="1"/>
  <c r="AA153" i="1"/>
  <c r="AE153" i="1"/>
  <c r="AL153" i="1"/>
  <c r="AD153" i="1"/>
  <c r="AK153" i="1"/>
  <c r="AH153" i="1"/>
  <c r="AJ153" i="1"/>
  <c r="AP153" i="1"/>
  <c r="AO153" i="1"/>
  <c r="AC153" i="1"/>
  <c r="AG153" i="1"/>
  <c r="AQ153" i="1"/>
  <c r="AB153" i="1"/>
  <c r="AN153" i="1"/>
  <c r="AI153" i="1"/>
  <c r="AC89" i="1"/>
  <c r="AD89" i="1"/>
  <c r="AG89" i="1"/>
  <c r="AF89" i="1"/>
  <c r="AL89" i="1"/>
  <c r="AK89" i="1"/>
  <c r="AJ89" i="1"/>
  <c r="AQ89" i="1"/>
  <c r="AE89" i="1"/>
  <c r="AI89" i="1"/>
  <c r="AP89" i="1"/>
  <c r="AB509" i="1"/>
  <c r="AK445" i="1"/>
  <c r="AB477" i="1"/>
  <c r="AA358" i="1"/>
  <c r="AE353" i="1"/>
  <c r="AL294" i="1"/>
  <c r="AB262" i="1"/>
  <c r="AB99" i="1"/>
  <c r="AK198" i="1"/>
  <c r="AP131" i="1"/>
  <c r="AF227" i="1"/>
  <c r="AA114" i="1"/>
  <c r="AI62" i="1"/>
  <c r="AL109" i="1"/>
  <c r="AG358" i="1"/>
  <c r="AC353" i="1"/>
  <c r="AC326" i="1"/>
  <c r="AN294" i="1"/>
  <c r="AK195" i="1"/>
  <c r="AQ227" i="1"/>
  <c r="AJ170" i="1"/>
  <c r="AH109" i="1"/>
  <c r="AQ366" i="1"/>
  <c r="AQ361" i="1"/>
  <c r="AP261" i="1"/>
  <c r="AH334" i="1"/>
  <c r="AM334" i="1"/>
  <c r="AG334" i="1"/>
  <c r="AF302" i="1"/>
  <c r="AC225" i="1"/>
  <c r="AE130" i="1"/>
  <c r="AC121" i="1"/>
  <c r="AJ53" i="1"/>
  <c r="AG130" i="1"/>
  <c r="AD70" i="1"/>
  <c r="AO193" i="1"/>
  <c r="AM193" i="1"/>
  <c r="AN113" i="1"/>
  <c r="AI113" i="1"/>
  <c r="AG157" i="1"/>
  <c r="AC157" i="1"/>
  <c r="AQ126" i="1"/>
  <c r="AD126" i="1"/>
  <c r="AF126" i="1"/>
  <c r="AD93" i="1"/>
  <c r="AJ93" i="1"/>
  <c r="AL161" i="1"/>
  <c r="AD161" i="1"/>
  <c r="AP161" i="1"/>
  <c r="AL166" i="1"/>
  <c r="AO166" i="1"/>
  <c r="AK206" i="1"/>
  <c r="AM206" i="1"/>
  <c r="AC24" i="1"/>
  <c r="AO24" i="1"/>
  <c r="AQ116" i="1"/>
  <c r="AL116" i="1"/>
  <c r="AG116" i="1"/>
  <c r="AC116" i="1"/>
  <c r="AO116" i="1"/>
  <c r="AJ116" i="1"/>
  <c r="AF116" i="1"/>
  <c r="AA116" i="1"/>
  <c r="AN116" i="1"/>
  <c r="AB116" i="1"/>
  <c r="AM116" i="1"/>
  <c r="AI116" i="1"/>
  <c r="AP116" i="1"/>
  <c r="AD116" i="1"/>
  <c r="AL23" i="1"/>
  <c r="AF23" i="1"/>
  <c r="AI23" i="1"/>
  <c r="AD23" i="1"/>
  <c r="AK23" i="1"/>
  <c r="AN23" i="1"/>
  <c r="AD59" i="1"/>
  <c r="AN59" i="1"/>
  <c r="AI59" i="1"/>
  <c r="AI32" i="1"/>
  <c r="AM32" i="1"/>
  <c r="AM68" i="1"/>
  <c r="AI68" i="1"/>
  <c r="AD68" i="1"/>
  <c r="AN68" i="1"/>
  <c r="AL68" i="1"/>
  <c r="AG68" i="1"/>
  <c r="AC68" i="1"/>
  <c r="AF68" i="1"/>
  <c r="AK68" i="1"/>
  <c r="AE68" i="1"/>
  <c r="AJ68" i="1"/>
  <c r="AO68" i="1"/>
  <c r="AP68" i="1"/>
  <c r="AA68" i="1"/>
  <c r="AH61" i="1"/>
  <c r="AO61" i="1"/>
  <c r="AG61" i="1"/>
  <c r="AG38" i="1"/>
  <c r="AB38" i="1"/>
  <c r="AJ366" i="1"/>
  <c r="AI361" i="1"/>
  <c r="AM361" i="1"/>
  <c r="AE361" i="1"/>
  <c r="AM325" i="1"/>
  <c r="AE293" i="1"/>
  <c r="AG302" i="1"/>
  <c r="AC270" i="1"/>
  <c r="AP334" i="1"/>
  <c r="AA334" i="1"/>
  <c r="AM225" i="1"/>
  <c r="AJ225" i="1"/>
  <c r="AH225" i="1"/>
  <c r="AE225" i="1"/>
  <c r="AC166" i="1"/>
  <c r="AE121" i="1"/>
  <c r="AI130" i="1"/>
  <c r="AI53" i="1"/>
  <c r="AQ193" i="1"/>
  <c r="AH157" i="1"/>
  <c r="AA177" i="1"/>
  <c r="AG177" i="1"/>
  <c r="AE161" i="1"/>
  <c r="AL157" i="1"/>
  <c r="AN145" i="1"/>
  <c r="AP97" i="1"/>
  <c r="AA93" i="1"/>
  <c r="AG126" i="1"/>
  <c r="AA102" i="1"/>
  <c r="AL125" i="1"/>
  <c r="AK125" i="1"/>
  <c r="AN165" i="1"/>
  <c r="AM165" i="1"/>
  <c r="AH165" i="1"/>
  <c r="AJ134" i="1"/>
  <c r="AL134" i="1"/>
  <c r="AP134" i="1"/>
  <c r="AG24" i="1"/>
  <c r="AC32" i="1"/>
  <c r="AB32" i="1"/>
  <c r="AC361" i="1"/>
  <c r="AN361" i="1"/>
  <c r="AE325" i="1"/>
  <c r="AK270" i="1"/>
  <c r="AL334" i="1"/>
  <c r="AD334" i="1"/>
  <c r="AI334" i="1"/>
  <c r="AL302" i="1"/>
  <c r="AI238" i="1"/>
  <c r="AN225" i="1"/>
  <c r="AK166" i="1"/>
  <c r="AM121" i="1"/>
  <c r="AB130" i="1"/>
  <c r="AF53" i="1"/>
  <c r="AH193" i="1"/>
  <c r="AM161" i="1"/>
  <c r="AE157" i="1"/>
  <c r="AI93" i="1"/>
  <c r="AO126" i="1"/>
  <c r="AK361" i="1"/>
  <c r="AJ361" i="1"/>
  <c r="AH302" i="1"/>
  <c r="AF270" i="1"/>
  <c r="AI261" i="1"/>
  <c r="AE334" i="1"/>
  <c r="AQ334" i="1"/>
  <c r="AC302" i="1"/>
  <c r="AG238" i="1"/>
  <c r="AG225" i="1"/>
  <c r="AD166" i="1"/>
  <c r="AF121" i="1"/>
  <c r="AJ130" i="1"/>
  <c r="AL193" i="1"/>
  <c r="AI193" i="1"/>
  <c r="AF161" i="1"/>
  <c r="AM157" i="1"/>
  <c r="AI97" i="1"/>
  <c r="AC93" i="1"/>
  <c r="AA126" i="1"/>
  <c r="AB102" i="1"/>
  <c r="AB206" i="1"/>
  <c r="AK24" i="1"/>
  <c r="AJ24" i="1"/>
  <c r="AD32" i="1"/>
  <c r="AP32" i="1"/>
  <c r="AN366" i="1"/>
  <c r="AL366" i="1"/>
  <c r="AF361" i="1"/>
  <c r="AD361" i="1"/>
  <c r="AJ334" i="1"/>
  <c r="AK302" i="1"/>
  <c r="AA225" i="1"/>
  <c r="AG166" i="1"/>
  <c r="AE166" i="1"/>
  <c r="AA121" i="1"/>
  <c r="AN121" i="1"/>
  <c r="AJ193" i="1"/>
  <c r="AC130" i="1"/>
  <c r="AB193" i="1"/>
  <c r="AC193" i="1"/>
  <c r="AG53" i="1"/>
  <c r="AG161" i="1"/>
  <c r="AF157" i="1"/>
  <c r="AI126" i="1"/>
  <c r="AO206" i="1"/>
  <c r="AL145" i="1"/>
  <c r="AO145" i="1"/>
  <c r="AQ145" i="1"/>
  <c r="AL177" i="1"/>
  <c r="AK177" i="1"/>
  <c r="AE150" i="1"/>
  <c r="AA150" i="1"/>
  <c r="AH190" i="1"/>
  <c r="AL190" i="1"/>
  <c r="AK122" i="1"/>
  <c r="AG122" i="1"/>
  <c r="AK116" i="1"/>
  <c r="AD366" i="1"/>
  <c r="AP361" i="1"/>
  <c r="AL361" i="1"/>
  <c r="AQ302" i="1"/>
  <c r="AO302" i="1"/>
  <c r="AF334" i="1"/>
  <c r="AB225" i="1"/>
  <c r="AA166" i="1"/>
  <c r="AM166" i="1"/>
  <c r="AI121" i="1"/>
  <c r="AK130" i="1"/>
  <c r="AN193" i="1"/>
  <c r="AK193" i="1"/>
  <c r="AE177" i="1"/>
  <c r="AA161" i="1"/>
  <c r="AO161" i="1"/>
  <c r="AN157" i="1"/>
  <c r="AK145" i="1"/>
  <c r="AC97" i="1"/>
  <c r="AL93" i="1"/>
  <c r="AJ126" i="1"/>
  <c r="AJ206" i="1"/>
  <c r="AL101" i="1"/>
  <c r="AJ101" i="1"/>
  <c r="AD149" i="1"/>
  <c r="AJ149" i="1"/>
  <c r="AK110" i="1"/>
  <c r="AM110" i="1"/>
  <c r="AL24" i="1"/>
  <c r="AG32" i="1"/>
  <c r="AE116" i="1"/>
  <c r="AC60" i="1"/>
  <c r="AP60" i="1"/>
  <c r="AE108" i="1"/>
  <c r="AJ108" i="1"/>
  <c r="AE47" i="1"/>
  <c r="AG60" i="1"/>
  <c r="AD60" i="1"/>
  <c r="AG108" i="1"/>
  <c r="AK108" i="1"/>
  <c r="AL47" i="1"/>
  <c r="AH47" i="1"/>
  <c r="AI60" i="1"/>
  <c r="AM60" i="1"/>
  <c r="AN108" i="1"/>
  <c r="AC108" i="1"/>
  <c r="AM47" i="1"/>
  <c r="AP47" i="1"/>
  <c r="AI228" i="1"/>
  <c r="AQ60" i="1"/>
  <c r="AE60" i="1"/>
  <c r="AQ108" i="1"/>
  <c r="AL108" i="1"/>
  <c r="AC47" i="1"/>
  <c r="AA60" i="1"/>
  <c r="AO108" i="1"/>
  <c r="AD108" i="1"/>
  <c r="AO47" i="1"/>
  <c r="AI108" i="1"/>
  <c r="AJ233" i="1"/>
  <c r="AA233" i="1"/>
  <c r="AG178" i="1"/>
  <c r="AD369" i="1"/>
  <c r="AO178" i="1"/>
  <c r="AA137" i="1"/>
  <c r="AI138" i="1"/>
  <c r="AO246" i="1"/>
  <c r="AA214" i="1"/>
  <c r="AI214" i="1"/>
  <c r="AE178" i="1"/>
  <c r="AP169" i="1"/>
  <c r="AF137" i="1"/>
  <c r="AJ82" i="1"/>
  <c r="AF169" i="1"/>
  <c r="AC333" i="1"/>
  <c r="AH333" i="1"/>
  <c r="AK246" i="1"/>
  <c r="AH246" i="1"/>
  <c r="AK214" i="1"/>
  <c r="AI169" i="1"/>
  <c r="AN169" i="1"/>
  <c r="AI77" i="1"/>
  <c r="AQ77" i="1"/>
  <c r="AO77" i="1"/>
  <c r="AM77" i="1"/>
  <c r="AK77" i="1"/>
  <c r="AG77" i="1"/>
  <c r="AB77" i="1"/>
  <c r="AA77" i="1"/>
  <c r="AC77" i="1"/>
  <c r="AP77" i="1"/>
  <c r="AF77" i="1"/>
  <c r="AF141" i="1"/>
  <c r="AI141" i="1"/>
  <c r="AJ141" i="1"/>
  <c r="AF173" i="1"/>
  <c r="AI173" i="1"/>
  <c r="AJ173" i="1"/>
  <c r="AM205" i="1"/>
  <c r="AF205" i="1"/>
  <c r="AQ205" i="1"/>
  <c r="AD205" i="1"/>
  <c r="AO205" i="1"/>
  <c r="AB205" i="1"/>
  <c r="AN205" i="1"/>
  <c r="AA205" i="1"/>
  <c r="AL205" i="1"/>
  <c r="AJ205" i="1"/>
  <c r="AI205" i="1"/>
  <c r="AG205" i="1"/>
  <c r="AH237" i="1"/>
  <c r="AM237" i="1"/>
  <c r="AL237" i="1"/>
  <c r="AG237" i="1"/>
  <c r="AD237" i="1"/>
  <c r="AC237" i="1"/>
  <c r="AP237" i="1"/>
  <c r="AE237" i="1"/>
  <c r="AP273" i="1"/>
  <c r="AQ273" i="1"/>
  <c r="AF273" i="1"/>
  <c r="AO273" i="1"/>
  <c r="AD273" i="1"/>
  <c r="AN273" i="1"/>
  <c r="AC273" i="1"/>
  <c r="AL273" i="1"/>
  <c r="AB273" i="1"/>
  <c r="AK273" i="1"/>
  <c r="AA273" i="1"/>
  <c r="AJ273" i="1"/>
  <c r="AI273" i="1"/>
  <c r="AG273" i="1"/>
  <c r="AP305" i="1"/>
  <c r="AK305" i="1"/>
  <c r="AA305" i="1"/>
  <c r="AJ305" i="1"/>
  <c r="AI305" i="1"/>
  <c r="AG305" i="1"/>
  <c r="AQ305" i="1"/>
  <c r="AF305" i="1"/>
  <c r="AO305" i="1"/>
  <c r="AD305" i="1"/>
  <c r="AN305" i="1"/>
  <c r="AL305" i="1"/>
  <c r="AC305" i="1"/>
  <c r="AB305" i="1"/>
  <c r="AK341" i="1"/>
  <c r="AM341" i="1"/>
  <c r="AL341" i="1"/>
  <c r="AJ341" i="1"/>
  <c r="AG341" i="1"/>
  <c r="AF341" i="1"/>
  <c r="AE341" i="1"/>
  <c r="AO341" i="1"/>
  <c r="AN341" i="1"/>
  <c r="AD341" i="1"/>
  <c r="AB341" i="1"/>
  <c r="AH86" i="1"/>
  <c r="AE86" i="1"/>
  <c r="AC86" i="1"/>
  <c r="AN86" i="1"/>
  <c r="AM86" i="1"/>
  <c r="AK86" i="1"/>
  <c r="AB86" i="1"/>
  <c r="AP146" i="1"/>
  <c r="AF146" i="1"/>
  <c r="AN146" i="1"/>
  <c r="AH146" i="1"/>
  <c r="AM146" i="1"/>
  <c r="AQ146" i="1"/>
  <c r="AJ186" i="1"/>
  <c r="AH186" i="1"/>
  <c r="AK186" i="1"/>
  <c r="AN186" i="1"/>
  <c r="AE186" i="1"/>
  <c r="AF186" i="1"/>
  <c r="AF218" i="1"/>
  <c r="AD218" i="1"/>
  <c r="AQ218" i="1"/>
  <c r="AB218" i="1"/>
  <c r="AP218" i="1"/>
  <c r="AA218" i="1"/>
  <c r="AM218" i="1"/>
  <c r="AK218" i="1"/>
  <c r="AJ218" i="1"/>
  <c r="AH218" i="1"/>
  <c r="AP250" i="1"/>
  <c r="AA250" i="1"/>
  <c r="AM250" i="1"/>
  <c r="AK250" i="1"/>
  <c r="AJ250" i="1"/>
  <c r="AH250" i="1"/>
  <c r="AF250" i="1"/>
  <c r="AQ250" i="1"/>
  <c r="AD250" i="1"/>
  <c r="AB250" i="1"/>
  <c r="AI282" i="1"/>
  <c r="AQ282" i="1"/>
  <c r="AP282" i="1"/>
  <c r="AL282" i="1"/>
  <c r="AG282" i="1"/>
  <c r="AE282" i="1"/>
  <c r="AA282" i="1"/>
  <c r="AJ314" i="1"/>
  <c r="AI314" i="1"/>
  <c r="AH314" i="1"/>
  <c r="AG314" i="1"/>
  <c r="AB314" i="1"/>
  <c r="AA314" i="1"/>
  <c r="AQ314" i="1"/>
  <c r="AO314" i="1"/>
  <c r="AM346" i="1"/>
  <c r="AH346" i="1"/>
  <c r="AC346" i="1"/>
  <c r="AP133" i="1"/>
  <c r="AK133" i="1"/>
  <c r="AB133" i="1"/>
  <c r="AG133" i="1"/>
  <c r="AQ393" i="1"/>
  <c r="AN393" i="1"/>
  <c r="AB393" i="1"/>
  <c r="AM393" i="1"/>
  <c r="AA393" i="1"/>
  <c r="AK393" i="1"/>
  <c r="AJ393" i="1"/>
  <c r="AG393" i="1"/>
  <c r="AP393" i="1"/>
  <c r="AO393" i="1"/>
  <c r="AF393" i="1"/>
  <c r="AE393" i="1"/>
  <c r="AC393" i="1"/>
  <c r="AD425" i="1"/>
  <c r="AH425" i="1"/>
  <c r="AD457" i="1"/>
  <c r="AC457" i="1"/>
  <c r="AB457" i="1"/>
  <c r="AP457" i="1"/>
  <c r="AL457" i="1"/>
  <c r="AJ457" i="1"/>
  <c r="AL489" i="1"/>
  <c r="AF489" i="1"/>
  <c r="AE489" i="1"/>
  <c r="AB489" i="1"/>
  <c r="AA489" i="1"/>
  <c r="AQ489" i="1"/>
  <c r="AM489" i="1"/>
  <c r="AJ489" i="1"/>
  <c r="AN521" i="1"/>
  <c r="AB521" i="1"/>
  <c r="AM521" i="1"/>
  <c r="AA521" i="1"/>
  <c r="AK521" i="1"/>
  <c r="AI521" i="1"/>
  <c r="AH521" i="1"/>
  <c r="AQ521" i="1"/>
  <c r="AE521" i="1"/>
  <c r="AP521" i="1"/>
  <c r="AF521" i="1"/>
  <c r="AC521" i="1"/>
  <c r="AN98" i="1"/>
  <c r="AM98" i="1"/>
  <c r="AK98" i="1"/>
  <c r="AH98" i="1"/>
  <c r="AE98" i="1"/>
  <c r="AC98" i="1"/>
  <c r="AJ98" i="1"/>
  <c r="AQ382" i="1"/>
  <c r="AN382" i="1"/>
  <c r="AC382" i="1"/>
  <c r="AM382" i="1"/>
  <c r="AA382" i="1"/>
  <c r="AL382" i="1"/>
  <c r="AK382" i="1"/>
  <c r="AG382" i="1"/>
  <c r="AF382" i="1"/>
  <c r="AE382" i="1"/>
  <c r="AD382" i="1"/>
  <c r="AP382" i="1"/>
  <c r="AO382" i="1"/>
  <c r="AQ414" i="1"/>
  <c r="AN414" i="1"/>
  <c r="AC414" i="1"/>
  <c r="AM414" i="1"/>
  <c r="AA414" i="1"/>
  <c r="AL414" i="1"/>
  <c r="AK414" i="1"/>
  <c r="AG414" i="1"/>
  <c r="AF414" i="1"/>
  <c r="AP414" i="1"/>
  <c r="AO414" i="1"/>
  <c r="AE414" i="1"/>
  <c r="AD414" i="1"/>
  <c r="AA446" i="1"/>
  <c r="AP446" i="1"/>
  <c r="AL446" i="1"/>
  <c r="AL478" i="1"/>
  <c r="AF478" i="1"/>
  <c r="AE478" i="1"/>
  <c r="AJ478" i="1"/>
  <c r="AO478" i="1"/>
  <c r="AN510" i="1"/>
  <c r="AB510" i="1"/>
  <c r="AL510" i="1"/>
  <c r="AI510" i="1"/>
  <c r="AH510" i="1"/>
  <c r="AG510" i="1"/>
  <c r="AP510" i="1"/>
  <c r="AD510" i="1"/>
  <c r="AQ510" i="1"/>
  <c r="AO510" i="1"/>
  <c r="AF510" i="1"/>
  <c r="AC510" i="1"/>
  <c r="AI542" i="1"/>
  <c r="AN542" i="1"/>
  <c r="AH542" i="1"/>
  <c r="AD542" i="1"/>
  <c r="AC542" i="1"/>
  <c r="AO542" i="1"/>
  <c r="AJ107" i="1"/>
  <c r="AM107" i="1"/>
  <c r="AC107" i="1"/>
  <c r="AL107" i="1"/>
  <c r="AA107" i="1"/>
  <c r="AK107" i="1"/>
  <c r="AI107" i="1"/>
  <c r="AG107" i="1"/>
  <c r="AF107" i="1"/>
  <c r="AE107" i="1"/>
  <c r="AD107" i="1"/>
  <c r="AO107" i="1"/>
  <c r="AN107" i="1"/>
  <c r="AQ107" i="1"/>
  <c r="AJ139" i="1"/>
  <c r="AG139" i="1"/>
  <c r="AQ139" i="1"/>
  <c r="AF139" i="1"/>
  <c r="AO139" i="1"/>
  <c r="AE139" i="1"/>
  <c r="AN139" i="1"/>
  <c r="AD139" i="1"/>
  <c r="AM139" i="1"/>
  <c r="AC139" i="1"/>
  <c r="AK139" i="1"/>
  <c r="AL139" i="1"/>
  <c r="AI139" i="1"/>
  <c r="AA139" i="1"/>
  <c r="AJ171" i="1"/>
  <c r="AN171" i="1"/>
  <c r="AD171" i="1"/>
  <c r="AM171" i="1"/>
  <c r="AC171" i="1"/>
  <c r="AL171" i="1"/>
  <c r="AA171" i="1"/>
  <c r="AK171" i="1"/>
  <c r="AI171" i="1"/>
  <c r="AG171" i="1"/>
  <c r="AQ171" i="1"/>
  <c r="AO171" i="1"/>
  <c r="AF171" i="1"/>
  <c r="AE171" i="1"/>
  <c r="AK203" i="1"/>
  <c r="AE203" i="1"/>
  <c r="AC203" i="1"/>
  <c r="AP203" i="1"/>
  <c r="AH203" i="1"/>
  <c r="AJ203" i="1"/>
  <c r="AM203" i="1"/>
  <c r="AQ235" i="1"/>
  <c r="AG235" i="1"/>
  <c r="AC235" i="1"/>
  <c r="AB235" i="1"/>
  <c r="AP235" i="1"/>
  <c r="AL235" i="1"/>
  <c r="AK235" i="1"/>
  <c r="AO267" i="1"/>
  <c r="AN267" i="1"/>
  <c r="AJ267" i="1"/>
  <c r="AH267" i="1"/>
  <c r="AG267" i="1"/>
  <c r="AP267" i="1"/>
  <c r="AF267" i="1"/>
  <c r="AE267" i="1"/>
  <c r="AC267" i="1"/>
  <c r="AM299" i="1"/>
  <c r="AJ299" i="1"/>
  <c r="AH299" i="1"/>
  <c r="AG299" i="1"/>
  <c r="AF299" i="1"/>
  <c r="AE299" i="1"/>
  <c r="AB299" i="1"/>
  <c r="AP299" i="1"/>
  <c r="AO299" i="1"/>
  <c r="AB331" i="1"/>
  <c r="AQ331" i="1"/>
  <c r="AP331" i="1"/>
  <c r="AN331" i="1"/>
  <c r="AK331" i="1"/>
  <c r="AC331" i="1"/>
  <c r="AP363" i="1"/>
  <c r="AJ363" i="1"/>
  <c r="AI363" i="1"/>
  <c r="AF363" i="1"/>
  <c r="AQ363" i="1"/>
  <c r="AE363" i="1"/>
  <c r="AN363" i="1"/>
  <c r="AD363" i="1"/>
  <c r="AM363" i="1"/>
  <c r="AC363" i="1"/>
  <c r="AL363" i="1"/>
  <c r="AK363" i="1"/>
  <c r="AB363" i="1"/>
  <c r="AA363" i="1"/>
  <c r="AP395" i="1"/>
  <c r="AI395" i="1"/>
  <c r="AQ395" i="1"/>
  <c r="AG395" i="1"/>
  <c r="AO395" i="1"/>
  <c r="AF395" i="1"/>
  <c r="AN395" i="1"/>
  <c r="AE395" i="1"/>
  <c r="AM395" i="1"/>
  <c r="AD395" i="1"/>
  <c r="AJ395" i="1"/>
  <c r="AC395" i="1"/>
  <c r="AB395" i="1"/>
  <c r="AA395" i="1"/>
  <c r="AL395" i="1"/>
  <c r="AK395" i="1"/>
  <c r="AP427" i="1"/>
  <c r="AK427" i="1"/>
  <c r="AB427" i="1"/>
  <c r="AJ427" i="1"/>
  <c r="AA427" i="1"/>
  <c r="AI427" i="1"/>
  <c r="AQ427" i="1"/>
  <c r="AG427" i="1"/>
  <c r="AO427" i="1"/>
  <c r="AF427" i="1"/>
  <c r="AN427" i="1"/>
  <c r="AE427" i="1"/>
  <c r="AM427" i="1"/>
  <c r="AL427" i="1"/>
  <c r="AD427" i="1"/>
  <c r="AC427" i="1"/>
  <c r="AP459" i="1"/>
  <c r="AL459" i="1"/>
  <c r="AM491" i="1"/>
  <c r="AB491" i="1"/>
  <c r="AL491" i="1"/>
  <c r="AA491" i="1"/>
  <c r="AJ491" i="1"/>
  <c r="AH491" i="1"/>
  <c r="AQ491" i="1"/>
  <c r="AG491" i="1"/>
  <c r="AP491" i="1"/>
  <c r="AO491" i="1"/>
  <c r="AN491" i="1"/>
  <c r="AF491" i="1"/>
  <c r="AE491" i="1"/>
  <c r="AD491" i="1"/>
  <c r="AK523" i="1"/>
  <c r="AQ523" i="1"/>
  <c r="AF523" i="1"/>
  <c r="AO523" i="1"/>
  <c r="AE523" i="1"/>
  <c r="AN523" i="1"/>
  <c r="AD523" i="1"/>
  <c r="AM523" i="1"/>
  <c r="AB523" i="1"/>
  <c r="AL523" i="1"/>
  <c r="AA523" i="1"/>
  <c r="AI523" i="1"/>
  <c r="AJ523" i="1"/>
  <c r="AG523" i="1"/>
  <c r="AQ333" i="1"/>
  <c r="AH374" i="1"/>
  <c r="AC374" i="1"/>
  <c r="AA374" i="1"/>
  <c r="AE305" i="1"/>
  <c r="AE273" i="1"/>
  <c r="AM314" i="1"/>
  <c r="AF310" i="1"/>
  <c r="AQ263" i="1"/>
  <c r="AI233" i="1"/>
  <c r="AQ237" i="1"/>
  <c r="AJ278" i="1"/>
  <c r="AC250" i="1"/>
  <c r="AB246" i="1"/>
  <c r="AC205" i="1"/>
  <c r="AO237" i="1"/>
  <c r="AG278" i="1"/>
  <c r="AC278" i="1"/>
  <c r="AO218" i="1"/>
  <c r="AP201" i="1"/>
  <c r="AG199" i="1"/>
  <c r="AB139" i="1"/>
  <c r="AD203" i="1"/>
  <c r="AP139" i="1"/>
  <c r="AP103" i="1"/>
  <c r="AD214" i="1"/>
  <c r="AC186" i="1"/>
  <c r="AA178" i="1"/>
  <c r="AM178" i="1"/>
  <c r="AJ146" i="1"/>
  <c r="AD77" i="1"/>
  <c r="AC137" i="1"/>
  <c r="AJ133" i="1"/>
  <c r="AE129" i="1"/>
  <c r="AK73" i="1"/>
  <c r="AB138" i="1"/>
  <c r="AB98" i="1"/>
  <c r="AQ94" i="1"/>
  <c r="AG86" i="1"/>
  <c r="AD82" i="1"/>
  <c r="AL173" i="1"/>
  <c r="AQ169" i="1"/>
  <c r="AG169" i="1"/>
  <c r="AA141" i="1"/>
  <c r="AN141" i="1"/>
  <c r="AL133" i="1"/>
  <c r="AK425" i="1"/>
  <c r="AM425" i="1"/>
  <c r="AD206" i="1"/>
  <c r="AA206" i="1"/>
  <c r="AO97" i="1"/>
  <c r="AM97" i="1"/>
  <c r="AK97" i="1"/>
  <c r="AJ97" i="1"/>
  <c r="AM209" i="1"/>
  <c r="AG209" i="1"/>
  <c r="AF209" i="1"/>
  <c r="AQ209" i="1"/>
  <c r="AD209" i="1"/>
  <c r="AO209" i="1"/>
  <c r="AB209" i="1"/>
  <c r="AN209" i="1"/>
  <c r="AA209" i="1"/>
  <c r="AL209" i="1"/>
  <c r="AJ209" i="1"/>
  <c r="AI209" i="1"/>
  <c r="AP209" i="1"/>
  <c r="AL241" i="1"/>
  <c r="AB241" i="1"/>
  <c r="AK241" i="1"/>
  <c r="AH241" i="1"/>
  <c r="AG241" i="1"/>
  <c r="AP241" i="1"/>
  <c r="AF241" i="1"/>
  <c r="AO241" i="1"/>
  <c r="AE241" i="1"/>
  <c r="AN241" i="1"/>
  <c r="AM241" i="1"/>
  <c r="AD241" i="1"/>
  <c r="AC241" i="1"/>
  <c r="AP277" i="1"/>
  <c r="AK277" i="1"/>
  <c r="AA277" i="1"/>
  <c r="AJ277" i="1"/>
  <c r="AI277" i="1"/>
  <c r="AG277" i="1"/>
  <c r="AQ277" i="1"/>
  <c r="AF277" i="1"/>
  <c r="AL277" i="1"/>
  <c r="AD277" i="1"/>
  <c r="AC277" i="1"/>
  <c r="AB277" i="1"/>
  <c r="AO277" i="1"/>
  <c r="AN277" i="1"/>
  <c r="AP309" i="1"/>
  <c r="AQ309" i="1"/>
  <c r="AF309" i="1"/>
  <c r="AO309" i="1"/>
  <c r="AD309" i="1"/>
  <c r="AN309" i="1"/>
  <c r="AC309" i="1"/>
  <c r="AL309" i="1"/>
  <c r="AB309" i="1"/>
  <c r="AK309" i="1"/>
  <c r="AA309" i="1"/>
  <c r="AJ309" i="1"/>
  <c r="AI309" i="1"/>
  <c r="AG309" i="1"/>
  <c r="AK90" i="1"/>
  <c r="AH90" i="1"/>
  <c r="AE90" i="1"/>
  <c r="AC90" i="1"/>
  <c r="AM90" i="1"/>
  <c r="AN90" i="1"/>
  <c r="AL90" i="1"/>
  <c r="AG90" i="1"/>
  <c r="AP150" i="1"/>
  <c r="AN150" i="1"/>
  <c r="AH150" i="1"/>
  <c r="AF150" i="1"/>
  <c r="AD150" i="1"/>
  <c r="AO150" i="1"/>
  <c r="AC190" i="1"/>
  <c r="AF190" i="1"/>
  <c r="AQ222" i="1"/>
  <c r="AN222" i="1"/>
  <c r="AG222" i="1"/>
  <c r="AA222" i="1"/>
  <c r="AE254" i="1"/>
  <c r="AQ254" i="1"/>
  <c r="AD254" i="1"/>
  <c r="AP254" i="1"/>
  <c r="AC254" i="1"/>
  <c r="AM254" i="1"/>
  <c r="AB254" i="1"/>
  <c r="AL254" i="1"/>
  <c r="AA254" i="1"/>
  <c r="AK254" i="1"/>
  <c r="AI254" i="1"/>
  <c r="AH254" i="1"/>
  <c r="AI286" i="1"/>
  <c r="AM286" i="1"/>
  <c r="AH286" i="1"/>
  <c r="AG286" i="1"/>
  <c r="AB286" i="1"/>
  <c r="AQ286" i="1"/>
  <c r="AN350" i="1"/>
  <c r="AM350" i="1"/>
  <c r="AL350" i="1"/>
  <c r="AK350" i="1"/>
  <c r="AQ257" i="1"/>
  <c r="AJ257" i="1"/>
  <c r="AG257" i="1"/>
  <c r="AF257" i="1"/>
  <c r="AO257" i="1"/>
  <c r="AE257" i="1"/>
  <c r="AN257" i="1"/>
  <c r="AD257" i="1"/>
  <c r="AM257" i="1"/>
  <c r="AC257" i="1"/>
  <c r="AL257" i="1"/>
  <c r="AK257" i="1"/>
  <c r="AB257" i="1"/>
  <c r="AQ397" i="1"/>
  <c r="AO397" i="1"/>
  <c r="AC397" i="1"/>
  <c r="AN397" i="1"/>
  <c r="AB397" i="1"/>
  <c r="AM397" i="1"/>
  <c r="AA397" i="1"/>
  <c r="AK397" i="1"/>
  <c r="AJ397" i="1"/>
  <c r="AP397" i="1"/>
  <c r="AG397" i="1"/>
  <c r="AF397" i="1"/>
  <c r="AE397" i="1"/>
  <c r="AL429" i="1"/>
  <c r="AQ429" i="1"/>
  <c r="AF429" i="1"/>
  <c r="AO429" i="1"/>
  <c r="AE429" i="1"/>
  <c r="AN429" i="1"/>
  <c r="AC429" i="1"/>
  <c r="AM429" i="1"/>
  <c r="AB429" i="1"/>
  <c r="AK429" i="1"/>
  <c r="AA429" i="1"/>
  <c r="AJ429" i="1"/>
  <c r="AI429" i="1"/>
  <c r="AG429" i="1"/>
  <c r="AH461" i="1"/>
  <c r="AD461" i="1"/>
  <c r="AQ461" i="1"/>
  <c r="AC461" i="1"/>
  <c r="AP461" i="1"/>
  <c r="AB461" i="1"/>
  <c r="AM461" i="1"/>
  <c r="AA461" i="1"/>
  <c r="AL461" i="1"/>
  <c r="AE461" i="1"/>
  <c r="AK461" i="1"/>
  <c r="AI461" i="1"/>
  <c r="AQ493" i="1"/>
  <c r="AN493" i="1"/>
  <c r="AH493" i="1"/>
  <c r="AC493" i="1"/>
  <c r="AJ525" i="1"/>
  <c r="AI525" i="1"/>
  <c r="AH525" i="1"/>
  <c r="AF525" i="1"/>
  <c r="AE525" i="1"/>
  <c r="AP525" i="1"/>
  <c r="AB525" i="1"/>
  <c r="AQ525" i="1"/>
  <c r="AN525" i="1"/>
  <c r="AC525" i="1"/>
  <c r="AH102" i="1"/>
  <c r="AE102" i="1"/>
  <c r="AQ102" i="1"/>
  <c r="AM102" i="1"/>
  <c r="AQ386" i="1"/>
  <c r="AO386" i="1"/>
  <c r="AD386" i="1"/>
  <c r="AN386" i="1"/>
  <c r="AC386" i="1"/>
  <c r="AM386" i="1"/>
  <c r="AA386" i="1"/>
  <c r="AL386" i="1"/>
  <c r="AK386" i="1"/>
  <c r="AG386" i="1"/>
  <c r="AP386" i="1"/>
  <c r="AF386" i="1"/>
  <c r="AE386" i="1"/>
  <c r="AJ418" i="1"/>
  <c r="AN418" i="1"/>
  <c r="AD418" i="1"/>
  <c r="AM418" i="1"/>
  <c r="AC418" i="1"/>
  <c r="AL418" i="1"/>
  <c r="AA418" i="1"/>
  <c r="AK418" i="1"/>
  <c r="AI418" i="1"/>
  <c r="AG418" i="1"/>
  <c r="AQ418" i="1"/>
  <c r="AO418" i="1"/>
  <c r="AF418" i="1"/>
  <c r="AE418" i="1"/>
  <c r="AL450" i="1"/>
  <c r="AD450" i="1"/>
  <c r="AB450" i="1"/>
  <c r="AA450" i="1"/>
  <c r="AK450" i="1"/>
  <c r="AJ450" i="1"/>
  <c r="AH450" i="1"/>
  <c r="AP482" i="1"/>
  <c r="AF482" i="1"/>
  <c r="AL482" i="1"/>
  <c r="AK482" i="1"/>
  <c r="AP514" i="1"/>
  <c r="AD514" i="1"/>
  <c r="AO514" i="1"/>
  <c r="AC514" i="1"/>
  <c r="AN514" i="1"/>
  <c r="AA514" i="1"/>
  <c r="AL514" i="1"/>
  <c r="AI514" i="1"/>
  <c r="AG514" i="1"/>
  <c r="AQ514" i="1"/>
  <c r="AH514" i="1"/>
  <c r="AF514" i="1"/>
  <c r="AJ111" i="1"/>
  <c r="AI111" i="1"/>
  <c r="AG111" i="1"/>
  <c r="AQ111" i="1"/>
  <c r="AF111" i="1"/>
  <c r="AO111" i="1"/>
  <c r="AE111" i="1"/>
  <c r="AN111" i="1"/>
  <c r="AD111" i="1"/>
  <c r="AL111" i="1"/>
  <c r="AA111" i="1"/>
  <c r="AM111" i="1"/>
  <c r="AC111" i="1"/>
  <c r="AK111" i="1"/>
  <c r="AJ143" i="1"/>
  <c r="AN143" i="1"/>
  <c r="AD143" i="1"/>
  <c r="AM143" i="1"/>
  <c r="AC143" i="1"/>
  <c r="AL143" i="1"/>
  <c r="AA143" i="1"/>
  <c r="AK143" i="1"/>
  <c r="AI143" i="1"/>
  <c r="AQ143" i="1"/>
  <c r="AF143" i="1"/>
  <c r="AG143" i="1"/>
  <c r="AE143" i="1"/>
  <c r="AO143" i="1"/>
  <c r="AJ175" i="1"/>
  <c r="AK175" i="1"/>
  <c r="AI175" i="1"/>
  <c r="AG175" i="1"/>
  <c r="AQ175" i="1"/>
  <c r="AF175" i="1"/>
  <c r="AO175" i="1"/>
  <c r="AE175" i="1"/>
  <c r="AN175" i="1"/>
  <c r="AD175" i="1"/>
  <c r="AM175" i="1"/>
  <c r="AL175" i="1"/>
  <c r="AC175" i="1"/>
  <c r="AA175" i="1"/>
  <c r="AP207" i="1"/>
  <c r="AK207" i="1"/>
  <c r="AJ207" i="1"/>
  <c r="AH207" i="1"/>
  <c r="AF207" i="1"/>
  <c r="AC207" i="1"/>
  <c r="AM207" i="1"/>
  <c r="AH239" i="1"/>
  <c r="AQ239" i="1"/>
  <c r="AG239" i="1"/>
  <c r="AP239" i="1"/>
  <c r="AF239" i="1"/>
  <c r="AO239" i="1"/>
  <c r="AD239" i="1"/>
  <c r="AN239" i="1"/>
  <c r="AC239" i="1"/>
  <c r="AL239" i="1"/>
  <c r="AB239" i="1"/>
  <c r="AK239" i="1"/>
  <c r="AJ239" i="1"/>
  <c r="AA239" i="1"/>
  <c r="AO271" i="1"/>
  <c r="AK271" i="1"/>
  <c r="AJ271" i="1"/>
  <c r="AH271" i="1"/>
  <c r="AF271" i="1"/>
  <c r="AP271" i="1"/>
  <c r="AE271" i="1"/>
  <c r="AF303" i="1"/>
  <c r="AE303" i="1"/>
  <c r="AP303" i="1"/>
  <c r="AB303" i="1"/>
  <c r="AO303" i="1"/>
  <c r="AM303" i="1"/>
  <c r="AJ303" i="1"/>
  <c r="AH303" i="1"/>
  <c r="AG303" i="1"/>
  <c r="AI335" i="1"/>
  <c r="AF335" i="1"/>
  <c r="AC335" i="1"/>
  <c r="AB335" i="1"/>
  <c r="AQ335" i="1"/>
  <c r="AJ335" i="1"/>
  <c r="AH335" i="1"/>
  <c r="AP367" i="1"/>
  <c r="AN367" i="1"/>
  <c r="AD367" i="1"/>
  <c r="AM367" i="1"/>
  <c r="AC367" i="1"/>
  <c r="AL367" i="1"/>
  <c r="AB367" i="1"/>
  <c r="AK367" i="1"/>
  <c r="AA367" i="1"/>
  <c r="AJ367" i="1"/>
  <c r="AI367" i="1"/>
  <c r="AQ367" i="1"/>
  <c r="AF367" i="1"/>
  <c r="AE367" i="1"/>
  <c r="AP399" i="1"/>
  <c r="AJ399" i="1"/>
  <c r="AA399" i="1"/>
  <c r="AI399" i="1"/>
  <c r="AQ399" i="1"/>
  <c r="AG399" i="1"/>
  <c r="AO399" i="1"/>
  <c r="AF399" i="1"/>
  <c r="AN399" i="1"/>
  <c r="AE399" i="1"/>
  <c r="AM399" i="1"/>
  <c r="AL399" i="1"/>
  <c r="AK399" i="1"/>
  <c r="AD399" i="1"/>
  <c r="AC399" i="1"/>
  <c r="AB399" i="1"/>
  <c r="AP431" i="1"/>
  <c r="AL431" i="1"/>
  <c r="AC431" i="1"/>
  <c r="AK431" i="1"/>
  <c r="AB431" i="1"/>
  <c r="AJ431" i="1"/>
  <c r="AA431" i="1"/>
  <c r="AI431" i="1"/>
  <c r="AQ431" i="1"/>
  <c r="AG431" i="1"/>
  <c r="AO431" i="1"/>
  <c r="AF431" i="1"/>
  <c r="AE431" i="1"/>
  <c r="AD431" i="1"/>
  <c r="AN431" i="1"/>
  <c r="AM431" i="1"/>
  <c r="AM495" i="1"/>
  <c r="AN495" i="1"/>
  <c r="AI495" i="1"/>
  <c r="AH495" i="1"/>
  <c r="AG495" i="1"/>
  <c r="AK527" i="1"/>
  <c r="AI527" i="1"/>
  <c r="AG527" i="1"/>
  <c r="AQ527" i="1"/>
  <c r="AF527" i="1"/>
  <c r="AO527" i="1"/>
  <c r="AE527" i="1"/>
  <c r="AN527" i="1"/>
  <c r="AD527" i="1"/>
  <c r="AL527" i="1"/>
  <c r="AA527" i="1"/>
  <c r="AM527" i="1"/>
  <c r="AJ527" i="1"/>
  <c r="AB527" i="1"/>
  <c r="AM369" i="1"/>
  <c r="AJ369" i="1"/>
  <c r="AI333" i="1"/>
  <c r="AG378" i="1"/>
  <c r="AM374" i="1"/>
  <c r="AI374" i="1"/>
  <c r="AM301" i="1"/>
  <c r="AM269" i="1"/>
  <c r="AG310" i="1"/>
  <c r="AF314" i="1"/>
  <c r="AC295" i="1"/>
  <c r="AP310" i="1"/>
  <c r="AN310" i="1"/>
  <c r="AJ310" i="1"/>
  <c r="AQ233" i="1"/>
  <c r="AN218" i="1"/>
  <c r="AK201" i="1"/>
  <c r="AF237" i="1"/>
  <c r="AQ278" i="1"/>
  <c r="AK278" i="1"/>
  <c r="AI250" i="1"/>
  <c r="AH201" i="1"/>
  <c r="AO199" i="1"/>
  <c r="AB171" i="1"/>
  <c r="AB103" i="1"/>
  <c r="AL203" i="1"/>
  <c r="AJ199" i="1"/>
  <c r="AD186" i="1"/>
  <c r="AH139" i="1"/>
  <c r="AM214" i="1"/>
  <c r="AF199" i="1"/>
  <c r="AF203" i="1"/>
  <c r="AI178" i="1"/>
  <c r="AC146" i="1"/>
  <c r="AL77" i="1"/>
  <c r="AK137" i="1"/>
  <c r="AM129" i="1"/>
  <c r="AF86" i="1"/>
  <c r="AA73" i="1"/>
  <c r="AJ138" i="1"/>
  <c r="AH77" i="1"/>
  <c r="AB141" i="1"/>
  <c r="AD98" i="1"/>
  <c r="AB94" i="1"/>
  <c r="AO86" i="1"/>
  <c r="AP82" i="1"/>
  <c r="AL82" i="1"/>
  <c r="AE173" i="1"/>
  <c r="AC169" i="1"/>
  <c r="AQ141" i="1"/>
  <c r="AG141" i="1"/>
  <c r="AE133" i="1"/>
  <c r="AO425" i="1"/>
  <c r="AC425" i="1"/>
  <c r="AP206" i="1"/>
  <c r="AI206" i="1"/>
  <c r="AP101" i="1"/>
  <c r="AM101" i="1"/>
  <c r="AA101" i="1"/>
  <c r="AB101" i="1"/>
  <c r="AG149" i="1"/>
  <c r="AC149" i="1"/>
  <c r="AQ181" i="1"/>
  <c r="AF181" i="1"/>
  <c r="AP181" i="1"/>
  <c r="AD181" i="1"/>
  <c r="AO181" i="1"/>
  <c r="AB181" i="1"/>
  <c r="AN181" i="1"/>
  <c r="AA181" i="1"/>
  <c r="AL181" i="1"/>
  <c r="AI181" i="1"/>
  <c r="AH181" i="1"/>
  <c r="AG181" i="1"/>
  <c r="AQ213" i="1"/>
  <c r="AL213" i="1"/>
  <c r="AJ213" i="1"/>
  <c r="AI213" i="1"/>
  <c r="AG213" i="1"/>
  <c r="AF213" i="1"/>
  <c r="AD213" i="1"/>
  <c r="AB213" i="1"/>
  <c r="AA213" i="1"/>
  <c r="AO213" i="1"/>
  <c r="AN213" i="1"/>
  <c r="AN245" i="1"/>
  <c r="AF245" i="1"/>
  <c r="AO245" i="1"/>
  <c r="AJ245" i="1"/>
  <c r="AM245" i="1"/>
  <c r="AG245" i="1"/>
  <c r="AP281" i="1"/>
  <c r="AQ281" i="1"/>
  <c r="AF281" i="1"/>
  <c r="AO281" i="1"/>
  <c r="AD281" i="1"/>
  <c r="AN281" i="1"/>
  <c r="AC281" i="1"/>
  <c r="AL281" i="1"/>
  <c r="AB281" i="1"/>
  <c r="AK281" i="1"/>
  <c r="AA281" i="1"/>
  <c r="AJ281" i="1"/>
  <c r="AI281" i="1"/>
  <c r="AG281" i="1"/>
  <c r="AP313" i="1"/>
  <c r="AO313" i="1"/>
  <c r="AD313" i="1"/>
  <c r="AN313" i="1"/>
  <c r="AC313" i="1"/>
  <c r="AL313" i="1"/>
  <c r="AB313" i="1"/>
  <c r="AK313" i="1"/>
  <c r="AA313" i="1"/>
  <c r="AJ313" i="1"/>
  <c r="AI313" i="1"/>
  <c r="AQ313" i="1"/>
  <c r="AG313" i="1"/>
  <c r="AF313" i="1"/>
  <c r="AQ349" i="1"/>
  <c r="AJ349" i="1"/>
  <c r="AI349" i="1"/>
  <c r="AH349" i="1"/>
  <c r="AG349" i="1"/>
  <c r="AP58" i="1"/>
  <c r="AF58" i="1"/>
  <c r="AE58" i="1"/>
  <c r="AQ58" i="1"/>
  <c r="AC58" i="1"/>
  <c r="AO58" i="1"/>
  <c r="AB58" i="1"/>
  <c r="AN58" i="1"/>
  <c r="AH58" i="1"/>
  <c r="AM58" i="1"/>
  <c r="AK58" i="1"/>
  <c r="AI58" i="1"/>
  <c r="AA58" i="1"/>
  <c r="AH110" i="1"/>
  <c r="AE110" i="1"/>
  <c r="AC110" i="1"/>
  <c r="AP154" i="1"/>
  <c r="AN154" i="1"/>
  <c r="AH154" i="1"/>
  <c r="AF154" i="1"/>
  <c r="AJ154" i="1"/>
  <c r="AM194" i="1"/>
  <c r="AJ194" i="1"/>
  <c r="AH194" i="1"/>
  <c r="AG194" i="1"/>
  <c r="AF194" i="1"/>
  <c r="AP194" i="1"/>
  <c r="AE194" i="1"/>
  <c r="AO194" i="1"/>
  <c r="AN194" i="1"/>
  <c r="AD194" i="1"/>
  <c r="AB194" i="1"/>
  <c r="AA226" i="1"/>
  <c r="AP226" i="1"/>
  <c r="AM226" i="1"/>
  <c r="AI226" i="1"/>
  <c r="AE226" i="1"/>
  <c r="AO258" i="1"/>
  <c r="AK258" i="1"/>
  <c r="AB290" i="1"/>
  <c r="AA290" i="1"/>
  <c r="AP290" i="1"/>
  <c r="AO290" i="1"/>
  <c r="AL290" i="1"/>
  <c r="AI290" i="1"/>
  <c r="AH290" i="1"/>
  <c r="AD290" i="1"/>
  <c r="AO322" i="1"/>
  <c r="AB322" i="1"/>
  <c r="AJ322" i="1"/>
  <c r="AN354" i="1"/>
  <c r="AO354" i="1"/>
  <c r="AD354" i="1"/>
  <c r="AC354" i="1"/>
  <c r="AK337" i="1"/>
  <c r="AL337" i="1"/>
  <c r="AJ337" i="1"/>
  <c r="AG337" i="1"/>
  <c r="AF337" i="1"/>
  <c r="AE337" i="1"/>
  <c r="AO337" i="1"/>
  <c r="AD337" i="1"/>
  <c r="AN337" i="1"/>
  <c r="AM337" i="1"/>
  <c r="AB337" i="1"/>
  <c r="AQ401" i="1"/>
  <c r="AP401" i="1"/>
  <c r="AE401" i="1"/>
  <c r="AO401" i="1"/>
  <c r="AC401" i="1"/>
  <c r="AN401" i="1"/>
  <c r="AB401" i="1"/>
  <c r="AM401" i="1"/>
  <c r="AA401" i="1"/>
  <c r="AK401" i="1"/>
  <c r="AJ401" i="1"/>
  <c r="AG401" i="1"/>
  <c r="AF401" i="1"/>
  <c r="AO433" i="1"/>
  <c r="AK433" i="1"/>
  <c r="AA433" i="1"/>
  <c r="AJ433" i="1"/>
  <c r="AI433" i="1"/>
  <c r="AG433" i="1"/>
  <c r="AF433" i="1"/>
  <c r="AP433" i="1"/>
  <c r="AE433" i="1"/>
  <c r="AN433" i="1"/>
  <c r="AM433" i="1"/>
  <c r="AC433" i="1"/>
  <c r="AB433" i="1"/>
  <c r="AK465" i="1"/>
  <c r="AI465" i="1"/>
  <c r="AD465" i="1"/>
  <c r="AC465" i="1"/>
  <c r="AB465" i="1"/>
  <c r="AM465" i="1"/>
  <c r="AN497" i="1"/>
  <c r="AM497" i="1"/>
  <c r="AF497" i="1"/>
  <c r="AK529" i="1"/>
  <c r="AQ529" i="1"/>
  <c r="AP529" i="1"/>
  <c r="AJ529" i="1"/>
  <c r="AH529" i="1"/>
  <c r="AF529" i="1"/>
  <c r="AC529" i="1"/>
  <c r="AE529" i="1"/>
  <c r="AA529" i="1"/>
  <c r="AH118" i="1"/>
  <c r="AE118" i="1"/>
  <c r="AL118" i="1"/>
  <c r="AA118" i="1"/>
  <c r="AQ390" i="1"/>
  <c r="AP390" i="1"/>
  <c r="AE390" i="1"/>
  <c r="AO390" i="1"/>
  <c r="AD390" i="1"/>
  <c r="AN390" i="1"/>
  <c r="AC390" i="1"/>
  <c r="AM390" i="1"/>
  <c r="AA390" i="1"/>
  <c r="AL390" i="1"/>
  <c r="AK390" i="1"/>
  <c r="AG390" i="1"/>
  <c r="AF390" i="1"/>
  <c r="AJ422" i="1"/>
  <c r="AO422" i="1"/>
  <c r="AE422" i="1"/>
  <c r="AN422" i="1"/>
  <c r="AD422" i="1"/>
  <c r="AM422" i="1"/>
  <c r="AC422" i="1"/>
  <c r="AL422" i="1"/>
  <c r="AA422" i="1"/>
  <c r="AK422" i="1"/>
  <c r="AI422" i="1"/>
  <c r="AQ422" i="1"/>
  <c r="AG422" i="1"/>
  <c r="AF422" i="1"/>
  <c r="AP486" i="1"/>
  <c r="AD486" i="1"/>
  <c r="AN486" i="1"/>
  <c r="AC486" i="1"/>
  <c r="AM486" i="1"/>
  <c r="AB486" i="1"/>
  <c r="AL486" i="1"/>
  <c r="AJ486" i="1"/>
  <c r="AH486" i="1"/>
  <c r="AG486" i="1"/>
  <c r="AE486" i="1"/>
  <c r="AH518" i="1"/>
  <c r="AG518" i="1"/>
  <c r="AJ115" i="1"/>
  <c r="AQ115" i="1"/>
  <c r="AF115" i="1"/>
  <c r="AO115" i="1"/>
  <c r="AE115" i="1"/>
  <c r="AN115" i="1"/>
  <c r="AD115" i="1"/>
  <c r="AM115" i="1"/>
  <c r="AC115" i="1"/>
  <c r="AL115" i="1"/>
  <c r="AA115" i="1"/>
  <c r="AI115" i="1"/>
  <c r="AK115" i="1"/>
  <c r="AG115" i="1"/>
  <c r="AH115" i="1"/>
  <c r="AJ147" i="1"/>
  <c r="AQ147" i="1"/>
  <c r="AF147" i="1"/>
  <c r="AO147" i="1"/>
  <c r="AE147" i="1"/>
  <c r="AN147" i="1"/>
  <c r="AD147" i="1"/>
  <c r="AM147" i="1"/>
  <c r="AC147" i="1"/>
  <c r="AL147" i="1"/>
  <c r="AA147" i="1"/>
  <c r="AK147" i="1"/>
  <c r="AI147" i="1"/>
  <c r="AG147" i="1"/>
  <c r="AH147" i="1"/>
  <c r="AJ179" i="1"/>
  <c r="AH179" i="1"/>
  <c r="AF179" i="1"/>
  <c r="AE179" i="1"/>
  <c r="AC179" i="1"/>
  <c r="AP179" i="1"/>
  <c r="AM179" i="1"/>
  <c r="AG179" i="1"/>
  <c r="AB179" i="1"/>
  <c r="AN179" i="1"/>
  <c r="AN211" i="1"/>
  <c r="AK211" i="1"/>
  <c r="AJ211" i="1"/>
  <c r="AF211" i="1"/>
  <c r="AB211" i="1"/>
  <c r="AL211" i="1"/>
  <c r="AN243" i="1"/>
  <c r="AD243" i="1"/>
  <c r="AB243" i="1"/>
  <c r="AJ275" i="1"/>
  <c r="AM275" i="1"/>
  <c r="AG275" i="1"/>
  <c r="AF275" i="1"/>
  <c r="AB275" i="1"/>
  <c r="AP275" i="1"/>
  <c r="AO307" i="1"/>
  <c r="AH307" i="1"/>
  <c r="AK339" i="1"/>
  <c r="AC339" i="1"/>
  <c r="AB339" i="1"/>
  <c r="AA339" i="1"/>
  <c r="AQ339" i="1"/>
  <c r="AJ339" i="1"/>
  <c r="AH339" i="1"/>
  <c r="AP371" i="1"/>
  <c r="AK371" i="1"/>
  <c r="AA371" i="1"/>
  <c r="AJ371" i="1"/>
  <c r="AI371" i="1"/>
  <c r="AF371" i="1"/>
  <c r="AQ371" i="1"/>
  <c r="AE371" i="1"/>
  <c r="AN371" i="1"/>
  <c r="AD371" i="1"/>
  <c r="AM371" i="1"/>
  <c r="AL371" i="1"/>
  <c r="AC371" i="1"/>
  <c r="AB371" i="1"/>
  <c r="AP403" i="1"/>
  <c r="AK403" i="1"/>
  <c r="AB403" i="1"/>
  <c r="AJ403" i="1"/>
  <c r="AA403" i="1"/>
  <c r="AI403" i="1"/>
  <c r="AQ403" i="1"/>
  <c r="AG403" i="1"/>
  <c r="AO403" i="1"/>
  <c r="AF403" i="1"/>
  <c r="AD403" i="1"/>
  <c r="AC403" i="1"/>
  <c r="AN403" i="1"/>
  <c r="AM403" i="1"/>
  <c r="AL403" i="1"/>
  <c r="AE403" i="1"/>
  <c r="AP435" i="1"/>
  <c r="AO435" i="1"/>
  <c r="AN435" i="1"/>
  <c r="AL467" i="1"/>
  <c r="AN467" i="1"/>
  <c r="AI467" i="1"/>
  <c r="AF467" i="1"/>
  <c r="AE467" i="1"/>
  <c r="AC467" i="1"/>
  <c r="AG499" i="1"/>
  <c r="AE499" i="1"/>
  <c r="AN499" i="1"/>
  <c r="AI499" i="1"/>
  <c r="AJ499" i="1"/>
  <c r="AH499" i="1"/>
  <c r="AK531" i="1"/>
  <c r="AJ531" i="1"/>
  <c r="AI531" i="1"/>
  <c r="AG531" i="1"/>
  <c r="AQ531" i="1"/>
  <c r="AF531" i="1"/>
  <c r="AO531" i="1"/>
  <c r="AE531" i="1"/>
  <c r="AM531" i="1"/>
  <c r="AB531" i="1"/>
  <c r="AN531" i="1"/>
  <c r="AL531" i="1"/>
  <c r="AD531" i="1"/>
  <c r="AA531" i="1"/>
  <c r="AP96" i="1"/>
  <c r="AI96" i="1"/>
  <c r="AQ96" i="1"/>
  <c r="AG96" i="1"/>
  <c r="AO96" i="1"/>
  <c r="AF96" i="1"/>
  <c r="AN96" i="1"/>
  <c r="AE96" i="1"/>
  <c r="AM96" i="1"/>
  <c r="AD96" i="1"/>
  <c r="AB96" i="1"/>
  <c r="AA96" i="1"/>
  <c r="AL96" i="1"/>
  <c r="AJ96" i="1"/>
  <c r="AC96" i="1"/>
  <c r="AK96" i="1"/>
  <c r="AP132" i="1"/>
  <c r="AN132" i="1"/>
  <c r="AE132" i="1"/>
  <c r="AM132" i="1"/>
  <c r="AD132" i="1"/>
  <c r="AL132" i="1"/>
  <c r="AC132" i="1"/>
  <c r="AK132" i="1"/>
  <c r="AB132" i="1"/>
  <c r="AJ132" i="1"/>
  <c r="AA132" i="1"/>
  <c r="AQ132" i="1"/>
  <c r="AG132" i="1"/>
  <c r="AI132" i="1"/>
  <c r="AF132" i="1"/>
  <c r="AO132" i="1"/>
  <c r="AH132" i="1"/>
  <c r="AP164" i="1"/>
  <c r="AL164" i="1"/>
  <c r="AC164" i="1"/>
  <c r="AK164" i="1"/>
  <c r="AB164" i="1"/>
  <c r="AJ164" i="1"/>
  <c r="AA164" i="1"/>
  <c r="AI164" i="1"/>
  <c r="AQ164" i="1"/>
  <c r="AG164" i="1"/>
  <c r="AO164" i="1"/>
  <c r="AF164" i="1"/>
  <c r="AE164" i="1"/>
  <c r="AD164" i="1"/>
  <c r="AN164" i="1"/>
  <c r="AM164" i="1"/>
  <c r="AH164" i="1"/>
  <c r="AG196" i="1"/>
  <c r="AD196" i="1"/>
  <c r="AP232" i="1"/>
  <c r="AO232" i="1"/>
  <c r="AD232" i="1"/>
  <c r="AN232" i="1"/>
  <c r="AB232" i="1"/>
  <c r="AM232" i="1"/>
  <c r="AA232" i="1"/>
  <c r="AL232" i="1"/>
  <c r="AJ232" i="1"/>
  <c r="AH232" i="1"/>
  <c r="AQ232" i="1"/>
  <c r="AF232" i="1"/>
  <c r="AE232" i="1"/>
  <c r="AP264" i="1"/>
  <c r="AA264" i="1"/>
  <c r="AL264" i="1"/>
  <c r="AK264" i="1"/>
  <c r="AJ264" i="1"/>
  <c r="AH264" i="1"/>
  <c r="AF264" i="1"/>
  <c r="AQ264" i="1"/>
  <c r="AC264" i="1"/>
  <c r="AB264" i="1"/>
  <c r="AD296" i="1"/>
  <c r="AC296" i="1"/>
  <c r="AP296" i="1"/>
  <c r="AN296" i="1"/>
  <c r="AK296" i="1"/>
  <c r="AE296" i="1"/>
  <c r="AL296" i="1"/>
  <c r="AI328" i="1"/>
  <c r="AQ328" i="1"/>
  <c r="AP328" i="1"/>
  <c r="AH328" i="1"/>
  <c r="AG328" i="1"/>
  <c r="AF328" i="1"/>
  <c r="AD328" i="1"/>
  <c r="AK360" i="1"/>
  <c r="AJ360" i="1"/>
  <c r="AA360" i="1"/>
  <c r="AQ392" i="1"/>
  <c r="AP392" i="1"/>
  <c r="AO392" i="1"/>
  <c r="AJ392" i="1"/>
  <c r="AG392" i="1"/>
  <c r="AE392" i="1"/>
  <c r="AD392" i="1"/>
  <c r="AC392" i="1"/>
  <c r="AM392" i="1"/>
  <c r="AB392" i="1"/>
  <c r="AL392" i="1"/>
  <c r="AK392" i="1"/>
  <c r="AA392" i="1"/>
  <c r="AH424" i="1"/>
  <c r="AG424" i="1"/>
  <c r="AQ424" i="1"/>
  <c r="AE424" i="1"/>
  <c r="AP424" i="1"/>
  <c r="AC424" i="1"/>
  <c r="AO424" i="1"/>
  <c r="AB424" i="1"/>
  <c r="AM424" i="1"/>
  <c r="AA424" i="1"/>
  <c r="AK424" i="1"/>
  <c r="AI424" i="1"/>
  <c r="AQ456" i="1"/>
  <c r="AK456" i="1"/>
  <c r="AJ456" i="1"/>
  <c r="AG456" i="1"/>
  <c r="AF456" i="1"/>
  <c r="AO456" i="1"/>
  <c r="AE456" i="1"/>
  <c r="AN456" i="1"/>
  <c r="AD456" i="1"/>
  <c r="AM456" i="1"/>
  <c r="AL456" i="1"/>
  <c r="AC456" i="1"/>
  <c r="AB456" i="1"/>
  <c r="AL488" i="1"/>
  <c r="AH488" i="1"/>
  <c r="AC488" i="1"/>
  <c r="AB488" i="1"/>
  <c r="AI488" i="1"/>
  <c r="AN488" i="1"/>
  <c r="AJ488" i="1"/>
  <c r="AK520" i="1"/>
  <c r="AE520" i="1"/>
  <c r="AD520" i="1"/>
  <c r="AC520" i="1"/>
  <c r="AP520" i="1"/>
  <c r="AB520" i="1"/>
  <c r="AO520" i="1"/>
  <c r="AJ520" i="1"/>
  <c r="AM520" i="1"/>
  <c r="AH520" i="1"/>
  <c r="AA369" i="1"/>
  <c r="AC369" i="1"/>
  <c r="AA333" i="1"/>
  <c r="AD374" i="1"/>
  <c r="AQ374" i="1"/>
  <c r="AP314" i="1"/>
  <c r="AN314" i="1"/>
  <c r="AO282" i="1"/>
  <c r="AC310" i="1"/>
  <c r="AJ282" i="1"/>
  <c r="AP278" i="1"/>
  <c r="AJ235" i="1"/>
  <c r="AE218" i="1"/>
  <c r="AC201" i="1"/>
  <c r="AH278" i="1"/>
  <c r="AF278" i="1"/>
  <c r="AG250" i="1"/>
  <c r="AN235" i="1"/>
  <c r="AA199" i="1"/>
  <c r="AB135" i="1"/>
  <c r="AG203" i="1"/>
  <c r="AP171" i="1"/>
  <c r="AP135" i="1"/>
  <c r="AG214" i="1"/>
  <c r="AP199" i="1"/>
  <c r="AJ178" i="1"/>
  <c r="AK146" i="1"/>
  <c r="AN77" i="1"/>
  <c r="AD137" i="1"/>
  <c r="AA129" i="1"/>
  <c r="AF129" i="1"/>
  <c r="AK138" i="1"/>
  <c r="AJ73" i="1"/>
  <c r="AB173" i="1"/>
  <c r="AP98" i="1"/>
  <c r="AL98" i="1"/>
  <c r="AJ94" i="1"/>
  <c r="AA86" i="1"/>
  <c r="AG82" i="1"/>
  <c r="AM190" i="1"/>
  <c r="AJ190" i="1"/>
  <c r="AC177" i="1"/>
  <c r="AO177" i="1"/>
  <c r="AM173" i="1"/>
  <c r="AD169" i="1"/>
  <c r="AI165" i="1"/>
  <c r="AQ157" i="1"/>
  <c r="AI149" i="1"/>
  <c r="AN149" i="1"/>
  <c r="AE145" i="1"/>
  <c r="AC141" i="1"/>
  <c r="AO141" i="1"/>
  <c r="AM133" i="1"/>
  <c r="AE101" i="1"/>
  <c r="AD97" i="1"/>
  <c r="AI118" i="1"/>
  <c r="AO110" i="1"/>
  <c r="AL110" i="1"/>
  <c r="AP425" i="1"/>
  <c r="AN425" i="1"/>
  <c r="AE206" i="1"/>
  <c r="AQ206" i="1"/>
  <c r="AK369" i="1"/>
  <c r="AH369" i="1"/>
  <c r="AN374" i="1"/>
  <c r="AB374" i="1"/>
  <c r="AC314" i="1"/>
  <c r="AD282" i="1"/>
  <c r="AK310" i="1"/>
  <c r="AC282" i="1"/>
  <c r="AG231" i="1"/>
  <c r="AL218" i="1"/>
  <c r="AI278" i="1"/>
  <c r="AO250" i="1"/>
  <c r="AD235" i="1"/>
  <c r="AI199" i="1"/>
  <c r="AN203" i="1"/>
  <c r="AB167" i="1"/>
  <c r="AO203" i="1"/>
  <c r="AH171" i="1"/>
  <c r="AP214" i="1"/>
  <c r="AO214" i="1"/>
  <c r="AC178" i="1"/>
  <c r="AG146" i="1"/>
  <c r="AD146" i="1"/>
  <c r="AO133" i="1"/>
  <c r="AL137" i="1"/>
  <c r="AI129" i="1"/>
  <c r="AN129" i="1"/>
  <c r="AF82" i="1"/>
  <c r="AG138" i="1"/>
  <c r="AD138" i="1"/>
  <c r="AD73" i="1"/>
  <c r="AB169" i="1"/>
  <c r="AG98" i="1"/>
  <c r="AD94" i="1"/>
  <c r="AI86" i="1"/>
  <c r="AO82" i="1"/>
  <c r="AE77" i="1"/>
  <c r="AA173" i="1"/>
  <c r="AN173" i="1"/>
  <c r="AL169" i="1"/>
  <c r="AK141" i="1"/>
  <c r="AA133" i="1"/>
  <c r="AF133" i="1"/>
  <c r="AQ425" i="1"/>
  <c r="AB425" i="1"/>
  <c r="AG206" i="1"/>
  <c r="AB113" i="1"/>
  <c r="AP113" i="1"/>
  <c r="AO113" i="1"/>
  <c r="AH113" i="1"/>
  <c r="AJ113" i="1"/>
  <c r="AG113" i="1"/>
  <c r="AM113" i="1"/>
  <c r="AA113" i="1"/>
  <c r="AD157" i="1"/>
  <c r="AP157" i="1"/>
  <c r="AI189" i="1"/>
  <c r="AH189" i="1"/>
  <c r="AK189" i="1"/>
  <c r="AA189" i="1"/>
  <c r="AN189" i="1"/>
  <c r="AE221" i="1"/>
  <c r="AC221" i="1"/>
  <c r="AP221" i="1"/>
  <c r="AB221" i="1"/>
  <c r="AN221" i="1"/>
  <c r="AL221" i="1"/>
  <c r="AK221" i="1"/>
  <c r="AH221" i="1"/>
  <c r="AG221" i="1"/>
  <c r="AA221" i="1"/>
  <c r="AQ253" i="1"/>
  <c r="AM253" i="1"/>
  <c r="AC253" i="1"/>
  <c r="AL253" i="1"/>
  <c r="AB253" i="1"/>
  <c r="AK253" i="1"/>
  <c r="AJ253" i="1"/>
  <c r="AG253" i="1"/>
  <c r="AF253" i="1"/>
  <c r="AO253" i="1"/>
  <c r="AN253" i="1"/>
  <c r="AE253" i="1"/>
  <c r="AD253" i="1"/>
  <c r="AP289" i="1"/>
  <c r="AJ289" i="1"/>
  <c r="AI289" i="1"/>
  <c r="AG289" i="1"/>
  <c r="AQ289" i="1"/>
  <c r="AF289" i="1"/>
  <c r="AO289" i="1"/>
  <c r="AD289" i="1"/>
  <c r="AL289" i="1"/>
  <c r="AK289" i="1"/>
  <c r="AC289" i="1"/>
  <c r="AB289" i="1"/>
  <c r="AA289" i="1"/>
  <c r="AN289" i="1"/>
  <c r="AP321" i="1"/>
  <c r="AI321" i="1"/>
  <c r="AG321" i="1"/>
  <c r="AQ321" i="1"/>
  <c r="AF321" i="1"/>
  <c r="AO321" i="1"/>
  <c r="AD321" i="1"/>
  <c r="AN321" i="1"/>
  <c r="AC321" i="1"/>
  <c r="AL321" i="1"/>
  <c r="AB321" i="1"/>
  <c r="AK321" i="1"/>
  <c r="AJ321" i="1"/>
  <c r="AA321" i="1"/>
  <c r="AM357" i="1"/>
  <c r="AJ357" i="1"/>
  <c r="AI357" i="1"/>
  <c r="AN357" i="1"/>
  <c r="AP66" i="1"/>
  <c r="AQ66" i="1"/>
  <c r="AC66" i="1"/>
  <c r="AO66" i="1"/>
  <c r="AB66" i="1"/>
  <c r="AN66" i="1"/>
  <c r="AM66" i="1"/>
  <c r="AK66" i="1"/>
  <c r="AH66" i="1"/>
  <c r="AF66" i="1"/>
  <c r="AE66" i="1"/>
  <c r="AL66" i="1"/>
  <c r="AH126" i="1"/>
  <c r="AE126" i="1"/>
  <c r="AB126" i="1"/>
  <c r="AP126" i="1"/>
  <c r="AP162" i="1"/>
  <c r="AN162" i="1"/>
  <c r="AH162" i="1"/>
  <c r="AF162" i="1"/>
  <c r="AK162" i="1"/>
  <c r="AG162" i="1"/>
  <c r="AL202" i="1"/>
  <c r="AJ202" i="1"/>
  <c r="AC202" i="1"/>
  <c r="AD202" i="1"/>
  <c r="AE202" i="1"/>
  <c r="AQ234" i="1"/>
  <c r="AC234" i="1"/>
  <c r="AB234" i="1"/>
  <c r="AP234" i="1"/>
  <c r="AL234" i="1"/>
  <c r="AK234" i="1"/>
  <c r="AF234" i="1"/>
  <c r="AL266" i="1"/>
  <c r="AQ266" i="1"/>
  <c r="AO266" i="1"/>
  <c r="AJ266" i="1"/>
  <c r="AG266" i="1"/>
  <c r="AE266" i="1"/>
  <c r="AD266" i="1"/>
  <c r="AA266" i="1"/>
  <c r="AJ298" i="1"/>
  <c r="AP298" i="1"/>
  <c r="AI298" i="1"/>
  <c r="AH298" i="1"/>
  <c r="AB298" i="1"/>
  <c r="AK330" i="1"/>
  <c r="AJ330" i="1"/>
  <c r="AH330" i="1"/>
  <c r="AE330" i="1"/>
  <c r="AD330" i="1"/>
  <c r="AK362" i="1"/>
  <c r="AP362" i="1"/>
  <c r="AO362" i="1"/>
  <c r="AN362" i="1"/>
  <c r="AG362" i="1"/>
  <c r="AF362" i="1"/>
  <c r="AE362" i="1"/>
  <c r="AD362" i="1"/>
  <c r="AO85" i="1"/>
  <c r="AM85" i="1"/>
  <c r="AL85" i="1"/>
  <c r="AE85" i="1"/>
  <c r="AI377" i="1"/>
  <c r="AH377" i="1"/>
  <c r="AG377" i="1"/>
  <c r="AF377" i="1"/>
  <c r="AB377" i="1"/>
  <c r="AQ377" i="1"/>
  <c r="AP377" i="1"/>
  <c r="AN377" i="1"/>
  <c r="AQ409" i="1"/>
  <c r="AG409" i="1"/>
  <c r="AF409" i="1"/>
  <c r="AP409" i="1"/>
  <c r="AE409" i="1"/>
  <c r="AO409" i="1"/>
  <c r="AC409" i="1"/>
  <c r="AN409" i="1"/>
  <c r="AB409" i="1"/>
  <c r="AM409" i="1"/>
  <c r="AA409" i="1"/>
  <c r="AK409" i="1"/>
  <c r="AJ409" i="1"/>
  <c r="AH441" i="1"/>
  <c r="AF441" i="1"/>
  <c r="AB441" i="1"/>
  <c r="AQ441" i="1"/>
  <c r="AP441" i="1"/>
  <c r="AJ505" i="1"/>
  <c r="AK505" i="1"/>
  <c r="AI505" i="1"/>
  <c r="AC505" i="1"/>
  <c r="AF505" i="1"/>
  <c r="AN537" i="1"/>
  <c r="AC537" i="1"/>
  <c r="AJ537" i="1"/>
  <c r="AI537" i="1"/>
  <c r="AP142" i="1"/>
  <c r="AN142" i="1"/>
  <c r="AF142" i="1"/>
  <c r="AH142" i="1"/>
  <c r="AC142" i="1"/>
  <c r="AQ398" i="1"/>
  <c r="AG398" i="1"/>
  <c r="AF398" i="1"/>
  <c r="AP398" i="1"/>
  <c r="AE398" i="1"/>
  <c r="AO398" i="1"/>
  <c r="AD398" i="1"/>
  <c r="AN398" i="1"/>
  <c r="AC398" i="1"/>
  <c r="AL398" i="1"/>
  <c r="AK398" i="1"/>
  <c r="AA398" i="1"/>
  <c r="AM398" i="1"/>
  <c r="AJ430" i="1"/>
  <c r="AK430" i="1"/>
  <c r="AI430" i="1"/>
  <c r="AG430" i="1"/>
  <c r="AE430" i="1"/>
  <c r="AQ430" i="1"/>
  <c r="AD430" i="1"/>
  <c r="AO430" i="1"/>
  <c r="AC430" i="1"/>
  <c r="AM430" i="1"/>
  <c r="AL430" i="1"/>
  <c r="AA430" i="1"/>
  <c r="AK462" i="1"/>
  <c r="AI462" i="1"/>
  <c r="AH462" i="1"/>
  <c r="AG462" i="1"/>
  <c r="AQ462" i="1"/>
  <c r="AF462" i="1"/>
  <c r="AP462" i="1"/>
  <c r="AO462" i="1"/>
  <c r="AN462" i="1"/>
  <c r="AC462" i="1"/>
  <c r="AB462" i="1"/>
  <c r="AA462" i="1"/>
  <c r="AD494" i="1"/>
  <c r="AN494" i="1"/>
  <c r="AQ494" i="1"/>
  <c r="AL494" i="1"/>
  <c r="AQ526" i="1"/>
  <c r="AP526" i="1"/>
  <c r="AL526" i="1"/>
  <c r="AK526" i="1"/>
  <c r="AJ91" i="1"/>
  <c r="AQ91" i="1"/>
  <c r="AF91" i="1"/>
  <c r="AO91" i="1"/>
  <c r="AE91" i="1"/>
  <c r="AN91" i="1"/>
  <c r="AD91" i="1"/>
  <c r="AM91" i="1"/>
  <c r="AC91" i="1"/>
  <c r="AL91" i="1"/>
  <c r="AA91" i="1"/>
  <c r="AK91" i="1"/>
  <c r="AI91" i="1"/>
  <c r="AG91" i="1"/>
  <c r="AJ123" i="1"/>
  <c r="AK123" i="1"/>
  <c r="AI123" i="1"/>
  <c r="AG123" i="1"/>
  <c r="AQ123" i="1"/>
  <c r="AF123" i="1"/>
  <c r="AO123" i="1"/>
  <c r="AE123" i="1"/>
  <c r="AM123" i="1"/>
  <c r="AC123" i="1"/>
  <c r="AD123" i="1"/>
  <c r="AA123" i="1"/>
  <c r="AN123" i="1"/>
  <c r="AL123" i="1"/>
  <c r="AJ155" i="1"/>
  <c r="AI155" i="1"/>
  <c r="AG155" i="1"/>
  <c r="AQ155" i="1"/>
  <c r="AF155" i="1"/>
  <c r="AO155" i="1"/>
  <c r="AE155" i="1"/>
  <c r="AN155" i="1"/>
  <c r="AD155" i="1"/>
  <c r="AM155" i="1"/>
  <c r="AC155" i="1"/>
  <c r="AL155" i="1"/>
  <c r="AA155" i="1"/>
  <c r="AK155" i="1"/>
  <c r="AJ187" i="1"/>
  <c r="AN187" i="1"/>
  <c r="AL187" i="1"/>
  <c r="AD187" i="1"/>
  <c r="AB187" i="1"/>
  <c r="AA187" i="1"/>
  <c r="AP219" i="1"/>
  <c r="AA219" i="1"/>
  <c r="AN219" i="1"/>
  <c r="AK219" i="1"/>
  <c r="AJ219" i="1"/>
  <c r="AH219" i="1"/>
  <c r="AG219" i="1"/>
  <c r="AQ219" i="1"/>
  <c r="AD219" i="1"/>
  <c r="AB219" i="1"/>
  <c r="AM219" i="1"/>
  <c r="AJ251" i="1"/>
  <c r="AH251" i="1"/>
  <c r="AG251" i="1"/>
  <c r="AD251" i="1"/>
  <c r="AQ251" i="1"/>
  <c r="AB251" i="1"/>
  <c r="AP251" i="1"/>
  <c r="AA251" i="1"/>
  <c r="AN251" i="1"/>
  <c r="AK251" i="1"/>
  <c r="AM251" i="1"/>
  <c r="AO283" i="1"/>
  <c r="AN283" i="1"/>
  <c r="AM283" i="1"/>
  <c r="AJ283" i="1"/>
  <c r="AH283" i="1"/>
  <c r="AC283" i="1"/>
  <c r="AB283" i="1"/>
  <c r="AE283" i="1"/>
  <c r="AP347" i="1"/>
  <c r="AQ347" i="1"/>
  <c r="AE347" i="1"/>
  <c r="AN347" i="1"/>
  <c r="AD347" i="1"/>
  <c r="AM347" i="1"/>
  <c r="AC347" i="1"/>
  <c r="AL347" i="1"/>
  <c r="AB347" i="1"/>
  <c r="AK347" i="1"/>
  <c r="AA347" i="1"/>
  <c r="AJ347" i="1"/>
  <c r="AI347" i="1"/>
  <c r="AF347" i="1"/>
  <c r="AQ379" i="1"/>
  <c r="AL379" i="1"/>
  <c r="AA379" i="1"/>
  <c r="AK379" i="1"/>
  <c r="AJ379" i="1"/>
  <c r="AF379" i="1"/>
  <c r="AE379" i="1"/>
  <c r="AO379" i="1"/>
  <c r="AD379" i="1"/>
  <c r="AN379" i="1"/>
  <c r="AM379" i="1"/>
  <c r="AC379" i="1"/>
  <c r="AB379" i="1"/>
  <c r="AP411" i="1"/>
  <c r="AM411" i="1"/>
  <c r="AD411" i="1"/>
  <c r="AL411" i="1"/>
  <c r="AC411" i="1"/>
  <c r="AK411" i="1"/>
  <c r="AB411" i="1"/>
  <c r="AJ411" i="1"/>
  <c r="AA411" i="1"/>
  <c r="AI411" i="1"/>
  <c r="AQ411" i="1"/>
  <c r="AG411" i="1"/>
  <c r="AO411" i="1"/>
  <c r="AN411" i="1"/>
  <c r="AF411" i="1"/>
  <c r="AE411" i="1"/>
  <c r="AI475" i="1"/>
  <c r="AE475" i="1"/>
  <c r="AD475" i="1"/>
  <c r="AC475" i="1"/>
  <c r="AN475" i="1"/>
  <c r="AL475" i="1"/>
  <c r="AQ507" i="1"/>
  <c r="AJ507" i="1"/>
  <c r="AL507" i="1"/>
  <c r="AB507" i="1"/>
  <c r="AK539" i="1"/>
  <c r="AG539" i="1"/>
  <c r="AQ539" i="1"/>
  <c r="AF539" i="1"/>
  <c r="AO539" i="1"/>
  <c r="AE539" i="1"/>
  <c r="AN539" i="1"/>
  <c r="AD539" i="1"/>
  <c r="AM539" i="1"/>
  <c r="AB539" i="1"/>
  <c r="AJ539" i="1"/>
  <c r="AL539" i="1"/>
  <c r="AI539" i="1"/>
  <c r="AA539" i="1"/>
  <c r="AE374" i="1"/>
  <c r="AJ374" i="1"/>
  <c r="AD310" i="1"/>
  <c r="AK282" i="1"/>
  <c r="AH282" i="1"/>
  <c r="AN250" i="1"/>
  <c r="AM246" i="1"/>
  <c r="AE205" i="1"/>
  <c r="AC218" i="1"/>
  <c r="AA278" i="1"/>
  <c r="AA203" i="1"/>
  <c r="AO186" i="1"/>
  <c r="AP167" i="1"/>
  <c r="AH214" i="1"/>
  <c r="AL186" i="1"/>
  <c r="AK178" i="1"/>
  <c r="AO146" i="1"/>
  <c r="AL146" i="1"/>
  <c r="AP141" i="1"/>
  <c r="AE137" i="1"/>
  <c r="AQ129" i="1"/>
  <c r="AF98" i="1"/>
  <c r="AJ169" i="1"/>
  <c r="AO138" i="1"/>
  <c r="AL138" i="1"/>
  <c r="AL73" i="1"/>
  <c r="AO98" i="1"/>
  <c r="AP94" i="1"/>
  <c r="AL94" i="1"/>
  <c r="AQ86" i="1"/>
  <c r="AI82" i="1"/>
  <c r="AQ173" i="1"/>
  <c r="AG173" i="1"/>
  <c r="AE169" i="1"/>
  <c r="AD141" i="1"/>
  <c r="AI133" i="1"/>
  <c r="AN133" i="1"/>
  <c r="AF425" i="1"/>
  <c r="AJ425" i="1"/>
  <c r="AP53" i="1"/>
  <c r="AM53" i="1"/>
  <c r="AL53" i="1"/>
  <c r="AK53" i="1"/>
  <c r="AH53" i="1"/>
  <c r="AE53" i="1"/>
  <c r="AB53" i="1"/>
  <c r="AQ53" i="1"/>
  <c r="AD53" i="1"/>
  <c r="AC53" i="1"/>
  <c r="AO53" i="1"/>
  <c r="AA53" i="1"/>
  <c r="AJ121" i="1"/>
  <c r="AH121" i="1"/>
  <c r="AG121" i="1"/>
  <c r="AB121" i="1"/>
  <c r="AP121" i="1"/>
  <c r="AO121" i="1"/>
  <c r="AL121" i="1"/>
  <c r="AN161" i="1"/>
  <c r="AQ161" i="1"/>
  <c r="AG193" i="1"/>
  <c r="AA193" i="1"/>
  <c r="AO225" i="1"/>
  <c r="AP225" i="1"/>
  <c r="AD225" i="1"/>
  <c r="AF225" i="1"/>
  <c r="AQ261" i="1"/>
  <c r="AN261" i="1"/>
  <c r="AD261" i="1"/>
  <c r="AM261" i="1"/>
  <c r="AC261" i="1"/>
  <c r="AL261" i="1"/>
  <c r="AB261" i="1"/>
  <c r="AK261" i="1"/>
  <c r="AJ261" i="1"/>
  <c r="AG261" i="1"/>
  <c r="AO261" i="1"/>
  <c r="AF261" i="1"/>
  <c r="AE261" i="1"/>
  <c r="AP293" i="1"/>
  <c r="AI293" i="1"/>
  <c r="AG293" i="1"/>
  <c r="AQ293" i="1"/>
  <c r="AF293" i="1"/>
  <c r="AO293" i="1"/>
  <c r="AD293" i="1"/>
  <c r="AN293" i="1"/>
  <c r="AC293" i="1"/>
  <c r="AL293" i="1"/>
  <c r="AK293" i="1"/>
  <c r="AJ293" i="1"/>
  <c r="AB293" i="1"/>
  <c r="AA293" i="1"/>
  <c r="AP325" i="1"/>
  <c r="AN325" i="1"/>
  <c r="AC325" i="1"/>
  <c r="AL325" i="1"/>
  <c r="AB325" i="1"/>
  <c r="AK325" i="1"/>
  <c r="AA325" i="1"/>
  <c r="AJ325" i="1"/>
  <c r="AI325" i="1"/>
  <c r="AG325" i="1"/>
  <c r="AQ325" i="1"/>
  <c r="AO325" i="1"/>
  <c r="AF325" i="1"/>
  <c r="AD325" i="1"/>
  <c r="AO361" i="1"/>
  <c r="AA361" i="1"/>
  <c r="AP70" i="1"/>
  <c r="AO70" i="1"/>
  <c r="AB70" i="1"/>
  <c r="AN70" i="1"/>
  <c r="AM70" i="1"/>
  <c r="AK70" i="1"/>
  <c r="AH70" i="1"/>
  <c r="AF70" i="1"/>
  <c r="AE70" i="1"/>
  <c r="AC70" i="1"/>
  <c r="AQ70" i="1"/>
  <c r="AG70" i="1"/>
  <c r="AP130" i="1"/>
  <c r="AN130" i="1"/>
  <c r="AH130" i="1"/>
  <c r="AM130" i="1"/>
  <c r="AF130" i="1"/>
  <c r="AL130" i="1"/>
  <c r="AA130" i="1"/>
  <c r="AP166" i="1"/>
  <c r="AH166" i="1"/>
  <c r="AF166" i="1"/>
  <c r="AN166" i="1"/>
  <c r="AB166" i="1"/>
  <c r="AC206" i="1"/>
  <c r="AH206" i="1"/>
  <c r="AQ238" i="1"/>
  <c r="AF238" i="1"/>
  <c r="AP238" i="1"/>
  <c r="AE238" i="1"/>
  <c r="AN238" i="1"/>
  <c r="AD238" i="1"/>
  <c r="AM238" i="1"/>
  <c r="AC238" i="1"/>
  <c r="AL238" i="1"/>
  <c r="AB238" i="1"/>
  <c r="AK238" i="1"/>
  <c r="AA238" i="1"/>
  <c r="AJ238" i="1"/>
  <c r="AH238" i="1"/>
  <c r="AP270" i="1"/>
  <c r="AD270" i="1"/>
  <c r="AO270" i="1"/>
  <c r="AB270" i="1"/>
  <c r="AM270" i="1"/>
  <c r="AA270" i="1"/>
  <c r="AL270" i="1"/>
  <c r="AI270" i="1"/>
  <c r="AQ270" i="1"/>
  <c r="AH270" i="1"/>
  <c r="AG270" i="1"/>
  <c r="AE270" i="1"/>
  <c r="AJ302" i="1"/>
  <c r="AP302" i="1"/>
  <c r="AI302" i="1"/>
  <c r="AB302" i="1"/>
  <c r="AK366" i="1"/>
  <c r="AH366" i="1"/>
  <c r="AG366" i="1"/>
  <c r="AF366" i="1"/>
  <c r="AE366" i="1"/>
  <c r="AC366" i="1"/>
  <c r="AP366" i="1"/>
  <c r="AO366" i="1"/>
  <c r="AM366" i="1"/>
  <c r="AO89" i="1"/>
  <c r="AM89" i="1"/>
  <c r="AN89" i="1"/>
  <c r="AA89" i="1"/>
  <c r="AH89" i="1"/>
  <c r="AQ381" i="1"/>
  <c r="AJ381" i="1"/>
  <c r="AG381" i="1"/>
  <c r="AF381" i="1"/>
  <c r="AP381" i="1"/>
  <c r="AE381" i="1"/>
  <c r="AO381" i="1"/>
  <c r="AC381" i="1"/>
  <c r="AN381" i="1"/>
  <c r="AB381" i="1"/>
  <c r="AM381" i="1"/>
  <c r="AK381" i="1"/>
  <c r="AA381" i="1"/>
  <c r="AQ413" i="1"/>
  <c r="AJ413" i="1"/>
  <c r="AG413" i="1"/>
  <c r="AF413" i="1"/>
  <c r="AP413" i="1"/>
  <c r="AE413" i="1"/>
  <c r="AO413" i="1"/>
  <c r="AC413" i="1"/>
  <c r="AN413" i="1"/>
  <c r="AB413" i="1"/>
  <c r="AM413" i="1"/>
  <c r="AK413" i="1"/>
  <c r="AA413" i="1"/>
  <c r="AL445" i="1"/>
  <c r="AQ445" i="1"/>
  <c r="AI445" i="1"/>
  <c r="AH445" i="1"/>
  <c r="AE445" i="1"/>
  <c r="AC445" i="1"/>
  <c r="AA445" i="1"/>
  <c r="AM477" i="1"/>
  <c r="AK477" i="1"/>
  <c r="AK509" i="1"/>
  <c r="AM509" i="1"/>
  <c r="AF509" i="1"/>
  <c r="AE509" i="1"/>
  <c r="AD509" i="1"/>
  <c r="AI541" i="1"/>
  <c r="AA541" i="1"/>
  <c r="AK541" i="1"/>
  <c r="AP170" i="1"/>
  <c r="AN170" i="1"/>
  <c r="AH170" i="1"/>
  <c r="AF170" i="1"/>
  <c r="AL170" i="1"/>
  <c r="AA170" i="1"/>
  <c r="AQ402" i="1"/>
  <c r="AK402" i="1"/>
  <c r="AG402" i="1"/>
  <c r="AF402" i="1"/>
  <c r="AP402" i="1"/>
  <c r="AE402" i="1"/>
  <c r="AO402" i="1"/>
  <c r="AD402" i="1"/>
  <c r="AN402" i="1"/>
  <c r="AM402" i="1"/>
  <c r="AL402" i="1"/>
  <c r="AC402" i="1"/>
  <c r="AA402" i="1"/>
  <c r="AN434" i="1"/>
  <c r="AG434" i="1"/>
  <c r="AF434" i="1"/>
  <c r="AD434" i="1"/>
  <c r="AB434" i="1"/>
  <c r="AP434" i="1"/>
  <c r="AI434" i="1"/>
  <c r="AD498" i="1"/>
  <c r="AA498" i="1"/>
  <c r="AQ498" i="1"/>
  <c r="AP498" i="1"/>
  <c r="AI498" i="1"/>
  <c r="AN498" i="1"/>
  <c r="AH498" i="1"/>
  <c r="AI530" i="1"/>
  <c r="AQ530" i="1"/>
  <c r="AN530" i="1"/>
  <c r="AK530" i="1"/>
  <c r="AG530" i="1"/>
  <c r="AC530" i="1"/>
  <c r="AD530" i="1"/>
  <c r="AJ95" i="1"/>
  <c r="AG95" i="1"/>
  <c r="AQ95" i="1"/>
  <c r="AF95" i="1"/>
  <c r="AO95" i="1"/>
  <c r="AE95" i="1"/>
  <c r="AN95" i="1"/>
  <c r="AD95" i="1"/>
  <c r="AM95" i="1"/>
  <c r="AC95" i="1"/>
  <c r="AL95" i="1"/>
  <c r="AK95" i="1"/>
  <c r="AI95" i="1"/>
  <c r="AA95" i="1"/>
  <c r="AJ127" i="1"/>
  <c r="AQ127" i="1"/>
  <c r="AF127" i="1"/>
  <c r="AO127" i="1"/>
  <c r="AE127" i="1"/>
  <c r="AN127" i="1"/>
  <c r="AD127" i="1"/>
  <c r="AM127" i="1"/>
  <c r="AC127" i="1"/>
  <c r="AL127" i="1"/>
  <c r="AA127" i="1"/>
  <c r="AI127" i="1"/>
  <c r="AK127" i="1"/>
  <c r="AG127" i="1"/>
  <c r="AJ159" i="1"/>
  <c r="AO159" i="1"/>
  <c r="AE159" i="1"/>
  <c r="AN159" i="1"/>
  <c r="AD159" i="1"/>
  <c r="AM159" i="1"/>
  <c r="AC159" i="1"/>
  <c r="AL159" i="1"/>
  <c r="AA159" i="1"/>
  <c r="AK159" i="1"/>
  <c r="AI159" i="1"/>
  <c r="AQ159" i="1"/>
  <c r="AG159" i="1"/>
  <c r="AF159" i="1"/>
  <c r="AJ191" i="1"/>
  <c r="AC191" i="1"/>
  <c r="AN191" i="1"/>
  <c r="AM191" i="1"/>
  <c r="AF191" i="1"/>
  <c r="AD191" i="1"/>
  <c r="AO191" i="1"/>
  <c r="AQ223" i="1"/>
  <c r="AO223" i="1"/>
  <c r="AB223" i="1"/>
  <c r="AI255" i="1"/>
  <c r="AQ255" i="1"/>
  <c r="AO255" i="1"/>
  <c r="AK255" i="1"/>
  <c r="AH255" i="1"/>
  <c r="AG255" i="1"/>
  <c r="AC255" i="1"/>
  <c r="AA255" i="1"/>
  <c r="AK287" i="1"/>
  <c r="AF287" i="1"/>
  <c r="AO319" i="1"/>
  <c r="AN319" i="1"/>
  <c r="AF319" i="1"/>
  <c r="AP351" i="1"/>
  <c r="AM351" i="1"/>
  <c r="AC351" i="1"/>
  <c r="AL351" i="1"/>
  <c r="AB351" i="1"/>
  <c r="AK351" i="1"/>
  <c r="AA351" i="1"/>
  <c r="AJ351" i="1"/>
  <c r="AI351" i="1"/>
  <c r="AF351" i="1"/>
  <c r="AQ351" i="1"/>
  <c r="AN351" i="1"/>
  <c r="AE351" i="1"/>
  <c r="AD351" i="1"/>
  <c r="AP383" i="1"/>
  <c r="AN383" i="1"/>
  <c r="AE383" i="1"/>
  <c r="AM383" i="1"/>
  <c r="AD383" i="1"/>
  <c r="AL383" i="1"/>
  <c r="AC383" i="1"/>
  <c r="AK383" i="1"/>
  <c r="AB383" i="1"/>
  <c r="AJ383" i="1"/>
  <c r="AA383" i="1"/>
  <c r="AI383" i="1"/>
  <c r="AQ383" i="1"/>
  <c r="AO383" i="1"/>
  <c r="AG383" i="1"/>
  <c r="AF383" i="1"/>
  <c r="AP415" i="1"/>
  <c r="AN415" i="1"/>
  <c r="AE415" i="1"/>
  <c r="AM415" i="1"/>
  <c r="AD415" i="1"/>
  <c r="AL415" i="1"/>
  <c r="AC415" i="1"/>
  <c r="AK415" i="1"/>
  <c r="AB415" i="1"/>
  <c r="AJ415" i="1"/>
  <c r="AA415" i="1"/>
  <c r="AI415" i="1"/>
  <c r="AQ415" i="1"/>
  <c r="AO415" i="1"/>
  <c r="AG415" i="1"/>
  <c r="AF415" i="1"/>
  <c r="AP447" i="1"/>
  <c r="AN447" i="1"/>
  <c r="AL447" i="1"/>
  <c r="AH479" i="1"/>
  <c r="AF479" i="1"/>
  <c r="AE479" i="1"/>
  <c r="AQ479" i="1"/>
  <c r="AC479" i="1"/>
  <c r="AP479" i="1"/>
  <c r="AB479" i="1"/>
  <c r="AN479" i="1"/>
  <c r="AL479" i="1"/>
  <c r="AI479" i="1"/>
  <c r="AK511" i="1"/>
  <c r="AO511" i="1"/>
  <c r="AE511" i="1"/>
  <c r="AN511" i="1"/>
  <c r="AD511" i="1"/>
  <c r="AM511" i="1"/>
  <c r="AB511" i="1"/>
  <c r="AL511" i="1"/>
  <c r="AA511" i="1"/>
  <c r="AJ511" i="1"/>
  <c r="AG511" i="1"/>
  <c r="AQ511" i="1"/>
  <c r="AI511" i="1"/>
  <c r="AF511" i="1"/>
  <c r="AK543" i="1"/>
  <c r="AG543" i="1"/>
  <c r="AQ543" i="1"/>
  <c r="AF543" i="1"/>
  <c r="AO543" i="1"/>
  <c r="AE543" i="1"/>
  <c r="AN543" i="1"/>
  <c r="AD543" i="1"/>
  <c r="AM543" i="1"/>
  <c r="AB543" i="1"/>
  <c r="AJ543" i="1"/>
  <c r="AL543" i="1"/>
  <c r="AI543" i="1"/>
  <c r="AA543" i="1"/>
  <c r="AD314" i="1"/>
  <c r="AB310" i="1"/>
  <c r="AQ310" i="1"/>
  <c r="AF282" i="1"/>
  <c r="AE250" i="1"/>
  <c r="AD246" i="1"/>
  <c r="AJ237" i="1"/>
  <c r="AM199" i="1"/>
  <c r="AG186" i="1"/>
  <c r="AP186" i="1"/>
  <c r="AI203" i="1"/>
  <c r="AM186" i="1"/>
  <c r="AA186" i="1"/>
  <c r="AA146" i="1"/>
  <c r="AE146" i="1"/>
  <c r="AP173" i="1"/>
  <c r="AE138" i="1"/>
  <c r="AH141" i="1"/>
  <c r="AA98" i="1"/>
  <c r="AJ86" i="1"/>
  <c r="AC173" i="1"/>
  <c r="AO173" i="1"/>
  <c r="AL141" i="1"/>
  <c r="AQ133" i="1"/>
  <c r="AG425" i="1"/>
  <c r="AL425" i="1"/>
  <c r="AL206" i="1"/>
  <c r="AP69" i="1"/>
  <c r="AE69" i="1"/>
  <c r="AD69" i="1"/>
  <c r="AQ69" i="1"/>
  <c r="AC69" i="1"/>
  <c r="AO69" i="1"/>
  <c r="AB69" i="1"/>
  <c r="AM69" i="1"/>
  <c r="AL69" i="1"/>
  <c r="AK69" i="1"/>
  <c r="AH69" i="1"/>
  <c r="AI69" i="1"/>
  <c r="AA69" i="1"/>
  <c r="AP125" i="1"/>
  <c r="AF125" i="1"/>
  <c r="AI125" i="1"/>
  <c r="AJ125" i="1"/>
  <c r="AE165" i="1"/>
  <c r="AB165" i="1"/>
  <c r="AP197" i="1"/>
  <c r="AD197" i="1"/>
  <c r="AO197" i="1"/>
  <c r="AB197" i="1"/>
  <c r="AN197" i="1"/>
  <c r="AA197" i="1"/>
  <c r="AL197" i="1"/>
  <c r="AI197" i="1"/>
  <c r="AH197" i="1"/>
  <c r="AQ197" i="1"/>
  <c r="AG197" i="1"/>
  <c r="AF197" i="1"/>
  <c r="AJ229" i="1"/>
  <c r="AB229" i="1"/>
  <c r="AP229" i="1"/>
  <c r="AN229" i="1"/>
  <c r="AD229" i="1"/>
  <c r="AK229" i="1"/>
  <c r="AP265" i="1"/>
  <c r="AG265" i="1"/>
  <c r="AQ265" i="1"/>
  <c r="AF265" i="1"/>
  <c r="AO265" i="1"/>
  <c r="AD265" i="1"/>
  <c r="AN265" i="1"/>
  <c r="AC265" i="1"/>
  <c r="AL265" i="1"/>
  <c r="AB265" i="1"/>
  <c r="AK265" i="1"/>
  <c r="AA265" i="1"/>
  <c r="AJ265" i="1"/>
  <c r="AI265" i="1"/>
  <c r="AP297" i="1"/>
  <c r="AL297" i="1"/>
  <c r="AB297" i="1"/>
  <c r="AK297" i="1"/>
  <c r="AA297" i="1"/>
  <c r="AJ297" i="1"/>
  <c r="AI297" i="1"/>
  <c r="AG297" i="1"/>
  <c r="AQ297" i="1"/>
  <c r="AO297" i="1"/>
  <c r="AN297" i="1"/>
  <c r="AF297" i="1"/>
  <c r="AD297" i="1"/>
  <c r="AC297" i="1"/>
  <c r="AK329" i="1"/>
  <c r="AN329" i="1"/>
  <c r="AB329" i="1"/>
  <c r="AM329" i="1"/>
  <c r="AL329" i="1"/>
  <c r="AJ329" i="1"/>
  <c r="AG329" i="1"/>
  <c r="AF329" i="1"/>
  <c r="AO329" i="1"/>
  <c r="AE329" i="1"/>
  <c r="AD329" i="1"/>
  <c r="AH365" i="1"/>
  <c r="AN365" i="1"/>
  <c r="AM365" i="1"/>
  <c r="AI365" i="1"/>
  <c r="AF365" i="1"/>
  <c r="AE365" i="1"/>
  <c r="AB365" i="1"/>
  <c r="AP365" i="1"/>
  <c r="AO365" i="1"/>
  <c r="AA365" i="1"/>
  <c r="AP74" i="1"/>
  <c r="AA74" i="1"/>
  <c r="AN74" i="1"/>
  <c r="AM74" i="1"/>
  <c r="AI74" i="1"/>
  <c r="AH74" i="1"/>
  <c r="AC74" i="1"/>
  <c r="AG74" i="1"/>
  <c r="AF74" i="1"/>
  <c r="AQ74" i="1"/>
  <c r="AE74" i="1"/>
  <c r="AH134" i="1"/>
  <c r="AE134" i="1"/>
  <c r="AK134" i="1"/>
  <c r="AG134" i="1"/>
  <c r="AP174" i="1"/>
  <c r="AN174" i="1"/>
  <c r="AH174" i="1"/>
  <c r="AF174" i="1"/>
  <c r="AC174" i="1"/>
  <c r="AP210" i="1"/>
  <c r="AB210" i="1"/>
  <c r="AO210" i="1"/>
  <c r="AL210" i="1"/>
  <c r="AJ210" i="1"/>
  <c r="AH210" i="1"/>
  <c r="AG210" i="1"/>
  <c r="AE210" i="1"/>
  <c r="AD210" i="1"/>
  <c r="AI210" i="1"/>
  <c r="AN242" i="1"/>
  <c r="AM242" i="1"/>
  <c r="AE242" i="1"/>
  <c r="AC242" i="1"/>
  <c r="AF242" i="1"/>
  <c r="AM274" i="1"/>
  <c r="AI274" i="1"/>
  <c r="AH274" i="1"/>
  <c r="AG274" i="1"/>
  <c r="AE274" i="1"/>
  <c r="AP274" i="1"/>
  <c r="AO274" i="1"/>
  <c r="AD274" i="1"/>
  <c r="AB274" i="1"/>
  <c r="AQ274" i="1"/>
  <c r="AO306" i="1"/>
  <c r="AJ306" i="1"/>
  <c r="AB306" i="1"/>
  <c r="AQ338" i="1"/>
  <c r="AE338" i="1"/>
  <c r="AD338" i="1"/>
  <c r="AC338" i="1"/>
  <c r="AB338" i="1"/>
  <c r="AM338" i="1"/>
  <c r="AL338" i="1"/>
  <c r="AK338" i="1"/>
  <c r="AJ338" i="1"/>
  <c r="AE370" i="1"/>
  <c r="AD370" i="1"/>
  <c r="AP370" i="1"/>
  <c r="AN370" i="1"/>
  <c r="AK370" i="1"/>
  <c r="AH370" i="1"/>
  <c r="AG370" i="1"/>
  <c r="AF370" i="1"/>
  <c r="AO93" i="1"/>
  <c r="AM93" i="1"/>
  <c r="AQ93" i="1"/>
  <c r="AQ385" i="1"/>
  <c r="AK385" i="1"/>
  <c r="AJ385" i="1"/>
  <c r="AG385" i="1"/>
  <c r="AF385" i="1"/>
  <c r="AP385" i="1"/>
  <c r="AE385" i="1"/>
  <c r="AO385" i="1"/>
  <c r="AC385" i="1"/>
  <c r="AN385" i="1"/>
  <c r="AM385" i="1"/>
  <c r="AB385" i="1"/>
  <c r="AA385" i="1"/>
  <c r="AQ417" i="1"/>
  <c r="AK417" i="1"/>
  <c r="AJ417" i="1"/>
  <c r="AG417" i="1"/>
  <c r="AF417" i="1"/>
  <c r="AP417" i="1"/>
  <c r="AE417" i="1"/>
  <c r="AO417" i="1"/>
  <c r="AC417" i="1"/>
  <c r="AB417" i="1"/>
  <c r="AA417" i="1"/>
  <c r="AN417" i="1"/>
  <c r="AM417" i="1"/>
  <c r="AH449" i="1"/>
  <c r="AF449" i="1"/>
  <c r="AD449" i="1"/>
  <c r="AC449" i="1"/>
  <c r="AN449" i="1"/>
  <c r="AB449" i="1"/>
  <c r="AM449" i="1"/>
  <c r="AL449" i="1"/>
  <c r="AJ449" i="1"/>
  <c r="AQ513" i="1"/>
  <c r="AC513" i="1"/>
  <c r="AH78" i="1"/>
  <c r="AO78" i="1"/>
  <c r="AN78" i="1"/>
  <c r="AI78" i="1"/>
  <c r="AG78" i="1"/>
  <c r="AF78" i="1"/>
  <c r="AQ78" i="1"/>
  <c r="AP78" i="1"/>
  <c r="AE78" i="1"/>
  <c r="AC78" i="1"/>
  <c r="AB78" i="1"/>
  <c r="AM182" i="1"/>
  <c r="AJ182" i="1"/>
  <c r="AH182" i="1"/>
  <c r="AG182" i="1"/>
  <c r="AF182" i="1"/>
  <c r="AE182" i="1"/>
  <c r="AP182" i="1"/>
  <c r="AO182" i="1"/>
  <c r="AB182" i="1"/>
  <c r="AQ406" i="1"/>
  <c r="AL406" i="1"/>
  <c r="AK406" i="1"/>
  <c r="AG406" i="1"/>
  <c r="AF406" i="1"/>
  <c r="AP406" i="1"/>
  <c r="AE406" i="1"/>
  <c r="AD406" i="1"/>
  <c r="AC406" i="1"/>
  <c r="AA406" i="1"/>
  <c r="AO406" i="1"/>
  <c r="AN406" i="1"/>
  <c r="AM406" i="1"/>
  <c r="AL438" i="1"/>
  <c r="AA438" i="1"/>
  <c r="AK438" i="1"/>
  <c r="AJ438" i="1"/>
  <c r="AH438" i="1"/>
  <c r="AG438" i="1"/>
  <c r="AQ438" i="1"/>
  <c r="AF438" i="1"/>
  <c r="AC438" i="1"/>
  <c r="AB438" i="1"/>
  <c r="AP438" i="1"/>
  <c r="AO438" i="1"/>
  <c r="AB470" i="1"/>
  <c r="AN470" i="1"/>
  <c r="AK470" i="1"/>
  <c r="AI470" i="1"/>
  <c r="AF470" i="1"/>
  <c r="AE470" i="1"/>
  <c r="AC470" i="1"/>
  <c r="AH502" i="1"/>
  <c r="AG502" i="1"/>
  <c r="AF502" i="1"/>
  <c r="AQ502" i="1"/>
  <c r="AB502" i="1"/>
  <c r="AP502" i="1"/>
  <c r="AA502" i="1"/>
  <c r="AJ502" i="1"/>
  <c r="AO502" i="1"/>
  <c r="AI502" i="1"/>
  <c r="AP534" i="1"/>
  <c r="AL534" i="1"/>
  <c r="AK534" i="1"/>
  <c r="AA534" i="1"/>
  <c r="AJ99" i="1"/>
  <c r="AI99" i="1"/>
  <c r="AG99" i="1"/>
  <c r="AQ99" i="1"/>
  <c r="AF99" i="1"/>
  <c r="AO99" i="1"/>
  <c r="AE99" i="1"/>
  <c r="AN99" i="1"/>
  <c r="AD99" i="1"/>
  <c r="AM99" i="1"/>
  <c r="AL99" i="1"/>
  <c r="AC99" i="1"/>
  <c r="AA99" i="1"/>
  <c r="AK99" i="1"/>
  <c r="AH99" i="1"/>
  <c r="AJ131" i="1"/>
  <c r="AN131" i="1"/>
  <c r="AD131" i="1"/>
  <c r="AM131" i="1"/>
  <c r="AC131" i="1"/>
  <c r="AL131" i="1"/>
  <c r="AA131" i="1"/>
  <c r="AK131" i="1"/>
  <c r="AI131" i="1"/>
  <c r="AQ131" i="1"/>
  <c r="AF131" i="1"/>
  <c r="AO131" i="1"/>
  <c r="AG131" i="1"/>
  <c r="AE131" i="1"/>
  <c r="AH131" i="1"/>
  <c r="AJ163" i="1"/>
  <c r="AL163" i="1"/>
  <c r="AA163" i="1"/>
  <c r="AK163" i="1"/>
  <c r="AI163" i="1"/>
  <c r="AG163" i="1"/>
  <c r="AQ163" i="1"/>
  <c r="AF163" i="1"/>
  <c r="AO163" i="1"/>
  <c r="AE163" i="1"/>
  <c r="AN163" i="1"/>
  <c r="AM163" i="1"/>
  <c r="AD163" i="1"/>
  <c r="AC163" i="1"/>
  <c r="AH163" i="1"/>
  <c r="AH195" i="1"/>
  <c r="AF195" i="1"/>
  <c r="AE195" i="1"/>
  <c r="AC195" i="1"/>
  <c r="AP195" i="1"/>
  <c r="AM195" i="1"/>
  <c r="AJ195" i="1"/>
  <c r="AO195" i="1"/>
  <c r="AD195" i="1"/>
  <c r="AP227" i="1"/>
  <c r="AN227" i="1"/>
  <c r="AI227" i="1"/>
  <c r="AA227" i="1"/>
  <c r="AH227" i="1"/>
  <c r="AA259" i="1"/>
  <c r="AO259" i="1"/>
  <c r="AN259" i="1"/>
  <c r="AJ259" i="1"/>
  <c r="AI259" i="1"/>
  <c r="AF259" i="1"/>
  <c r="AB259" i="1"/>
  <c r="AM259" i="1"/>
  <c r="AP291" i="1"/>
  <c r="AB291" i="1"/>
  <c r="AO291" i="1"/>
  <c r="AM291" i="1"/>
  <c r="AJ291" i="1"/>
  <c r="AH291" i="1"/>
  <c r="AG291" i="1"/>
  <c r="AF291" i="1"/>
  <c r="AE291" i="1"/>
  <c r="AO323" i="1"/>
  <c r="AH323" i="1"/>
  <c r="AP355" i="1"/>
  <c r="AI355" i="1"/>
  <c r="AF355" i="1"/>
  <c r="AQ355" i="1"/>
  <c r="AE355" i="1"/>
  <c r="AN355" i="1"/>
  <c r="AD355" i="1"/>
  <c r="AM355" i="1"/>
  <c r="AC355" i="1"/>
  <c r="AL355" i="1"/>
  <c r="AB355" i="1"/>
  <c r="AK355" i="1"/>
  <c r="AJ355" i="1"/>
  <c r="AA355" i="1"/>
  <c r="AP387" i="1"/>
  <c r="AO387" i="1"/>
  <c r="AF387" i="1"/>
  <c r="AN387" i="1"/>
  <c r="AE387" i="1"/>
  <c r="AM387" i="1"/>
  <c r="AD387" i="1"/>
  <c r="AL387" i="1"/>
  <c r="AC387" i="1"/>
  <c r="AK387" i="1"/>
  <c r="AB387" i="1"/>
  <c r="AJ387" i="1"/>
  <c r="AA387" i="1"/>
  <c r="AQ387" i="1"/>
  <c r="AI387" i="1"/>
  <c r="AG387" i="1"/>
  <c r="AP419" i="1"/>
  <c r="AN419" i="1"/>
  <c r="AE419" i="1"/>
  <c r="AM419" i="1"/>
  <c r="AD419" i="1"/>
  <c r="AL419" i="1"/>
  <c r="AC419" i="1"/>
  <c r="AK419" i="1"/>
  <c r="AB419" i="1"/>
  <c r="AJ419" i="1"/>
  <c r="AA419" i="1"/>
  <c r="AI419" i="1"/>
  <c r="AG419" i="1"/>
  <c r="AF419" i="1"/>
  <c r="AQ419" i="1"/>
  <c r="AO419" i="1"/>
  <c r="AO451" i="1"/>
  <c r="AH451" i="1"/>
  <c r="AF451" i="1"/>
  <c r="AD451" i="1"/>
  <c r="AB451" i="1"/>
  <c r="AJ451" i="1"/>
  <c r="AM483" i="1"/>
  <c r="AJ483" i="1"/>
  <c r="AI483" i="1"/>
  <c r="AF483" i="1"/>
  <c r="AD483" i="1"/>
  <c r="AC483" i="1"/>
  <c r="AP483" i="1"/>
  <c r="AK515" i="1"/>
  <c r="AG515" i="1"/>
  <c r="AQ515" i="1"/>
  <c r="AF515" i="1"/>
  <c r="AO515" i="1"/>
  <c r="AE515" i="1"/>
  <c r="AN515" i="1"/>
  <c r="AD515" i="1"/>
  <c r="AM515" i="1"/>
  <c r="AB515" i="1"/>
  <c r="AJ515" i="1"/>
  <c r="AL515" i="1"/>
  <c r="AI515" i="1"/>
  <c r="AA515" i="1"/>
  <c r="AH73" i="1"/>
  <c r="AE73" i="1"/>
  <c r="AC73" i="1"/>
  <c r="AQ73" i="1"/>
  <c r="AB73" i="1"/>
  <c r="AP73" i="1"/>
  <c r="AO73" i="1"/>
  <c r="AM73" i="1"/>
  <c r="AI73" i="1"/>
  <c r="AG73" i="1"/>
  <c r="AF73" i="1"/>
  <c r="AG137" i="1"/>
  <c r="AB137" i="1"/>
  <c r="AP137" i="1"/>
  <c r="AJ137" i="1"/>
  <c r="AO137" i="1"/>
  <c r="AH137" i="1"/>
  <c r="AN137" i="1"/>
  <c r="AQ137" i="1"/>
  <c r="AO169" i="1"/>
  <c r="AK169" i="1"/>
  <c r="AH169" i="1"/>
  <c r="AM201" i="1"/>
  <c r="AL201" i="1"/>
  <c r="AJ201" i="1"/>
  <c r="AI201" i="1"/>
  <c r="AG201" i="1"/>
  <c r="AF201" i="1"/>
  <c r="AQ201" i="1"/>
  <c r="AD201" i="1"/>
  <c r="AO201" i="1"/>
  <c r="AB201" i="1"/>
  <c r="AN201" i="1"/>
  <c r="AA201" i="1"/>
  <c r="AP233" i="1"/>
  <c r="AH233" i="1"/>
  <c r="AF233" i="1"/>
  <c r="AE233" i="1"/>
  <c r="AO233" i="1"/>
  <c r="AD233" i="1"/>
  <c r="AN233" i="1"/>
  <c r="AC233" i="1"/>
  <c r="AM233" i="1"/>
  <c r="AB233" i="1"/>
  <c r="AL233" i="1"/>
  <c r="AK233" i="1"/>
  <c r="AP269" i="1"/>
  <c r="AK269" i="1"/>
  <c r="AA269" i="1"/>
  <c r="AJ269" i="1"/>
  <c r="AI269" i="1"/>
  <c r="AG269" i="1"/>
  <c r="AQ269" i="1"/>
  <c r="AF269" i="1"/>
  <c r="AC269" i="1"/>
  <c r="AB269" i="1"/>
  <c r="AO269" i="1"/>
  <c r="AN269" i="1"/>
  <c r="AL269" i="1"/>
  <c r="AD269" i="1"/>
  <c r="AP301" i="1"/>
  <c r="AQ301" i="1"/>
  <c r="AF301" i="1"/>
  <c r="AO301" i="1"/>
  <c r="AD301" i="1"/>
  <c r="AN301" i="1"/>
  <c r="AC301" i="1"/>
  <c r="AL301" i="1"/>
  <c r="AB301" i="1"/>
  <c r="AK301" i="1"/>
  <c r="AA301" i="1"/>
  <c r="AJ301" i="1"/>
  <c r="AI301" i="1"/>
  <c r="AG301" i="1"/>
  <c r="AK333" i="1"/>
  <c r="AM333" i="1"/>
  <c r="AL333" i="1"/>
  <c r="AJ333" i="1"/>
  <c r="AG333" i="1"/>
  <c r="AF333" i="1"/>
  <c r="AE333" i="1"/>
  <c r="AO333" i="1"/>
  <c r="AN333" i="1"/>
  <c r="AD333" i="1"/>
  <c r="AB333" i="1"/>
  <c r="AI369" i="1"/>
  <c r="AF369" i="1"/>
  <c r="AE369" i="1"/>
  <c r="AB369" i="1"/>
  <c r="AQ369" i="1"/>
  <c r="AP369" i="1"/>
  <c r="AO369" i="1"/>
  <c r="AN369" i="1"/>
  <c r="AG369" i="1"/>
  <c r="AE82" i="1"/>
  <c r="AC82" i="1"/>
  <c r="AN82" i="1"/>
  <c r="AM82" i="1"/>
  <c r="AK82" i="1"/>
  <c r="AH82" i="1"/>
  <c r="AA82" i="1"/>
  <c r="AP138" i="1"/>
  <c r="AM138" i="1"/>
  <c r="AH138" i="1"/>
  <c r="AF138" i="1"/>
  <c r="AN138" i="1"/>
  <c r="AC138" i="1"/>
  <c r="AP178" i="1"/>
  <c r="AF178" i="1"/>
  <c r="AN178" i="1"/>
  <c r="AH178" i="1"/>
  <c r="AQ178" i="1"/>
  <c r="AB178" i="1"/>
  <c r="AN214" i="1"/>
  <c r="AL214" i="1"/>
  <c r="AJ214" i="1"/>
  <c r="AF214" i="1"/>
  <c r="AC214" i="1"/>
  <c r="AB214" i="1"/>
  <c r="AE214" i="1"/>
  <c r="AQ246" i="1"/>
  <c r="AJ246" i="1"/>
  <c r="AF246" i="1"/>
  <c r="AE246" i="1"/>
  <c r="AC246" i="1"/>
  <c r="AA246" i="1"/>
  <c r="AP246" i="1"/>
  <c r="AN246" i="1"/>
  <c r="AL246" i="1"/>
  <c r="AO278" i="1"/>
  <c r="AE278" i="1"/>
  <c r="AD278" i="1"/>
  <c r="AN278" i="1"/>
  <c r="AO310" i="1"/>
  <c r="AH310" i="1"/>
  <c r="AQ342" i="1"/>
  <c r="AJ342" i="1"/>
  <c r="AE342" i="1"/>
  <c r="AD342" i="1"/>
  <c r="AC342" i="1"/>
  <c r="AB342" i="1"/>
  <c r="AM342" i="1"/>
  <c r="AL342" i="1"/>
  <c r="AK342" i="1"/>
  <c r="AL374" i="1"/>
  <c r="AG374" i="1"/>
  <c r="AP129" i="1"/>
  <c r="AO129" i="1"/>
  <c r="AJ129" i="1"/>
  <c r="AH129" i="1"/>
  <c r="AB129" i="1"/>
  <c r="AG129" i="1"/>
  <c r="AK129" i="1"/>
  <c r="AQ389" i="1"/>
  <c r="AM389" i="1"/>
  <c r="AA389" i="1"/>
  <c r="AK389" i="1"/>
  <c r="AJ389" i="1"/>
  <c r="AG389" i="1"/>
  <c r="AF389" i="1"/>
  <c r="AP389" i="1"/>
  <c r="AE389" i="1"/>
  <c r="AC389" i="1"/>
  <c r="AB389" i="1"/>
  <c r="AO389" i="1"/>
  <c r="AN389" i="1"/>
  <c r="AI421" i="1"/>
  <c r="AH421" i="1"/>
  <c r="AG421" i="1"/>
  <c r="AA421" i="1"/>
  <c r="AQ421" i="1"/>
  <c r="AM421" i="1"/>
  <c r="AK421" i="1"/>
  <c r="AD453" i="1"/>
  <c r="AB453" i="1"/>
  <c r="AM517" i="1"/>
  <c r="AK517" i="1"/>
  <c r="AF517" i="1"/>
  <c r="AC517" i="1"/>
  <c r="AB517" i="1"/>
  <c r="AQ517" i="1"/>
  <c r="AP517" i="1"/>
  <c r="AA517" i="1"/>
  <c r="AM94" i="1"/>
  <c r="AK94" i="1"/>
  <c r="AH94" i="1"/>
  <c r="AE94" i="1"/>
  <c r="AC94" i="1"/>
  <c r="AN94" i="1"/>
  <c r="AI94" i="1"/>
  <c r="AM378" i="1"/>
  <c r="AH378" i="1"/>
  <c r="AC378" i="1"/>
  <c r="AQ410" i="1"/>
  <c r="AM410" i="1"/>
  <c r="AA410" i="1"/>
  <c r="AL410" i="1"/>
  <c r="AK410" i="1"/>
  <c r="AG410" i="1"/>
  <c r="AF410" i="1"/>
  <c r="AP410" i="1"/>
  <c r="AE410" i="1"/>
  <c r="AD410" i="1"/>
  <c r="AC410" i="1"/>
  <c r="AO410" i="1"/>
  <c r="AN410" i="1"/>
  <c r="AQ442" i="1"/>
  <c r="AP442" i="1"/>
  <c r="AN442" i="1"/>
  <c r="AI538" i="1"/>
  <c r="AN538" i="1"/>
  <c r="AL538" i="1"/>
  <c r="AG538" i="1"/>
  <c r="AC538" i="1"/>
  <c r="AA538" i="1"/>
  <c r="AQ538" i="1"/>
  <c r="AJ103" i="1"/>
  <c r="AO103" i="1"/>
  <c r="AE103" i="1"/>
  <c r="AN103" i="1"/>
  <c r="AD103" i="1"/>
  <c r="AM103" i="1"/>
  <c r="AC103" i="1"/>
  <c r="AL103" i="1"/>
  <c r="AA103" i="1"/>
  <c r="AK103" i="1"/>
  <c r="AG103" i="1"/>
  <c r="AF103" i="1"/>
  <c r="AQ103" i="1"/>
  <c r="AI103" i="1"/>
  <c r="AJ135" i="1"/>
  <c r="AK135" i="1"/>
  <c r="AI135" i="1"/>
  <c r="AG135" i="1"/>
  <c r="AQ135" i="1"/>
  <c r="AF135" i="1"/>
  <c r="AO135" i="1"/>
  <c r="AE135" i="1"/>
  <c r="AM135" i="1"/>
  <c r="AC135" i="1"/>
  <c r="AN135" i="1"/>
  <c r="AL135" i="1"/>
  <c r="AD135" i="1"/>
  <c r="AA135" i="1"/>
  <c r="AJ167" i="1"/>
  <c r="AG167" i="1"/>
  <c r="AQ167" i="1"/>
  <c r="AF167" i="1"/>
  <c r="AO167" i="1"/>
  <c r="AE167" i="1"/>
  <c r="AN167" i="1"/>
  <c r="AD167" i="1"/>
  <c r="AM167" i="1"/>
  <c r="AC167" i="1"/>
  <c r="AL167" i="1"/>
  <c r="AA167" i="1"/>
  <c r="AK167" i="1"/>
  <c r="AI167" i="1"/>
  <c r="AK199" i="1"/>
  <c r="AN199" i="1"/>
  <c r="AE199" i="1"/>
  <c r="AB199" i="1"/>
  <c r="AC199" i="1"/>
  <c r="AQ199" i="1"/>
  <c r="AP231" i="1"/>
  <c r="AK231" i="1"/>
  <c r="AJ231" i="1"/>
  <c r="AH231" i="1"/>
  <c r="AF231" i="1"/>
  <c r="AQ231" i="1"/>
  <c r="AD231" i="1"/>
  <c r="AO231" i="1"/>
  <c r="AC231" i="1"/>
  <c r="AB231" i="1"/>
  <c r="AA231" i="1"/>
  <c r="AN231" i="1"/>
  <c r="AL231" i="1"/>
  <c r="AF263" i="1"/>
  <c r="AC263" i="1"/>
  <c r="AP263" i="1"/>
  <c r="AB263" i="1"/>
  <c r="AO263" i="1"/>
  <c r="AA263" i="1"/>
  <c r="AL263" i="1"/>
  <c r="AK263" i="1"/>
  <c r="AJ263" i="1"/>
  <c r="AG263" i="1"/>
  <c r="AG295" i="1"/>
  <c r="AF295" i="1"/>
  <c r="AE295" i="1"/>
  <c r="AP295" i="1"/>
  <c r="AB295" i="1"/>
  <c r="AO295" i="1"/>
  <c r="AM295" i="1"/>
  <c r="AJ295" i="1"/>
  <c r="AH295" i="1"/>
  <c r="AQ327" i="1"/>
  <c r="AC327" i="1"/>
  <c r="AP327" i="1"/>
  <c r="AB327" i="1"/>
  <c r="AN327" i="1"/>
  <c r="AA327" i="1"/>
  <c r="AL327" i="1"/>
  <c r="AK327" i="1"/>
  <c r="AI327" i="1"/>
  <c r="AH327" i="1"/>
  <c r="AD327" i="1"/>
  <c r="AP359" i="1"/>
  <c r="AN359" i="1"/>
  <c r="AD359" i="1"/>
  <c r="AM359" i="1"/>
  <c r="AC359" i="1"/>
  <c r="AL359" i="1"/>
  <c r="AB359" i="1"/>
  <c r="AK359" i="1"/>
  <c r="AA359" i="1"/>
  <c r="AJ359" i="1"/>
  <c r="AI359" i="1"/>
  <c r="AQ359" i="1"/>
  <c r="AF359" i="1"/>
  <c r="AE359" i="1"/>
  <c r="AP391" i="1"/>
  <c r="AQ391" i="1"/>
  <c r="AG391" i="1"/>
  <c r="AO391" i="1"/>
  <c r="AF391" i="1"/>
  <c r="AN391" i="1"/>
  <c r="AE391" i="1"/>
  <c r="AM391" i="1"/>
  <c r="AD391" i="1"/>
  <c r="AL391" i="1"/>
  <c r="AC391" i="1"/>
  <c r="AK391" i="1"/>
  <c r="AB391" i="1"/>
  <c r="AJ391" i="1"/>
  <c r="AI391" i="1"/>
  <c r="AA391" i="1"/>
  <c r="AP423" i="1"/>
  <c r="AO423" i="1"/>
  <c r="AF423" i="1"/>
  <c r="AN423" i="1"/>
  <c r="AE423" i="1"/>
  <c r="AM423" i="1"/>
  <c r="AD423" i="1"/>
  <c r="AL423" i="1"/>
  <c r="AC423" i="1"/>
  <c r="AK423" i="1"/>
  <c r="AB423" i="1"/>
  <c r="AJ423" i="1"/>
  <c r="AA423" i="1"/>
  <c r="AQ423" i="1"/>
  <c r="AI423" i="1"/>
  <c r="AG423" i="1"/>
  <c r="AQ487" i="1"/>
  <c r="AK487" i="1"/>
  <c r="AJ487" i="1"/>
  <c r="AE487" i="1"/>
  <c r="AK519" i="1"/>
  <c r="AM519" i="1"/>
  <c r="AB519" i="1"/>
  <c r="AL519" i="1"/>
  <c r="AA519" i="1"/>
  <c r="AJ519" i="1"/>
  <c r="AI519" i="1"/>
  <c r="AG519" i="1"/>
  <c r="AO519" i="1"/>
  <c r="AE519" i="1"/>
  <c r="AQ519" i="1"/>
  <c r="AN519" i="1"/>
  <c r="AF519" i="1"/>
  <c r="AD519" i="1"/>
  <c r="AP88" i="1"/>
  <c r="AO88" i="1"/>
  <c r="AF88" i="1"/>
  <c r="AN88" i="1"/>
  <c r="AE88" i="1"/>
  <c r="AM88" i="1"/>
  <c r="AD88" i="1"/>
  <c r="AL88" i="1"/>
  <c r="AC88" i="1"/>
  <c r="AK88" i="1"/>
  <c r="AB88" i="1"/>
  <c r="AQ88" i="1"/>
  <c r="AJ88" i="1"/>
  <c r="AI88" i="1"/>
  <c r="AG88" i="1"/>
  <c r="AA88" i="1"/>
  <c r="AP156" i="1"/>
  <c r="AJ156" i="1"/>
  <c r="AA156" i="1"/>
  <c r="AI156" i="1"/>
  <c r="AQ156" i="1"/>
  <c r="AG156" i="1"/>
  <c r="AO156" i="1"/>
  <c r="AF156" i="1"/>
  <c r="AN156" i="1"/>
  <c r="AE156" i="1"/>
  <c r="AM156" i="1"/>
  <c r="AD156" i="1"/>
  <c r="AL156" i="1"/>
  <c r="AK156" i="1"/>
  <c r="AC156" i="1"/>
  <c r="AB156" i="1"/>
  <c r="AK188" i="1"/>
  <c r="AI188" i="1"/>
  <c r="AH188" i="1"/>
  <c r="AF188" i="1"/>
  <c r="AD188" i="1"/>
  <c r="AQ188" i="1"/>
  <c r="AC188" i="1"/>
  <c r="AA188" i="1"/>
  <c r="AP188" i="1"/>
  <c r="AN188" i="1"/>
  <c r="AJ220" i="1"/>
  <c r="AH220" i="1"/>
  <c r="AG220" i="1"/>
  <c r="AE220" i="1"/>
  <c r="AQ220" i="1"/>
  <c r="AB220" i="1"/>
  <c r="AP220" i="1"/>
  <c r="AA220" i="1"/>
  <c r="AN220" i="1"/>
  <c r="AL220" i="1"/>
  <c r="AE288" i="1"/>
  <c r="AQ288" i="1"/>
  <c r="AD288" i="1"/>
  <c r="AP288" i="1"/>
  <c r="AC288" i="1"/>
  <c r="AN288" i="1"/>
  <c r="AM288" i="1"/>
  <c r="AI288" i="1"/>
  <c r="AH288" i="1"/>
  <c r="AF288" i="1"/>
  <c r="AJ320" i="1"/>
  <c r="AN320" i="1"/>
  <c r="AM320" i="1"/>
  <c r="AL320" i="1"/>
  <c r="AK320" i="1"/>
  <c r="AF320" i="1"/>
  <c r="AE320" i="1"/>
  <c r="AD320" i="1"/>
  <c r="AC320" i="1"/>
  <c r="AI352" i="1"/>
  <c r="AH352" i="1"/>
  <c r="AG352" i="1"/>
  <c r="AD352" i="1"/>
  <c r="AB352" i="1"/>
  <c r="AQ352" i="1"/>
  <c r="AP352" i="1"/>
  <c r="AL352" i="1"/>
  <c r="AQ384" i="1"/>
  <c r="AE384" i="1"/>
  <c r="AP384" i="1"/>
  <c r="AD384" i="1"/>
  <c r="AO384" i="1"/>
  <c r="AC384" i="1"/>
  <c r="AM384" i="1"/>
  <c r="AB384" i="1"/>
  <c r="AL384" i="1"/>
  <c r="AA384" i="1"/>
  <c r="AK384" i="1"/>
  <c r="AJ384" i="1"/>
  <c r="AG384" i="1"/>
  <c r="AQ416" i="1"/>
  <c r="AE416" i="1"/>
  <c r="AP416" i="1"/>
  <c r="AD416" i="1"/>
  <c r="AO416" i="1"/>
  <c r="AC416" i="1"/>
  <c r="AM416" i="1"/>
  <c r="AB416" i="1"/>
  <c r="AL416" i="1"/>
  <c r="AA416" i="1"/>
  <c r="AK416" i="1"/>
  <c r="AJ416" i="1"/>
  <c r="AG416" i="1"/>
  <c r="AL448" i="1"/>
  <c r="AO448" i="1"/>
  <c r="AN448" i="1"/>
  <c r="AF480" i="1"/>
  <c r="AA480" i="1"/>
  <c r="AP480" i="1"/>
  <c r="AK480" i="1"/>
  <c r="AJ480" i="1"/>
  <c r="AH480" i="1"/>
  <c r="AG480" i="1"/>
  <c r="AL512" i="1"/>
  <c r="AK512" i="1"/>
  <c r="AJ512" i="1"/>
  <c r="AE512" i="1"/>
  <c r="AC512" i="1"/>
  <c r="AB512" i="1"/>
  <c r="AM512" i="1"/>
  <c r="AP544" i="1"/>
  <c r="AK544" i="1"/>
  <c r="AL544" i="1"/>
  <c r="AD544" i="1"/>
  <c r="AP92" i="1"/>
  <c r="AQ92" i="1"/>
  <c r="AG92" i="1"/>
  <c r="AO92" i="1"/>
  <c r="AF92" i="1"/>
  <c r="AN92" i="1"/>
  <c r="AE92" i="1"/>
  <c r="AM92" i="1"/>
  <c r="AD92" i="1"/>
  <c r="AL92" i="1"/>
  <c r="AC92" i="1"/>
  <c r="AK92" i="1"/>
  <c r="AJ92" i="1"/>
  <c r="AB92" i="1"/>
  <c r="AA92" i="1"/>
  <c r="AI92" i="1"/>
  <c r="AP124" i="1"/>
  <c r="AK124" i="1"/>
  <c r="AB124" i="1"/>
  <c r="AJ124" i="1"/>
  <c r="AA124" i="1"/>
  <c r="AI124" i="1"/>
  <c r="AQ124" i="1"/>
  <c r="AG124" i="1"/>
  <c r="AO124" i="1"/>
  <c r="AF124" i="1"/>
  <c r="AM124" i="1"/>
  <c r="AD124" i="1"/>
  <c r="AN124" i="1"/>
  <c r="AL124" i="1"/>
  <c r="AE124" i="1"/>
  <c r="AC124" i="1"/>
  <c r="AP160" i="1"/>
  <c r="AO160" i="1"/>
  <c r="AF160" i="1"/>
  <c r="AN160" i="1"/>
  <c r="AE160" i="1"/>
  <c r="AM160" i="1"/>
  <c r="AD160" i="1"/>
  <c r="AL160" i="1"/>
  <c r="AC160" i="1"/>
  <c r="AK160" i="1"/>
  <c r="AB160" i="1"/>
  <c r="AJ160" i="1"/>
  <c r="AA160" i="1"/>
  <c r="AI160" i="1"/>
  <c r="AG160" i="1"/>
  <c r="AQ160" i="1"/>
  <c r="AI192" i="1"/>
  <c r="AH192" i="1"/>
  <c r="AQ224" i="1"/>
  <c r="AO224" i="1"/>
  <c r="AL260" i="1"/>
  <c r="AD260" i="1"/>
  <c r="AQ260" i="1"/>
  <c r="AP260" i="1"/>
  <c r="AI260" i="1"/>
  <c r="AE260" i="1"/>
  <c r="AP292" i="1"/>
  <c r="AN292" i="1"/>
  <c r="AL292" i="1"/>
  <c r="AK292" i="1"/>
  <c r="AE292" i="1"/>
  <c r="AD292" i="1"/>
  <c r="AC292" i="1"/>
  <c r="AJ324" i="1"/>
  <c r="AF324" i="1"/>
  <c r="AE324" i="1"/>
  <c r="AD324" i="1"/>
  <c r="AC324" i="1"/>
  <c r="AN324" i="1"/>
  <c r="AM324" i="1"/>
  <c r="AL324" i="1"/>
  <c r="AK324" i="1"/>
  <c r="AG356" i="1"/>
  <c r="AQ356" i="1"/>
  <c r="AJ356" i="1"/>
  <c r="AI356" i="1"/>
  <c r="AH356" i="1"/>
  <c r="AQ388" i="1"/>
  <c r="AG388" i="1"/>
  <c r="AE388" i="1"/>
  <c r="AP388" i="1"/>
  <c r="AD388" i="1"/>
  <c r="AO388" i="1"/>
  <c r="AC388" i="1"/>
  <c r="AM388" i="1"/>
  <c r="AB388" i="1"/>
  <c r="AL388" i="1"/>
  <c r="AA388" i="1"/>
  <c r="AK388" i="1"/>
  <c r="AJ388" i="1"/>
  <c r="AK484" i="1"/>
  <c r="AI484" i="1"/>
  <c r="AH484" i="1"/>
  <c r="AG484" i="1"/>
  <c r="AB484" i="1"/>
  <c r="AQ484" i="1"/>
  <c r="AL484" i="1"/>
  <c r="AA484" i="1"/>
  <c r="AP545" i="1"/>
  <c r="AQ545" i="1"/>
  <c r="AC545" i="1"/>
  <c r="AN545" i="1"/>
  <c r="AB545" i="1"/>
  <c r="AM545" i="1"/>
  <c r="AA545" i="1"/>
  <c r="AK545" i="1"/>
  <c r="AJ545" i="1"/>
  <c r="AF545" i="1"/>
  <c r="AI545" i="1"/>
  <c r="AE545" i="1"/>
  <c r="AP185" i="1"/>
  <c r="AA185" i="1"/>
  <c r="AO185" i="1"/>
  <c r="AL185" i="1"/>
  <c r="AI185" i="1"/>
  <c r="AH185" i="1"/>
  <c r="AG185" i="1"/>
  <c r="AQ185" i="1"/>
  <c r="AF185" i="1"/>
  <c r="AD185" i="1"/>
  <c r="AH217" i="1"/>
  <c r="AK217" i="1"/>
  <c r="AG217" i="1"/>
  <c r="AF217" i="1"/>
  <c r="AD217" i="1"/>
  <c r="AB217" i="1"/>
  <c r="AP217" i="1"/>
  <c r="AO217" i="1"/>
  <c r="AM217" i="1"/>
  <c r="AH249" i="1"/>
  <c r="AD249" i="1"/>
  <c r="AB249" i="1"/>
  <c r="AP249" i="1"/>
  <c r="AO249" i="1"/>
  <c r="AM249" i="1"/>
  <c r="AK249" i="1"/>
  <c r="AG249" i="1"/>
  <c r="AF249" i="1"/>
  <c r="AP285" i="1"/>
  <c r="AL285" i="1"/>
  <c r="AB285" i="1"/>
  <c r="AK285" i="1"/>
  <c r="AA285" i="1"/>
  <c r="AJ285" i="1"/>
  <c r="AI285" i="1"/>
  <c r="AG285" i="1"/>
  <c r="AC285" i="1"/>
  <c r="AQ285" i="1"/>
  <c r="AO285" i="1"/>
  <c r="AN285" i="1"/>
  <c r="AF285" i="1"/>
  <c r="AD285" i="1"/>
  <c r="AP317" i="1"/>
  <c r="AN317" i="1"/>
  <c r="AC317" i="1"/>
  <c r="AL317" i="1"/>
  <c r="AB317" i="1"/>
  <c r="AK317" i="1"/>
  <c r="AA317" i="1"/>
  <c r="AJ317" i="1"/>
  <c r="AI317" i="1"/>
  <c r="AG317" i="1"/>
  <c r="AQ317" i="1"/>
  <c r="AO317" i="1"/>
  <c r="AF317" i="1"/>
  <c r="AD317" i="1"/>
  <c r="AP62" i="1"/>
  <c r="AE62" i="1"/>
  <c r="AQ62" i="1"/>
  <c r="AC62" i="1"/>
  <c r="AO62" i="1"/>
  <c r="AB62" i="1"/>
  <c r="AN62" i="1"/>
  <c r="AM62" i="1"/>
  <c r="AK62" i="1"/>
  <c r="AF62" i="1"/>
  <c r="AH62" i="1"/>
  <c r="AP114" i="1"/>
  <c r="AH114" i="1"/>
  <c r="AF114" i="1"/>
  <c r="AN114" i="1"/>
  <c r="AM114" i="1"/>
  <c r="AP158" i="1"/>
  <c r="AN158" i="1"/>
  <c r="AH158" i="1"/>
  <c r="AF158" i="1"/>
  <c r="AL198" i="1"/>
  <c r="AJ198" i="1"/>
  <c r="AH198" i="1"/>
  <c r="AG198" i="1"/>
  <c r="AE198" i="1"/>
  <c r="AB198" i="1"/>
  <c r="AO198" i="1"/>
  <c r="AP230" i="1"/>
  <c r="AE230" i="1"/>
  <c r="AQ230" i="1"/>
  <c r="AD230" i="1"/>
  <c r="AN230" i="1"/>
  <c r="AC230" i="1"/>
  <c r="AM230" i="1"/>
  <c r="AB230" i="1"/>
  <c r="AL230" i="1"/>
  <c r="AA230" i="1"/>
  <c r="AK230" i="1"/>
  <c r="AJ230" i="1"/>
  <c r="AH230" i="1"/>
  <c r="AI262" i="1"/>
  <c r="AK262" i="1"/>
  <c r="AH262" i="1"/>
  <c r="AE262" i="1"/>
  <c r="AD262" i="1"/>
  <c r="AC262" i="1"/>
  <c r="AQ262" i="1"/>
  <c r="AA262" i="1"/>
  <c r="AP262" i="1"/>
  <c r="AM262" i="1"/>
  <c r="AJ294" i="1"/>
  <c r="AB294" i="1"/>
  <c r="AP294" i="1"/>
  <c r="AI294" i="1"/>
  <c r="AH294" i="1"/>
  <c r="AL326" i="1"/>
  <c r="AJ326" i="1"/>
  <c r="AH358" i="1"/>
  <c r="AM358" i="1"/>
  <c r="AK358" i="1"/>
  <c r="AF358" i="1"/>
  <c r="AE358" i="1"/>
  <c r="AD358" i="1"/>
  <c r="AP358" i="1"/>
  <c r="AC358" i="1"/>
  <c r="AO358" i="1"/>
  <c r="AN358" i="1"/>
  <c r="AI373" i="1"/>
  <c r="AQ373" i="1"/>
  <c r="AA373" i="1"/>
  <c r="AP373" i="1"/>
  <c r="AO373" i="1"/>
  <c r="AM373" i="1"/>
  <c r="AH373" i="1"/>
  <c r="AG373" i="1"/>
  <c r="AF373" i="1"/>
  <c r="AE373" i="1"/>
  <c r="AQ405" i="1"/>
  <c r="AF405" i="1"/>
  <c r="AP405" i="1"/>
  <c r="AE405" i="1"/>
  <c r="AO405" i="1"/>
  <c r="AC405" i="1"/>
  <c r="AN405" i="1"/>
  <c r="AB405" i="1"/>
  <c r="AM405" i="1"/>
  <c r="AA405" i="1"/>
  <c r="AK405" i="1"/>
  <c r="AJ405" i="1"/>
  <c r="AG405" i="1"/>
  <c r="AH437" i="1"/>
  <c r="AF437" i="1"/>
  <c r="AQ437" i="1"/>
  <c r="AE437" i="1"/>
  <c r="AP437" i="1"/>
  <c r="AC437" i="1"/>
  <c r="AN437" i="1"/>
  <c r="AB437" i="1"/>
  <c r="AL437" i="1"/>
  <c r="AA437" i="1"/>
  <c r="AK437" i="1"/>
  <c r="AJ437" i="1"/>
  <c r="AM469" i="1"/>
  <c r="AK469" i="1"/>
  <c r="AI469" i="1"/>
  <c r="AD469" i="1"/>
  <c r="AB469" i="1"/>
  <c r="AJ501" i="1"/>
  <c r="AB501" i="1"/>
  <c r="AQ501" i="1"/>
  <c r="AK501" i="1"/>
  <c r="AI533" i="1"/>
  <c r="AH533" i="1"/>
  <c r="AF533" i="1"/>
  <c r="AE533" i="1"/>
  <c r="AB533" i="1"/>
  <c r="AP533" i="1"/>
  <c r="AA533" i="1"/>
  <c r="AQ533" i="1"/>
  <c r="AM533" i="1"/>
  <c r="AP122" i="1"/>
  <c r="AN122" i="1"/>
  <c r="AM122" i="1"/>
  <c r="AH122" i="1"/>
  <c r="AF122" i="1"/>
  <c r="AQ394" i="1"/>
  <c r="AF394" i="1"/>
  <c r="AP394" i="1"/>
  <c r="AE394" i="1"/>
  <c r="AO394" i="1"/>
  <c r="AD394" i="1"/>
  <c r="AN394" i="1"/>
  <c r="AC394" i="1"/>
  <c r="AM394" i="1"/>
  <c r="AA394" i="1"/>
  <c r="AL394" i="1"/>
  <c r="AK394" i="1"/>
  <c r="AG394" i="1"/>
  <c r="AJ426" i="1"/>
  <c r="AK426" i="1"/>
  <c r="AI426" i="1"/>
  <c r="AG426" i="1"/>
  <c r="AQ426" i="1"/>
  <c r="AF426" i="1"/>
  <c r="AO426" i="1"/>
  <c r="AE426" i="1"/>
  <c r="AN426" i="1"/>
  <c r="AD426" i="1"/>
  <c r="AC426" i="1"/>
  <c r="AA426" i="1"/>
  <c r="AM426" i="1"/>
  <c r="AL426" i="1"/>
  <c r="AO458" i="1"/>
  <c r="AN458" i="1"/>
  <c r="AH458" i="1"/>
  <c r="AF458" i="1"/>
  <c r="AP458" i="1"/>
  <c r="AF490" i="1"/>
  <c r="AE490" i="1"/>
  <c r="AD490" i="1"/>
  <c r="AP490" i="1"/>
  <c r="AC490" i="1"/>
  <c r="AO490" i="1"/>
  <c r="AN490" i="1"/>
  <c r="AJ490" i="1"/>
  <c r="AH490" i="1"/>
  <c r="AL522" i="1"/>
  <c r="AH522" i="1"/>
  <c r="AF522" i="1"/>
  <c r="AD522" i="1"/>
  <c r="AA522" i="1"/>
  <c r="AQ522" i="1"/>
  <c r="AO522" i="1"/>
  <c r="AJ87" i="1"/>
  <c r="AO87" i="1"/>
  <c r="AE87" i="1"/>
  <c r="AN87" i="1"/>
  <c r="AD87" i="1"/>
  <c r="AM87" i="1"/>
  <c r="AC87" i="1"/>
  <c r="AL87" i="1"/>
  <c r="AA87" i="1"/>
  <c r="AK87" i="1"/>
  <c r="AI87" i="1"/>
  <c r="AG87" i="1"/>
  <c r="AF87" i="1"/>
  <c r="AQ87" i="1"/>
  <c r="AJ119" i="1"/>
  <c r="AM119" i="1"/>
  <c r="AC119" i="1"/>
  <c r="AL119" i="1"/>
  <c r="AA119" i="1"/>
  <c r="AK119" i="1"/>
  <c r="AI119" i="1"/>
  <c r="AG119" i="1"/>
  <c r="AO119" i="1"/>
  <c r="AE119" i="1"/>
  <c r="AQ119" i="1"/>
  <c r="AN119" i="1"/>
  <c r="AF119" i="1"/>
  <c r="AD119" i="1"/>
  <c r="AJ151" i="1"/>
  <c r="AM151" i="1"/>
  <c r="AC151" i="1"/>
  <c r="AL151" i="1"/>
  <c r="AA151" i="1"/>
  <c r="AK151" i="1"/>
  <c r="AI151" i="1"/>
  <c r="AG151" i="1"/>
  <c r="AQ151" i="1"/>
  <c r="AF151" i="1"/>
  <c r="AO151" i="1"/>
  <c r="AE151" i="1"/>
  <c r="AN151" i="1"/>
  <c r="AD151" i="1"/>
  <c r="AL183" i="1"/>
  <c r="AJ183" i="1"/>
  <c r="AH183" i="1"/>
  <c r="AE183" i="1"/>
  <c r="AB183" i="1"/>
  <c r="AP183" i="1"/>
  <c r="AQ215" i="1"/>
  <c r="AO215" i="1"/>
  <c r="AL215" i="1"/>
  <c r="AJ215" i="1"/>
  <c r="AG215" i="1"/>
  <c r="AF215" i="1"/>
  <c r="AC215" i="1"/>
  <c r="AP215" i="1"/>
  <c r="AA215" i="1"/>
  <c r="AQ247" i="1"/>
  <c r="AG247" i="1"/>
  <c r="AF247" i="1"/>
  <c r="AC247" i="1"/>
  <c r="AA247" i="1"/>
  <c r="AP247" i="1"/>
  <c r="AO247" i="1"/>
  <c r="AL247" i="1"/>
  <c r="AJ247" i="1"/>
  <c r="AJ279" i="1"/>
  <c r="AN279" i="1"/>
  <c r="AH279" i="1"/>
  <c r="AG279" i="1"/>
  <c r="AC279" i="1"/>
  <c r="AM311" i="1"/>
  <c r="AH311" i="1"/>
  <c r="AG311" i="1"/>
  <c r="AF311" i="1"/>
  <c r="AE311" i="1"/>
  <c r="AO311" i="1"/>
  <c r="AN311" i="1"/>
  <c r="AK343" i="1"/>
  <c r="AH343" i="1"/>
  <c r="AC343" i="1"/>
  <c r="AB343" i="1"/>
  <c r="AA343" i="1"/>
  <c r="AQ343" i="1"/>
  <c r="AJ343" i="1"/>
  <c r="AP375" i="1"/>
  <c r="AN375" i="1"/>
  <c r="AD375" i="1"/>
  <c r="AM375" i="1"/>
  <c r="AC375" i="1"/>
  <c r="AL375" i="1"/>
  <c r="AB375" i="1"/>
  <c r="AK375" i="1"/>
  <c r="AA375" i="1"/>
  <c r="AJ375" i="1"/>
  <c r="AI375" i="1"/>
  <c r="AQ375" i="1"/>
  <c r="AF375" i="1"/>
  <c r="AE375" i="1"/>
  <c r="AP407" i="1"/>
  <c r="AL407" i="1"/>
  <c r="AC407" i="1"/>
  <c r="AK407" i="1"/>
  <c r="AB407" i="1"/>
  <c r="AJ407" i="1"/>
  <c r="AA407" i="1"/>
  <c r="AI407" i="1"/>
  <c r="AQ407" i="1"/>
  <c r="AG407" i="1"/>
  <c r="AO407" i="1"/>
  <c r="AN407" i="1"/>
  <c r="AM407" i="1"/>
  <c r="AF407" i="1"/>
  <c r="AE407" i="1"/>
  <c r="AD407" i="1"/>
  <c r="AQ439" i="1"/>
  <c r="AF439" i="1"/>
  <c r="AP439" i="1"/>
  <c r="AD439" i="1"/>
  <c r="AO439" i="1"/>
  <c r="AB439" i="1"/>
  <c r="AM439" i="1"/>
  <c r="AA439" i="1"/>
  <c r="AL439" i="1"/>
  <c r="AJ439" i="1"/>
  <c r="AH439" i="1"/>
  <c r="AG439" i="1"/>
  <c r="AL471" i="1"/>
  <c r="AN471" i="1"/>
  <c r="AK535" i="1"/>
  <c r="AJ535" i="1"/>
  <c r="AI535" i="1"/>
  <c r="AG535" i="1"/>
  <c r="AQ535" i="1"/>
  <c r="AF535" i="1"/>
  <c r="AO535" i="1"/>
  <c r="AE535" i="1"/>
  <c r="AM535" i="1"/>
  <c r="AB535" i="1"/>
  <c r="AN535" i="1"/>
  <c r="AL535" i="1"/>
  <c r="AD535" i="1"/>
  <c r="AA535" i="1"/>
  <c r="AP136" i="1"/>
  <c r="AK136" i="1"/>
  <c r="AB136" i="1"/>
  <c r="AJ136" i="1"/>
  <c r="AA136" i="1"/>
  <c r="AI136" i="1"/>
  <c r="AQ136" i="1"/>
  <c r="AG136" i="1"/>
  <c r="AO136" i="1"/>
  <c r="AF136" i="1"/>
  <c r="AM136" i="1"/>
  <c r="AD136" i="1"/>
  <c r="AE136" i="1"/>
  <c r="AC136" i="1"/>
  <c r="AN136" i="1"/>
  <c r="AL136" i="1"/>
  <c r="AP168" i="1"/>
  <c r="AI168" i="1"/>
  <c r="AQ168" i="1"/>
  <c r="AG168" i="1"/>
  <c r="AO168" i="1"/>
  <c r="AF168" i="1"/>
  <c r="AN168" i="1"/>
  <c r="AE168" i="1"/>
  <c r="AM168" i="1"/>
  <c r="AD168" i="1"/>
  <c r="AL168" i="1"/>
  <c r="AC168" i="1"/>
  <c r="AB168" i="1"/>
  <c r="AA168" i="1"/>
  <c r="AK168" i="1"/>
  <c r="AJ168" i="1"/>
  <c r="AK200" i="1"/>
  <c r="AI200" i="1"/>
  <c r="AQ236" i="1"/>
  <c r="AL236" i="1"/>
  <c r="AG236" i="1"/>
  <c r="AD236" i="1"/>
  <c r="AB236" i="1"/>
  <c r="AP236" i="1"/>
  <c r="AM236" i="1"/>
  <c r="AM268" i="1"/>
  <c r="AL268" i="1"/>
  <c r="AK268" i="1"/>
  <c r="AF268" i="1"/>
  <c r="AA268" i="1"/>
  <c r="AL300" i="1"/>
  <c r="AK300" i="1"/>
  <c r="AE300" i="1"/>
  <c r="AD300" i="1"/>
  <c r="AC300" i="1"/>
  <c r="AP300" i="1"/>
  <c r="AN300" i="1"/>
  <c r="AD332" i="1"/>
  <c r="AP332" i="1"/>
  <c r="AA332" i="1"/>
  <c r="AO332" i="1"/>
  <c r="AL332" i="1"/>
  <c r="AI332" i="1"/>
  <c r="AH332" i="1"/>
  <c r="AG332" i="1"/>
  <c r="AF332" i="1"/>
  <c r="AL364" i="1"/>
  <c r="AI364" i="1"/>
  <c r="AB364" i="1"/>
  <c r="AQ396" i="1"/>
  <c r="AK396" i="1"/>
  <c r="AJ396" i="1"/>
  <c r="AG396" i="1"/>
  <c r="AE396" i="1"/>
  <c r="AP396" i="1"/>
  <c r="AD396" i="1"/>
  <c r="AO396" i="1"/>
  <c r="AM396" i="1"/>
  <c r="AL396" i="1"/>
  <c r="AC396" i="1"/>
  <c r="AB396" i="1"/>
  <c r="AA396" i="1"/>
  <c r="AO428" i="1"/>
  <c r="AM428" i="1"/>
  <c r="AQ428" i="1"/>
  <c r="AP428" i="1"/>
  <c r="AQ460" i="1"/>
  <c r="AL460" i="1"/>
  <c r="AB460" i="1"/>
  <c r="AK460" i="1"/>
  <c r="AJ460" i="1"/>
  <c r="AG460" i="1"/>
  <c r="AF460" i="1"/>
  <c r="AO460" i="1"/>
  <c r="AN460" i="1"/>
  <c r="AM460" i="1"/>
  <c r="AE460" i="1"/>
  <c r="AD460" i="1"/>
  <c r="AC460" i="1"/>
  <c r="AN492" i="1"/>
  <c r="AD492" i="1"/>
  <c r="AM492" i="1"/>
  <c r="AC492" i="1"/>
  <c r="AL492" i="1"/>
  <c r="AB492" i="1"/>
  <c r="AK492" i="1"/>
  <c r="AH492" i="1"/>
  <c r="AP492" i="1"/>
  <c r="AF492" i="1"/>
  <c r="AG492" i="1"/>
  <c r="AE492" i="1"/>
  <c r="AO492" i="1"/>
  <c r="AP524" i="1"/>
  <c r="AM524" i="1"/>
  <c r="AL524" i="1"/>
  <c r="AK524" i="1"/>
  <c r="AD524" i="1"/>
  <c r="AB524" i="1"/>
  <c r="AC524" i="1"/>
  <c r="AP140" i="1"/>
  <c r="AI140" i="1"/>
  <c r="AQ140" i="1"/>
  <c r="AG140" i="1"/>
  <c r="AO140" i="1"/>
  <c r="AF140" i="1"/>
  <c r="AN140" i="1"/>
  <c r="AE140" i="1"/>
  <c r="AM140" i="1"/>
  <c r="AD140" i="1"/>
  <c r="AK140" i="1"/>
  <c r="AB140" i="1"/>
  <c r="AL140" i="1"/>
  <c r="AC140" i="1"/>
  <c r="AA140" i="1"/>
  <c r="AJ140" i="1"/>
  <c r="AP172" i="1"/>
  <c r="AN172" i="1"/>
  <c r="AE172" i="1"/>
  <c r="AM172" i="1"/>
  <c r="AD172" i="1"/>
  <c r="AL172" i="1"/>
  <c r="AC172" i="1"/>
  <c r="AK172" i="1"/>
  <c r="AB172" i="1"/>
  <c r="AJ172" i="1"/>
  <c r="AA172" i="1"/>
  <c r="AI172" i="1"/>
  <c r="AQ172" i="1"/>
  <c r="AG172" i="1"/>
  <c r="AO172" i="1"/>
  <c r="AF172" i="1"/>
  <c r="AJ240" i="1"/>
  <c r="AH240" i="1"/>
  <c r="AQ240" i="1"/>
  <c r="AG240" i="1"/>
  <c r="AP240" i="1"/>
  <c r="AF240" i="1"/>
  <c r="AO240" i="1"/>
  <c r="AE240" i="1"/>
  <c r="AN240" i="1"/>
  <c r="AD240" i="1"/>
  <c r="AB240" i="1"/>
  <c r="AA240" i="1"/>
  <c r="AM240" i="1"/>
  <c r="AL240" i="1"/>
  <c r="AL272" i="1"/>
  <c r="AI272" i="1"/>
  <c r="AH272" i="1"/>
  <c r="AD272" i="1"/>
  <c r="AC272" i="1"/>
  <c r="AN272" i="1"/>
  <c r="AM272" i="1"/>
  <c r="AA272" i="1"/>
  <c r="AC304" i="1"/>
  <c r="AP304" i="1"/>
  <c r="AN304" i="1"/>
  <c r="AL304" i="1"/>
  <c r="AK304" i="1"/>
  <c r="AE304" i="1"/>
  <c r="AD304" i="1"/>
  <c r="AN336" i="1"/>
  <c r="AQ336" i="1"/>
  <c r="AO336" i="1"/>
  <c r="AF336" i="1"/>
  <c r="AA336" i="1"/>
  <c r="AO368" i="1"/>
  <c r="AC368" i="1"/>
  <c r="AB368" i="1"/>
  <c r="AQ400" i="1"/>
  <c r="AL400" i="1"/>
  <c r="AA400" i="1"/>
  <c r="AK400" i="1"/>
  <c r="AJ400" i="1"/>
  <c r="AG400" i="1"/>
  <c r="AE400" i="1"/>
  <c r="AB400" i="1"/>
  <c r="AP400" i="1"/>
  <c r="AO400" i="1"/>
  <c r="AM400" i="1"/>
  <c r="AD400" i="1"/>
  <c r="AC400" i="1"/>
  <c r="AK432" i="1"/>
  <c r="AE432" i="1"/>
  <c r="AC432" i="1"/>
  <c r="AQ432" i="1"/>
  <c r="AA432" i="1"/>
  <c r="AP432" i="1"/>
  <c r="AO432" i="1"/>
  <c r="AI432" i="1"/>
  <c r="AH432" i="1"/>
  <c r="AG432" i="1"/>
  <c r="AQ464" i="1"/>
  <c r="AM464" i="1"/>
  <c r="AC464" i="1"/>
  <c r="AL464" i="1"/>
  <c r="AB464" i="1"/>
  <c r="AK464" i="1"/>
  <c r="AJ464" i="1"/>
  <c r="AG464" i="1"/>
  <c r="AO464" i="1"/>
  <c r="AN464" i="1"/>
  <c r="AF464" i="1"/>
  <c r="AE464" i="1"/>
  <c r="AD464" i="1"/>
  <c r="AN496" i="1"/>
  <c r="AM496" i="1"/>
  <c r="AH496" i="1"/>
  <c r="AG496" i="1"/>
  <c r="AF496" i="1"/>
  <c r="AD496" i="1"/>
  <c r="AP496" i="1"/>
  <c r="AE496" i="1"/>
  <c r="AP144" i="1"/>
  <c r="AK144" i="1"/>
  <c r="AQ144" i="1"/>
  <c r="AO144" i="1"/>
  <c r="AN144" i="1"/>
  <c r="AE144" i="1"/>
  <c r="AD144" i="1"/>
  <c r="AM144" i="1"/>
  <c r="AC144" i="1"/>
  <c r="AL144" i="1"/>
  <c r="AB144" i="1"/>
  <c r="AJ144" i="1"/>
  <c r="AA144" i="1"/>
  <c r="AG144" i="1"/>
  <c r="AI144" i="1"/>
  <c r="AF144" i="1"/>
  <c r="AP176" i="1"/>
  <c r="AK176" i="1"/>
  <c r="AB176" i="1"/>
  <c r="AJ176" i="1"/>
  <c r="AA176" i="1"/>
  <c r="AI176" i="1"/>
  <c r="AQ176" i="1"/>
  <c r="AG176" i="1"/>
  <c r="AO176" i="1"/>
  <c r="AF176" i="1"/>
  <c r="AN176" i="1"/>
  <c r="AE176" i="1"/>
  <c r="AM176" i="1"/>
  <c r="AD176" i="1"/>
  <c r="AL176" i="1"/>
  <c r="AC176" i="1"/>
  <c r="AN208" i="1"/>
  <c r="AK208" i="1"/>
  <c r="AI208" i="1"/>
  <c r="AH208" i="1"/>
  <c r="AF208" i="1"/>
  <c r="AD208" i="1"/>
  <c r="AQ208" i="1"/>
  <c r="AP208" i="1"/>
  <c r="AC208" i="1"/>
  <c r="AA208" i="1"/>
  <c r="AO244" i="1"/>
  <c r="AI244" i="1"/>
  <c r="AE244" i="1"/>
  <c r="AP276" i="1"/>
  <c r="AK276" i="1"/>
  <c r="AI276" i="1"/>
  <c r="AE276" i="1"/>
  <c r="AJ308" i="1"/>
  <c r="AL308" i="1"/>
  <c r="AK308" i="1"/>
  <c r="AF308" i="1"/>
  <c r="AE308" i="1"/>
  <c r="AD308" i="1"/>
  <c r="AC308" i="1"/>
  <c r="AN308" i="1"/>
  <c r="AM308" i="1"/>
  <c r="AO340" i="1"/>
  <c r="AQ340" i="1"/>
  <c r="AF340" i="1"/>
  <c r="AA340" i="1"/>
  <c r="AH372" i="1"/>
  <c r="AC372" i="1"/>
  <c r="AB372" i="1"/>
  <c r="AP372" i="1"/>
  <c r="AA372" i="1"/>
  <c r="AO372" i="1"/>
  <c r="AL372" i="1"/>
  <c r="AK372" i="1"/>
  <c r="AI372" i="1"/>
  <c r="AD372" i="1"/>
  <c r="AQ404" i="1"/>
  <c r="AM404" i="1"/>
  <c r="AB404" i="1"/>
  <c r="AL404" i="1"/>
  <c r="AA404" i="1"/>
  <c r="AK404" i="1"/>
  <c r="AJ404" i="1"/>
  <c r="AG404" i="1"/>
  <c r="AO404" i="1"/>
  <c r="AE404" i="1"/>
  <c r="AD404" i="1"/>
  <c r="AC404" i="1"/>
  <c r="AP404" i="1"/>
  <c r="AO436" i="1"/>
  <c r="AP436" i="1"/>
  <c r="AP468" i="1"/>
  <c r="AQ468" i="1"/>
  <c r="AG468" i="1"/>
  <c r="AO468" i="1"/>
  <c r="AF468" i="1"/>
  <c r="AN468" i="1"/>
  <c r="AE468" i="1"/>
  <c r="AM468" i="1"/>
  <c r="AD468" i="1"/>
  <c r="AL468" i="1"/>
  <c r="AC468" i="1"/>
  <c r="AK468" i="1"/>
  <c r="AJ468" i="1"/>
  <c r="AI468" i="1"/>
  <c r="AB468" i="1"/>
  <c r="AA468" i="1"/>
  <c r="AO532" i="1"/>
  <c r="AC532" i="1"/>
  <c r="AM532" i="1"/>
  <c r="AB532" i="1"/>
  <c r="AL532" i="1"/>
  <c r="AJ532" i="1"/>
  <c r="AH532" i="1"/>
  <c r="AE532" i="1"/>
  <c r="AP532" i="1"/>
  <c r="AG532" i="1"/>
  <c r="AD532" i="1"/>
  <c r="AP148" i="1"/>
  <c r="AQ148" i="1"/>
  <c r="AG148" i="1"/>
  <c r="AO148" i="1"/>
  <c r="AF148" i="1"/>
  <c r="AN148" i="1"/>
  <c r="AE148" i="1"/>
  <c r="AM148" i="1"/>
  <c r="AD148" i="1"/>
  <c r="AL148" i="1"/>
  <c r="AC148" i="1"/>
  <c r="AK148" i="1"/>
  <c r="AB148" i="1"/>
  <c r="AJ148" i="1"/>
  <c r="AI148" i="1"/>
  <c r="AA148" i="1"/>
  <c r="AA212" i="1"/>
  <c r="AQ212" i="1"/>
  <c r="AN212" i="1"/>
  <c r="AK212" i="1"/>
  <c r="AI212" i="1"/>
  <c r="AH212" i="1"/>
  <c r="AF212" i="1"/>
  <c r="AD212" i="1"/>
  <c r="AQ248" i="1"/>
  <c r="AF248" i="1"/>
  <c r="AD248" i="1"/>
  <c r="AA248" i="1"/>
  <c r="AP248" i="1"/>
  <c r="AO248" i="1"/>
  <c r="AM248" i="1"/>
  <c r="AJ248" i="1"/>
  <c r="AG248" i="1"/>
  <c r="AK280" i="1"/>
  <c r="AA280" i="1"/>
  <c r="AQ280" i="1"/>
  <c r="AL280" i="1"/>
  <c r="AJ312" i="1"/>
  <c r="AK312" i="1"/>
  <c r="AF312" i="1"/>
  <c r="AE312" i="1"/>
  <c r="AD312" i="1"/>
  <c r="AC312" i="1"/>
  <c r="AN312" i="1"/>
  <c r="AM312" i="1"/>
  <c r="AL312" i="1"/>
  <c r="AP344" i="1"/>
  <c r="AF344" i="1"/>
  <c r="AA344" i="1"/>
  <c r="AI376" i="1"/>
  <c r="AO376" i="1"/>
  <c r="AL376" i="1"/>
  <c r="AG376" i="1"/>
  <c r="AD376" i="1"/>
  <c r="AC376" i="1"/>
  <c r="AB376" i="1"/>
  <c r="AQ376" i="1"/>
  <c r="AP376" i="1"/>
  <c r="AQ408" i="1"/>
  <c r="AO408" i="1"/>
  <c r="AC408" i="1"/>
  <c r="AM408" i="1"/>
  <c r="AB408" i="1"/>
  <c r="AL408" i="1"/>
  <c r="AA408" i="1"/>
  <c r="AK408" i="1"/>
  <c r="AJ408" i="1"/>
  <c r="AG408" i="1"/>
  <c r="AP408" i="1"/>
  <c r="AE408" i="1"/>
  <c r="AD408" i="1"/>
  <c r="AK440" i="1"/>
  <c r="AH440" i="1"/>
  <c r="AG440" i="1"/>
  <c r="AF440" i="1"/>
  <c r="AP440" i="1"/>
  <c r="AD440" i="1"/>
  <c r="AO440" i="1"/>
  <c r="AC440" i="1"/>
  <c r="AM440" i="1"/>
  <c r="AL440" i="1"/>
  <c r="AB440" i="1"/>
  <c r="AP472" i="1"/>
  <c r="AO472" i="1"/>
  <c r="AF472" i="1"/>
  <c r="AN472" i="1"/>
  <c r="AE472" i="1"/>
  <c r="AM472" i="1"/>
  <c r="AD472" i="1"/>
  <c r="AL472" i="1"/>
  <c r="AC472" i="1"/>
  <c r="AK472" i="1"/>
  <c r="AB472" i="1"/>
  <c r="AA472" i="1"/>
  <c r="AQ472" i="1"/>
  <c r="AJ472" i="1"/>
  <c r="AI472" i="1"/>
  <c r="AG472" i="1"/>
  <c r="AP504" i="1"/>
  <c r="AB504" i="1"/>
  <c r="AO504" i="1"/>
  <c r="AK504" i="1"/>
  <c r="AJ504" i="1"/>
  <c r="AH504" i="1"/>
  <c r="AF504" i="1"/>
  <c r="AG504" i="1"/>
  <c r="AC504" i="1"/>
  <c r="AP152" i="1"/>
  <c r="AM152" i="1"/>
  <c r="AD152" i="1"/>
  <c r="AL152" i="1"/>
  <c r="AC152" i="1"/>
  <c r="AK152" i="1"/>
  <c r="AB152" i="1"/>
  <c r="AJ152" i="1"/>
  <c r="AA152" i="1"/>
  <c r="AI152" i="1"/>
  <c r="AQ152" i="1"/>
  <c r="AG152" i="1"/>
  <c r="AO152" i="1"/>
  <c r="AN152" i="1"/>
  <c r="AF152" i="1"/>
  <c r="AE152" i="1"/>
  <c r="AH184" i="1"/>
  <c r="AF184" i="1"/>
  <c r="AQ184" i="1"/>
  <c r="AD184" i="1"/>
  <c r="AP184" i="1"/>
  <c r="AC184" i="1"/>
  <c r="AN184" i="1"/>
  <c r="AB184" i="1"/>
  <c r="AL184" i="1"/>
  <c r="AA184" i="1"/>
  <c r="AK184" i="1"/>
  <c r="AI184" i="1"/>
  <c r="AQ216" i="1"/>
  <c r="AM216" i="1"/>
  <c r="AJ216" i="1"/>
  <c r="AG216" i="1"/>
  <c r="AF216" i="1"/>
  <c r="AD216" i="1"/>
  <c r="AA216" i="1"/>
  <c r="AP216" i="1"/>
  <c r="AO216" i="1"/>
  <c r="AF252" i="1"/>
  <c r="AD252" i="1"/>
  <c r="AA252" i="1"/>
  <c r="AP252" i="1"/>
  <c r="AN252" i="1"/>
  <c r="AM252" i="1"/>
  <c r="AI252" i="1"/>
  <c r="AH252" i="1"/>
  <c r="AI284" i="1"/>
  <c r="AH284" i="1"/>
  <c r="AF284" i="1"/>
  <c r="AQ284" i="1"/>
  <c r="AE284" i="1"/>
  <c r="AP284" i="1"/>
  <c r="AD284" i="1"/>
  <c r="AN284" i="1"/>
  <c r="AM284" i="1"/>
  <c r="AL284" i="1"/>
  <c r="AC284" i="1"/>
  <c r="AA284" i="1"/>
  <c r="AJ316" i="1"/>
  <c r="AF316" i="1"/>
  <c r="AE316" i="1"/>
  <c r="AD316" i="1"/>
  <c r="AC316" i="1"/>
  <c r="AN316" i="1"/>
  <c r="AM316" i="1"/>
  <c r="AL316" i="1"/>
  <c r="AK316" i="1"/>
  <c r="AI348" i="1"/>
  <c r="AO348" i="1"/>
  <c r="AK348" i="1"/>
  <c r="AH348" i="1"/>
  <c r="AG348" i="1"/>
  <c r="AD348" i="1"/>
  <c r="AC348" i="1"/>
  <c r="AQ348" i="1"/>
  <c r="AP348" i="1"/>
  <c r="AA348" i="1"/>
  <c r="AQ380" i="1"/>
  <c r="AP380" i="1"/>
  <c r="AD380" i="1"/>
  <c r="AO380" i="1"/>
  <c r="AC380" i="1"/>
  <c r="AM380" i="1"/>
  <c r="AB380" i="1"/>
  <c r="AL380" i="1"/>
  <c r="AA380" i="1"/>
  <c r="AK380" i="1"/>
  <c r="AJ380" i="1"/>
  <c r="AG380" i="1"/>
  <c r="AE380" i="1"/>
  <c r="AQ412" i="1"/>
  <c r="AP412" i="1"/>
  <c r="AD412" i="1"/>
  <c r="AO412" i="1"/>
  <c r="AC412" i="1"/>
  <c r="AM412" i="1"/>
  <c r="AB412" i="1"/>
  <c r="AL412" i="1"/>
  <c r="AA412" i="1"/>
  <c r="AK412" i="1"/>
  <c r="AJ412" i="1"/>
  <c r="AG412" i="1"/>
  <c r="AE412" i="1"/>
  <c r="AN444" i="1"/>
  <c r="AL444" i="1"/>
  <c r="AJ444" i="1"/>
  <c r="AH444" i="1"/>
  <c r="AG444" i="1"/>
  <c r="AE444" i="1"/>
  <c r="AC444" i="1"/>
  <c r="AP476" i="1"/>
  <c r="AN476" i="1"/>
  <c r="AE476" i="1"/>
  <c r="AM476" i="1"/>
  <c r="AD476" i="1"/>
  <c r="AL476" i="1"/>
  <c r="AC476" i="1"/>
  <c r="AK476" i="1"/>
  <c r="AB476" i="1"/>
  <c r="AJ476" i="1"/>
  <c r="AA476" i="1"/>
  <c r="AQ476" i="1"/>
  <c r="AO476" i="1"/>
  <c r="AI476" i="1"/>
  <c r="AG476" i="1"/>
  <c r="AF476" i="1"/>
  <c r="AL508" i="1"/>
  <c r="AK508" i="1"/>
  <c r="AH508" i="1"/>
  <c r="AG508" i="1"/>
  <c r="AM508" i="1"/>
  <c r="AJ540" i="1"/>
  <c r="AP540" i="1"/>
  <c r="AO540" i="1"/>
  <c r="AL540" i="1"/>
  <c r="AH540" i="1"/>
  <c r="AG540" i="1"/>
  <c r="AD540" i="1"/>
  <c r="AE540" i="1"/>
  <c r="AB540" i="1"/>
  <c r="A54" i="12" l="1"/>
  <c r="B54" i="12"/>
  <c r="B41" i="12"/>
  <c r="A41" i="12"/>
  <c r="A27" i="12"/>
  <c r="B55" i="12" l="1"/>
  <c r="A55" i="12"/>
  <c r="B42" i="12"/>
  <c r="A42" i="12"/>
  <c r="A28" i="12"/>
  <c r="B56" i="12" l="1"/>
  <c r="A56" i="12"/>
  <c r="B43" i="12"/>
  <c r="A43" i="12"/>
  <c r="A29" i="12"/>
  <c r="B57" i="12" l="1"/>
  <c r="A57" i="12"/>
  <c r="B44" i="12"/>
  <c r="A44" i="12"/>
  <c r="A30" i="12"/>
  <c r="A3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  <connection id="3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</connections>
</file>

<file path=xl/sharedStrings.xml><?xml version="1.0" encoding="utf-8"?>
<sst xmlns="http://schemas.openxmlformats.org/spreadsheetml/2006/main" count="12113" uniqueCount="4024">
  <si>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</si>
  <si>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</si>
  <si>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</si>
  <si>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</si>
  <si>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</si>
  <si>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</si>
  <si>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</si>
  <si>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</si>
  <si>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</si>
  <si>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</si>
  <si>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</si>
  <si>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</si>
  <si>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</si>
  <si>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</si>
  <si>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</si>
  <si>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</si>
  <si>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</si>
  <si>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</si>
  <si>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</si>
  <si>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</si>
  <si>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</si>
  <si>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</si>
  <si>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</si>
  <si>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</si>
  <si>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</si>
  <si>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</si>
  <si>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</si>
  <si>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</si>
  <si>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</si>
  <si>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</si>
  <si>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</si>
  <si>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</si>
  <si>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</si>
  <si>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</si>
  <si>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</si>
  <si>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</si>
  <si>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</si>
  <si>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</si>
  <si>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</si>
  <si>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</si>
  <si>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</si>
  <si>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</si>
  <si>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</si>
  <si>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</si>
  <si>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</si>
  <si>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</si>
  <si>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</si>
  <si>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</si>
  <si>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</si>
  <si>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</si>
  <si>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</si>
  <si>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</si>
  <si>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</si>
  <si>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</si>
  <si>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</si>
  <si>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</si>
  <si>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</si>
  <si>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</si>
  <si>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</si>
  <si>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</si>
  <si>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</si>
  <si>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</si>
  <si>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</si>
  <si>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</si>
  <si>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</si>
  <si>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</si>
  <si>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</si>
  <si>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</si>
  <si>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</si>
  <si>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</si>
  <si>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</si>
  <si>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</si>
  <si>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</si>
  <si>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</si>
  <si>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</si>
  <si>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</si>
  <si>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</si>
  <si>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</si>
  <si>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</si>
  <si>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</si>
  <si>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</si>
  <si>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</si>
  <si>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</si>
  <si>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</si>
  <si>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</si>
  <si>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</si>
  <si>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</si>
  <si>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</si>
  <si>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</si>
  <si>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</si>
  <si>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</si>
  <si>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</si>
  <si>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</si>
  <si>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</si>
  <si>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</si>
  <si>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</si>
  <si>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</si>
  <si>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</si>
  <si>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</si>
  <si>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</si>
  <si>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</si>
  <si>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</si>
  <si>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</si>
  <si>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</si>
  <si>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</si>
  <si>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</si>
  <si>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</si>
  <si>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</si>
  <si>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</si>
  <si>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</si>
  <si>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</si>
  <si>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</si>
  <si>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</si>
  <si>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</si>
  <si>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</si>
  <si>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</si>
  <si>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</si>
  <si>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</si>
  <si>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</si>
  <si>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</si>
  <si>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</si>
  <si>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</si>
  <si>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</si>
  <si>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</si>
  <si>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</si>
  <si>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</si>
  <si>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</si>
  <si>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</si>
  <si>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</si>
  <si>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</si>
  <si>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</si>
  <si>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</si>
  <si>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</si>
  <si>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</si>
  <si>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</si>
  <si>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</si>
  <si>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</si>
  <si>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</si>
  <si>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</si>
  <si>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</si>
  <si>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</si>
  <si>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</si>
  <si>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</si>
  <si>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</si>
  <si>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</si>
  <si>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</si>
  <si>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</si>
  <si>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</si>
  <si>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</si>
  <si>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</si>
  <si>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</si>
  <si>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</si>
  <si>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</si>
  <si>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</si>
  <si>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</si>
  <si>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</si>
  <si>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</si>
  <si>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</si>
  <si>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</si>
  <si>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</si>
  <si>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</si>
  <si>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</si>
  <si>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</si>
  <si>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</si>
  <si>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</si>
  <si>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</si>
  <si>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</si>
  <si>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</si>
  <si>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</si>
  <si>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</si>
  <si>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</si>
  <si>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</si>
  <si>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</si>
  <si>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</si>
  <si>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</si>
  <si>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</si>
  <si>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</si>
  <si>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</si>
  <si>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</si>
  <si>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</si>
  <si>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</si>
  <si>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</si>
  <si>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</si>
  <si>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</si>
  <si>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</si>
  <si>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</si>
  <si>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</si>
  <si>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</si>
  <si>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</si>
  <si>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</si>
  <si>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</si>
  <si>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</si>
  <si>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</si>
  <si>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</si>
  <si>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</si>
  <si>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</si>
  <si>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</si>
  <si>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</si>
  <si>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</si>
  <si>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</si>
  <si>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</si>
  <si>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</si>
  <si>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</si>
  <si>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</si>
  <si>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</si>
  <si>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</si>
  <si>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</si>
  <si>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</si>
  <si>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</si>
  <si>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</si>
  <si>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</si>
  <si>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</si>
  <si>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</si>
  <si>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</si>
  <si>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</si>
  <si>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</si>
  <si>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</si>
  <si>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</si>
  <si>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</si>
  <si>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</si>
  <si>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</si>
  <si>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</si>
  <si>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</si>
  <si>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</si>
  <si>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</si>
  <si>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</si>
  <si>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</si>
  <si>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</si>
  <si>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</si>
  <si>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</si>
  <si>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</si>
  <si>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</si>
  <si>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</si>
  <si>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</si>
  <si>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</si>
  <si>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</si>
  <si>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</si>
  <si>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</si>
  <si>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</si>
  <si>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</si>
  <si>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</si>
  <si>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</si>
  <si>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</si>
  <si>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</si>
  <si>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</si>
  <si>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</si>
  <si>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</si>
  <si>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</si>
  <si>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</si>
  <si>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</si>
  <si>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</si>
  <si>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</si>
  <si>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</si>
  <si>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</si>
  <si>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</si>
  <si>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</si>
  <si>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</si>
  <si>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</si>
  <si>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</si>
  <si>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</si>
  <si>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</si>
  <si>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</si>
  <si>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</si>
  <si>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</si>
  <si>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</si>
  <si>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</si>
  <si>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</si>
  <si>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</si>
  <si>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</si>
  <si>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</si>
  <si>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</si>
  <si>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</si>
  <si>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</si>
  <si>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</si>
  <si>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</si>
  <si>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</si>
  <si>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</si>
  <si>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</si>
  <si>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</si>
  <si>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</si>
  <si>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</si>
  <si>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</si>
  <si>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</si>
  <si>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</si>
  <si>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</si>
  <si>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</si>
  <si>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</si>
  <si>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</si>
  <si>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</si>
  <si>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</si>
  <si>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</si>
  <si>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</si>
  <si>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</si>
  <si>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</si>
  <si>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</si>
  <si>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</si>
  <si>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</si>
  <si>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</si>
  <si>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</si>
  <si>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</si>
  <si>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</si>
  <si>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</si>
  <si>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</si>
  <si>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</si>
  <si>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</si>
  <si>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</si>
  <si>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</si>
  <si>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</si>
  <si>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</si>
  <si>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</si>
  <si>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</si>
  <si>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</si>
  <si>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</si>
  <si>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</si>
  <si>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</si>
  <si>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</si>
  <si>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</si>
  <si>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</si>
  <si>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</si>
  <si>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</si>
  <si>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</si>
  <si>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</si>
  <si>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</si>
  <si>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</si>
  <si>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</si>
  <si>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</si>
  <si>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</si>
  <si>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</si>
  <si>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</si>
  <si>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</si>
  <si>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</si>
  <si>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</si>
  <si>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</si>
  <si>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</si>
  <si>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</si>
  <si>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</si>
  <si>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</si>
  <si>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</si>
  <si>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</si>
  <si>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</si>
  <si>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</si>
  <si>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</si>
  <si>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</si>
  <si>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</si>
  <si>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</si>
  <si>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</si>
  <si>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</si>
  <si>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</si>
  <si>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</si>
  <si>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</si>
  <si>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</si>
  <si>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</si>
  <si>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</si>
  <si>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</si>
  <si>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</si>
  <si>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</si>
  <si>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</si>
  <si>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</si>
  <si>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</si>
  <si>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</si>
  <si>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</si>
  <si>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</si>
  <si>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</si>
  <si>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</si>
  <si>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</si>
  <si>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</si>
  <si>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</si>
  <si>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</si>
  <si>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</si>
  <si>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</si>
  <si>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</si>
  <si>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</si>
  <si>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</si>
  <si>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</si>
  <si>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</si>
  <si>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</si>
  <si>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</si>
  <si>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</si>
  <si>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</si>
  <si>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</si>
  <si>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</si>
  <si>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</si>
  <si>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</si>
  <si>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</si>
  <si>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</si>
  <si>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</si>
  <si>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</si>
  <si>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</si>
  <si>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</si>
  <si>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</si>
  <si>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</si>
  <si>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</si>
  <si>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</si>
  <si>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</si>
  <si>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</si>
  <si>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</si>
  <si>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</si>
  <si>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</si>
  <si>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</si>
  <si>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</si>
  <si>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</si>
  <si>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</si>
  <si>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</si>
  <si>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</si>
  <si>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</si>
  <si>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</si>
  <si>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</si>
  <si>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</si>
  <si>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</si>
  <si>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</si>
  <si>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</si>
  <si>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</si>
  <si>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</si>
  <si>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</si>
  <si>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</si>
  <si>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</si>
  <si>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</si>
  <si>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</si>
  <si>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</si>
  <si>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</si>
  <si>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</si>
  <si>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</si>
  <si>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</si>
  <si>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</si>
  <si>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</si>
  <si>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</si>
  <si>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</si>
  <si>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</si>
  <si>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</si>
  <si>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</si>
  <si>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</si>
  <si>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</si>
  <si>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</si>
  <si>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</si>
  <si>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</si>
  <si>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</si>
  <si>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</si>
  <si>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</si>
  <si>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</si>
  <si>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</si>
  <si>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</si>
  <si>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</si>
  <si>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</si>
  <si>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</si>
  <si>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</si>
  <si>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</si>
  <si>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</si>
  <si>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</si>
  <si>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</si>
  <si>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</si>
  <si>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</si>
  <si>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</si>
  <si>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</si>
  <si>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</si>
  <si>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</si>
  <si>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</si>
  <si>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</si>
  <si>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</si>
  <si>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</si>
  <si>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</si>
  <si>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</si>
  <si>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</si>
  <si>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</si>
  <si>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</si>
  <si>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</si>
  <si>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</si>
  <si>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</si>
  <si>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</si>
  <si>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</si>
  <si>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</si>
  <si>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</si>
  <si>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</si>
  <si>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</si>
  <si>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</si>
  <si>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</si>
  <si>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</si>
  <si>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</si>
  <si>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</si>
  <si>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</si>
  <si>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</si>
  <si>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</si>
  <si>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</si>
  <si>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</si>
  <si>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</si>
  <si>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</si>
  <si>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</si>
  <si>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</si>
  <si>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</si>
  <si>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</si>
  <si>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</si>
  <si>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</si>
  <si>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</si>
  <si>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</si>
  <si>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</si>
  <si>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</si>
  <si>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</si>
  <si>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</si>
  <si>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</si>
  <si>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</si>
  <si>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</si>
  <si>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</si>
  <si>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</si>
  <si>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</si>
  <si>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</si>
  <si>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</si>
  <si>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</si>
  <si>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</si>
  <si>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</si>
  <si>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</si>
  <si>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</si>
  <si>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</si>
  <si>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</si>
  <si>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</si>
  <si>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</si>
  <si>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</si>
  <si>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</si>
  <si>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</si>
  <si>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</si>
  <si>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</si>
  <si>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</si>
  <si>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</si>
  <si>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</si>
  <si>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</si>
  <si>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</si>
  <si>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</si>
  <si>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</si>
  <si>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</si>
  <si>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</si>
  <si>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</si>
  <si>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</si>
  <si>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</si>
  <si>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</si>
  <si>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</si>
  <si>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</si>
  <si>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</si>
  <si>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</si>
  <si>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</si>
  <si>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</si>
  <si>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</si>
  <si>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</si>
  <si>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</si>
  <si>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</si>
  <si>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</si>
  <si>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</si>
  <si>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</si>
  <si>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</si>
  <si>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</si>
  <si>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</si>
  <si>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</si>
  <si>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</si>
  <si>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</si>
  <si>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</si>
  <si>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</si>
  <si>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</si>
  <si>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</si>
  <si>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</si>
  <si>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</si>
  <si>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</si>
  <si>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</si>
  <si>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</si>
  <si>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</si>
  <si>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</si>
  <si>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</si>
  <si>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</si>
  <si>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</si>
  <si>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</si>
  <si>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</si>
  <si>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</si>
  <si>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</si>
  <si>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</si>
  <si>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</si>
  <si>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</si>
  <si>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</si>
  <si>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</si>
  <si>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</si>
  <si>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</si>
  <si>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</si>
  <si>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</si>
  <si>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</si>
  <si>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</si>
  <si>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</si>
  <si>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</si>
  <si>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</si>
  <si>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</si>
  <si>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</si>
  <si>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</si>
  <si>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</si>
  <si>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</si>
  <si>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</si>
  <si>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</si>
  <si>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</si>
  <si>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</si>
  <si>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</si>
  <si>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</si>
  <si>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</si>
  <si>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</si>
  <si>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</si>
  <si>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</si>
  <si>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</si>
  <si>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</si>
  <si>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</si>
  <si>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</si>
  <si>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</si>
  <si>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</si>
  <si>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</si>
  <si>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</si>
  <si>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</si>
  <si>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</si>
  <si>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</si>
  <si>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</si>
  <si>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</si>
  <si>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</si>
  <si>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</si>
  <si>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</si>
  <si>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</si>
  <si>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</si>
  <si>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</si>
  <si>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</si>
  <si>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</si>
  <si>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</si>
  <si>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</si>
  <si>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</si>
  <si>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</si>
  <si>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</si>
  <si>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</si>
  <si>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</si>
  <si>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</si>
  <si>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</si>
  <si>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</si>
  <si>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</si>
  <si>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</si>
  <si>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</si>
  <si>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</si>
  <si>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</si>
  <si>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</si>
  <si>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</si>
  <si>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</si>
  <si>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</si>
  <si>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</si>
  <si>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</si>
  <si>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</si>
  <si>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</si>
  <si>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</si>
  <si>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</si>
  <si>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</si>
  <si>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</si>
  <si>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</si>
  <si>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</si>
  <si>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</si>
  <si>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</si>
  <si>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</si>
  <si>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</si>
  <si>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</si>
  <si>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</si>
  <si>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</si>
  <si>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</si>
  <si>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</si>
  <si>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</si>
  <si>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</si>
  <si>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</si>
  <si>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</si>
  <si>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</si>
  <si>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</si>
  <si>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</si>
  <si>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</si>
  <si>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</si>
  <si>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</si>
  <si>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</si>
  <si>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</si>
  <si>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</si>
  <si>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</si>
  <si>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</si>
  <si>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</si>
  <si>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</si>
  <si>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</si>
  <si>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</si>
  <si>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</si>
  <si>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</si>
  <si>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</si>
  <si>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</si>
  <si>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</si>
  <si>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</si>
  <si>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</si>
  <si>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</si>
  <si>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</si>
  <si>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</si>
  <si>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</si>
  <si>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</si>
  <si>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</si>
  <si>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</si>
  <si>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</si>
  <si>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</si>
  <si>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</si>
  <si>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</si>
  <si>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</si>
  <si>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</si>
  <si>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</si>
  <si>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</si>
  <si>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</si>
  <si>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</si>
  <si>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</si>
  <si>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</si>
  <si>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</si>
  <si>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</si>
  <si>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</si>
  <si>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</si>
  <si>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</si>
  <si>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</si>
  <si>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</si>
  <si>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</si>
  <si>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</si>
  <si>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</si>
  <si>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</si>
  <si>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</si>
  <si>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</si>
  <si>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</si>
  <si>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</si>
  <si>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</si>
  <si>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</si>
  <si>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</si>
  <si>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</si>
  <si>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</si>
  <si>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</si>
  <si>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</si>
  <si>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</si>
  <si>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</si>
  <si>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</si>
  <si>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</si>
  <si>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</si>
  <si>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</si>
  <si>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</si>
  <si>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</si>
  <si>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</si>
  <si>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</si>
  <si>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</si>
  <si>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</si>
  <si>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</si>
  <si>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</si>
  <si>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</si>
  <si>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</si>
  <si>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</si>
  <si>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</si>
  <si>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</si>
  <si>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</si>
  <si>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</si>
  <si>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</si>
  <si>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</si>
  <si>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</si>
  <si>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</si>
  <si>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</si>
  <si>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</si>
  <si>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</si>
  <si>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</si>
  <si>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</si>
  <si>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</si>
  <si>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</si>
  <si>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</si>
  <si>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</si>
  <si>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</si>
  <si>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</si>
  <si>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</si>
  <si>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</si>
  <si>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</si>
  <si>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</si>
  <si>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</si>
  <si>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</si>
  <si>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</si>
  <si>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</si>
  <si>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</si>
  <si>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</si>
  <si>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</si>
  <si>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</si>
  <si>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</si>
  <si>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</si>
  <si>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</si>
  <si>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</si>
  <si>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</si>
  <si>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</si>
  <si>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</si>
  <si>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</si>
  <si>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</si>
  <si>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</si>
  <si>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</si>
  <si>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</si>
  <si>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</si>
  <si>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</si>
  <si>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</si>
  <si>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</si>
  <si>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</si>
  <si>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</si>
  <si>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</si>
  <si>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</si>
  <si>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</si>
  <si>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</si>
  <si>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</si>
  <si>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</si>
  <si>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</si>
  <si>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</si>
  <si>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</si>
  <si>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</si>
  <si>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</si>
  <si>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</si>
  <si>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</si>
  <si>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</si>
  <si>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</si>
  <si>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</si>
  <si>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</si>
  <si>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</si>
  <si>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</si>
  <si>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</si>
  <si>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</si>
  <si>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</si>
  <si>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</si>
  <si>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</si>
  <si>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</si>
  <si>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</si>
  <si>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</si>
  <si>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</si>
  <si>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</si>
  <si>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</si>
  <si>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</si>
  <si>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</si>
  <si>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</si>
  <si>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</si>
  <si>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</si>
  <si>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</si>
  <si>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</si>
  <si>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</si>
  <si>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</si>
  <si>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</si>
  <si>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</si>
  <si>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</si>
  <si>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</si>
  <si>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</si>
  <si>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</si>
  <si>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</si>
  <si>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</si>
  <si>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</si>
  <si>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</si>
  <si>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</si>
  <si>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</si>
  <si>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</si>
  <si>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</si>
  <si>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</si>
  <si>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</si>
  <si>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</si>
  <si>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</si>
  <si>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</si>
  <si>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</si>
  <si>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</si>
  <si>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</si>
  <si>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</si>
  <si>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</si>
  <si>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</si>
  <si>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</si>
  <si>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</si>
  <si>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</si>
  <si>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</si>
  <si>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</si>
  <si>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</si>
  <si>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</si>
  <si>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</si>
  <si>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</si>
  <si>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</si>
  <si>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</si>
  <si>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</si>
  <si>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</si>
  <si>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</si>
  <si>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</si>
  <si>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</si>
  <si>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</si>
  <si>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</si>
  <si>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</si>
  <si>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</si>
  <si>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</si>
  <si>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</si>
  <si>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</si>
  <si>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</si>
  <si>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</si>
  <si>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</si>
  <si>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</si>
  <si>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</si>
  <si>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</si>
  <si>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</si>
  <si>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</si>
  <si>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</si>
  <si>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</si>
  <si>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</si>
  <si>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</si>
  <si>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</si>
  <si>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</si>
  <si>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</si>
  <si>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</si>
  <si>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</si>
  <si>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</si>
  <si>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</si>
  <si>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</si>
  <si>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</si>
  <si>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</si>
  <si>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</si>
  <si>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</si>
  <si>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</si>
  <si>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</si>
  <si>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</si>
  <si>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</si>
  <si>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</si>
  <si>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</si>
  <si>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</si>
  <si>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</si>
  <si>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</si>
  <si>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</si>
  <si>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</si>
  <si>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</si>
  <si>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</si>
  <si>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</si>
  <si>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</si>
  <si>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</si>
  <si>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</si>
  <si>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</si>
  <si>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</si>
  <si>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</si>
  <si>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</si>
  <si>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</si>
  <si>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</si>
  <si>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</si>
  <si>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</si>
  <si>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</si>
  <si>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</si>
  <si>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</si>
  <si>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</si>
  <si>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</si>
  <si>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</si>
  <si>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</si>
  <si>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</si>
  <si>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</si>
  <si>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</si>
  <si>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</si>
  <si>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</si>
  <si>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</si>
  <si>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</si>
  <si>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</si>
  <si>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</si>
  <si>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</si>
  <si>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</si>
  <si>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</si>
  <si>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</si>
  <si>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</si>
  <si>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</si>
  <si>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</si>
  <si>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</si>
  <si>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</si>
  <si>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</si>
  <si>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</si>
  <si>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</si>
  <si>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</si>
  <si>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</si>
  <si>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</si>
  <si>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</si>
  <si>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</si>
  <si>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</si>
  <si>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</si>
  <si>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</si>
  <si>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</si>
  <si>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</si>
  <si>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</si>
  <si>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</si>
  <si>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</si>
  <si>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</si>
  <si>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</si>
  <si>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</si>
  <si>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</si>
  <si>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</si>
  <si>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</si>
  <si>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</si>
  <si>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</si>
  <si>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</si>
  <si>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</si>
  <si>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</si>
  <si>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</si>
  <si>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</si>
  <si>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</si>
  <si>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</si>
  <si>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</si>
  <si>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</si>
  <si>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</si>
  <si>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</si>
  <si>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</si>
  <si>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</si>
  <si>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</si>
  <si>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</si>
  <si>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</si>
  <si>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</si>
  <si>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</si>
  <si>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</si>
  <si>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</si>
  <si>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</si>
  <si>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</si>
  <si>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</si>
  <si>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</si>
  <si>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</si>
  <si>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</si>
  <si>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</si>
  <si>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</si>
  <si>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</si>
  <si>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</si>
  <si>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</si>
  <si>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</si>
  <si>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</si>
  <si>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</si>
  <si>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</si>
  <si>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</si>
  <si>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</si>
  <si>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</si>
  <si>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</si>
  <si>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</si>
  <si>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</si>
  <si>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</si>
  <si>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</si>
  <si>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</si>
  <si>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</si>
  <si>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</si>
  <si>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</si>
  <si>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</si>
  <si>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</si>
  <si>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</si>
  <si>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</si>
  <si>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</si>
  <si>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</si>
  <si>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</si>
  <si>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</si>
  <si>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</si>
  <si>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</si>
  <si>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</si>
  <si>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</si>
  <si>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</si>
  <si>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</si>
  <si>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</si>
  <si>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</si>
  <si>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</si>
  <si>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</si>
  <si>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</si>
  <si>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</si>
  <si>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</si>
  <si>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</si>
  <si>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</si>
  <si>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</si>
  <si>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</si>
  <si>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</si>
  <si>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</si>
  <si>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</si>
  <si>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</si>
  <si>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</si>
  <si>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</si>
  <si>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</si>
  <si>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</si>
  <si>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</si>
  <si>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</si>
  <si>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</si>
  <si>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</si>
  <si>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</si>
  <si>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</si>
  <si>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</si>
  <si>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</si>
  <si>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</si>
  <si>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</si>
  <si>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</si>
  <si>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</si>
  <si>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</si>
  <si>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</si>
  <si>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</si>
  <si>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</si>
  <si>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</si>
  <si>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</si>
  <si>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</si>
  <si>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</si>
  <si>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</si>
  <si>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</si>
  <si>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</si>
  <si>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</si>
  <si>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</si>
  <si>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</si>
  <si>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</si>
  <si>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</si>
  <si>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</si>
  <si>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</si>
  <si>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</si>
  <si>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</si>
  <si>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</si>
  <si>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</si>
  <si>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</si>
  <si>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</si>
  <si>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</si>
  <si>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</si>
  <si>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</si>
  <si>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</si>
  <si>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</si>
  <si>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</si>
  <si>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</si>
  <si>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</si>
  <si>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</si>
  <si>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</si>
  <si>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</si>
  <si>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</si>
  <si>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</si>
  <si>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</si>
  <si>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</si>
  <si>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</si>
  <si>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</si>
  <si>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</si>
  <si>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</si>
  <si>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</si>
  <si>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</si>
  <si>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</si>
  <si>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</si>
  <si>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</si>
  <si>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</si>
  <si>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</si>
  <si>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</si>
  <si>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</si>
  <si>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</si>
  <si>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</si>
  <si>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</si>
  <si>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</si>
  <si>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</si>
  <si>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</si>
  <si>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</si>
  <si>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</si>
  <si>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</si>
  <si>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</si>
  <si>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</si>
  <si>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</si>
  <si>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</si>
  <si>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</si>
  <si>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</si>
  <si>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</si>
  <si>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</si>
  <si>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</si>
  <si>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</si>
  <si>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</si>
  <si>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</si>
  <si>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</si>
  <si>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</si>
  <si>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</si>
  <si>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</si>
  <si>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</si>
  <si>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</si>
  <si>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</si>
  <si>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</si>
  <si>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</si>
  <si>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</si>
  <si>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</si>
  <si>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</si>
  <si>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</si>
  <si>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</si>
  <si>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</si>
  <si>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</si>
  <si>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</si>
  <si>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</si>
  <si>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</si>
  <si>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</si>
  <si>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</si>
  <si>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</si>
  <si>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</si>
  <si>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</si>
  <si>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</si>
  <si>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</si>
  <si>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</si>
  <si>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</si>
  <si>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</si>
  <si>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</si>
  <si>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</si>
  <si>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</si>
  <si>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</si>
  <si>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</si>
  <si>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</si>
  <si>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</si>
  <si>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</si>
  <si>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</si>
  <si>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</si>
  <si>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</si>
  <si>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</si>
  <si>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</si>
  <si>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</si>
  <si>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</si>
  <si>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</si>
  <si>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</si>
  <si>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</si>
  <si>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</si>
  <si>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</si>
  <si>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</si>
  <si>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</si>
  <si>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</si>
  <si>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</si>
  <si>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</si>
  <si>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</si>
  <si>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</si>
  <si>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</si>
  <si>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</si>
  <si>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</si>
  <si>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</si>
  <si>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</si>
  <si>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</si>
  <si>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</si>
  <si>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</si>
  <si>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</si>
  <si>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</si>
  <si>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</si>
  <si>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</si>
  <si>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</si>
  <si>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</si>
  <si>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</si>
  <si>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</si>
  <si>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</si>
  <si>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</si>
  <si>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</si>
  <si>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</si>
  <si>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</si>
  <si>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</si>
  <si>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</si>
  <si>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</si>
  <si>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</si>
  <si>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</si>
  <si>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</si>
  <si>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</si>
  <si>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</si>
  <si>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</si>
  <si>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</si>
  <si>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</si>
  <si>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</si>
  <si>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</si>
  <si>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</si>
  <si>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</si>
  <si>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</si>
  <si>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</si>
  <si>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</si>
  <si>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</si>
  <si>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</si>
  <si>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</si>
  <si>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</si>
  <si>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</si>
  <si>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</si>
  <si>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</si>
  <si>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</si>
  <si>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</si>
  <si>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</si>
  <si>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</si>
  <si>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</si>
  <si>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</si>
  <si>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</si>
  <si>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</si>
  <si>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</si>
  <si>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</si>
  <si>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</si>
  <si>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</si>
  <si>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</si>
  <si>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</si>
  <si>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</si>
  <si>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</si>
  <si>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</si>
  <si>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</si>
  <si>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</si>
  <si>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</si>
  <si>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</si>
  <si>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</si>
  <si>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</si>
  <si>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</si>
  <si>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</si>
  <si>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</si>
  <si>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</si>
  <si>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</si>
  <si>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</si>
  <si>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</si>
  <si>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</si>
  <si>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</si>
  <si>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</si>
  <si>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</si>
  <si>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</si>
  <si>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</si>
  <si>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</si>
  <si>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</si>
  <si>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</si>
  <si>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</si>
  <si>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</si>
  <si>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</si>
  <si>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</si>
  <si>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</si>
  <si>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</si>
  <si>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</si>
  <si>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</si>
  <si>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</si>
  <si>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</si>
  <si>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</si>
  <si>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</si>
  <si>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</si>
  <si>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</si>
  <si>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</si>
  <si>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</si>
  <si>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</si>
  <si>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</si>
  <si>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</si>
  <si>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</si>
  <si>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</si>
  <si>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</si>
  <si>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</si>
  <si>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</si>
  <si>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</si>
  <si>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</si>
  <si>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</si>
  <si>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</si>
  <si>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</si>
  <si>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</si>
  <si>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</si>
  <si>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</si>
  <si>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</si>
  <si>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</si>
  <si>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</si>
  <si>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</si>
  <si>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</si>
  <si>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</si>
  <si>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</si>
  <si>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</si>
  <si>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</si>
  <si>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</si>
  <si>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</si>
  <si>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</si>
  <si>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</si>
  <si>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</si>
  <si>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</si>
  <si>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</si>
  <si>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</si>
  <si>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</si>
  <si>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</si>
  <si>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</si>
  <si>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</si>
  <si>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</si>
  <si>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</si>
  <si>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</si>
  <si>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</si>
  <si>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</si>
  <si>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</si>
  <si>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</si>
  <si>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</si>
  <si>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</si>
  <si>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</si>
  <si>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</si>
  <si>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</si>
  <si>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</si>
  <si>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</si>
  <si>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</si>
  <si>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</si>
  <si>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</si>
  <si>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</si>
  <si>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</si>
  <si>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</si>
  <si>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</si>
  <si>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</si>
  <si>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</si>
  <si>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</si>
  <si>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</si>
  <si>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</si>
  <si>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</si>
  <si>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</si>
  <si>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</si>
  <si>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</si>
  <si>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</si>
  <si>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</si>
  <si>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</si>
  <si>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</si>
  <si>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</si>
  <si>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</si>
  <si>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</si>
  <si>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</si>
  <si>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</si>
  <si>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</si>
  <si>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</si>
  <si>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</si>
  <si>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</si>
  <si>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</si>
  <si>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</si>
  <si>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</si>
  <si>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</si>
  <si>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</si>
  <si>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</si>
  <si>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</si>
  <si>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</si>
  <si>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</si>
  <si>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</si>
  <si>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</si>
  <si>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</si>
  <si>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</si>
  <si>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</si>
  <si>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</si>
  <si>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</si>
  <si>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</si>
  <si>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</si>
  <si>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</si>
  <si>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</si>
  <si>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</si>
  <si>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</si>
  <si>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</si>
  <si>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</si>
  <si>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</si>
  <si>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</si>
  <si>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</si>
  <si>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</si>
  <si>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</si>
  <si>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</si>
  <si>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</si>
  <si>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</si>
  <si>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</si>
  <si>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</si>
  <si>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</si>
  <si>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</si>
  <si>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</si>
  <si>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</si>
  <si>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</si>
  <si>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</si>
  <si>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</si>
  <si>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</si>
  <si>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</si>
  <si>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</si>
  <si>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</si>
  <si>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</si>
  <si>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</si>
  <si>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</si>
  <si>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</si>
  <si>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</si>
  <si>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</si>
  <si>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</si>
  <si>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</si>
  <si>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</si>
  <si>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</si>
  <si>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</si>
  <si>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</si>
  <si>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</si>
  <si>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</si>
  <si>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</si>
  <si>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</si>
  <si>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</si>
  <si>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</si>
  <si>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</si>
  <si>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</si>
  <si>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</si>
  <si>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</si>
  <si>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</si>
  <si>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</si>
  <si>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</si>
  <si>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</si>
  <si>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</si>
  <si>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</si>
  <si>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</si>
  <si>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</si>
  <si>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</si>
  <si>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</si>
  <si>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</si>
  <si>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</si>
  <si>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</si>
  <si>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</si>
  <si>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</si>
  <si>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</si>
  <si>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</si>
  <si>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</si>
  <si>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</si>
  <si>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</si>
  <si>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</si>
  <si>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</si>
  <si>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</si>
  <si>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</si>
  <si>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</si>
  <si>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</si>
  <si>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</si>
  <si>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</si>
  <si>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</si>
  <si>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</si>
  <si>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</si>
  <si>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</si>
  <si>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</si>
  <si>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</si>
  <si>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</si>
  <si>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</si>
  <si>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</si>
  <si>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</si>
  <si>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</si>
  <si>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</si>
  <si>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</si>
  <si>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</si>
  <si>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</si>
  <si>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</si>
  <si>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</si>
  <si>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</si>
  <si>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</si>
  <si>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</si>
  <si>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</si>
  <si>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</si>
  <si>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</si>
  <si>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</si>
  <si>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</si>
  <si>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</si>
  <si>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</si>
  <si>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</si>
  <si>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</si>
  <si>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</si>
  <si>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</si>
  <si>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</si>
  <si>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</si>
  <si>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</si>
  <si>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</si>
  <si>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</si>
  <si>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</si>
  <si>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</si>
  <si>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</si>
  <si>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</si>
  <si>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</si>
  <si>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</si>
  <si>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</si>
  <si>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</si>
  <si>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</si>
  <si>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</si>
  <si>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</si>
  <si>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</si>
  <si>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</si>
  <si>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</si>
  <si>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</si>
  <si>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</si>
  <si>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</si>
  <si>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</si>
  <si>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</si>
  <si>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</si>
  <si>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</si>
  <si>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</si>
  <si>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</si>
  <si>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</si>
  <si>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</si>
  <si>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</si>
  <si>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</si>
  <si>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</si>
  <si>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</si>
  <si>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</si>
  <si>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</si>
  <si>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</si>
  <si>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</si>
  <si>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</si>
  <si>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</si>
  <si>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</si>
  <si>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</si>
  <si>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</si>
  <si>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</si>
  <si>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</si>
  <si>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</si>
  <si>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</si>
  <si>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</si>
  <si>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</si>
  <si>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</si>
  <si>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</si>
  <si>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</si>
  <si>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</si>
  <si>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</si>
  <si>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</si>
  <si>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</si>
  <si>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</si>
  <si>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</si>
  <si>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</si>
  <si>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</si>
  <si>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</si>
  <si>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</si>
  <si>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</si>
  <si>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</si>
  <si>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</si>
  <si>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</si>
  <si>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</si>
  <si>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</si>
  <si>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</si>
  <si>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</si>
  <si>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</si>
  <si>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</si>
  <si>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</si>
  <si>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</si>
  <si>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</si>
  <si>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</si>
  <si>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</si>
  <si>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</si>
  <si>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</si>
  <si>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</si>
  <si>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</si>
  <si>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</si>
  <si>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</si>
  <si>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</si>
  <si>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</si>
  <si>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</si>
  <si>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</si>
  <si>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</si>
  <si>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</si>
  <si>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</si>
  <si>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</si>
  <si>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</si>
  <si>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</si>
  <si>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</si>
  <si>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</si>
  <si>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</si>
  <si>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</si>
  <si>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</si>
  <si>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</si>
  <si>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</si>
  <si>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</si>
  <si>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</si>
  <si>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</si>
  <si>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</si>
  <si>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</si>
  <si>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</si>
  <si>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</si>
  <si>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</si>
  <si>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</si>
  <si>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</si>
  <si>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</si>
  <si>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</si>
  <si>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</si>
  <si>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</si>
  <si>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</si>
  <si>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</si>
  <si>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</si>
  <si>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</si>
  <si>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</si>
  <si>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</si>
  <si>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</si>
  <si>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</si>
  <si>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</si>
  <si>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</si>
  <si>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</si>
  <si>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</si>
  <si>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</si>
  <si>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</si>
  <si>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</si>
  <si>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</si>
  <si>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</si>
  <si>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</si>
  <si>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</si>
  <si>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</si>
  <si>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</si>
  <si>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</si>
  <si>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</si>
  <si>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</si>
  <si>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</si>
  <si>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</si>
  <si>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</si>
  <si>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</si>
  <si>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</si>
  <si>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</si>
  <si>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</si>
  <si>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</si>
  <si>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</si>
  <si>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</si>
  <si>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</si>
  <si>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</si>
  <si>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</si>
  <si>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</si>
  <si>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</si>
  <si>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</si>
  <si>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</si>
  <si>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</si>
  <si>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</si>
  <si>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</si>
  <si>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</si>
  <si>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</si>
  <si>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</si>
  <si>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</si>
  <si>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</si>
  <si>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</si>
  <si>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</si>
  <si>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</si>
  <si>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</si>
  <si>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</si>
  <si>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</si>
  <si>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</si>
  <si>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</si>
  <si>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</si>
  <si>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</si>
  <si>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</si>
  <si>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</si>
  <si>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</si>
  <si>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</si>
  <si>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</si>
  <si>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</si>
  <si>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</si>
  <si>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</si>
  <si>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</si>
  <si>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</si>
  <si>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</si>
  <si>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</si>
  <si>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</si>
  <si>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</si>
  <si>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</si>
  <si>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</si>
  <si>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</si>
  <si>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</si>
  <si>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</si>
  <si>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</si>
  <si>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</si>
  <si>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</si>
  <si>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</si>
  <si>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</si>
  <si>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</si>
  <si>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</si>
  <si>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</si>
  <si>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</si>
  <si>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</si>
  <si>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</si>
  <si>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</si>
  <si>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</si>
  <si>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</si>
  <si>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</si>
  <si>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</si>
  <si>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</si>
  <si>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</si>
  <si>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</si>
  <si>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</si>
  <si>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</si>
  <si>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</si>
  <si>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</si>
  <si>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</si>
  <si>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</si>
  <si>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</si>
  <si>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</si>
  <si>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</si>
  <si>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</si>
  <si>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</si>
  <si>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</si>
  <si>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</si>
  <si>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</si>
  <si>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</si>
  <si>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</si>
  <si>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</si>
  <si>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</si>
  <si>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</si>
  <si>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</si>
  <si>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</si>
  <si>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</si>
  <si>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</si>
  <si>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</si>
  <si>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</si>
  <si>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</si>
  <si>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</si>
  <si>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</si>
  <si>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</si>
  <si>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</si>
  <si>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</si>
  <si>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</si>
  <si>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</si>
  <si>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</si>
  <si>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</si>
  <si>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</si>
  <si>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</si>
  <si>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</si>
  <si>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</si>
  <si>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</si>
  <si>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</si>
  <si>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</si>
  <si>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</si>
  <si>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</si>
  <si>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</si>
  <si>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</si>
  <si>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</si>
  <si>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</si>
  <si>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</si>
  <si>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</si>
  <si>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</si>
  <si>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</si>
  <si>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</si>
  <si>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</si>
  <si>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</si>
  <si>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</si>
  <si>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</si>
  <si>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</si>
  <si>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</si>
  <si>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</si>
  <si>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</si>
  <si>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</si>
  <si>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</si>
  <si>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</si>
  <si>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</si>
  <si>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</si>
  <si>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</si>
  <si>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</si>
  <si>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</si>
  <si>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</si>
  <si>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</si>
  <si>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</si>
  <si>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</si>
  <si>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</si>
  <si>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</si>
  <si>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</si>
  <si>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</si>
  <si>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</si>
  <si>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</si>
  <si>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</si>
  <si>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</si>
  <si>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</si>
  <si>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</si>
  <si>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</si>
  <si>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</si>
  <si>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</si>
  <si>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</si>
  <si>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</si>
  <si>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</si>
  <si>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</si>
  <si>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</si>
  <si>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</si>
  <si>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</si>
  <si>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</si>
  <si>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</si>
  <si>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</si>
  <si>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</si>
  <si>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</si>
  <si>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</si>
  <si>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</si>
  <si>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</si>
  <si>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</si>
  <si>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</si>
  <si>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</si>
  <si>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</si>
  <si>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</si>
  <si>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</si>
  <si>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</si>
  <si>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</si>
  <si>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</si>
  <si>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</si>
  <si>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</si>
  <si>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</si>
  <si>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</si>
  <si>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</si>
  <si>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</si>
  <si>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</si>
  <si>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</si>
  <si>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</si>
  <si>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</si>
  <si>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</si>
  <si>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</si>
  <si>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</si>
  <si>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</si>
  <si>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</si>
  <si>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</si>
  <si>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</si>
  <si>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</si>
  <si>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</si>
  <si>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</si>
  <si>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</si>
  <si>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</si>
  <si>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</si>
  <si>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</si>
  <si>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</si>
  <si>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</si>
  <si>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</si>
  <si>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</si>
  <si>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</si>
  <si>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</si>
  <si>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</si>
  <si>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</si>
  <si>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</si>
  <si>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</si>
  <si>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</si>
  <si>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</si>
  <si>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</si>
  <si>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</si>
  <si>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</si>
  <si>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</si>
  <si>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</si>
  <si>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</si>
  <si>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</si>
  <si>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</si>
  <si>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</si>
  <si>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</si>
  <si>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</si>
  <si>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</si>
  <si>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</si>
  <si>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</si>
  <si>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</si>
  <si>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</si>
  <si>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</si>
  <si>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</si>
  <si>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</si>
  <si>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</si>
  <si>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</si>
  <si>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</si>
  <si>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</si>
  <si>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</si>
  <si>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</si>
  <si>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</si>
  <si>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</si>
  <si>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</si>
  <si>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</si>
  <si>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</si>
  <si>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</si>
  <si>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</si>
  <si>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</si>
  <si>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</si>
  <si>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</si>
  <si>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</si>
  <si>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</si>
  <si>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</si>
  <si>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</si>
  <si>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</si>
  <si>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</si>
  <si>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</si>
  <si>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</si>
  <si>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</si>
  <si>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</si>
  <si>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</si>
  <si>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</si>
  <si>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</si>
  <si>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</si>
  <si>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</si>
  <si>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</si>
  <si>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</si>
  <si>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</si>
  <si>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</si>
  <si>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</si>
  <si>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</si>
  <si>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</si>
  <si>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</si>
  <si>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</si>
  <si>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</si>
  <si>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</si>
  <si>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</si>
  <si>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</si>
  <si>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</si>
  <si>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</si>
  <si>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</si>
  <si>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</si>
  <si>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</si>
  <si>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</si>
  <si>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</si>
  <si>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</si>
  <si>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</si>
  <si>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</si>
  <si>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</si>
  <si>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</si>
  <si>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</si>
  <si>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</si>
  <si>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</si>
  <si>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</si>
  <si>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</si>
  <si>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</si>
  <si>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</si>
  <si>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</si>
  <si>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</si>
  <si>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</si>
  <si>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</si>
  <si>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</si>
  <si>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</si>
  <si>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</si>
  <si>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</si>
  <si>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</si>
  <si>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</si>
  <si>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</si>
  <si>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</si>
  <si>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</si>
  <si>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</si>
  <si>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</si>
  <si>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</si>
  <si>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</si>
  <si>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</si>
  <si>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</si>
  <si>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</si>
  <si>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</si>
  <si>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</si>
  <si>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</si>
  <si>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</si>
  <si>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</si>
  <si>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</si>
  <si>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</si>
  <si>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</si>
  <si>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</si>
  <si>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</si>
  <si>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</si>
  <si>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</si>
  <si>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</si>
  <si>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</si>
  <si>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</si>
  <si>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</si>
  <si>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</si>
  <si>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</si>
  <si>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</si>
  <si>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</si>
  <si>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</si>
  <si>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</si>
  <si>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</si>
  <si>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</si>
  <si>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</si>
  <si>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</si>
  <si>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</si>
  <si>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</si>
  <si>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</si>
  <si>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</si>
  <si>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</si>
  <si>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</si>
  <si>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</si>
  <si>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</si>
  <si>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</si>
  <si>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</si>
  <si>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</si>
  <si>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</si>
  <si>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</si>
  <si>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</si>
  <si>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</si>
  <si>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</si>
  <si>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</si>
  <si>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</si>
  <si>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</si>
  <si>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</si>
  <si>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</si>
  <si>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</si>
  <si>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</si>
  <si>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</si>
  <si>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</si>
  <si>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</si>
  <si>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</si>
  <si>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</si>
  <si>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</si>
  <si>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</si>
  <si>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</si>
  <si>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</si>
  <si>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</si>
  <si>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</si>
  <si>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</si>
  <si>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</si>
  <si>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</si>
  <si>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</si>
  <si>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</si>
  <si>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</si>
  <si>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</si>
  <si>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</si>
  <si>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</si>
  <si>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</si>
  <si>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</si>
  <si>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</si>
  <si>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</si>
  <si>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</si>
  <si>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</si>
  <si>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</si>
  <si>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</si>
  <si>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</si>
  <si>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</si>
  <si>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</si>
  <si>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</si>
  <si>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</si>
  <si>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</si>
  <si>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</si>
  <si>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</si>
  <si>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</si>
  <si>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</si>
  <si>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</si>
  <si>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</si>
  <si>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</si>
  <si>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</si>
  <si>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</si>
  <si>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</si>
  <si>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</si>
  <si>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</si>
  <si>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</si>
  <si>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</si>
  <si>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</si>
  <si>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</si>
  <si>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</si>
  <si>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</si>
  <si>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</si>
  <si>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</si>
  <si>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</si>
  <si>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</si>
  <si>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</si>
  <si>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</si>
  <si>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</si>
  <si>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</si>
  <si>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</si>
  <si>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</si>
  <si>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</si>
  <si>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</si>
  <si>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</si>
  <si>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</si>
  <si>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</si>
  <si>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</si>
  <si>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</si>
  <si>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</si>
  <si>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</si>
  <si>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</si>
  <si>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</si>
  <si>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</si>
  <si>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</si>
  <si>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</si>
  <si>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</si>
  <si>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</si>
  <si>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</si>
  <si>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</si>
  <si>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</si>
  <si>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</si>
  <si>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</si>
  <si>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</si>
  <si>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</si>
  <si>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</si>
  <si>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</si>
  <si>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</si>
  <si>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</si>
  <si>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</si>
  <si>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</si>
  <si>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</si>
  <si>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</si>
  <si>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</si>
  <si>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</si>
  <si>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</si>
  <si>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Monterrey not found</t>
  </si>
  <si>
    <t>Phoenix not found</t>
  </si>
  <si>
    <t>Rockdale not found</t>
  </si>
  <si>
    <t>Colon de Santa Fe</t>
  </si>
  <si>
    <t>Blumenau</t>
  </si>
  <si>
    <t>KAPYLAN PALLO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</si>
  <si>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</si>
  <si>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</si>
  <si>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</si>
  <si>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</si>
  <si>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</si>
  <si>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</si>
  <si>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</si>
  <si>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</si>
  <si>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</si>
  <si>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</si>
  <si>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</si>
  <si>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</si>
  <si>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</si>
  <si>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</si>
  <si>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</si>
  <si>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</si>
  <si>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</si>
  <si>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</si>
  <si>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</si>
  <si>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</si>
  <si>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</si>
  <si>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</si>
  <si>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</si>
  <si>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</si>
  <si>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</si>
  <si>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</si>
  <si>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</si>
  <si>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</si>
  <si>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</si>
  <si>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</si>
  <si>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</si>
  <si>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</si>
  <si>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</si>
  <si>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</si>
  <si>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</si>
  <si>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</si>
  <si>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</si>
  <si>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</si>
  <si>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</si>
  <si>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</si>
  <si>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</si>
  <si>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</si>
  <si>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</si>
  <si>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</si>
  <si>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</si>
  <si>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</si>
  <si>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</si>
  <si>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</si>
  <si>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</si>
  <si>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</si>
  <si>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</si>
  <si>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</si>
  <si>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</si>
  <si>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</si>
  <si>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</si>
  <si>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</si>
  <si>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</si>
  <si>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</si>
  <si>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</si>
  <si>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</si>
  <si>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</si>
  <si>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</si>
  <si>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</si>
  <si>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</si>
  <si>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</si>
  <si>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</si>
  <si>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</si>
  <si>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</si>
  <si>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</si>
  <si>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</si>
  <si>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</si>
  <si>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</si>
  <si>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</si>
  <si>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</si>
  <si>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</si>
  <si>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</si>
  <si>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</si>
  <si>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</si>
  <si>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</si>
  <si>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</si>
  <si>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</si>
  <si>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</si>
  <si>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</si>
  <si>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</si>
  <si>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</si>
  <si>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</si>
  <si>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</si>
  <si>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</si>
  <si>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</si>
  <si>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</si>
  <si>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</si>
  <si>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</si>
  <si>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</si>
  <si>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</si>
  <si>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</si>
  <si>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</si>
  <si>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</si>
  <si>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</si>
  <si>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</si>
  <si>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</si>
  <si>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</si>
  <si>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</si>
  <si>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</si>
  <si>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</si>
  <si>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</si>
  <si>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Market</t>
  </si>
  <si>
    <t>Expected</t>
  </si>
  <si>
    <t>Real</t>
  </si>
  <si>
    <t>Min. Range</t>
  </si>
  <si>
    <t>Max. Range</t>
  </si>
  <si>
    <t>DC</t>
  </si>
  <si>
    <t>Total</t>
  </si>
  <si>
    <t>Total Green</t>
  </si>
  <si>
    <t>Total Accuracy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</si>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</sst>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0.0%"/>
  </numFmts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49">
    <xf numFmtId="0" fontId="0" fillId="0" borderId="0" xfId="0"/>
    <xf numFmtId="0" fontId="4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5" fillId="2" borderId="0" xfId="1" applyFont="1" applyFill="1"/>
    <xf numFmtId="0" fontId="5" fillId="2" borderId="2" xfId="1" applyFont="1" applyFill="1" applyBorder="1"/>
    <xf numFmtId="0" fontId="6" fillId="4" borderId="1" xfId="0" applyFont="1" applyFill="1" applyBorder="1"/>
    <xf numFmtId="0" fontId="6" fillId="3" borderId="1" xfId="0" applyFont="1" applyFill="1" applyBorder="1"/>
    <xf numFmtId="0" fontId="6" fillId="4" borderId="5" xfId="0" applyFont="1" applyFill="1" applyBorder="1"/>
    <xf numFmtId="0" fontId="7" fillId="2" borderId="0" xfId="0" applyFont="1" applyFill="1"/>
    <xf numFmtId="0" fontId="7" fillId="2" borderId="2" xfId="0" applyFont="1" applyFill="1" applyBorder="1"/>
    <xf numFmtId="49" fontId="7" fillId="2" borderId="2" xfId="0" applyNumberFormat="1" applyFont="1" applyFill="1" applyBorder="1"/>
    <xf numFmtId="0" fontId="6" fillId="4" borderId="3" xfId="0" applyFont="1" applyFill="1" applyBorder="1"/>
    <xf numFmtId="0" fontId="6" fillId="4" borderId="4" xfId="0" applyFont="1" applyFill="1" applyBorder="1"/>
    <xf numFmtId="20" fontId="6" fillId="4" borderId="4" xfId="0" applyNumberFormat="1" applyFont="1" applyFill="1" applyBorder="1"/>
    <xf numFmtId="49" fontId="6" fillId="4" borderId="4" xfId="0" applyNumberFormat="1" applyFont="1" applyFill="1" applyBorder="1"/>
    <xf numFmtId="0" fontId="6" fillId="3" borderId="5" xfId="0" applyFont="1" applyFill="1" applyBorder="1"/>
    <xf numFmtId="20" fontId="6" fillId="3" borderId="1" xfId="0" applyNumberFormat="1" applyFont="1" applyFill="1" applyBorder="1"/>
    <xf numFmtId="49" fontId="6" fillId="3" borderId="1" xfId="0" applyNumberFormat="1" applyFont="1" applyFill="1" applyBorder="1"/>
    <xf numFmtId="20" fontId="6" fillId="4" borderId="1" xfId="0" applyNumberFormat="1" applyFont="1" applyFill="1" applyBorder="1"/>
    <xf numFmtId="49" fontId="6" fillId="4" borderId="1" xfId="0" applyNumberFormat="1" applyFont="1" applyFill="1" applyBorder="1"/>
    <xf numFmtId="0" fontId="3" fillId="3" borderId="0" xfId="1" applyFont="1" applyFill="1"/>
    <xf numFmtId="21" fontId="3" fillId="3" borderId="0" xfId="1" applyNumberFormat="1" applyFont="1" applyFill="1"/>
    <xf numFmtId="0" fontId="2" fillId="0" borderId="0" xfId="1" applyFont="1"/>
    <xf numFmtId="20" fontId="0" fillId="0" borderId="0" xfId="0" applyNumberFormat="1"/>
    <xf numFmtId="0" fontId="7" fillId="5" borderId="2" xfId="0" applyFont="1" applyFill="1" applyBorder="1"/>
    <xf numFmtId="49" fontId="7" fillId="5" borderId="2" xfId="0" applyNumberFormat="1" applyFont="1" applyFill="1" applyBorder="1"/>
    <xf numFmtId="0" fontId="9" fillId="0" borderId="0" xfId="0" applyFont="1"/>
    <xf numFmtId="0" fontId="1" fillId="3" borderId="0" xfId="1" applyFont="1" applyFill="1"/>
    <xf numFmtId="0" fontId="3" fillId="6" borderId="0" xfId="1" applyFont="1" applyFill="1"/>
    <xf numFmtId="21" fontId="3" fillId="6" borderId="0" xfId="1" applyNumberFormat="1" applyFont="1" applyFill="1"/>
    <xf numFmtId="9" fontId="0" fillId="0" borderId="0" xfId="3" applyFont="1"/>
    <xf numFmtId="0" fontId="9" fillId="0" borderId="6" xfId="0" applyFont="1" applyBorder="1"/>
    <xf numFmtId="0" fontId="0" fillId="0" borderId="6" xfId="0" applyBorder="1"/>
    <xf numFmtId="9" fontId="0" fillId="0" borderId="6" xfId="3" applyFont="1" applyBorder="1"/>
    <xf numFmtId="165" fontId="0" fillId="0" borderId="6" xfId="3" applyNumberFormat="1" applyFont="1" applyBorder="1"/>
    <xf numFmtId="49" fontId="0" fillId="0" borderId="6" xfId="0" applyNumberFormat="1" applyBorder="1"/>
    <xf numFmtId="164" fontId="9" fillId="0" borderId="6" xfId="2" applyFont="1" applyFill="1" applyBorder="1"/>
    <xf numFmtId="164" fontId="0" fillId="0" borderId="6" xfId="2" applyFont="1" applyBorder="1"/>
    <xf numFmtId="164" fontId="0" fillId="0" borderId="6" xfId="2" applyFont="1" applyFill="1" applyBorder="1"/>
    <xf numFmtId="49" fontId="9" fillId="0" borderId="0" xfId="0" applyNumberFormat="1" applyFont="1"/>
    <xf numFmtId="21" fontId="0" fillId="0" borderId="2" xfId="0" applyNumberFormat="1" applyBorder="1"/>
    <xf numFmtId="0" fontId="0" fillId="0" borderId="2" xfId="0" applyBorder="1"/>
    <xf numFmtId="0" fontId="3" fillId="3" borderId="2" xfId="1" applyFont="1" applyFill="1" applyBorder="1"/>
    <xf numFmtId="21" fontId="3" fillId="3" borderId="2" xfId="1" applyNumberFormat="1" applyFont="1" applyFill="1" applyBorder="1"/>
    <xf numFmtId="49" fontId="7" fillId="5" borderId="0" xfId="0" applyNumberFormat="1" applyFont="1" applyFill="1"/>
    <xf numFmtId="0" fontId="7" fillId="5" borderId="0" xfId="0" applyFont="1" applyFill="1"/>
    <xf numFmtId="0" fontId="8" fillId="0" borderId="0" xfId="0" applyFont="1"/>
  </cellXfs>
  <cellStyles count="4">
    <cellStyle name="Comma" xfId="2" builtinId="3"/>
    <cellStyle name="Normal" xfId="0" builtinId="0"/>
    <cellStyle name="Normal 2" xfId="1" xr:uid="{D366C6B8-29CB-47F1-8CB5-78F57F211074}"/>
    <cellStyle name="Percent" xfId="3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537</xdr:row>
      <xdr:rowOff>85725</xdr:rowOff>
    </xdr:from>
    <xdr:to>
      <xdr:col>5</xdr:col>
      <xdr:colOff>1952625</xdr:colOff>
      <xdr:row>540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F365273-D21A-4C42-A80F-6D7EAA8947CE}"/>
            </a:ext>
          </a:extLst>
        </xdr:cNvPr>
        <xdr:cNvSpPr/>
      </xdr:nvSpPr>
      <xdr:spPr>
        <a:xfrm>
          <a:off x="6149975" y="102409625"/>
          <a:ext cx="5073650" cy="6000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510</xdr:row>
      <xdr:rowOff>180975</xdr:rowOff>
    </xdr:from>
    <xdr:to>
      <xdr:col>10</xdr:col>
      <xdr:colOff>504825</xdr:colOff>
      <xdr:row>523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Q586"/>
  <sheetViews>
    <sheetView tabSelected="1" workbookViewId="0">
      <pane ySplit="3" topLeftCell="A214" activePane="bottomLeft" state="frozen"/>
      <selection pane="bottomLeft"/>
    </sheetView>
  </sheetViews>
  <sheetFormatPr baseColWidth="10" defaultColWidth="8.83203125" defaultRowHeight="15" outlineLevelCol="1" x14ac:dyDescent="0.2"/>
  <cols>
    <col min="2" max="2" width="48" bestFit="1" customWidth="1"/>
    <col min="3" max="3" width="13.5" customWidth="1"/>
    <col min="4" max="4" width="9.5" bestFit="1" customWidth="1"/>
    <col min="5" max="5" width="41.83203125" customWidth="1"/>
    <col min="6" max="6" width="33.6640625" customWidth="1"/>
    <col min="7" max="7" width="8.33203125" style="4" customWidth="1" outlineLevel="1"/>
    <col min="8" max="8" width="6.5" customWidth="1" outlineLevel="1"/>
    <col min="9" max="13" width="6" customWidth="1" outlineLevel="1"/>
    <col min="14" max="14" width="6.83203125" customWidth="1" outlineLevel="1"/>
    <col min="15" max="15" width="7" customWidth="1" outlineLevel="1"/>
    <col min="16" max="16" width="6.83203125" customWidth="1" outlineLevel="1"/>
    <col min="17" max="17" width="18.83203125" customWidth="1" outlineLevel="1"/>
    <col min="18" max="19" width="14.83203125" customWidth="1" outlineLevel="1"/>
    <col min="20" max="21" width="16.33203125" customWidth="1" outlineLevel="1"/>
    <col min="22" max="22" width="10.83203125" customWidth="1" outlineLevel="1"/>
    <col min="23" max="23" width="11.1640625" customWidth="1" outlineLevel="1"/>
    <col min="24" max="24" width="23.5" bestFit="1" customWidth="1"/>
    <col min="25" max="25" width="27" bestFit="1" customWidth="1"/>
    <col min="26" max="26" width="22.83203125" bestFit="1" customWidth="1"/>
  </cols>
  <sheetData>
    <row r="2" spans="1:43" x14ac:dyDescent="0.2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3" ht="16" thickBot="1" x14ac:dyDescent="0.25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2113</v>
      </c>
      <c r="Y3" s="26" t="s">
        <v>2114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2115</v>
      </c>
      <c r="AL3" s="26" t="s">
        <v>2116</v>
      </c>
      <c r="AM3" s="26" t="s">
        <v>2117</v>
      </c>
      <c r="AN3" s="26" t="s">
        <v>2118</v>
      </c>
      <c r="AO3" s="26" t="s">
        <v>2119</v>
      </c>
      <c r="AP3" s="26" t="s">
        <v>15</v>
      </c>
      <c r="AQ3" s="26" t="s">
        <v>16</v>
      </c>
    </row>
    <row r="4" spans="1:43" ht="16" thickTop="1" x14ac:dyDescent="0.2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tr">
        <f>VLOOKUP(E4,'Transform table'!A:B,2,0)</f>
        <v>Turku PS</v>
      </c>
      <c r="Y4" t="str">
        <f>VLOOKUP(F4,'Transform table'!A:B,2,0)</f>
        <v>Ilves</v>
      </c>
      <c r="Z4" t="str">
        <f t="shared" ref="Z4:Z67" si="0">C4&amp;X4&amp;Y4</f>
        <v>20/07/2026Turku PSIlves</v>
      </c>
      <c r="AA4" t="str">
        <f>VLOOKUP($Z4,'oddspedia-matches'!$A:$AD,AA$2,0)</f>
        <v>1 - 3</v>
      </c>
      <c r="AB4" t="str">
        <f>VLOOKUP($Z4,'oddspedia-matches'!$A:$AD,AB$2,0)</f>
        <v>Red</v>
      </c>
      <c r="AC4" t="str">
        <f>VLOOKUP($Z4,'oddspedia-matches'!$A:$AD,AC$2,0)</f>
        <v>Red</v>
      </c>
      <c r="AD4" t="str">
        <f>VLOOKUP($Z4,'oddspedia-matches'!$A:$AD,AD$2,0)</f>
        <v>Green</v>
      </c>
      <c r="AE4" t="str">
        <f>VLOOKUP($Z4,'oddspedia-matches'!$A:$AD,AE$2,0)</f>
        <v>Red</v>
      </c>
      <c r="AF4" t="str">
        <f>VLOOKUP($Z4,'oddspedia-matches'!$A:$AD,AF$2,0)</f>
        <v>Green</v>
      </c>
      <c r="AG4" t="str">
        <f>VLOOKUP($Z4,'oddspedia-matches'!$A:$AD,AG$2,0)</f>
        <v>Green</v>
      </c>
      <c r="AH4" t="str">
        <f>VLOOKUP($Z4,'oddspedia-matches'!$A:$AD,AH$2,0)</f>
        <v>Red</v>
      </c>
      <c r="AI4" t="str">
        <f>VLOOKUP($Z4,'oddspedia-matches'!$A:$AD,AI$2,0)</f>
        <v>Red</v>
      </c>
      <c r="AJ4" t="str">
        <f>VLOOKUP($Z4,'oddspedia-matches'!$A:$AD,AJ$2,0)</f>
        <v>Green</v>
      </c>
      <c r="AK4" t="str">
        <f>VLOOKUP($Z4,'oddspedia-matches'!$A:$AD,AK$2,0)</f>
        <v>Green</v>
      </c>
      <c r="AL4" t="str">
        <f>VLOOKUP($Z4,'oddspedia-matches'!$A:$AD,AL$2,0)</f>
        <v>Green</v>
      </c>
      <c r="AM4" t="str">
        <f>VLOOKUP($Z4,'oddspedia-matches'!$A:$AD,AM$2,0)</f>
        <v>Green</v>
      </c>
      <c r="AN4" t="str">
        <f>VLOOKUP($Z4,'oddspedia-matches'!$A:$AD,AN$2,0)</f>
        <v>Red</v>
      </c>
      <c r="AO4" t="str">
        <f>VLOOKUP($Z4,'oddspedia-matches'!$A:$AD,AO$2,0)</f>
        <v>Red</v>
      </c>
      <c r="AP4" t="str">
        <f>VLOOKUP($Z4,'oddspedia-matches'!$A:$AD,AP$2,0)</f>
        <v>Green</v>
      </c>
      <c r="AQ4" t="str">
        <f>VLOOKUP($Z4,'oddspedia-matches'!$A:$AD,AQ$2,0)</f>
        <v>Red</v>
      </c>
    </row>
    <row r="5" spans="1:43" x14ac:dyDescent="0.2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tr">
        <f>VLOOKUP(E5,'Transform table'!A:B,2,0)</f>
        <v>Jelgava</v>
      </c>
      <c r="Y5" t="str">
        <f>VLOOKUP(F5,'Transform table'!A:B,2,0)</f>
        <v>Rigas Futbola Skola</v>
      </c>
      <c r="Z5" t="str">
        <f t="shared" si="0"/>
        <v>20/07/2026JelgavaRigas Futbola Skola</v>
      </c>
      <c r="AA5" t="str">
        <f>VLOOKUP($Z5,'oddspedia-matches'!$A:$AD,AA$2,0)</f>
        <v>0 - 1</v>
      </c>
      <c r="AB5" t="str">
        <f>VLOOKUP($Z5,'oddspedia-matches'!$A:$AD,AB$2,0)</f>
        <v>Red</v>
      </c>
      <c r="AC5" t="str">
        <f>VLOOKUP($Z5,'oddspedia-matches'!$A:$AD,AC$2,0)</f>
        <v>Red</v>
      </c>
      <c r="AD5" t="str">
        <f>VLOOKUP($Z5,'oddspedia-matches'!$A:$AD,AD$2,0)</f>
        <v>Green</v>
      </c>
      <c r="AE5" t="str">
        <f>VLOOKUP($Z5,'oddspedia-matches'!$A:$AD,AE$2,0)</f>
        <v>Red</v>
      </c>
      <c r="AF5" t="str">
        <f>VLOOKUP($Z5,'oddspedia-matches'!$A:$AD,AF$2,0)</f>
        <v>Green</v>
      </c>
      <c r="AG5" t="str">
        <f>VLOOKUP($Z5,'oddspedia-matches'!$A:$AD,AG$2,0)</f>
        <v>Green</v>
      </c>
      <c r="AH5" t="str">
        <f>VLOOKUP($Z5,'oddspedia-matches'!$A:$AD,AH$2,0)</f>
        <v>Red</v>
      </c>
      <c r="AI5" t="str">
        <f>VLOOKUP($Z5,'oddspedia-matches'!$A:$AD,AI$2,0)</f>
        <v>Red</v>
      </c>
      <c r="AJ5" t="str">
        <f>VLOOKUP($Z5,'oddspedia-matches'!$A:$AD,AJ$2,0)</f>
        <v>Green</v>
      </c>
      <c r="AK5" t="str">
        <f>VLOOKUP($Z5,'oddspedia-matches'!$A:$AD,AK$2,0)</f>
        <v>Green</v>
      </c>
      <c r="AL5" t="str">
        <f>VLOOKUP($Z5,'oddspedia-matches'!$A:$AD,AL$2,0)</f>
        <v>Red</v>
      </c>
      <c r="AM5" t="str">
        <f>VLOOKUP($Z5,'oddspedia-matches'!$A:$AD,AM$2,0)</f>
        <v>Red</v>
      </c>
      <c r="AN5" t="str">
        <f>VLOOKUP($Z5,'oddspedia-matches'!$A:$AD,AN$2,0)</f>
        <v>Green</v>
      </c>
      <c r="AO5" t="str">
        <f>VLOOKUP($Z5,'oddspedia-matches'!$A:$AD,AO$2,0)</f>
        <v>Green</v>
      </c>
      <c r="AP5" t="str">
        <f>VLOOKUP($Z5,'oddspedia-matches'!$A:$AD,AP$2,0)</f>
        <v>Red</v>
      </c>
      <c r="AQ5" t="str">
        <f>VLOOKUP($Z5,'oddspedia-matches'!$A:$AD,AQ$2,0)</f>
        <v>Green</v>
      </c>
    </row>
    <row r="6" spans="1:43" x14ac:dyDescent="0.2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tr">
        <f>VLOOKUP(E6,'Transform table'!A:B,2,0)</f>
        <v>FK Transinvest II</v>
      </c>
      <c r="Y6" t="str">
        <f>VLOOKUP(F6,'Transform table'!A:B,2,0)</f>
        <v>Neptunas Klaipeda</v>
      </c>
      <c r="Z6" t="str">
        <f t="shared" si="0"/>
        <v>20/07/2026FK Transinvest IINeptunas Klaipeda</v>
      </c>
      <c r="AA6" t="str">
        <f>VLOOKUP($Z6,'oddspedia-matches'!$A:$AD,AA$2,0)</f>
        <v>2 - 2</v>
      </c>
      <c r="AB6" t="str">
        <f>VLOOKUP($Z6,'oddspedia-matches'!$A:$AD,AB$2,0)</f>
        <v>Red</v>
      </c>
      <c r="AC6" t="str">
        <f>VLOOKUP($Z6,'oddspedia-matches'!$A:$AD,AC$2,0)</f>
        <v>Green</v>
      </c>
      <c r="AD6" t="str">
        <f>VLOOKUP($Z6,'oddspedia-matches'!$A:$AD,AD$2,0)</f>
        <v>Red</v>
      </c>
      <c r="AE6" t="str">
        <f>VLOOKUP($Z6,'oddspedia-matches'!$A:$AD,AE$2,0)</f>
        <v>Green</v>
      </c>
      <c r="AF6" t="str">
        <f>VLOOKUP($Z6,'oddspedia-matches'!$A:$AD,AF$2,0)</f>
        <v>Green</v>
      </c>
      <c r="AG6" t="str">
        <f>VLOOKUP($Z6,'oddspedia-matches'!$A:$AD,AG$2,0)</f>
        <v>Red</v>
      </c>
      <c r="AH6" t="str">
        <f>VLOOKUP($Z6,'oddspedia-matches'!$A:$AD,AH$2,0)</f>
        <v>Red</v>
      </c>
      <c r="AI6" t="str">
        <f>VLOOKUP($Z6,'oddspedia-matches'!$A:$AD,AI$2,0)</f>
        <v>Green</v>
      </c>
      <c r="AJ6" t="str">
        <f>VLOOKUP($Z6,'oddspedia-matches'!$A:$AD,AJ$2,0)</f>
        <v>Red</v>
      </c>
      <c r="AK6" t="str">
        <f>VLOOKUP($Z6,'oddspedia-matches'!$A:$AD,AK$2,0)</f>
        <v>Green</v>
      </c>
      <c r="AL6" t="str">
        <f>VLOOKUP($Z6,'oddspedia-matches'!$A:$AD,AL$2,0)</f>
        <v>Green</v>
      </c>
      <c r="AM6" t="str">
        <f>VLOOKUP($Z6,'oddspedia-matches'!$A:$AD,AM$2,0)</f>
        <v>Green</v>
      </c>
      <c r="AN6" t="str">
        <f>VLOOKUP($Z6,'oddspedia-matches'!$A:$AD,AN$2,0)</f>
        <v>Red</v>
      </c>
      <c r="AO6" t="str">
        <f>VLOOKUP($Z6,'oddspedia-matches'!$A:$AD,AO$2,0)</f>
        <v>Red</v>
      </c>
      <c r="AP6" t="str">
        <f>VLOOKUP($Z6,'oddspedia-matches'!$A:$AD,AP$2,0)</f>
        <v>Green</v>
      </c>
      <c r="AQ6" t="str">
        <f>VLOOKUP($Z6,'oddspedia-matches'!$A:$AD,AQ$2,0)</f>
        <v>Red</v>
      </c>
    </row>
    <row r="7" spans="1:43" x14ac:dyDescent="0.2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tr">
        <f>VLOOKUP(E7,'Transform table'!A:B,2,0)</f>
        <v>FK Suduva Marijampole</v>
      </c>
      <c r="Y7" t="str">
        <f>VLOOKUP(F7,'Transform table'!A:B,2,0)</f>
        <v>Hegelmann Litauen</v>
      </c>
      <c r="Z7" t="str">
        <f t="shared" si="0"/>
        <v>20/07/2026FK Suduva MarijampoleHegelmann Litauen</v>
      </c>
      <c r="AA7" t="str">
        <f>VLOOKUP($Z7,'oddspedia-matches'!$A:$AD,AA$2,0)</f>
        <v>5 - 1</v>
      </c>
      <c r="AB7" t="str">
        <f>VLOOKUP($Z7,'oddspedia-matches'!$A:$AD,AB$2,0)</f>
        <v>Green</v>
      </c>
      <c r="AC7" t="str">
        <f>VLOOKUP($Z7,'oddspedia-matches'!$A:$AD,AC$2,0)</f>
        <v>Red</v>
      </c>
      <c r="AD7" t="str">
        <f>VLOOKUP($Z7,'oddspedia-matches'!$A:$AD,AD$2,0)</f>
        <v>Red</v>
      </c>
      <c r="AE7" t="str">
        <f>VLOOKUP($Z7,'oddspedia-matches'!$A:$AD,AE$2,0)</f>
        <v>Green</v>
      </c>
      <c r="AF7" t="str">
        <f>VLOOKUP($Z7,'oddspedia-matches'!$A:$AD,AF$2,0)</f>
        <v>Red</v>
      </c>
      <c r="AG7" t="str">
        <f>VLOOKUP($Z7,'oddspedia-matches'!$A:$AD,AG$2,0)</f>
        <v>Green</v>
      </c>
      <c r="AH7" t="str">
        <f>VLOOKUP($Z7,'oddspedia-matches'!$A:$AD,AH$2,0)</f>
        <v>Green</v>
      </c>
      <c r="AI7" t="str">
        <f>VLOOKUP($Z7,'oddspedia-matches'!$A:$AD,AI$2,0)</f>
        <v>Red</v>
      </c>
      <c r="AJ7" t="str">
        <f>VLOOKUP($Z7,'oddspedia-matches'!$A:$AD,AJ$2,0)</f>
        <v>Red</v>
      </c>
      <c r="AK7" t="str">
        <f>VLOOKUP($Z7,'oddspedia-matches'!$A:$AD,AK$2,0)</f>
        <v>Green</v>
      </c>
      <c r="AL7" t="str">
        <f>VLOOKUP($Z7,'oddspedia-matches'!$A:$AD,AL$2,0)</f>
        <v>Green</v>
      </c>
      <c r="AM7" t="str">
        <f>VLOOKUP($Z7,'oddspedia-matches'!$A:$AD,AM$2,0)</f>
        <v>Green</v>
      </c>
      <c r="AN7" t="str">
        <f>VLOOKUP($Z7,'oddspedia-matches'!$A:$AD,AN$2,0)</f>
        <v>Red</v>
      </c>
      <c r="AO7" t="str">
        <f>VLOOKUP($Z7,'oddspedia-matches'!$A:$AD,AO$2,0)</f>
        <v>Red</v>
      </c>
      <c r="AP7" t="str">
        <f>VLOOKUP($Z7,'oddspedia-matches'!$A:$AD,AP$2,0)</f>
        <v>Green</v>
      </c>
      <c r="AQ7" t="str">
        <f>VLOOKUP($Z7,'oddspedia-matches'!$A:$AD,AQ$2,0)</f>
        <v>Red</v>
      </c>
    </row>
    <row r="8" spans="1:43" x14ac:dyDescent="0.2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tr">
        <f>VLOOKUP(E8,'Transform table'!A:B,2,0)</f>
        <v>IFK Mariehamn</v>
      </c>
      <c r="Y8" t="str">
        <f>VLOOKUP(F8,'Transform table'!A:B,2,0)</f>
        <v>FC Lahti</v>
      </c>
      <c r="Z8" t="str">
        <f t="shared" si="0"/>
        <v>20/07/2026IFK MariehamnFC Lahti</v>
      </c>
      <c r="AA8" t="str">
        <f>VLOOKUP($Z8,'oddspedia-matches'!$A:$AD,AA$2,0)</f>
        <v>0 - 2</v>
      </c>
      <c r="AB8" t="str">
        <f>VLOOKUP($Z8,'oddspedia-matches'!$A:$AD,AB$2,0)</f>
        <v>Red</v>
      </c>
      <c r="AC8" t="str">
        <f>VLOOKUP($Z8,'oddspedia-matches'!$A:$AD,AC$2,0)</f>
        <v>Red</v>
      </c>
      <c r="AD8" t="str">
        <f>VLOOKUP($Z8,'oddspedia-matches'!$A:$AD,AD$2,0)</f>
        <v>Green</v>
      </c>
      <c r="AE8" t="str">
        <f>VLOOKUP($Z8,'oddspedia-matches'!$A:$AD,AE$2,0)</f>
        <v>Red</v>
      </c>
      <c r="AF8" t="str">
        <f>VLOOKUP($Z8,'oddspedia-matches'!$A:$AD,AF$2,0)</f>
        <v>Green</v>
      </c>
      <c r="AG8" t="str">
        <f>VLOOKUP($Z8,'oddspedia-matches'!$A:$AD,AG$2,0)</f>
        <v>Green</v>
      </c>
      <c r="AH8" t="str">
        <f>VLOOKUP($Z8,'oddspedia-matches'!$A:$AD,AH$2,0)</f>
        <v>Red</v>
      </c>
      <c r="AI8" t="str">
        <f>VLOOKUP($Z8,'oddspedia-matches'!$A:$AD,AI$2,0)</f>
        <v>Red</v>
      </c>
      <c r="AJ8" t="str">
        <f>VLOOKUP($Z8,'oddspedia-matches'!$A:$AD,AJ$2,0)</f>
        <v>Green</v>
      </c>
      <c r="AK8" t="str">
        <f>VLOOKUP($Z8,'oddspedia-matches'!$A:$AD,AK$2,0)</f>
        <v>Green</v>
      </c>
      <c r="AL8" t="str">
        <f>VLOOKUP($Z8,'oddspedia-matches'!$A:$AD,AL$2,0)</f>
        <v>Green</v>
      </c>
      <c r="AM8" t="str">
        <f>VLOOKUP($Z8,'oddspedia-matches'!$A:$AD,AM$2,0)</f>
        <v>Red</v>
      </c>
      <c r="AN8" t="str">
        <f>VLOOKUP($Z8,'oddspedia-matches'!$A:$AD,AN$2,0)</f>
        <v>Green</v>
      </c>
      <c r="AO8" t="str">
        <f>VLOOKUP($Z8,'oddspedia-matches'!$A:$AD,AO$2,0)</f>
        <v>Green</v>
      </c>
      <c r="AP8" t="str">
        <f>VLOOKUP($Z8,'oddspedia-matches'!$A:$AD,AP$2,0)</f>
        <v>Red</v>
      </c>
      <c r="AQ8" t="str">
        <f>VLOOKUP($Z8,'oddspedia-matches'!$A:$AD,AQ$2,0)</f>
        <v>Green</v>
      </c>
    </row>
    <row r="9" spans="1:43" x14ac:dyDescent="0.2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tr">
        <f>VLOOKUP(E9,'Transform table'!A:B,2,0)</f>
        <v>SK Super Nova</v>
      </c>
      <c r="Y9" t="str">
        <f>VLOOKUP(F9,'Transform table'!A:B,2,0)</f>
        <v>SC Grobinas</v>
      </c>
      <c r="Z9" t="str">
        <f t="shared" si="0"/>
        <v>20/07/2026SK Super NovaSC Grobinas</v>
      </c>
      <c r="AA9" t="str">
        <f>VLOOKUP($Z9,'oddspedia-matches'!$A:$AD,AA$2,0)</f>
        <v>2 - 0</v>
      </c>
      <c r="AB9" t="str">
        <f>VLOOKUP($Z9,'oddspedia-matches'!$A:$AD,AB$2,0)</f>
        <v>Green</v>
      </c>
      <c r="AC9" t="str">
        <f>VLOOKUP($Z9,'oddspedia-matches'!$A:$AD,AC$2,0)</f>
        <v>Red</v>
      </c>
      <c r="AD9" t="str">
        <f>VLOOKUP($Z9,'oddspedia-matches'!$A:$AD,AD$2,0)</f>
        <v>Red</v>
      </c>
      <c r="AE9" t="str">
        <f>VLOOKUP($Z9,'oddspedia-matches'!$A:$AD,AE$2,0)</f>
        <v>Green</v>
      </c>
      <c r="AF9" t="str">
        <f>VLOOKUP($Z9,'oddspedia-matches'!$A:$AD,AF$2,0)</f>
        <v>Red</v>
      </c>
      <c r="AG9" t="str">
        <f>VLOOKUP($Z9,'oddspedia-matches'!$A:$AD,AG$2,0)</f>
        <v>Green</v>
      </c>
      <c r="AH9" t="str">
        <f>VLOOKUP($Z9,'oddspedia-matches'!$A:$AD,AH$2,0)</f>
        <v>Red</v>
      </c>
      <c r="AI9" t="str">
        <f>VLOOKUP($Z9,'oddspedia-matches'!$A:$AD,AI$2,0)</f>
        <v>Green</v>
      </c>
      <c r="AJ9" t="str">
        <f>VLOOKUP($Z9,'oddspedia-matches'!$A:$AD,AJ$2,0)</f>
        <v>Red</v>
      </c>
      <c r="AK9" t="str">
        <f>VLOOKUP($Z9,'oddspedia-matches'!$A:$AD,AK$2,0)</f>
        <v>Red</v>
      </c>
      <c r="AL9" t="str">
        <f>VLOOKUP($Z9,'oddspedia-matches'!$A:$AD,AL$2,0)</f>
        <v>Green</v>
      </c>
      <c r="AM9" t="str">
        <f>VLOOKUP($Z9,'oddspedia-matches'!$A:$AD,AM$2,0)</f>
        <v>Red</v>
      </c>
      <c r="AN9" t="str">
        <f>VLOOKUP($Z9,'oddspedia-matches'!$A:$AD,AN$2,0)</f>
        <v>Green</v>
      </c>
      <c r="AO9" t="str">
        <f>VLOOKUP($Z9,'oddspedia-matches'!$A:$AD,AO$2,0)</f>
        <v>Green</v>
      </c>
      <c r="AP9" t="str">
        <f>VLOOKUP($Z9,'oddspedia-matches'!$A:$AD,AP$2,0)</f>
        <v>Red</v>
      </c>
      <c r="AQ9" t="str">
        <f>VLOOKUP($Z9,'oddspedia-matches'!$A:$AD,AQ$2,0)</f>
        <v>Green</v>
      </c>
    </row>
    <row r="10" spans="1:43" x14ac:dyDescent="0.2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tr">
        <f>VLOOKUP(E10,'Transform table'!A:B,2,0)</f>
        <v>FK Tukums 2000 II</v>
      </c>
      <c r="Y10" t="str">
        <f>VLOOKUP(F10,'Transform table'!A:B,2,0)</f>
        <v>Rigas Futbola Skola II</v>
      </c>
      <c r="Z10" t="str">
        <f t="shared" si="0"/>
        <v>20/07/2026FK Tukums 2000 IIRigas Futbola Skola II</v>
      </c>
      <c r="AA10" t="str">
        <f>VLOOKUP($Z10,'oddspedia-matches'!$A:$AD,AA$2,0)</f>
        <v>2 - 0</v>
      </c>
      <c r="AB10" t="str">
        <f>VLOOKUP($Z10,'oddspedia-matches'!$A:$AD,AB$2,0)</f>
        <v>Green</v>
      </c>
      <c r="AC10" t="str">
        <f>VLOOKUP($Z10,'oddspedia-matches'!$A:$AD,AC$2,0)</f>
        <v>Red</v>
      </c>
      <c r="AD10" t="str">
        <f>VLOOKUP($Z10,'oddspedia-matches'!$A:$AD,AD$2,0)</f>
        <v>Red</v>
      </c>
      <c r="AE10" t="str">
        <f>VLOOKUP($Z10,'oddspedia-matches'!$A:$AD,AE$2,0)</f>
        <v>Green</v>
      </c>
      <c r="AF10" t="str">
        <f>VLOOKUP($Z10,'oddspedia-matches'!$A:$AD,AF$2,0)</f>
        <v>Red</v>
      </c>
      <c r="AG10" t="str">
        <f>VLOOKUP($Z10,'oddspedia-matches'!$A:$AD,AG$2,0)</f>
        <v>Green</v>
      </c>
      <c r="AH10" t="str">
        <f>VLOOKUP($Z10,'oddspedia-matches'!$A:$AD,AH$2,0)</f>
        <v>Red</v>
      </c>
      <c r="AI10" t="str">
        <f>VLOOKUP($Z10,'oddspedia-matches'!$A:$AD,AI$2,0)</f>
        <v>Green</v>
      </c>
      <c r="AJ10" t="str">
        <f>VLOOKUP($Z10,'oddspedia-matches'!$A:$AD,AJ$2,0)</f>
        <v>Red</v>
      </c>
      <c r="AK10" t="str">
        <f>VLOOKUP($Z10,'oddspedia-matches'!$A:$AD,AK$2,0)</f>
        <v>Red</v>
      </c>
      <c r="AL10" t="str">
        <f>VLOOKUP($Z10,'oddspedia-matches'!$A:$AD,AL$2,0)</f>
        <v>Green</v>
      </c>
      <c r="AM10" t="str">
        <f>VLOOKUP($Z10,'oddspedia-matches'!$A:$AD,AM$2,0)</f>
        <v>Red</v>
      </c>
      <c r="AN10" t="str">
        <f>VLOOKUP($Z10,'oddspedia-matches'!$A:$AD,AN$2,0)</f>
        <v>Green</v>
      </c>
      <c r="AO10" t="str">
        <f>VLOOKUP($Z10,'oddspedia-matches'!$A:$AD,AO$2,0)</f>
        <v>Green</v>
      </c>
      <c r="AP10" t="str">
        <f>VLOOKUP($Z10,'oddspedia-matches'!$A:$AD,AP$2,0)</f>
        <v>Red</v>
      </c>
      <c r="AQ10" t="str">
        <f>VLOOKUP($Z10,'oddspedia-matches'!$A:$AD,AQ$2,0)</f>
        <v>Green</v>
      </c>
    </row>
    <row r="11" spans="1:43" x14ac:dyDescent="0.2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tr">
        <f>VLOOKUP(E11,'Transform table'!A:B,2,0)</f>
        <v>Kalmar</v>
      </c>
      <c r="Y11" t="str">
        <f>VLOOKUP(F11,'Transform table'!A:B,2,0)</f>
        <v>Malmo</v>
      </c>
      <c r="Z11" t="str">
        <f t="shared" si="0"/>
        <v>20/07/2026KalmarMalmo</v>
      </c>
      <c r="AA11" t="str">
        <f>VLOOKUP($Z11,'oddspedia-matches'!$A:$AD,AA$2,0)</f>
        <v>2 - 2</v>
      </c>
      <c r="AB11" t="str">
        <f>VLOOKUP($Z11,'oddspedia-matches'!$A:$AD,AB$2,0)</f>
        <v>Red</v>
      </c>
      <c r="AC11" t="str">
        <f>VLOOKUP($Z11,'oddspedia-matches'!$A:$AD,AC$2,0)</f>
        <v>Green</v>
      </c>
      <c r="AD11" t="str">
        <f>VLOOKUP($Z11,'oddspedia-matches'!$A:$AD,AD$2,0)</f>
        <v>Red</v>
      </c>
      <c r="AE11" t="str">
        <f>VLOOKUP($Z11,'oddspedia-matches'!$A:$AD,AE$2,0)</f>
        <v>Green</v>
      </c>
      <c r="AF11" t="str">
        <f>VLOOKUP($Z11,'oddspedia-matches'!$A:$AD,AF$2,0)</f>
        <v>Green</v>
      </c>
      <c r="AG11" t="str">
        <f>VLOOKUP($Z11,'oddspedia-matches'!$A:$AD,AG$2,0)</f>
        <v>Red</v>
      </c>
      <c r="AH11" t="str">
        <f>VLOOKUP($Z11,'oddspedia-matches'!$A:$AD,AH$2,0)</f>
        <v>Green</v>
      </c>
      <c r="AI11" t="str">
        <f>VLOOKUP($Z11,'oddspedia-matches'!$A:$AD,AI$2,0)</f>
        <v>Red</v>
      </c>
      <c r="AJ11" t="str">
        <f>VLOOKUP($Z11,'oddspedia-matches'!$A:$AD,AJ$2,0)</f>
        <v>Red</v>
      </c>
      <c r="AK11" t="str">
        <f>VLOOKUP($Z11,'oddspedia-matches'!$A:$AD,AK$2,0)</f>
        <v>Green</v>
      </c>
      <c r="AL11" t="str">
        <f>VLOOKUP($Z11,'oddspedia-matches'!$A:$AD,AL$2,0)</f>
        <v>Green</v>
      </c>
      <c r="AM11" t="str">
        <f>VLOOKUP($Z11,'oddspedia-matches'!$A:$AD,AM$2,0)</f>
        <v>Green</v>
      </c>
      <c r="AN11" t="str">
        <f>VLOOKUP($Z11,'oddspedia-matches'!$A:$AD,AN$2,0)</f>
        <v>Red</v>
      </c>
      <c r="AO11" t="str">
        <f>VLOOKUP($Z11,'oddspedia-matches'!$A:$AD,AO$2,0)</f>
        <v>Red</v>
      </c>
      <c r="AP11" t="str">
        <f>VLOOKUP($Z11,'oddspedia-matches'!$A:$AD,AP$2,0)</f>
        <v>Green</v>
      </c>
      <c r="AQ11" t="str">
        <f>VLOOKUP($Z11,'oddspedia-matches'!$A:$AD,AQ$2,0)</f>
        <v>Red</v>
      </c>
    </row>
    <row r="12" spans="1:43" x14ac:dyDescent="0.2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tr">
        <f>VLOOKUP(E12,'Transform table'!A:B,2,0)</f>
        <v>Orgryte IS</v>
      </c>
      <c r="Y12" t="str">
        <f>VLOOKUP(F12,'Transform table'!A:B,2,0)</f>
        <v>Djurgardens IF</v>
      </c>
      <c r="Z12" t="str">
        <f t="shared" si="0"/>
        <v>20/07/2026Orgryte ISDjurgardens IF</v>
      </c>
      <c r="AA12" t="str">
        <f>VLOOKUP($Z12,'oddspedia-matches'!$A:$AD,AA$2,0)</f>
        <v>0 - 0</v>
      </c>
      <c r="AB12" t="str">
        <f>VLOOKUP($Z12,'oddspedia-matches'!$A:$AD,AB$2,0)</f>
        <v>Red</v>
      </c>
      <c r="AC12" t="str">
        <f>VLOOKUP($Z12,'oddspedia-matches'!$A:$AD,AC$2,0)</f>
        <v>Green</v>
      </c>
      <c r="AD12" t="str">
        <f>VLOOKUP($Z12,'oddspedia-matches'!$A:$AD,AD$2,0)</f>
        <v>Red</v>
      </c>
      <c r="AE12" t="str">
        <f>VLOOKUP($Z12,'oddspedia-matches'!$A:$AD,AE$2,0)</f>
        <v>Green</v>
      </c>
      <c r="AF12" t="str">
        <f>VLOOKUP($Z12,'oddspedia-matches'!$A:$AD,AF$2,0)</f>
        <v>Green</v>
      </c>
      <c r="AG12" t="str">
        <f>VLOOKUP($Z12,'oddspedia-matches'!$A:$AD,AG$2,0)</f>
        <v>Red</v>
      </c>
      <c r="AH12" t="str">
        <f>VLOOKUP($Z12,'oddspedia-matches'!$A:$AD,AH$2,0)</f>
        <v>Red</v>
      </c>
      <c r="AI12" t="str">
        <f>VLOOKUP($Z12,'oddspedia-matches'!$A:$AD,AI$2,0)</f>
        <v>Green</v>
      </c>
      <c r="AJ12" t="str">
        <f>VLOOKUP($Z12,'oddspedia-matches'!$A:$AD,AJ$2,0)</f>
        <v>Red</v>
      </c>
      <c r="AK12" t="str">
        <f>VLOOKUP($Z12,'oddspedia-matches'!$A:$AD,AK$2,0)</f>
        <v>Red</v>
      </c>
      <c r="AL12" t="str">
        <f>VLOOKUP($Z12,'oddspedia-matches'!$A:$AD,AL$2,0)</f>
        <v>Red</v>
      </c>
      <c r="AM12" t="str">
        <f>VLOOKUP($Z12,'oddspedia-matches'!$A:$AD,AM$2,0)</f>
        <v>Red</v>
      </c>
      <c r="AN12" t="str">
        <f>VLOOKUP($Z12,'oddspedia-matches'!$A:$AD,AN$2,0)</f>
        <v>Green</v>
      </c>
      <c r="AO12" t="str">
        <f>VLOOKUP($Z12,'oddspedia-matches'!$A:$AD,AO$2,0)</f>
        <v>Green</v>
      </c>
      <c r="AP12" t="str">
        <f>VLOOKUP($Z12,'oddspedia-matches'!$A:$AD,AP$2,0)</f>
        <v>Red</v>
      </c>
      <c r="AQ12" t="str">
        <f>VLOOKUP($Z12,'oddspedia-matches'!$A:$AD,AQ$2,0)</f>
        <v>Green</v>
      </c>
    </row>
    <row r="13" spans="1:43" x14ac:dyDescent="0.2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tr">
        <f>VLOOKUP(E13,'Transform table'!A:B,2,0)</f>
        <v>Norrby</v>
      </c>
      <c r="Y13" t="str">
        <f>VLOOKUP(F13,'Transform table'!A:B,2,0)</f>
        <v>Sundsvall</v>
      </c>
      <c r="Z13" t="str">
        <f t="shared" si="0"/>
        <v>20/07/2026NorrbySundsvall</v>
      </c>
      <c r="AA13" t="str">
        <f>VLOOKUP($Z13,'oddspedia-matches'!$A:$AD,AA$2,0)</f>
        <v>3 - 1</v>
      </c>
      <c r="AB13" t="str">
        <f>VLOOKUP($Z13,'oddspedia-matches'!$A:$AD,AB$2,0)</f>
        <v>Green</v>
      </c>
      <c r="AC13" t="str">
        <f>VLOOKUP($Z13,'oddspedia-matches'!$A:$AD,AC$2,0)</f>
        <v>Red</v>
      </c>
      <c r="AD13" t="str">
        <f>VLOOKUP($Z13,'oddspedia-matches'!$A:$AD,AD$2,0)</f>
        <v>Red</v>
      </c>
      <c r="AE13" t="str">
        <f>VLOOKUP($Z13,'oddspedia-matches'!$A:$AD,AE$2,0)</f>
        <v>Green</v>
      </c>
      <c r="AF13" t="str">
        <f>VLOOKUP($Z13,'oddspedia-matches'!$A:$AD,AF$2,0)</f>
        <v>Red</v>
      </c>
      <c r="AG13" t="str">
        <f>VLOOKUP($Z13,'oddspedia-matches'!$A:$AD,AG$2,0)</f>
        <v>Green</v>
      </c>
      <c r="AH13" t="str">
        <f>VLOOKUP($Z13,'oddspedia-matches'!$A:$AD,AH$2,0)</f>
        <v>Red</v>
      </c>
      <c r="AI13" t="str">
        <f>VLOOKUP($Z13,'oddspedia-matches'!$A:$AD,AI$2,0)</f>
        <v>Green</v>
      </c>
      <c r="AJ13" t="str">
        <f>VLOOKUP($Z13,'oddspedia-matches'!$A:$AD,AJ$2,0)</f>
        <v>Red</v>
      </c>
      <c r="AK13" t="str">
        <f>VLOOKUP($Z13,'oddspedia-matches'!$A:$AD,AK$2,0)</f>
        <v>Red</v>
      </c>
      <c r="AL13" t="str">
        <f>VLOOKUP($Z13,'oddspedia-matches'!$A:$AD,AL$2,0)</f>
        <v>Green</v>
      </c>
      <c r="AM13" t="str">
        <f>VLOOKUP($Z13,'oddspedia-matches'!$A:$AD,AM$2,0)</f>
        <v>Green</v>
      </c>
      <c r="AN13" t="str">
        <f>VLOOKUP($Z13,'oddspedia-matches'!$A:$AD,AN$2,0)</f>
        <v>Red</v>
      </c>
      <c r="AO13" t="str">
        <f>VLOOKUP($Z13,'oddspedia-matches'!$A:$AD,AO$2,0)</f>
        <v>Red</v>
      </c>
      <c r="AP13" t="str">
        <f>VLOOKUP($Z13,'oddspedia-matches'!$A:$AD,AP$2,0)</f>
        <v>Green</v>
      </c>
      <c r="AQ13" t="str">
        <f>VLOOKUP($Z13,'oddspedia-matches'!$A:$AD,AQ$2,0)</f>
        <v>Red</v>
      </c>
    </row>
    <row r="14" spans="1:43" x14ac:dyDescent="0.2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tr">
        <f>VLOOKUP(E14,'Transform table'!A:B,2,0)</f>
        <v>SA Bulo Bulo</v>
      </c>
      <c r="Y14" t="str">
        <f>VLOOKUP(F14,'Transform table'!A:B,2,0)</f>
        <v>ABB</v>
      </c>
      <c r="Z14" t="str">
        <f t="shared" si="0"/>
        <v>20/07/2026SA Bulo BuloABB</v>
      </c>
      <c r="AA14" t="str">
        <f>VLOOKUP($Z14,'oddspedia-matches'!$A:$AD,AA$2,0)</f>
        <v>2 - 1</v>
      </c>
      <c r="AB14" t="str">
        <f>VLOOKUP($Z14,'oddspedia-matches'!$A:$AD,AB$2,0)</f>
        <v>Green</v>
      </c>
      <c r="AC14" t="str">
        <f>VLOOKUP($Z14,'oddspedia-matches'!$A:$AD,AC$2,0)</f>
        <v>Red</v>
      </c>
      <c r="AD14" t="str">
        <f>VLOOKUP($Z14,'oddspedia-matches'!$A:$AD,AD$2,0)</f>
        <v>Red</v>
      </c>
      <c r="AE14" t="str">
        <f>VLOOKUP($Z14,'oddspedia-matches'!$A:$AD,AE$2,0)</f>
        <v>Green</v>
      </c>
      <c r="AF14" t="str">
        <f>VLOOKUP($Z14,'oddspedia-matches'!$A:$AD,AF$2,0)</f>
        <v>Red</v>
      </c>
      <c r="AG14" t="str">
        <f>VLOOKUP($Z14,'oddspedia-matches'!$A:$AD,AG$2,0)</f>
        <v>Green</v>
      </c>
      <c r="AH14" t="str">
        <f>VLOOKUP($Z14,'oddspedia-matches'!$A:$AD,AH$2,0)</f>
        <v>Red</v>
      </c>
      <c r="AI14" t="str">
        <f>VLOOKUP($Z14,'oddspedia-matches'!$A:$AD,AI$2,0)</f>
        <v>Green</v>
      </c>
      <c r="AJ14" t="str">
        <f>VLOOKUP($Z14,'oddspedia-matches'!$A:$AD,AJ$2,0)</f>
        <v>Red</v>
      </c>
      <c r="AK14" t="str">
        <f>VLOOKUP($Z14,'oddspedia-matches'!$A:$AD,AK$2,0)</f>
        <v>Green</v>
      </c>
      <c r="AL14" t="str">
        <f>VLOOKUP($Z14,'oddspedia-matches'!$A:$AD,AL$2,0)</f>
        <v>Green</v>
      </c>
      <c r="AM14" t="str">
        <f>VLOOKUP($Z14,'oddspedia-matches'!$A:$AD,AM$2,0)</f>
        <v>Green</v>
      </c>
      <c r="AN14" t="str">
        <f>VLOOKUP($Z14,'oddspedia-matches'!$A:$AD,AN$2,0)</f>
        <v>Red</v>
      </c>
      <c r="AO14" t="str">
        <f>VLOOKUP($Z14,'oddspedia-matches'!$A:$AD,AO$2,0)</f>
        <v>Green</v>
      </c>
      <c r="AP14" t="str">
        <f>VLOOKUP($Z14,'oddspedia-matches'!$A:$AD,AP$2,0)</f>
        <v>Green</v>
      </c>
      <c r="AQ14" t="str">
        <f>VLOOKUP($Z14,'oddspedia-matches'!$A:$AD,AQ$2,0)</f>
        <v>Red</v>
      </c>
    </row>
    <row r="15" spans="1:43" x14ac:dyDescent="0.2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tr">
        <f>VLOOKUP(E15,'Transform table'!A:B,2,0)</f>
        <v>Mushuc Runa</v>
      </c>
      <c r="Y15" t="str">
        <f>VLOOKUP(F15,'Transform table'!A:B,2,0)</f>
        <v>Orense SC</v>
      </c>
      <c r="Z15" t="str">
        <f t="shared" si="0"/>
        <v>20/07/2026Mushuc RunaOrense SC</v>
      </c>
      <c r="AA15" t="str">
        <f>VLOOKUP($Z15,'oddspedia-matches'!$A:$AD,AA$2,0)</f>
        <v>2 - 1</v>
      </c>
      <c r="AB15" t="str">
        <f>VLOOKUP($Z15,'oddspedia-matches'!$A:$AD,AB$2,0)</f>
        <v>Green</v>
      </c>
      <c r="AC15" t="str">
        <f>VLOOKUP($Z15,'oddspedia-matches'!$A:$AD,AC$2,0)</f>
        <v>Red</v>
      </c>
      <c r="AD15" t="str">
        <f>VLOOKUP($Z15,'oddspedia-matches'!$A:$AD,AD$2,0)</f>
        <v>Red</v>
      </c>
      <c r="AE15" t="str">
        <f>VLOOKUP($Z15,'oddspedia-matches'!$A:$AD,AE$2,0)</f>
        <v>Green</v>
      </c>
      <c r="AF15" t="str">
        <f>VLOOKUP($Z15,'oddspedia-matches'!$A:$AD,AF$2,0)</f>
        <v>Red</v>
      </c>
      <c r="AG15" t="str">
        <f>VLOOKUP($Z15,'oddspedia-matches'!$A:$AD,AG$2,0)</f>
        <v>Green</v>
      </c>
      <c r="AH15" t="str">
        <f>VLOOKUP($Z15,'oddspedia-matches'!$A:$AD,AH$2,0)</f>
        <v>Red</v>
      </c>
      <c r="AI15" t="str">
        <f>VLOOKUP($Z15,'oddspedia-matches'!$A:$AD,AI$2,0)</f>
        <v>Green</v>
      </c>
      <c r="AJ15" t="str">
        <f>VLOOKUP($Z15,'oddspedia-matches'!$A:$AD,AJ$2,0)</f>
        <v>Red</v>
      </c>
      <c r="AK15" t="str">
        <f>VLOOKUP($Z15,'oddspedia-matches'!$A:$AD,AK$2,0)</f>
        <v>Green</v>
      </c>
      <c r="AL15" t="str">
        <f>VLOOKUP($Z15,'oddspedia-matches'!$A:$AD,AL$2,0)</f>
        <v>Green</v>
      </c>
      <c r="AM15" t="str">
        <f>VLOOKUP($Z15,'oddspedia-matches'!$A:$AD,AM$2,0)</f>
        <v>Green</v>
      </c>
      <c r="AN15" t="str">
        <f>VLOOKUP($Z15,'oddspedia-matches'!$A:$AD,AN$2,0)</f>
        <v>Red</v>
      </c>
      <c r="AO15" t="str">
        <f>VLOOKUP($Z15,'oddspedia-matches'!$A:$AD,AO$2,0)</f>
        <v>Green</v>
      </c>
      <c r="AP15" t="str">
        <f>VLOOKUP($Z15,'oddspedia-matches'!$A:$AD,AP$2,0)</f>
        <v>Green</v>
      </c>
      <c r="AQ15" t="str">
        <f>VLOOKUP($Z15,'oddspedia-matches'!$A:$AD,AQ$2,0)</f>
        <v>Red</v>
      </c>
    </row>
    <row r="16" spans="1:43" x14ac:dyDescent="0.2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tr">
        <f>VLOOKUP(E16,'Transform table'!A:B,2,0)</f>
        <v>Hafnarfjordur</v>
      </c>
      <c r="Y16" t="str">
        <f>VLOOKUP(F16,'Transform table'!A:B,2,0)</f>
        <v>Breidablik</v>
      </c>
      <c r="Z16" t="str">
        <f t="shared" si="0"/>
        <v>20/07/2026HafnarfjordurBreidablik</v>
      </c>
      <c r="AA16" t="str">
        <f>VLOOKUP($Z16,'oddspedia-matches'!$A:$AD,AA$2,0)</f>
        <v>0 - 0</v>
      </c>
      <c r="AB16" t="str">
        <f>VLOOKUP($Z16,'oddspedia-matches'!$A:$AD,AB$2,0)</f>
        <v>Red</v>
      </c>
      <c r="AC16" t="str">
        <f>VLOOKUP($Z16,'oddspedia-matches'!$A:$AD,AC$2,0)</f>
        <v>Green</v>
      </c>
      <c r="AD16" t="str">
        <f>VLOOKUP($Z16,'oddspedia-matches'!$A:$AD,AD$2,0)</f>
        <v>Red</v>
      </c>
      <c r="AE16" t="str">
        <f>VLOOKUP($Z16,'oddspedia-matches'!$A:$AD,AE$2,0)</f>
        <v>Green</v>
      </c>
      <c r="AF16" t="str">
        <f>VLOOKUP($Z16,'oddspedia-matches'!$A:$AD,AF$2,0)</f>
        <v>Green</v>
      </c>
      <c r="AG16" t="str">
        <f>VLOOKUP($Z16,'oddspedia-matches'!$A:$AD,AG$2,0)</f>
        <v>Red</v>
      </c>
      <c r="AH16" t="str">
        <f>VLOOKUP($Z16,'oddspedia-matches'!$A:$AD,AH$2,0)</f>
        <v>Red</v>
      </c>
      <c r="AI16" t="str">
        <f>VLOOKUP($Z16,'oddspedia-matches'!$A:$AD,AI$2,0)</f>
        <v>Green</v>
      </c>
      <c r="AJ16" t="str">
        <f>VLOOKUP($Z16,'oddspedia-matches'!$A:$AD,AJ$2,0)</f>
        <v>Red</v>
      </c>
      <c r="AK16" t="str">
        <f>VLOOKUP($Z16,'oddspedia-matches'!$A:$AD,AK$2,0)</f>
        <v>Red</v>
      </c>
      <c r="AL16" t="str">
        <f>VLOOKUP($Z16,'oddspedia-matches'!$A:$AD,AL$2,0)</f>
        <v>Red</v>
      </c>
      <c r="AM16" t="str">
        <f>VLOOKUP($Z16,'oddspedia-matches'!$A:$AD,AM$2,0)</f>
        <v>Red</v>
      </c>
      <c r="AN16" t="str">
        <f>VLOOKUP($Z16,'oddspedia-matches'!$A:$AD,AN$2,0)</f>
        <v>Green</v>
      </c>
      <c r="AO16" t="str">
        <f>VLOOKUP($Z16,'oddspedia-matches'!$A:$AD,AO$2,0)</f>
        <v>Green</v>
      </c>
      <c r="AP16" t="str">
        <f>VLOOKUP($Z16,'oddspedia-matches'!$A:$AD,AP$2,0)</f>
        <v>Red</v>
      </c>
      <c r="AQ16" t="str">
        <f>VLOOKUP($Z16,'oddspedia-matches'!$A:$AD,AQ$2,0)</f>
        <v>Green</v>
      </c>
    </row>
    <row r="17" spans="2:43" x14ac:dyDescent="0.2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str">
        <f>VLOOKUP(E17,'Transform table'!A:B,2,0)</f>
        <v>Keflavik</v>
      </c>
      <c r="Y17" t="str">
        <f>VLOOKUP(F17,'Transform table'!A:B,2,0)</f>
        <v>IA Akranes</v>
      </c>
      <c r="Z17" t="str">
        <f t="shared" si="0"/>
        <v>20/07/2026KeflavikIA Akranes</v>
      </c>
      <c r="AA17" t="str">
        <f>VLOOKUP($Z17,'oddspedia-matches'!$A:$AD,AA$2,0)</f>
        <v>5 - 2</v>
      </c>
      <c r="AB17" t="str">
        <f>VLOOKUP($Z17,'oddspedia-matches'!$A:$AD,AB$2,0)</f>
        <v>Green</v>
      </c>
      <c r="AC17" t="str">
        <f>VLOOKUP($Z17,'oddspedia-matches'!$A:$AD,AC$2,0)</f>
        <v>Red</v>
      </c>
      <c r="AD17" t="str">
        <f>VLOOKUP($Z17,'oddspedia-matches'!$A:$AD,AD$2,0)</f>
        <v>Red</v>
      </c>
      <c r="AE17" t="str">
        <f>VLOOKUP($Z17,'oddspedia-matches'!$A:$AD,AE$2,0)</f>
        <v>Green</v>
      </c>
      <c r="AF17" t="str">
        <f>VLOOKUP($Z17,'oddspedia-matches'!$A:$AD,AF$2,0)</f>
        <v>Red</v>
      </c>
      <c r="AG17" t="str">
        <f>VLOOKUP($Z17,'oddspedia-matches'!$A:$AD,AG$2,0)</f>
        <v>Green</v>
      </c>
      <c r="AH17" t="str">
        <f>VLOOKUP($Z17,'oddspedia-matches'!$A:$AD,AH$2,0)</f>
        <v>Green</v>
      </c>
      <c r="AI17" t="str">
        <f>VLOOKUP($Z17,'oddspedia-matches'!$A:$AD,AI$2,0)</f>
        <v>Red</v>
      </c>
      <c r="AJ17" t="str">
        <f>VLOOKUP($Z17,'oddspedia-matches'!$A:$AD,AJ$2,0)</f>
        <v>Red</v>
      </c>
      <c r="AK17" t="str">
        <f>VLOOKUP($Z17,'oddspedia-matches'!$A:$AD,AK$2,0)</f>
        <v>Green</v>
      </c>
      <c r="AL17" t="str">
        <f>VLOOKUP($Z17,'oddspedia-matches'!$A:$AD,AL$2,0)</f>
        <v>Green</v>
      </c>
      <c r="AM17" t="str">
        <f>VLOOKUP($Z17,'oddspedia-matches'!$A:$AD,AM$2,0)</f>
        <v>Green</v>
      </c>
      <c r="AN17" t="str">
        <f>VLOOKUP($Z17,'oddspedia-matches'!$A:$AD,AN$2,0)</f>
        <v>Red</v>
      </c>
      <c r="AO17" t="str">
        <f>VLOOKUP($Z17,'oddspedia-matches'!$A:$AD,AO$2,0)</f>
        <v>Red</v>
      </c>
      <c r="AP17" t="str">
        <f>VLOOKUP($Z17,'oddspedia-matches'!$A:$AD,AP$2,0)</f>
        <v>Green</v>
      </c>
      <c r="AQ17" t="str">
        <f>VLOOKUP($Z17,'oddspedia-matches'!$A:$AD,AQ$2,0)</f>
        <v>Red</v>
      </c>
    </row>
    <row r="18" spans="2:43" x14ac:dyDescent="0.2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str">
        <f>VLOOKUP(E18,'Transform table'!A:B,2,0)</f>
        <v>Kopavogs</v>
      </c>
      <c r="Y18" t="str">
        <f>VLOOKUP(F18,'Transform table'!A:B,2,0)</f>
        <v>IF Vestri</v>
      </c>
      <c r="Z18" t="str">
        <f t="shared" si="0"/>
        <v>20/07/2026KopavogsIF Vestri</v>
      </c>
      <c r="AA18" t="str">
        <f>VLOOKUP($Z18,'oddspedia-matches'!$A:$AD,AA$2,0)</f>
        <v>6 - 2</v>
      </c>
      <c r="AB18" t="str">
        <f>VLOOKUP($Z18,'oddspedia-matches'!$A:$AD,AB$2,0)</f>
        <v>Green</v>
      </c>
      <c r="AC18" t="str">
        <f>VLOOKUP($Z18,'oddspedia-matches'!$A:$AD,AC$2,0)</f>
        <v>Red</v>
      </c>
      <c r="AD18" t="str">
        <f>VLOOKUP($Z18,'oddspedia-matches'!$A:$AD,AD$2,0)</f>
        <v>Red</v>
      </c>
      <c r="AE18" t="str">
        <f>VLOOKUP($Z18,'oddspedia-matches'!$A:$AD,AE$2,0)</f>
        <v>Green</v>
      </c>
      <c r="AF18" t="str">
        <f>VLOOKUP($Z18,'oddspedia-matches'!$A:$AD,AF$2,0)</f>
        <v>Red</v>
      </c>
      <c r="AG18" t="str">
        <f>VLOOKUP($Z18,'oddspedia-matches'!$A:$AD,AG$2,0)</f>
        <v>Green</v>
      </c>
      <c r="AH18" t="str">
        <f>VLOOKUP($Z18,'oddspedia-matches'!$A:$AD,AH$2,0)</f>
        <v>Green</v>
      </c>
      <c r="AI18" t="str">
        <f>VLOOKUP($Z18,'oddspedia-matches'!$A:$AD,AI$2,0)</f>
        <v>Red</v>
      </c>
      <c r="AJ18" t="str">
        <f>VLOOKUP($Z18,'oddspedia-matches'!$A:$AD,AJ$2,0)</f>
        <v>Red</v>
      </c>
      <c r="AK18" t="str">
        <f>VLOOKUP($Z18,'oddspedia-matches'!$A:$AD,AK$2,0)</f>
        <v>Green</v>
      </c>
      <c r="AL18" t="str">
        <f>VLOOKUP($Z18,'oddspedia-matches'!$A:$AD,AL$2,0)</f>
        <v>Green</v>
      </c>
      <c r="AM18" t="str">
        <f>VLOOKUP($Z18,'oddspedia-matches'!$A:$AD,AM$2,0)</f>
        <v>Green</v>
      </c>
      <c r="AN18" t="str">
        <f>VLOOKUP($Z18,'oddspedia-matches'!$A:$AD,AN$2,0)</f>
        <v>Red</v>
      </c>
      <c r="AO18" t="str">
        <f>VLOOKUP($Z18,'oddspedia-matches'!$A:$AD,AO$2,0)</f>
        <v>Red</v>
      </c>
      <c r="AP18" t="str">
        <f>VLOOKUP($Z18,'oddspedia-matches'!$A:$AD,AP$2,0)</f>
        <v>Green</v>
      </c>
      <c r="AQ18" t="str">
        <f>VLOOKUP($Z18,'oddspedia-matches'!$A:$AD,AQ$2,0)</f>
        <v>Red</v>
      </c>
    </row>
    <row r="19" spans="2:43" x14ac:dyDescent="0.2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tr">
        <f>VLOOKUP(E19,'Transform table'!A:B,2,0)</f>
        <v>Nacional Potosi</v>
      </c>
      <c r="Y19" t="str">
        <f>VLOOKUP(F19,'Transform table'!A:B,2,0)</f>
        <v>Real Oruro</v>
      </c>
      <c r="Z19" t="str">
        <f t="shared" si="0"/>
        <v>20/07/2026Nacional PotosiReal Oruro</v>
      </c>
      <c r="AA19" t="str">
        <f>VLOOKUP($Z19,'oddspedia-matches'!$A:$AD,AA$2,0)</f>
        <v>1 - 4</v>
      </c>
      <c r="AB19" t="str">
        <f>VLOOKUP($Z19,'oddspedia-matches'!$A:$AD,AB$2,0)</f>
        <v>Red</v>
      </c>
      <c r="AC19" t="str">
        <f>VLOOKUP($Z19,'oddspedia-matches'!$A:$AD,AC$2,0)</f>
        <v>Red</v>
      </c>
      <c r="AD19" t="str">
        <f>VLOOKUP($Z19,'oddspedia-matches'!$A:$AD,AD$2,0)</f>
        <v>Green</v>
      </c>
      <c r="AE19" t="str">
        <f>VLOOKUP($Z19,'oddspedia-matches'!$A:$AD,AE$2,0)</f>
        <v>Red</v>
      </c>
      <c r="AF19" t="str">
        <f>VLOOKUP($Z19,'oddspedia-matches'!$A:$AD,AF$2,0)</f>
        <v>Green</v>
      </c>
      <c r="AG19" t="str">
        <f>VLOOKUP($Z19,'oddspedia-matches'!$A:$AD,AG$2,0)</f>
        <v>Green</v>
      </c>
      <c r="AH19" t="str">
        <f>VLOOKUP($Z19,'oddspedia-matches'!$A:$AD,AH$2,0)</f>
        <v>Red</v>
      </c>
      <c r="AI19" t="str">
        <f>VLOOKUP($Z19,'oddspedia-matches'!$A:$AD,AI$2,0)</f>
        <v>Red</v>
      </c>
      <c r="AJ19" t="str">
        <f>VLOOKUP($Z19,'oddspedia-matches'!$A:$AD,AJ$2,0)</f>
        <v>Green</v>
      </c>
      <c r="AK19" t="str">
        <f>VLOOKUP($Z19,'oddspedia-matches'!$A:$AD,AK$2,0)</f>
        <v>Green</v>
      </c>
      <c r="AL19" t="str">
        <f>VLOOKUP($Z19,'oddspedia-matches'!$A:$AD,AL$2,0)</f>
        <v>Green</v>
      </c>
      <c r="AM19" t="str">
        <f>VLOOKUP($Z19,'oddspedia-matches'!$A:$AD,AM$2,0)</f>
        <v>Green</v>
      </c>
      <c r="AN19" t="str">
        <f>VLOOKUP($Z19,'oddspedia-matches'!$A:$AD,AN$2,0)</f>
        <v>Red</v>
      </c>
      <c r="AO19" t="str">
        <f>VLOOKUP($Z19,'oddspedia-matches'!$A:$AD,AO$2,0)</f>
        <v>Red</v>
      </c>
      <c r="AP19" t="str">
        <f>VLOOKUP($Z19,'oddspedia-matches'!$A:$AD,AP$2,0)</f>
        <v>Green</v>
      </c>
      <c r="AQ19" t="str">
        <f>VLOOKUP($Z19,'oddspedia-matches'!$A:$AD,AQ$2,0)</f>
        <v>Red</v>
      </c>
    </row>
    <row r="20" spans="2:43" x14ac:dyDescent="0.2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tr">
        <f>VLOOKUP(E20,'Transform table'!A:B,2,0)</f>
        <v>Gungahlin Juventus U23</v>
      </c>
      <c r="Y20" t="str">
        <f>VLOOKUP(F20,'Transform table'!A:B,2,0)</f>
        <v>Canberra Croatia U23</v>
      </c>
      <c r="Z20" t="str">
        <f t="shared" si="0"/>
        <v>21/07/2026Gungahlin Juventus U23Canberra Croatia U23</v>
      </c>
      <c r="AA20" t="str">
        <f>VLOOKUP($Z20,'oddspedia-matches'!$A:$AD,AA$2,0)</f>
        <v>2 - 1</v>
      </c>
      <c r="AB20" t="str">
        <f>VLOOKUP($Z20,'oddspedia-matches'!$A:$AD,AB$2,0)</f>
        <v>Green</v>
      </c>
      <c r="AC20" t="str">
        <f>VLOOKUP($Z20,'oddspedia-matches'!$A:$AD,AC$2,0)</f>
        <v>Red</v>
      </c>
      <c r="AD20" t="str">
        <f>VLOOKUP($Z20,'oddspedia-matches'!$A:$AD,AD$2,0)</f>
        <v>Red</v>
      </c>
      <c r="AE20" t="str">
        <f>VLOOKUP($Z20,'oddspedia-matches'!$A:$AD,AE$2,0)</f>
        <v>Green</v>
      </c>
      <c r="AF20" t="str">
        <f>VLOOKUP($Z20,'oddspedia-matches'!$A:$AD,AF$2,0)</f>
        <v>Red</v>
      </c>
      <c r="AG20" t="str">
        <f>VLOOKUP($Z20,'oddspedia-matches'!$A:$AD,AG$2,0)</f>
        <v>Green</v>
      </c>
      <c r="AH20" t="str">
        <f>VLOOKUP($Z20,'oddspedia-matches'!$A:$AD,AH$2,0)</f>
        <v>Green</v>
      </c>
      <c r="AI20" t="str">
        <f>VLOOKUP($Z20,'oddspedia-matches'!$A:$AD,AI$2,0)</f>
        <v>Red</v>
      </c>
      <c r="AJ20" t="str">
        <f>VLOOKUP($Z20,'oddspedia-matches'!$A:$AD,AJ$2,0)</f>
        <v>Red</v>
      </c>
      <c r="AK20" t="str">
        <f>VLOOKUP($Z20,'oddspedia-matches'!$A:$AD,AK$2,0)</f>
        <v>Green</v>
      </c>
      <c r="AL20" t="str">
        <f>VLOOKUP($Z20,'oddspedia-matches'!$A:$AD,AL$2,0)</f>
        <v>Green</v>
      </c>
      <c r="AM20" t="str">
        <f>VLOOKUP($Z20,'oddspedia-matches'!$A:$AD,AM$2,0)</f>
        <v>Green</v>
      </c>
      <c r="AN20" t="str">
        <f>VLOOKUP($Z20,'oddspedia-matches'!$A:$AD,AN$2,0)</f>
        <v>Red</v>
      </c>
      <c r="AO20" t="str">
        <f>VLOOKUP($Z20,'oddspedia-matches'!$A:$AD,AO$2,0)</f>
        <v>Green</v>
      </c>
      <c r="AP20" t="str">
        <f>VLOOKUP($Z20,'oddspedia-matches'!$A:$AD,AP$2,0)</f>
        <v>Green</v>
      </c>
      <c r="AQ20" t="str">
        <f>VLOOKUP($Z20,'oddspedia-matches'!$A:$AD,AQ$2,0)</f>
        <v>Red</v>
      </c>
    </row>
    <row r="21" spans="2:43" x14ac:dyDescent="0.2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tr">
        <f>VLOOKUP(E21,'Transform table'!A:B,2,0)</f>
        <v>Jeju United</v>
      </c>
      <c r="Y21" t="str">
        <f>VLOOKUP(F21,'Transform table'!A:B,2,0)</f>
        <v>Gangwon</v>
      </c>
      <c r="Z21" t="str">
        <f t="shared" si="0"/>
        <v>21/07/2026Jeju UnitedGangwon</v>
      </c>
      <c r="AA21" t="str">
        <f>VLOOKUP($Z21,'oddspedia-matches'!$A:$AD,AA$2,0)</f>
        <v>1 - 1</v>
      </c>
      <c r="AB21" t="str">
        <f>VLOOKUP($Z21,'oddspedia-matches'!$A:$AD,AB$2,0)</f>
        <v>Red</v>
      </c>
      <c r="AC21" t="str">
        <f>VLOOKUP($Z21,'oddspedia-matches'!$A:$AD,AC$2,0)</f>
        <v>Green</v>
      </c>
      <c r="AD21" t="str">
        <f>VLOOKUP($Z21,'oddspedia-matches'!$A:$AD,AD$2,0)</f>
        <v>Red</v>
      </c>
      <c r="AE21" t="str">
        <f>VLOOKUP($Z21,'oddspedia-matches'!$A:$AD,AE$2,0)</f>
        <v>Green</v>
      </c>
      <c r="AF21" t="str">
        <f>VLOOKUP($Z21,'oddspedia-matches'!$A:$AD,AF$2,0)</f>
        <v>Green</v>
      </c>
      <c r="AG21" t="str">
        <f>VLOOKUP($Z21,'oddspedia-matches'!$A:$AD,AG$2,0)</f>
        <v>Red</v>
      </c>
      <c r="AH21" t="str">
        <f>VLOOKUP($Z21,'oddspedia-matches'!$A:$AD,AH$2,0)</f>
        <v>Red</v>
      </c>
      <c r="AI21" t="str">
        <f>VLOOKUP($Z21,'oddspedia-matches'!$A:$AD,AI$2,0)</f>
        <v>Green</v>
      </c>
      <c r="AJ21" t="str">
        <f>VLOOKUP($Z21,'oddspedia-matches'!$A:$AD,AJ$2,0)</f>
        <v>Red</v>
      </c>
      <c r="AK21" t="str">
        <f>VLOOKUP($Z21,'oddspedia-matches'!$A:$AD,AK$2,0)</f>
        <v>Green</v>
      </c>
      <c r="AL21" t="str">
        <f>VLOOKUP($Z21,'oddspedia-matches'!$A:$AD,AL$2,0)</f>
        <v>Green</v>
      </c>
      <c r="AM21" t="str">
        <f>VLOOKUP($Z21,'oddspedia-matches'!$A:$AD,AM$2,0)</f>
        <v>Red</v>
      </c>
      <c r="AN21" t="str">
        <f>VLOOKUP($Z21,'oddspedia-matches'!$A:$AD,AN$2,0)</f>
        <v>Green</v>
      </c>
      <c r="AO21" t="str">
        <f>VLOOKUP($Z21,'oddspedia-matches'!$A:$AD,AO$2,0)</f>
        <v>Green</v>
      </c>
      <c r="AP21" t="str">
        <f>VLOOKUP($Z21,'oddspedia-matches'!$A:$AD,AP$2,0)</f>
        <v>Green</v>
      </c>
      <c r="AQ21" t="str">
        <f>VLOOKUP($Z21,'oddspedia-matches'!$A:$AD,AQ$2,0)</f>
        <v>Red</v>
      </c>
    </row>
    <row r="22" spans="2:43" x14ac:dyDescent="0.2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tr">
        <f>VLOOKUP(E22,'Transform table'!A:B,2,0)</f>
        <v>Jeonbuk Hyundai Motors</v>
      </c>
      <c r="Y22" t="str">
        <f>VLOOKUP(F22,'Transform table'!A:B,2,0)</f>
        <v>Daejeon Citizen</v>
      </c>
      <c r="Z22" t="str">
        <f t="shared" si="0"/>
        <v>21/07/2026Jeonbuk Hyundai MotorsDaejeon Citizen</v>
      </c>
      <c r="AA22" t="str">
        <f>VLOOKUP($Z22,'oddspedia-matches'!$A:$AD,AA$2,0)</f>
        <v>0 - 0</v>
      </c>
      <c r="AB22" t="str">
        <f>VLOOKUP($Z22,'oddspedia-matches'!$A:$AD,AB$2,0)</f>
        <v>Red</v>
      </c>
      <c r="AC22" t="str">
        <f>VLOOKUP($Z22,'oddspedia-matches'!$A:$AD,AC$2,0)</f>
        <v>Green</v>
      </c>
      <c r="AD22" t="str">
        <f>VLOOKUP($Z22,'oddspedia-matches'!$A:$AD,AD$2,0)</f>
        <v>Red</v>
      </c>
      <c r="AE22" t="str">
        <f>VLOOKUP($Z22,'oddspedia-matches'!$A:$AD,AE$2,0)</f>
        <v>Green</v>
      </c>
      <c r="AF22" t="str">
        <f>VLOOKUP($Z22,'oddspedia-matches'!$A:$AD,AF$2,0)</f>
        <v>Green</v>
      </c>
      <c r="AG22" t="str">
        <f>VLOOKUP($Z22,'oddspedia-matches'!$A:$AD,AG$2,0)</f>
        <v>Red</v>
      </c>
      <c r="AH22" t="str">
        <f>VLOOKUP($Z22,'oddspedia-matches'!$A:$AD,AH$2,0)</f>
        <v>Red</v>
      </c>
      <c r="AI22" t="str">
        <f>VLOOKUP($Z22,'oddspedia-matches'!$A:$AD,AI$2,0)</f>
        <v>Green</v>
      </c>
      <c r="AJ22" t="str">
        <f>VLOOKUP($Z22,'oddspedia-matches'!$A:$AD,AJ$2,0)</f>
        <v>Red</v>
      </c>
      <c r="AK22" t="str">
        <f>VLOOKUP($Z22,'oddspedia-matches'!$A:$AD,AK$2,0)</f>
        <v>Red</v>
      </c>
      <c r="AL22" t="str">
        <f>VLOOKUP($Z22,'oddspedia-matches'!$A:$AD,AL$2,0)</f>
        <v>Red</v>
      </c>
      <c r="AM22" t="str">
        <f>VLOOKUP($Z22,'oddspedia-matches'!$A:$AD,AM$2,0)</f>
        <v>Red</v>
      </c>
      <c r="AN22" t="str">
        <f>VLOOKUP($Z22,'oddspedia-matches'!$A:$AD,AN$2,0)</f>
        <v>Green</v>
      </c>
      <c r="AO22" t="str">
        <f>VLOOKUP($Z22,'oddspedia-matches'!$A:$AD,AO$2,0)</f>
        <v>Green</v>
      </c>
      <c r="AP22" t="str">
        <f>VLOOKUP($Z22,'oddspedia-matches'!$A:$AD,AP$2,0)</f>
        <v>Red</v>
      </c>
      <c r="AQ22" t="str">
        <f>VLOOKUP($Z22,'oddspedia-matches'!$A:$AD,AQ$2,0)</f>
        <v>Green</v>
      </c>
    </row>
    <row r="23" spans="2:43" x14ac:dyDescent="0.2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tr">
        <f>VLOOKUP(E23,'Transform table'!A:B,2,0)</f>
        <v>Ulsan Hyundai</v>
      </c>
      <c r="Y23" t="str">
        <f>VLOOKUP(F23,'Transform table'!A:B,2,0)</f>
        <v>Incheon United</v>
      </c>
      <c r="Z23" t="str">
        <f t="shared" si="0"/>
        <v>21/07/2026Ulsan HyundaiIncheon United</v>
      </c>
      <c r="AA23" t="str">
        <f>VLOOKUP($Z23,'oddspedia-matches'!$A:$AD,AA$2,0)</f>
        <v>1 - 2</v>
      </c>
      <c r="AB23" t="str">
        <f>VLOOKUP($Z23,'oddspedia-matches'!$A:$AD,AB$2,0)</f>
        <v>Red</v>
      </c>
      <c r="AC23" t="str">
        <f>VLOOKUP($Z23,'oddspedia-matches'!$A:$AD,AC$2,0)</f>
        <v>Red</v>
      </c>
      <c r="AD23" t="str">
        <f>VLOOKUP($Z23,'oddspedia-matches'!$A:$AD,AD$2,0)</f>
        <v>Green</v>
      </c>
      <c r="AE23" t="str">
        <f>VLOOKUP($Z23,'oddspedia-matches'!$A:$AD,AE$2,0)</f>
        <v>Red</v>
      </c>
      <c r="AF23" t="str">
        <f>VLOOKUP($Z23,'oddspedia-matches'!$A:$AD,AF$2,0)</f>
        <v>Green</v>
      </c>
      <c r="AG23" t="str">
        <f>VLOOKUP($Z23,'oddspedia-matches'!$A:$AD,AG$2,0)</f>
        <v>Green</v>
      </c>
      <c r="AH23" t="str">
        <f>VLOOKUP($Z23,'oddspedia-matches'!$A:$AD,AH$2,0)</f>
        <v>Red</v>
      </c>
      <c r="AI23" t="str">
        <f>VLOOKUP($Z23,'oddspedia-matches'!$A:$AD,AI$2,0)</f>
        <v>Green</v>
      </c>
      <c r="AJ23" t="str">
        <f>VLOOKUP($Z23,'oddspedia-matches'!$A:$AD,AJ$2,0)</f>
        <v>Red</v>
      </c>
      <c r="AK23" t="str">
        <f>VLOOKUP($Z23,'oddspedia-matches'!$A:$AD,AK$2,0)</f>
        <v>Green</v>
      </c>
      <c r="AL23" t="str">
        <f>VLOOKUP($Z23,'oddspedia-matches'!$A:$AD,AL$2,0)</f>
        <v>Green</v>
      </c>
      <c r="AM23" t="str">
        <f>VLOOKUP($Z23,'oddspedia-matches'!$A:$AD,AM$2,0)</f>
        <v>Green</v>
      </c>
      <c r="AN23" t="str">
        <f>VLOOKUP($Z23,'oddspedia-matches'!$A:$AD,AN$2,0)</f>
        <v>Red</v>
      </c>
      <c r="AO23" t="str">
        <f>VLOOKUP($Z23,'oddspedia-matches'!$A:$AD,AO$2,0)</f>
        <v>Green</v>
      </c>
      <c r="AP23" t="str">
        <f>VLOOKUP($Z23,'oddspedia-matches'!$A:$AD,AP$2,0)</f>
        <v>Green</v>
      </c>
      <c r="AQ23" t="str">
        <f>VLOOKUP($Z23,'oddspedia-matches'!$A:$AD,AQ$2,0)</f>
        <v>Red</v>
      </c>
    </row>
    <row r="24" spans="2:43" x14ac:dyDescent="0.2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tr">
        <f>VLOOKUP(E24,'Transform table'!A:B,2,0)</f>
        <v>Kapylan Pallo</v>
      </c>
      <c r="Y24" t="str">
        <f>VLOOKUP(F24,'Transform table'!A:B,2,0)</f>
        <v>Klubi 04</v>
      </c>
      <c r="Z24" t="str">
        <f t="shared" si="0"/>
        <v>21/07/2026Kapylan PalloKlubi 04</v>
      </c>
      <c r="AA24" t="str">
        <f>VLOOKUP($Z24,'oddspedia-matches'!$A:$AD,AA$2,0)</f>
        <v>0 - 2</v>
      </c>
      <c r="AB24" t="str">
        <f>VLOOKUP($Z24,'oddspedia-matches'!$A:$AD,AB$2,0)</f>
        <v>Red</v>
      </c>
      <c r="AC24" t="str">
        <f>VLOOKUP($Z24,'oddspedia-matches'!$A:$AD,AC$2,0)</f>
        <v>Red</v>
      </c>
      <c r="AD24" t="str">
        <f>VLOOKUP($Z24,'oddspedia-matches'!$A:$AD,AD$2,0)</f>
        <v>Green</v>
      </c>
      <c r="AE24" t="str">
        <f>VLOOKUP($Z24,'oddspedia-matches'!$A:$AD,AE$2,0)</f>
        <v>Red</v>
      </c>
      <c r="AF24" t="str">
        <f>VLOOKUP($Z24,'oddspedia-matches'!$A:$AD,AF$2,0)</f>
        <v>Green</v>
      </c>
      <c r="AG24" t="str">
        <f>VLOOKUP($Z24,'oddspedia-matches'!$A:$AD,AG$2,0)</f>
        <v>Green</v>
      </c>
      <c r="AH24" t="str">
        <f>VLOOKUP($Z24,'oddspedia-matches'!$A:$AD,AH$2,0)</f>
        <v>Red</v>
      </c>
      <c r="AI24" t="str">
        <f>VLOOKUP($Z24,'oddspedia-matches'!$A:$AD,AI$2,0)</f>
        <v>Red</v>
      </c>
      <c r="AJ24" t="str">
        <f>VLOOKUP($Z24,'oddspedia-matches'!$A:$AD,AJ$2,0)</f>
        <v>Green</v>
      </c>
      <c r="AK24" t="str">
        <f>VLOOKUP($Z24,'oddspedia-matches'!$A:$AD,AK$2,0)</f>
        <v>Green</v>
      </c>
      <c r="AL24" t="str">
        <f>VLOOKUP($Z24,'oddspedia-matches'!$A:$AD,AL$2,0)</f>
        <v>Green</v>
      </c>
      <c r="AM24" t="str">
        <f>VLOOKUP($Z24,'oddspedia-matches'!$A:$AD,AM$2,0)</f>
        <v>Red</v>
      </c>
      <c r="AN24" t="str">
        <f>VLOOKUP($Z24,'oddspedia-matches'!$A:$AD,AN$2,0)</f>
        <v>Green</v>
      </c>
      <c r="AO24" t="str">
        <f>VLOOKUP($Z24,'oddspedia-matches'!$A:$AD,AO$2,0)</f>
        <v>Green</v>
      </c>
      <c r="AP24" t="str">
        <f>VLOOKUP($Z24,'oddspedia-matches'!$A:$AD,AP$2,0)</f>
        <v>Red</v>
      </c>
      <c r="AQ24" t="str">
        <f>VLOOKUP($Z24,'oddspedia-matches'!$A:$AD,AQ$2,0)</f>
        <v>Green</v>
      </c>
    </row>
    <row r="25" spans="2:43" x14ac:dyDescent="0.2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tr">
        <f>VLOOKUP(E25,'Transform table'!A:B,2,0)</f>
        <v>Hegelmann Litauen II</v>
      </c>
      <c r="Y25" t="str">
        <f>VLOOKUP(F25,'Transform table'!A:B,2,0)</f>
        <v>VMFD Zalgiris Vilnius II</v>
      </c>
      <c r="Z25" t="str">
        <f t="shared" si="0"/>
        <v>21/07/2026Hegelmann Litauen IIVMFD Zalgiris Vilnius II</v>
      </c>
      <c r="AA25" t="str">
        <f>VLOOKUP($Z25,'oddspedia-matches'!$A:$AD,AA$2,0)</f>
        <v>0 - 2</v>
      </c>
      <c r="AB25" t="str">
        <f>VLOOKUP($Z25,'oddspedia-matches'!$A:$AD,AB$2,0)</f>
        <v>Red</v>
      </c>
      <c r="AC25" t="str">
        <f>VLOOKUP($Z25,'oddspedia-matches'!$A:$AD,AC$2,0)</f>
        <v>Red</v>
      </c>
      <c r="AD25" t="str">
        <f>VLOOKUP($Z25,'oddspedia-matches'!$A:$AD,AD$2,0)</f>
        <v>Green</v>
      </c>
      <c r="AE25" t="str">
        <f>VLOOKUP($Z25,'oddspedia-matches'!$A:$AD,AE$2,0)</f>
        <v>Red</v>
      </c>
      <c r="AF25" t="str">
        <f>VLOOKUP($Z25,'oddspedia-matches'!$A:$AD,AF$2,0)</f>
        <v>Green</v>
      </c>
      <c r="AG25" t="str">
        <f>VLOOKUP($Z25,'oddspedia-matches'!$A:$AD,AG$2,0)</f>
        <v>Green</v>
      </c>
      <c r="AH25" t="str">
        <f>VLOOKUP($Z25,'oddspedia-matches'!$A:$AD,AH$2,0)</f>
        <v>Red</v>
      </c>
      <c r="AI25" t="str">
        <f>VLOOKUP($Z25,'oddspedia-matches'!$A:$AD,AI$2,0)</f>
        <v>Red</v>
      </c>
      <c r="AJ25" t="str">
        <f>VLOOKUP($Z25,'oddspedia-matches'!$A:$AD,AJ$2,0)</f>
        <v>Green</v>
      </c>
      <c r="AK25" t="str">
        <f>VLOOKUP($Z25,'oddspedia-matches'!$A:$AD,AK$2,0)</f>
        <v>Green</v>
      </c>
      <c r="AL25" t="str">
        <f>VLOOKUP($Z25,'oddspedia-matches'!$A:$AD,AL$2,0)</f>
        <v>Green</v>
      </c>
      <c r="AM25" t="str">
        <f>VLOOKUP($Z25,'oddspedia-matches'!$A:$AD,AM$2,0)</f>
        <v>Red</v>
      </c>
      <c r="AN25" t="str">
        <f>VLOOKUP($Z25,'oddspedia-matches'!$A:$AD,AN$2,0)</f>
        <v>Green</v>
      </c>
      <c r="AO25" t="str">
        <f>VLOOKUP($Z25,'oddspedia-matches'!$A:$AD,AO$2,0)</f>
        <v>Green</v>
      </c>
      <c r="AP25" t="str">
        <f>VLOOKUP($Z25,'oddspedia-matches'!$A:$AD,AP$2,0)</f>
        <v>Red</v>
      </c>
      <c r="AQ25" t="str">
        <f>VLOOKUP($Z25,'oddspedia-matches'!$A:$AD,AQ$2,0)</f>
        <v>Green</v>
      </c>
    </row>
    <row r="26" spans="2:43" x14ac:dyDescent="0.2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tr">
        <f>VLOOKUP(E26,'Transform table'!A:B,2,0)</f>
        <v>Falkenberg</v>
      </c>
      <c r="Y26" t="str">
        <f>VLOOKUP(F26,'Transform table'!A:B,2,0)</f>
        <v>Helsingborg</v>
      </c>
      <c r="Z26" t="str">
        <f t="shared" si="0"/>
        <v>21/07/2026FalkenbergHelsingborg</v>
      </c>
      <c r="AA26" t="str">
        <f>VLOOKUP($Z26,'oddspedia-matches'!$A:$AD,AA$2,0)</f>
        <v>2 - 3</v>
      </c>
      <c r="AB26" t="str">
        <f>VLOOKUP($Z26,'oddspedia-matches'!$A:$AD,AB$2,0)</f>
        <v>Red</v>
      </c>
      <c r="AC26" t="str">
        <f>VLOOKUP($Z26,'oddspedia-matches'!$A:$AD,AC$2,0)</f>
        <v>Red</v>
      </c>
      <c r="AD26" t="str">
        <f>VLOOKUP($Z26,'oddspedia-matches'!$A:$AD,AD$2,0)</f>
        <v>Green</v>
      </c>
      <c r="AE26" t="str">
        <f>VLOOKUP($Z26,'oddspedia-matches'!$A:$AD,AE$2,0)</f>
        <v>Red</v>
      </c>
      <c r="AF26" t="str">
        <f>VLOOKUP($Z26,'oddspedia-matches'!$A:$AD,AF$2,0)</f>
        <v>Green</v>
      </c>
      <c r="AG26" t="str">
        <f>VLOOKUP($Z26,'oddspedia-matches'!$A:$AD,AG$2,0)</f>
        <v>Green</v>
      </c>
      <c r="AH26" t="str">
        <f>VLOOKUP($Z26,'oddspedia-matches'!$A:$AD,AH$2,0)</f>
        <v>Red</v>
      </c>
      <c r="AI26" t="str">
        <f>VLOOKUP($Z26,'oddspedia-matches'!$A:$AD,AI$2,0)</f>
        <v>Red</v>
      </c>
      <c r="AJ26" t="str">
        <f>VLOOKUP($Z26,'oddspedia-matches'!$A:$AD,AJ$2,0)</f>
        <v>Green</v>
      </c>
      <c r="AK26" t="str">
        <f>VLOOKUP($Z26,'oddspedia-matches'!$A:$AD,AK$2,0)</f>
        <v>Green</v>
      </c>
      <c r="AL26" t="str">
        <f>VLOOKUP($Z26,'oddspedia-matches'!$A:$AD,AL$2,0)</f>
        <v>Green</v>
      </c>
      <c r="AM26" t="str">
        <f>VLOOKUP($Z26,'oddspedia-matches'!$A:$AD,AM$2,0)</f>
        <v>Green</v>
      </c>
      <c r="AN26" t="str">
        <f>VLOOKUP($Z26,'oddspedia-matches'!$A:$AD,AN$2,0)</f>
        <v>Red</v>
      </c>
      <c r="AO26" t="str">
        <f>VLOOKUP($Z26,'oddspedia-matches'!$A:$AD,AO$2,0)</f>
        <v>Red</v>
      </c>
      <c r="AP26" t="str">
        <f>VLOOKUP($Z26,'oddspedia-matches'!$A:$AD,AP$2,0)</f>
        <v>Green</v>
      </c>
      <c r="AQ26" t="str">
        <f>VLOOKUP($Z26,'oddspedia-matches'!$A:$AD,AQ$2,0)</f>
        <v>Red</v>
      </c>
    </row>
    <row r="27" spans="2:43" x14ac:dyDescent="0.2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tr">
        <f>VLOOKUP(E27,'Transform table'!A:B,2,0)</f>
        <v>Libertad Loja</v>
      </c>
      <c r="Y27" t="str">
        <f>VLOOKUP(F27,'Transform table'!A:B,2,0)</f>
        <v>Delfin SC</v>
      </c>
      <c r="Z27" t="str">
        <f t="shared" si="0"/>
        <v>21/07/2026Libertad LojaDelfin SC</v>
      </c>
      <c r="AA27" t="str">
        <f>VLOOKUP($Z27,'oddspedia-matches'!$A:$AD,AA$2,0)</f>
        <v>1 - 0</v>
      </c>
      <c r="AB27" t="str">
        <f>VLOOKUP($Z27,'oddspedia-matches'!$A:$AD,AB$2,0)</f>
        <v>Green</v>
      </c>
      <c r="AC27" t="str">
        <f>VLOOKUP($Z27,'oddspedia-matches'!$A:$AD,AC$2,0)</f>
        <v>Red</v>
      </c>
      <c r="AD27" t="str">
        <f>VLOOKUP($Z27,'oddspedia-matches'!$A:$AD,AD$2,0)</f>
        <v>Red</v>
      </c>
      <c r="AE27" t="str">
        <f>VLOOKUP($Z27,'oddspedia-matches'!$A:$AD,AE$2,0)</f>
        <v>Green</v>
      </c>
      <c r="AF27" t="str">
        <f>VLOOKUP($Z27,'oddspedia-matches'!$A:$AD,AF$2,0)</f>
        <v>Red</v>
      </c>
      <c r="AG27" t="str">
        <f>VLOOKUP($Z27,'oddspedia-matches'!$A:$AD,AG$2,0)</f>
        <v>Green</v>
      </c>
      <c r="AH27" t="str">
        <f>VLOOKUP($Z27,'oddspedia-matches'!$A:$AD,AH$2,0)</f>
        <v>Red</v>
      </c>
      <c r="AI27" t="str">
        <f>VLOOKUP($Z27,'oddspedia-matches'!$A:$AD,AI$2,0)</f>
        <v>Green</v>
      </c>
      <c r="AJ27" t="str">
        <f>VLOOKUP($Z27,'oddspedia-matches'!$A:$AD,AJ$2,0)</f>
        <v>Red</v>
      </c>
      <c r="AK27" t="str">
        <f>VLOOKUP($Z27,'oddspedia-matches'!$A:$AD,AK$2,0)</f>
        <v>Red</v>
      </c>
      <c r="AL27" t="str">
        <f>VLOOKUP($Z27,'oddspedia-matches'!$A:$AD,AL$2,0)</f>
        <v>Red</v>
      </c>
      <c r="AM27" t="str">
        <f>VLOOKUP($Z27,'oddspedia-matches'!$A:$AD,AM$2,0)</f>
        <v>Red</v>
      </c>
      <c r="AN27" t="str">
        <f>VLOOKUP($Z27,'oddspedia-matches'!$A:$AD,AN$2,0)</f>
        <v>Green</v>
      </c>
      <c r="AO27" t="str">
        <f>VLOOKUP($Z27,'oddspedia-matches'!$A:$AD,AO$2,0)</f>
        <v>Green</v>
      </c>
      <c r="AP27" t="str">
        <f>VLOOKUP($Z27,'oddspedia-matches'!$A:$AD,AP$2,0)</f>
        <v>Red</v>
      </c>
      <c r="AQ27" t="str">
        <f>VLOOKUP($Z27,'oddspedia-matches'!$A:$AD,AQ$2,0)</f>
        <v>Green</v>
      </c>
    </row>
    <row r="28" spans="2:43" x14ac:dyDescent="0.2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tr">
        <f>VLOOKUP(E28,'Transform table'!A:B,2,0)</f>
        <v>Atletico Mineiro</v>
      </c>
      <c r="Y28" t="str">
        <f>VLOOKUP(F28,'Transform table'!A:B,2,0)</f>
        <v>Bahia</v>
      </c>
      <c r="Z28" t="str">
        <f t="shared" si="0"/>
        <v>21/07/2026Atletico MineiroBahia</v>
      </c>
      <c r="AA28" t="str">
        <f>VLOOKUP($Z28,'oddspedia-matches'!$A:$AD,AA$2,0)</f>
        <v>1 - 1</v>
      </c>
      <c r="AB28" t="str">
        <f>VLOOKUP($Z28,'oddspedia-matches'!$A:$AD,AB$2,0)</f>
        <v>Red</v>
      </c>
      <c r="AC28" t="str">
        <f>VLOOKUP($Z28,'oddspedia-matches'!$A:$AD,AC$2,0)</f>
        <v>Green</v>
      </c>
      <c r="AD28" t="str">
        <f>VLOOKUP($Z28,'oddspedia-matches'!$A:$AD,AD$2,0)</f>
        <v>Red</v>
      </c>
      <c r="AE28" t="str">
        <f>VLOOKUP($Z28,'oddspedia-matches'!$A:$AD,AE$2,0)</f>
        <v>Green</v>
      </c>
      <c r="AF28" t="str">
        <f>VLOOKUP($Z28,'oddspedia-matches'!$A:$AD,AF$2,0)</f>
        <v>Green</v>
      </c>
      <c r="AG28" t="str">
        <f>VLOOKUP($Z28,'oddspedia-matches'!$A:$AD,AG$2,0)</f>
        <v>Red</v>
      </c>
      <c r="AH28" t="str">
        <f>VLOOKUP($Z28,'oddspedia-matches'!$A:$AD,AH$2,0)</f>
        <v>Green</v>
      </c>
      <c r="AI28" t="str">
        <f>VLOOKUP($Z28,'oddspedia-matches'!$A:$AD,AI$2,0)</f>
        <v>Red</v>
      </c>
      <c r="AJ28" t="str">
        <f>VLOOKUP($Z28,'oddspedia-matches'!$A:$AD,AJ$2,0)</f>
        <v>Red</v>
      </c>
      <c r="AK28" t="str">
        <f>VLOOKUP($Z28,'oddspedia-matches'!$A:$AD,AK$2,0)</f>
        <v>Green</v>
      </c>
      <c r="AL28" t="str">
        <f>VLOOKUP($Z28,'oddspedia-matches'!$A:$AD,AL$2,0)</f>
        <v>Green</v>
      </c>
      <c r="AM28" t="str">
        <f>VLOOKUP($Z28,'oddspedia-matches'!$A:$AD,AM$2,0)</f>
        <v>Red</v>
      </c>
      <c r="AN28" t="str">
        <f>VLOOKUP($Z28,'oddspedia-matches'!$A:$AD,AN$2,0)</f>
        <v>Green</v>
      </c>
      <c r="AO28" t="str">
        <f>VLOOKUP($Z28,'oddspedia-matches'!$A:$AD,AO$2,0)</f>
        <v>Green</v>
      </c>
      <c r="AP28" t="str">
        <f>VLOOKUP($Z28,'oddspedia-matches'!$A:$AD,AP$2,0)</f>
        <v>Green</v>
      </c>
      <c r="AQ28" t="str">
        <f>VLOOKUP($Z28,'oddspedia-matches'!$A:$AD,AQ$2,0)</f>
        <v>Red</v>
      </c>
    </row>
    <row r="29" spans="2:43" x14ac:dyDescent="0.2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tr">
        <f>VLOOKUP(E29,'Transform table'!A:B,2,0)</f>
        <v>Avai</v>
      </c>
      <c r="Y29" t="str">
        <f>VLOOKUP(F29,'Transform table'!A:B,2,0)</f>
        <v>America Mineiro</v>
      </c>
      <c r="Z29" t="str">
        <f t="shared" si="0"/>
        <v>21/07/2026AvaiAmerica Mineiro</v>
      </c>
      <c r="AA29" t="str">
        <f>VLOOKUP($Z29,'oddspedia-matches'!$A:$AD,AA$2,0)</f>
        <v>2 - 1</v>
      </c>
      <c r="AB29" t="str">
        <f>VLOOKUP($Z29,'oddspedia-matches'!$A:$AD,AB$2,0)</f>
        <v>Green</v>
      </c>
      <c r="AC29" t="str">
        <f>VLOOKUP($Z29,'oddspedia-matches'!$A:$AD,AC$2,0)</f>
        <v>Red</v>
      </c>
      <c r="AD29" t="str">
        <f>VLOOKUP($Z29,'oddspedia-matches'!$A:$AD,AD$2,0)</f>
        <v>Red</v>
      </c>
      <c r="AE29" t="str">
        <f>VLOOKUP($Z29,'oddspedia-matches'!$A:$AD,AE$2,0)</f>
        <v>Green</v>
      </c>
      <c r="AF29" t="str">
        <f>VLOOKUP($Z29,'oddspedia-matches'!$A:$AD,AF$2,0)</f>
        <v>Red</v>
      </c>
      <c r="AG29" t="str">
        <f>VLOOKUP($Z29,'oddspedia-matches'!$A:$AD,AG$2,0)</f>
        <v>Green</v>
      </c>
      <c r="AH29" t="str">
        <f>VLOOKUP($Z29,'oddspedia-matches'!$A:$AD,AH$2,0)</f>
        <v>Red</v>
      </c>
      <c r="AI29" t="str">
        <f>VLOOKUP($Z29,'oddspedia-matches'!$A:$AD,AI$2,0)</f>
        <v>Red</v>
      </c>
      <c r="AJ29" t="str">
        <f>VLOOKUP($Z29,'oddspedia-matches'!$A:$AD,AJ$2,0)</f>
        <v>Green</v>
      </c>
      <c r="AK29" t="str">
        <f>VLOOKUP($Z29,'oddspedia-matches'!$A:$AD,AK$2,0)</f>
        <v>Green</v>
      </c>
      <c r="AL29" t="str">
        <f>VLOOKUP($Z29,'oddspedia-matches'!$A:$AD,AL$2,0)</f>
        <v>Green</v>
      </c>
      <c r="AM29" t="str">
        <f>VLOOKUP($Z29,'oddspedia-matches'!$A:$AD,AM$2,0)</f>
        <v>Green</v>
      </c>
      <c r="AN29" t="str">
        <f>VLOOKUP($Z29,'oddspedia-matches'!$A:$AD,AN$2,0)</f>
        <v>Red</v>
      </c>
      <c r="AO29" t="str">
        <f>VLOOKUP($Z29,'oddspedia-matches'!$A:$AD,AO$2,0)</f>
        <v>Green</v>
      </c>
      <c r="AP29" t="str">
        <f>VLOOKUP($Z29,'oddspedia-matches'!$A:$AD,AP$2,0)</f>
        <v>Green</v>
      </c>
      <c r="AQ29" t="str">
        <f>VLOOKUP($Z29,'oddspedia-matches'!$A:$AD,AQ$2,0)</f>
        <v>Red</v>
      </c>
    </row>
    <row r="30" spans="2:43" x14ac:dyDescent="0.2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tr">
        <f>VLOOKUP(E30,'Transform table'!A:B,2,0)</f>
        <v>Novorizontino SP</v>
      </c>
      <c r="Y30" t="str">
        <f>VLOOKUP(F30,'Transform table'!A:B,2,0)</f>
        <v>Criciuma</v>
      </c>
      <c r="Z30" t="str">
        <f t="shared" si="0"/>
        <v>21/07/2026Novorizontino SPCriciuma</v>
      </c>
      <c r="AA30" t="str">
        <f>VLOOKUP($Z30,'oddspedia-matches'!$A:$AD,AA$2,0)</f>
        <v>0 - 1</v>
      </c>
      <c r="AB30" t="str">
        <f>VLOOKUP($Z30,'oddspedia-matches'!$A:$AD,AB$2,0)</f>
        <v>Red</v>
      </c>
      <c r="AC30" t="str">
        <f>VLOOKUP($Z30,'oddspedia-matches'!$A:$AD,AC$2,0)</f>
        <v>Red</v>
      </c>
      <c r="AD30" t="str">
        <f>VLOOKUP($Z30,'oddspedia-matches'!$A:$AD,AD$2,0)</f>
        <v>Green</v>
      </c>
      <c r="AE30" t="str">
        <f>VLOOKUP($Z30,'oddspedia-matches'!$A:$AD,AE$2,0)</f>
        <v>Red</v>
      </c>
      <c r="AF30" t="str">
        <f>VLOOKUP($Z30,'oddspedia-matches'!$A:$AD,AF$2,0)</f>
        <v>Green</v>
      </c>
      <c r="AG30" t="str">
        <f>VLOOKUP($Z30,'oddspedia-matches'!$A:$AD,AG$2,0)</f>
        <v>Green</v>
      </c>
      <c r="AH30" t="str">
        <f>VLOOKUP($Z30,'oddspedia-matches'!$A:$AD,AH$2,0)</f>
        <v>Red</v>
      </c>
      <c r="AI30" t="str">
        <f>VLOOKUP($Z30,'oddspedia-matches'!$A:$AD,AI$2,0)</f>
        <v>Green</v>
      </c>
      <c r="AJ30" t="str">
        <f>VLOOKUP($Z30,'oddspedia-matches'!$A:$AD,AJ$2,0)</f>
        <v>Red</v>
      </c>
      <c r="AK30" t="str">
        <f>VLOOKUP($Z30,'oddspedia-matches'!$A:$AD,AK$2,0)</f>
        <v>Red</v>
      </c>
      <c r="AL30" t="str">
        <f>VLOOKUP($Z30,'oddspedia-matches'!$A:$AD,AL$2,0)</f>
        <v>Red</v>
      </c>
      <c r="AM30" t="str">
        <f>VLOOKUP($Z30,'oddspedia-matches'!$A:$AD,AM$2,0)</f>
        <v>Red</v>
      </c>
      <c r="AN30" t="str">
        <f>VLOOKUP($Z30,'oddspedia-matches'!$A:$AD,AN$2,0)</f>
        <v>Green</v>
      </c>
      <c r="AO30" t="str">
        <f>VLOOKUP($Z30,'oddspedia-matches'!$A:$AD,AO$2,0)</f>
        <v>Green</v>
      </c>
      <c r="AP30" t="str">
        <f>VLOOKUP($Z30,'oddspedia-matches'!$A:$AD,AP$2,0)</f>
        <v>Red</v>
      </c>
      <c r="AQ30" t="str">
        <f>VLOOKUP($Z30,'oddspedia-matches'!$A:$AD,AQ$2,0)</f>
        <v>Green</v>
      </c>
    </row>
    <row r="31" spans="2:43" x14ac:dyDescent="0.2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tr">
        <f>VLOOKUP(E31,'Transform table'!A:B,2,0)</f>
        <v>Independiente Petrolero</v>
      </c>
      <c r="Y31" t="str">
        <f>VLOOKUP(F31,'Transform table'!A:B,2,0)</f>
        <v>Real Potosi</v>
      </c>
      <c r="Z31" t="str">
        <f t="shared" si="0"/>
        <v>21/07/2026Independiente PetroleroReal Potosi</v>
      </c>
      <c r="AA31" t="str">
        <f>VLOOKUP($Z31,'oddspedia-matches'!$A:$AD,AA$2,0)</f>
        <v>1 - 2</v>
      </c>
      <c r="AB31" t="str">
        <f>VLOOKUP($Z31,'oddspedia-matches'!$A:$AD,AB$2,0)</f>
        <v>Red</v>
      </c>
      <c r="AC31" t="str">
        <f>VLOOKUP($Z31,'oddspedia-matches'!$A:$AD,AC$2,0)</f>
        <v>Red</v>
      </c>
      <c r="AD31" t="str">
        <f>VLOOKUP($Z31,'oddspedia-matches'!$A:$AD,AD$2,0)</f>
        <v>Green</v>
      </c>
      <c r="AE31" t="str">
        <f>VLOOKUP($Z31,'oddspedia-matches'!$A:$AD,AE$2,0)</f>
        <v>Red</v>
      </c>
      <c r="AF31" t="str">
        <f>VLOOKUP($Z31,'oddspedia-matches'!$A:$AD,AF$2,0)</f>
        <v>Green</v>
      </c>
      <c r="AG31" t="str">
        <f>VLOOKUP($Z31,'oddspedia-matches'!$A:$AD,AG$2,0)</f>
        <v>Green</v>
      </c>
      <c r="AH31" t="str">
        <f>VLOOKUP($Z31,'oddspedia-matches'!$A:$AD,AH$2,0)</f>
        <v>Red</v>
      </c>
      <c r="AI31" t="str">
        <f>VLOOKUP($Z31,'oddspedia-matches'!$A:$AD,AI$2,0)</f>
        <v>Green</v>
      </c>
      <c r="AJ31" t="str">
        <f>VLOOKUP($Z31,'oddspedia-matches'!$A:$AD,AJ$2,0)</f>
        <v>Red</v>
      </c>
      <c r="AK31" t="str">
        <f>VLOOKUP($Z31,'oddspedia-matches'!$A:$AD,AK$2,0)</f>
        <v>Green</v>
      </c>
      <c r="AL31" t="str">
        <f>VLOOKUP($Z31,'oddspedia-matches'!$A:$AD,AL$2,0)</f>
        <v>Green</v>
      </c>
      <c r="AM31" t="str">
        <f>VLOOKUP($Z31,'oddspedia-matches'!$A:$AD,AM$2,0)</f>
        <v>Green</v>
      </c>
      <c r="AN31" t="str">
        <f>VLOOKUP($Z31,'oddspedia-matches'!$A:$AD,AN$2,0)</f>
        <v>Red</v>
      </c>
      <c r="AO31" t="str">
        <f>VLOOKUP($Z31,'oddspedia-matches'!$A:$AD,AO$2,0)</f>
        <v>Green</v>
      </c>
      <c r="AP31" t="str">
        <f>VLOOKUP($Z31,'oddspedia-matches'!$A:$AD,AP$2,0)</f>
        <v>Green</v>
      </c>
      <c r="AQ31" t="str">
        <f>VLOOKUP($Z31,'oddspedia-matches'!$A:$AD,AQ$2,0)</f>
        <v>Red</v>
      </c>
    </row>
    <row r="32" spans="2:43" x14ac:dyDescent="0.2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tr">
        <f>VLOOKUP(E32,'Transform table'!A:B,2,0)</f>
        <v>CD Uni Catolica del Ecuador</v>
      </c>
      <c r="Y32" t="str">
        <f>VLOOKUP(F32,'Transform table'!A:B,2,0)</f>
        <v>Barcelona SC</v>
      </c>
      <c r="Z32" t="str">
        <f t="shared" si="0"/>
        <v>21/07/2026CD Uni Catolica del EcuadorBarcelona SC</v>
      </c>
      <c r="AA32" t="str">
        <f>VLOOKUP($Z32,'oddspedia-matches'!$A:$AD,AA$2,0)</f>
        <v>2 - 1</v>
      </c>
      <c r="AB32" t="str">
        <f>VLOOKUP($Z32,'oddspedia-matches'!$A:$AD,AB$2,0)</f>
        <v>Green</v>
      </c>
      <c r="AC32" t="str">
        <f>VLOOKUP($Z32,'oddspedia-matches'!$A:$AD,AC$2,0)</f>
        <v>Red</v>
      </c>
      <c r="AD32" t="str">
        <f>VLOOKUP($Z32,'oddspedia-matches'!$A:$AD,AD$2,0)</f>
        <v>Red</v>
      </c>
      <c r="AE32" t="str">
        <f>VLOOKUP($Z32,'oddspedia-matches'!$A:$AD,AE$2,0)</f>
        <v>Green</v>
      </c>
      <c r="AF32" t="str">
        <f>VLOOKUP($Z32,'oddspedia-matches'!$A:$AD,AF$2,0)</f>
        <v>Red</v>
      </c>
      <c r="AG32" t="str">
        <f>VLOOKUP($Z32,'oddspedia-matches'!$A:$AD,AG$2,0)</f>
        <v>Green</v>
      </c>
      <c r="AH32" t="str">
        <f>VLOOKUP($Z32,'oddspedia-matches'!$A:$AD,AH$2,0)</f>
        <v>Green</v>
      </c>
      <c r="AI32" t="str">
        <f>VLOOKUP($Z32,'oddspedia-matches'!$A:$AD,AI$2,0)</f>
        <v>Red</v>
      </c>
      <c r="AJ32" t="str">
        <f>VLOOKUP($Z32,'oddspedia-matches'!$A:$AD,AJ$2,0)</f>
        <v>Red</v>
      </c>
      <c r="AK32" t="str">
        <f>VLOOKUP($Z32,'oddspedia-matches'!$A:$AD,AK$2,0)</f>
        <v>Green</v>
      </c>
      <c r="AL32" t="str">
        <f>VLOOKUP($Z32,'oddspedia-matches'!$A:$AD,AL$2,0)</f>
        <v>Green</v>
      </c>
      <c r="AM32" t="str">
        <f>VLOOKUP($Z32,'oddspedia-matches'!$A:$AD,AM$2,0)</f>
        <v>Green</v>
      </c>
      <c r="AN32" t="str">
        <f>VLOOKUP($Z32,'oddspedia-matches'!$A:$AD,AN$2,0)</f>
        <v>Red</v>
      </c>
      <c r="AO32" t="str">
        <f>VLOOKUP($Z32,'oddspedia-matches'!$A:$AD,AO$2,0)</f>
        <v>Green</v>
      </c>
      <c r="AP32" t="str">
        <f>VLOOKUP($Z32,'oddspedia-matches'!$A:$AD,AP$2,0)</f>
        <v>Green</v>
      </c>
      <c r="AQ32" t="str">
        <f>VLOOKUP($Z32,'oddspedia-matches'!$A:$AD,AQ$2,0)</f>
        <v>Red</v>
      </c>
    </row>
    <row r="33" spans="2:43" x14ac:dyDescent="0.2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tr">
        <f>VLOOKUP(E33,'Transform table'!A:B,2,0)</f>
        <v>Vila Nova GO</v>
      </c>
      <c r="Y33" t="str">
        <f>VLOOKUP(F33,'Transform table'!A:B,2,0)</f>
        <v>Fortaleza EC</v>
      </c>
      <c r="Z33" t="str">
        <f t="shared" si="0"/>
        <v>21/07/2026Vila Nova GOFortaleza EC</v>
      </c>
      <c r="AA33" t="str">
        <f>VLOOKUP($Z33,'oddspedia-matches'!$A:$AD,AA$2,0)</f>
        <v>2 - 1</v>
      </c>
      <c r="AB33" t="str">
        <f>VLOOKUP($Z33,'oddspedia-matches'!$A:$AD,AB$2,0)</f>
        <v>Green</v>
      </c>
      <c r="AC33" t="str">
        <f>VLOOKUP($Z33,'oddspedia-matches'!$A:$AD,AC$2,0)</f>
        <v>Red</v>
      </c>
      <c r="AD33" t="str">
        <f>VLOOKUP($Z33,'oddspedia-matches'!$A:$AD,AD$2,0)</f>
        <v>Red</v>
      </c>
      <c r="AE33" t="str">
        <f>VLOOKUP($Z33,'oddspedia-matches'!$A:$AD,AE$2,0)</f>
        <v>Green</v>
      </c>
      <c r="AF33" t="str">
        <f>VLOOKUP($Z33,'oddspedia-matches'!$A:$AD,AF$2,0)</f>
        <v>Red</v>
      </c>
      <c r="AG33" t="str">
        <f>VLOOKUP($Z33,'oddspedia-matches'!$A:$AD,AG$2,0)</f>
        <v>Green</v>
      </c>
      <c r="AH33" t="str">
        <f>VLOOKUP($Z33,'oddspedia-matches'!$A:$AD,AH$2,0)</f>
        <v>Green</v>
      </c>
      <c r="AI33" t="str">
        <f>VLOOKUP($Z33,'oddspedia-matches'!$A:$AD,AI$2,0)</f>
        <v>Red</v>
      </c>
      <c r="AJ33" t="str">
        <f>VLOOKUP($Z33,'oddspedia-matches'!$A:$AD,AJ$2,0)</f>
        <v>Red</v>
      </c>
      <c r="AK33" t="str">
        <f>VLOOKUP($Z33,'oddspedia-matches'!$A:$AD,AK$2,0)</f>
        <v>Green</v>
      </c>
      <c r="AL33" t="str">
        <f>VLOOKUP($Z33,'oddspedia-matches'!$A:$AD,AL$2,0)</f>
        <v>Green</v>
      </c>
      <c r="AM33" t="str">
        <f>VLOOKUP($Z33,'oddspedia-matches'!$A:$AD,AM$2,0)</f>
        <v>Green</v>
      </c>
      <c r="AN33" t="str">
        <f>VLOOKUP($Z33,'oddspedia-matches'!$A:$AD,AN$2,0)</f>
        <v>Red</v>
      </c>
      <c r="AO33" t="str">
        <f>VLOOKUP($Z33,'oddspedia-matches'!$A:$AD,AO$2,0)</f>
        <v>Green</v>
      </c>
      <c r="AP33" t="str">
        <f>VLOOKUP($Z33,'oddspedia-matches'!$A:$AD,AP$2,0)</f>
        <v>Green</v>
      </c>
      <c r="AQ33" t="str">
        <f>VLOOKUP($Z33,'oddspedia-matches'!$A:$AD,AQ$2,0)</f>
        <v>Red</v>
      </c>
    </row>
    <row r="34" spans="2:43" x14ac:dyDescent="0.2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tr">
        <f>VLOOKUP(E34,'Transform table'!A:B,2,0)</f>
        <v>Hamilton Olympic</v>
      </c>
      <c r="Y34" t="str">
        <f>VLOOKUP(F34,'Transform table'!A:B,2,0)</f>
        <v>Belmont Swansea United SC</v>
      </c>
      <c r="Z34" t="str">
        <f t="shared" si="0"/>
        <v>22/07/2026Hamilton OlympicBelmont Swansea United SC</v>
      </c>
      <c r="AA34" t="str">
        <f>VLOOKUP($Z34,'oddspedia-matches'!$A:$AD,AA$2,0)</f>
        <v>5 - 2</v>
      </c>
      <c r="AB34" t="str">
        <f>VLOOKUP($Z34,'oddspedia-matches'!$A:$AD,AB$2,0)</f>
        <v>Green</v>
      </c>
      <c r="AC34" t="str">
        <f>VLOOKUP($Z34,'oddspedia-matches'!$A:$AD,AC$2,0)</f>
        <v>Red</v>
      </c>
      <c r="AD34" t="str">
        <f>VLOOKUP($Z34,'oddspedia-matches'!$A:$AD,AD$2,0)</f>
        <v>Red</v>
      </c>
      <c r="AE34" t="str">
        <f>VLOOKUP($Z34,'oddspedia-matches'!$A:$AD,AE$2,0)</f>
        <v>Green</v>
      </c>
      <c r="AF34" t="str">
        <f>VLOOKUP($Z34,'oddspedia-matches'!$A:$AD,AF$2,0)</f>
        <v>Red</v>
      </c>
      <c r="AG34" t="str">
        <f>VLOOKUP($Z34,'oddspedia-matches'!$A:$AD,AG$2,0)</f>
        <v>Green</v>
      </c>
      <c r="AH34" t="str">
        <f>VLOOKUP($Z34,'oddspedia-matches'!$A:$AD,AH$2,0)</f>
        <v>Green</v>
      </c>
      <c r="AI34" t="str">
        <f>VLOOKUP($Z34,'oddspedia-matches'!$A:$AD,AI$2,0)</f>
        <v>Red</v>
      </c>
      <c r="AJ34" t="str">
        <f>VLOOKUP($Z34,'oddspedia-matches'!$A:$AD,AJ$2,0)</f>
        <v>Red</v>
      </c>
      <c r="AK34" t="str">
        <f>VLOOKUP($Z34,'oddspedia-matches'!$A:$AD,AK$2,0)</f>
        <v>Green</v>
      </c>
      <c r="AL34" t="str">
        <f>VLOOKUP($Z34,'oddspedia-matches'!$A:$AD,AL$2,0)</f>
        <v>Green</v>
      </c>
      <c r="AM34" t="str">
        <f>VLOOKUP($Z34,'oddspedia-matches'!$A:$AD,AM$2,0)</f>
        <v>Green</v>
      </c>
      <c r="AN34" t="str">
        <f>VLOOKUP($Z34,'oddspedia-matches'!$A:$AD,AN$2,0)</f>
        <v>Red</v>
      </c>
      <c r="AO34" t="str">
        <f>VLOOKUP($Z34,'oddspedia-matches'!$A:$AD,AO$2,0)</f>
        <v>Red</v>
      </c>
      <c r="AP34" t="str">
        <f>VLOOKUP($Z34,'oddspedia-matches'!$A:$AD,AP$2,0)</f>
        <v>Green</v>
      </c>
      <c r="AQ34" t="str">
        <f>VLOOKUP($Z34,'oddspedia-matches'!$A:$AD,AQ$2,0)</f>
        <v>Red</v>
      </c>
    </row>
    <row r="35" spans="2:43" x14ac:dyDescent="0.2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tr">
        <f>VLOOKUP(E35,'Transform table'!A:B,2,0)</f>
        <v>Tuggeranong United</v>
      </c>
      <c r="Y35" t="str">
        <f>VLOOKUP(F35,'Transform table'!A:B,2,0)</f>
        <v>Canberra White Eagles</v>
      </c>
      <c r="Z35" t="str">
        <f t="shared" si="0"/>
        <v>22/07/2026Tuggeranong UnitedCanberra White Eagles</v>
      </c>
      <c r="AA35" t="str">
        <f>VLOOKUP($Z35,'oddspedia-matches'!$A:$AD,AA$2,0)</f>
        <v>2 - 1</v>
      </c>
      <c r="AB35" t="str">
        <f>VLOOKUP($Z35,'oddspedia-matches'!$A:$AD,AB$2,0)</f>
        <v>Green</v>
      </c>
      <c r="AC35" t="str">
        <f>VLOOKUP($Z35,'oddspedia-matches'!$A:$AD,AC$2,0)</f>
        <v>Red</v>
      </c>
      <c r="AD35" t="str">
        <f>VLOOKUP($Z35,'oddspedia-matches'!$A:$AD,AD$2,0)</f>
        <v>Red</v>
      </c>
      <c r="AE35" t="str">
        <f>VLOOKUP($Z35,'oddspedia-matches'!$A:$AD,AE$2,0)</f>
        <v>Green</v>
      </c>
      <c r="AF35" t="str">
        <f>VLOOKUP($Z35,'oddspedia-matches'!$A:$AD,AF$2,0)</f>
        <v>Red</v>
      </c>
      <c r="AG35" t="str">
        <f>VLOOKUP($Z35,'oddspedia-matches'!$A:$AD,AG$2,0)</f>
        <v>Green</v>
      </c>
      <c r="AH35" t="str">
        <f>VLOOKUP($Z35,'oddspedia-matches'!$A:$AD,AH$2,0)</f>
        <v>Red</v>
      </c>
      <c r="AI35" t="str">
        <f>VLOOKUP($Z35,'oddspedia-matches'!$A:$AD,AI$2,0)</f>
        <v>Green</v>
      </c>
      <c r="AJ35" t="str">
        <f>VLOOKUP($Z35,'oddspedia-matches'!$A:$AD,AJ$2,0)</f>
        <v>Red</v>
      </c>
      <c r="AK35" t="str">
        <f>VLOOKUP($Z35,'oddspedia-matches'!$A:$AD,AK$2,0)</f>
        <v>Green</v>
      </c>
      <c r="AL35" t="str">
        <f>VLOOKUP($Z35,'oddspedia-matches'!$A:$AD,AL$2,0)</f>
        <v>Green</v>
      </c>
      <c r="AM35" t="str">
        <f>VLOOKUP($Z35,'oddspedia-matches'!$A:$AD,AM$2,0)</f>
        <v>Green</v>
      </c>
      <c r="AN35" t="str">
        <f>VLOOKUP($Z35,'oddspedia-matches'!$A:$AD,AN$2,0)</f>
        <v>Red</v>
      </c>
      <c r="AO35" t="str">
        <f>VLOOKUP($Z35,'oddspedia-matches'!$A:$AD,AO$2,0)</f>
        <v>Green</v>
      </c>
      <c r="AP35" t="str">
        <f>VLOOKUP($Z35,'oddspedia-matches'!$A:$AD,AP$2,0)</f>
        <v>Green</v>
      </c>
      <c r="AQ35" t="str">
        <f>VLOOKUP($Z35,'oddspedia-matches'!$A:$AD,AQ$2,0)</f>
        <v>Red</v>
      </c>
    </row>
    <row r="36" spans="2:43" x14ac:dyDescent="0.2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tr">
        <f>VLOOKUP(E36,'Transform table'!A:B,2,0)</f>
        <v>Launceston City</v>
      </c>
      <c r="Y36" t="str">
        <f>VLOOKUP(F36,'Transform table'!A:B,2,0)</f>
        <v>Launceston United</v>
      </c>
      <c r="Z36" t="str">
        <f t="shared" si="0"/>
        <v>22/07/2026Launceston CityLaunceston United</v>
      </c>
      <c r="AA36" t="str">
        <f>VLOOKUP($Z36,'oddspedia-matches'!$A:$AD,AA$2,0)</f>
        <v>4 - 2</v>
      </c>
      <c r="AB36" t="str">
        <f>VLOOKUP($Z36,'oddspedia-matches'!$A:$AD,AB$2,0)</f>
        <v>Green</v>
      </c>
      <c r="AC36" t="str">
        <f>VLOOKUP($Z36,'oddspedia-matches'!$A:$AD,AC$2,0)</f>
        <v>Red</v>
      </c>
      <c r="AD36" t="str">
        <f>VLOOKUP($Z36,'oddspedia-matches'!$A:$AD,AD$2,0)</f>
        <v>Red</v>
      </c>
      <c r="AE36" t="str">
        <f>VLOOKUP($Z36,'oddspedia-matches'!$A:$AD,AE$2,0)</f>
        <v>Green</v>
      </c>
      <c r="AF36" t="str">
        <f>VLOOKUP($Z36,'oddspedia-matches'!$A:$AD,AF$2,0)</f>
        <v>Red</v>
      </c>
      <c r="AG36" t="str">
        <f>VLOOKUP($Z36,'oddspedia-matches'!$A:$AD,AG$2,0)</f>
        <v>Green</v>
      </c>
      <c r="AH36" t="str">
        <f>VLOOKUP($Z36,'oddspedia-matches'!$A:$AD,AH$2,0)</f>
        <v>Green</v>
      </c>
      <c r="AI36" t="str">
        <f>VLOOKUP($Z36,'oddspedia-matches'!$A:$AD,AI$2,0)</f>
        <v>Red</v>
      </c>
      <c r="AJ36" t="str">
        <f>VLOOKUP($Z36,'oddspedia-matches'!$A:$AD,AJ$2,0)</f>
        <v>Red</v>
      </c>
      <c r="AK36" t="str">
        <f>VLOOKUP($Z36,'oddspedia-matches'!$A:$AD,AK$2,0)</f>
        <v>Green</v>
      </c>
      <c r="AL36" t="str">
        <f>VLOOKUP($Z36,'oddspedia-matches'!$A:$AD,AL$2,0)</f>
        <v>Green</v>
      </c>
      <c r="AM36" t="str">
        <f>VLOOKUP($Z36,'oddspedia-matches'!$A:$AD,AM$2,0)</f>
        <v>Green</v>
      </c>
      <c r="AN36" t="str">
        <f>VLOOKUP($Z36,'oddspedia-matches'!$A:$AD,AN$2,0)</f>
        <v>Red</v>
      </c>
      <c r="AO36" t="str">
        <f>VLOOKUP($Z36,'oddspedia-matches'!$A:$AD,AO$2,0)</f>
        <v>Red</v>
      </c>
      <c r="AP36" t="str">
        <f>VLOOKUP($Z36,'oddspedia-matches'!$A:$AD,AP$2,0)</f>
        <v>Green</v>
      </c>
      <c r="AQ36" t="str">
        <f>VLOOKUP($Z36,'oddspedia-matches'!$A:$AD,AQ$2,0)</f>
        <v>Red</v>
      </c>
    </row>
    <row r="37" spans="2:43" x14ac:dyDescent="0.2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tr">
        <f>VLOOKUP(E37,'Transform table'!A:B,2,0)</f>
        <v>Bucheon 1995</v>
      </c>
      <c r="Y37" t="str">
        <f>VLOOKUP(F37,'Transform table'!A:B,2,0)</f>
        <v>Anyang</v>
      </c>
      <c r="Z37" t="str">
        <f t="shared" si="0"/>
        <v>22/07/2026Bucheon 1995Anyang</v>
      </c>
      <c r="AA37" t="str">
        <f>VLOOKUP($Z37,'oddspedia-matches'!$A:$AD,AA$2,0)</f>
        <v>2 - 3</v>
      </c>
      <c r="AB37" t="str">
        <f>VLOOKUP($Z37,'oddspedia-matches'!$A:$AD,AB$2,0)</f>
        <v>Red</v>
      </c>
      <c r="AC37" t="str">
        <f>VLOOKUP($Z37,'oddspedia-matches'!$A:$AD,AC$2,0)</f>
        <v>Red</v>
      </c>
      <c r="AD37" t="str">
        <f>VLOOKUP($Z37,'oddspedia-matches'!$A:$AD,AD$2,0)</f>
        <v>Green</v>
      </c>
      <c r="AE37" t="str">
        <f>VLOOKUP($Z37,'oddspedia-matches'!$A:$AD,AE$2,0)</f>
        <v>Red</v>
      </c>
      <c r="AF37" t="str">
        <f>VLOOKUP($Z37,'oddspedia-matches'!$A:$AD,AF$2,0)</f>
        <v>Green</v>
      </c>
      <c r="AG37" t="str">
        <f>VLOOKUP($Z37,'oddspedia-matches'!$A:$AD,AG$2,0)</f>
        <v>Green</v>
      </c>
      <c r="AH37" t="str">
        <f>VLOOKUP($Z37,'oddspedia-matches'!$A:$AD,AH$2,0)</f>
        <v>Red</v>
      </c>
      <c r="AI37" t="str">
        <f>VLOOKUP($Z37,'oddspedia-matches'!$A:$AD,AI$2,0)</f>
        <v>Green</v>
      </c>
      <c r="AJ37" t="str">
        <f>VLOOKUP($Z37,'oddspedia-matches'!$A:$AD,AJ$2,0)</f>
        <v>Red</v>
      </c>
      <c r="AK37" t="str">
        <f>VLOOKUP($Z37,'oddspedia-matches'!$A:$AD,AK$2,0)</f>
        <v>Green</v>
      </c>
      <c r="AL37" t="str">
        <f>VLOOKUP($Z37,'oddspedia-matches'!$A:$AD,AL$2,0)</f>
        <v>Green</v>
      </c>
      <c r="AM37" t="str">
        <f>VLOOKUP($Z37,'oddspedia-matches'!$A:$AD,AM$2,0)</f>
        <v>Green</v>
      </c>
      <c r="AN37" t="str">
        <f>VLOOKUP($Z37,'oddspedia-matches'!$A:$AD,AN$2,0)</f>
        <v>Red</v>
      </c>
      <c r="AO37" t="str">
        <f>VLOOKUP($Z37,'oddspedia-matches'!$A:$AD,AO$2,0)</f>
        <v>Red</v>
      </c>
      <c r="AP37" t="str">
        <f>VLOOKUP($Z37,'oddspedia-matches'!$A:$AD,AP$2,0)</f>
        <v>Green</v>
      </c>
      <c r="AQ37" t="str">
        <f>VLOOKUP($Z37,'oddspedia-matches'!$A:$AD,AQ$2,0)</f>
        <v>Red</v>
      </c>
    </row>
    <row r="38" spans="2:43" x14ac:dyDescent="0.2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tr">
        <f>VLOOKUP(E38,'Transform table'!A:B,2,0)</f>
        <v>FC Seoul</v>
      </c>
      <c r="Y38" t="str">
        <f>VLOOKUP(F38,'Transform table'!A:B,2,0)</f>
        <v>Pohang Steelers</v>
      </c>
      <c r="Z38" t="str">
        <f t="shared" si="0"/>
        <v>22/07/2026FC SeoulPohang Steelers</v>
      </c>
      <c r="AA38" t="str">
        <f>VLOOKUP($Z38,'oddspedia-matches'!$A:$AD,AA$2,0)</f>
        <v>3 - 1</v>
      </c>
      <c r="AB38" t="str">
        <f>VLOOKUP($Z38,'oddspedia-matches'!$A:$AD,AB$2,0)</f>
        <v>Green</v>
      </c>
      <c r="AC38" t="str">
        <f>VLOOKUP($Z38,'oddspedia-matches'!$A:$AD,AC$2,0)</f>
        <v>Red</v>
      </c>
      <c r="AD38" t="str">
        <f>VLOOKUP($Z38,'oddspedia-matches'!$A:$AD,AD$2,0)</f>
        <v>Red</v>
      </c>
      <c r="AE38" t="str">
        <f>VLOOKUP($Z38,'oddspedia-matches'!$A:$AD,AE$2,0)</f>
        <v>Green</v>
      </c>
      <c r="AF38" t="str">
        <f>VLOOKUP($Z38,'oddspedia-matches'!$A:$AD,AF$2,0)</f>
        <v>Red</v>
      </c>
      <c r="AG38" t="str">
        <f>VLOOKUP($Z38,'oddspedia-matches'!$A:$AD,AG$2,0)</f>
        <v>Green</v>
      </c>
      <c r="AH38" t="str">
        <f>VLOOKUP($Z38,'oddspedia-matches'!$A:$AD,AH$2,0)</f>
        <v>Green</v>
      </c>
      <c r="AI38" t="str">
        <f>VLOOKUP($Z38,'oddspedia-matches'!$A:$AD,AI$2,0)</f>
        <v>Red</v>
      </c>
      <c r="AJ38" t="str">
        <f>VLOOKUP($Z38,'oddspedia-matches'!$A:$AD,AJ$2,0)</f>
        <v>Red</v>
      </c>
      <c r="AK38" t="str">
        <f>VLOOKUP($Z38,'oddspedia-matches'!$A:$AD,AK$2,0)</f>
        <v>Green</v>
      </c>
      <c r="AL38" t="str">
        <f>VLOOKUP($Z38,'oddspedia-matches'!$A:$AD,AL$2,0)</f>
        <v>Green</v>
      </c>
      <c r="AM38" t="str">
        <f>VLOOKUP($Z38,'oddspedia-matches'!$A:$AD,AM$2,0)</f>
        <v>Green</v>
      </c>
      <c r="AN38" t="str">
        <f>VLOOKUP($Z38,'oddspedia-matches'!$A:$AD,AN$2,0)</f>
        <v>Red</v>
      </c>
      <c r="AO38" t="str">
        <f>VLOOKUP($Z38,'oddspedia-matches'!$A:$AD,AO$2,0)</f>
        <v>Red</v>
      </c>
      <c r="AP38" t="str">
        <f>VLOOKUP($Z38,'oddspedia-matches'!$A:$AD,AP$2,0)</f>
        <v>Green</v>
      </c>
      <c r="AQ38" t="str">
        <f>VLOOKUP($Z38,'oddspedia-matches'!$A:$AD,AQ$2,0)</f>
        <v>Red</v>
      </c>
    </row>
    <row r="39" spans="2:43" x14ac:dyDescent="0.2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tr">
        <f>VLOOKUP(E39,'Transform table'!A:B,2,0)</f>
        <v>Gwangju</v>
      </c>
      <c r="Y39" t="str">
        <f>VLOOKUP(F39,'Transform table'!A:B,2,0)</f>
        <v>Sangju Sangmu</v>
      </c>
      <c r="Z39" t="str">
        <f t="shared" si="0"/>
        <v>22/07/2026GwangjuSangju Sangmu</v>
      </c>
      <c r="AA39" t="str">
        <f>VLOOKUP($Z39,'oddspedia-matches'!$A:$AD,AA$2,0)</f>
        <v>1 - 1</v>
      </c>
      <c r="AB39" t="str">
        <f>VLOOKUP($Z39,'oddspedia-matches'!$A:$AD,AB$2,0)</f>
        <v>Red</v>
      </c>
      <c r="AC39" t="str">
        <f>VLOOKUP($Z39,'oddspedia-matches'!$A:$AD,AC$2,0)</f>
        <v>Green</v>
      </c>
      <c r="AD39" t="str">
        <f>VLOOKUP($Z39,'oddspedia-matches'!$A:$AD,AD$2,0)</f>
        <v>Red</v>
      </c>
      <c r="AE39" t="str">
        <f>VLOOKUP($Z39,'oddspedia-matches'!$A:$AD,AE$2,0)</f>
        <v>Green</v>
      </c>
      <c r="AF39" t="str">
        <f>VLOOKUP($Z39,'oddspedia-matches'!$A:$AD,AF$2,0)</f>
        <v>Green</v>
      </c>
      <c r="AG39" t="str">
        <f>VLOOKUP($Z39,'oddspedia-matches'!$A:$AD,AG$2,0)</f>
        <v>Red</v>
      </c>
      <c r="AH39" t="str">
        <f>VLOOKUP($Z39,'oddspedia-matches'!$A:$AD,AH$2,0)</f>
        <v>Red</v>
      </c>
      <c r="AI39" t="str">
        <f>VLOOKUP($Z39,'oddspedia-matches'!$A:$AD,AI$2,0)</f>
        <v>Green</v>
      </c>
      <c r="AJ39" t="str">
        <f>VLOOKUP($Z39,'oddspedia-matches'!$A:$AD,AJ$2,0)</f>
        <v>Red</v>
      </c>
      <c r="AK39" t="str">
        <f>VLOOKUP($Z39,'oddspedia-matches'!$A:$AD,AK$2,0)</f>
        <v>Green</v>
      </c>
      <c r="AL39" t="str">
        <f>VLOOKUP($Z39,'oddspedia-matches'!$A:$AD,AL$2,0)</f>
        <v>Green</v>
      </c>
      <c r="AM39" t="str">
        <f>VLOOKUP($Z39,'oddspedia-matches'!$A:$AD,AM$2,0)</f>
        <v>Red</v>
      </c>
      <c r="AN39" t="str">
        <f>VLOOKUP($Z39,'oddspedia-matches'!$A:$AD,AN$2,0)</f>
        <v>Green</v>
      </c>
      <c r="AO39" t="str">
        <f>VLOOKUP($Z39,'oddspedia-matches'!$A:$AD,AO$2,0)</f>
        <v>Green</v>
      </c>
      <c r="AP39" t="str">
        <f>VLOOKUP($Z39,'oddspedia-matches'!$A:$AD,AP$2,0)</f>
        <v>Green</v>
      </c>
      <c r="AQ39" t="str">
        <f>VLOOKUP($Z39,'oddspedia-matches'!$A:$AD,AQ$2,0)</f>
        <v>Red</v>
      </c>
    </row>
    <row r="40" spans="2:43" x14ac:dyDescent="0.2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tr">
        <f>VLOOKUP(E40,'Transform table'!A:B,2,0)</f>
        <v>Bodo/Glimt</v>
      </c>
      <c r="Y40" t="str">
        <f>VLOOKUP(F40,'Transform table'!A:B,2,0)</f>
        <v>HamKam</v>
      </c>
      <c r="Z40" t="str">
        <f t="shared" si="0"/>
        <v>22/07/2026Bodo/GlimtHamKam</v>
      </c>
      <c r="AA40" t="str">
        <f>VLOOKUP($Z40,'oddspedia-matches'!$A:$AD,AA$2,0)</f>
        <v>3 - 0</v>
      </c>
      <c r="AB40" t="str">
        <f>VLOOKUP($Z40,'oddspedia-matches'!$A:$AD,AB$2,0)</f>
        <v>Green</v>
      </c>
      <c r="AC40" t="str">
        <f>VLOOKUP($Z40,'oddspedia-matches'!$A:$AD,AC$2,0)</f>
        <v>Red</v>
      </c>
      <c r="AD40" t="str">
        <f>VLOOKUP($Z40,'oddspedia-matches'!$A:$AD,AD$2,0)</f>
        <v>Red</v>
      </c>
      <c r="AE40" t="str">
        <f>VLOOKUP($Z40,'oddspedia-matches'!$A:$AD,AE$2,0)</f>
        <v>Green</v>
      </c>
      <c r="AF40" t="str">
        <f>VLOOKUP($Z40,'oddspedia-matches'!$A:$AD,AF$2,0)</f>
        <v>Red</v>
      </c>
      <c r="AG40" t="str">
        <f>VLOOKUP($Z40,'oddspedia-matches'!$A:$AD,AG$2,0)</f>
        <v>Green</v>
      </c>
      <c r="AH40" t="str">
        <f>VLOOKUP($Z40,'oddspedia-matches'!$A:$AD,AH$2,0)</f>
        <v>Green</v>
      </c>
      <c r="AI40" t="str">
        <f>VLOOKUP($Z40,'oddspedia-matches'!$A:$AD,AI$2,0)</f>
        <v>Red</v>
      </c>
      <c r="AJ40" t="str">
        <f>VLOOKUP($Z40,'oddspedia-matches'!$A:$AD,AJ$2,0)</f>
        <v>Red</v>
      </c>
      <c r="AK40" t="str">
        <f>VLOOKUP($Z40,'oddspedia-matches'!$A:$AD,AK$2,0)</f>
        <v>Green</v>
      </c>
      <c r="AL40" t="str">
        <f>VLOOKUP($Z40,'oddspedia-matches'!$A:$AD,AL$2,0)</f>
        <v>Green</v>
      </c>
      <c r="AM40" t="str">
        <f>VLOOKUP($Z40,'oddspedia-matches'!$A:$AD,AM$2,0)</f>
        <v>Green</v>
      </c>
      <c r="AN40" t="str">
        <f>VLOOKUP($Z40,'oddspedia-matches'!$A:$AD,AN$2,0)</f>
        <v>Red</v>
      </c>
      <c r="AO40" t="str">
        <f>VLOOKUP($Z40,'oddspedia-matches'!$A:$AD,AO$2,0)</f>
        <v>Green</v>
      </c>
      <c r="AP40" t="str">
        <f>VLOOKUP($Z40,'oddspedia-matches'!$A:$AD,AP$2,0)</f>
        <v>Red</v>
      </c>
      <c r="AQ40" t="str">
        <f>VLOOKUP($Z40,'oddspedia-matches'!$A:$AD,AQ$2,0)</f>
        <v>Green</v>
      </c>
    </row>
    <row r="41" spans="2:43" x14ac:dyDescent="0.2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tr">
        <f>VLOOKUP(E41,'Transform table'!A:B,2,0)</f>
        <v>Lillestrom</v>
      </c>
      <c r="Y41" t="str">
        <f>VLOOKUP(F41,'Transform table'!A:B,2,0)</f>
        <v>Viking</v>
      </c>
      <c r="Z41" t="str">
        <f t="shared" si="0"/>
        <v>22/07/2026LillestromViking</v>
      </c>
      <c r="AA41" t="str">
        <f>VLOOKUP($Z41,'oddspedia-matches'!$A:$AD,AA$2,0)</f>
        <v>1 - 2</v>
      </c>
      <c r="AB41" t="str">
        <f>VLOOKUP($Z41,'oddspedia-matches'!$A:$AD,AB$2,0)</f>
        <v>Red</v>
      </c>
      <c r="AC41" t="str">
        <f>VLOOKUP($Z41,'oddspedia-matches'!$A:$AD,AC$2,0)</f>
        <v>Red</v>
      </c>
      <c r="AD41" t="str">
        <f>VLOOKUP($Z41,'oddspedia-matches'!$A:$AD,AD$2,0)</f>
        <v>Green</v>
      </c>
      <c r="AE41" t="str">
        <f>VLOOKUP($Z41,'oddspedia-matches'!$A:$AD,AE$2,0)</f>
        <v>Red</v>
      </c>
      <c r="AF41" t="str">
        <f>VLOOKUP($Z41,'oddspedia-matches'!$A:$AD,AF$2,0)</f>
        <v>Green</v>
      </c>
      <c r="AG41" t="str">
        <f>VLOOKUP($Z41,'oddspedia-matches'!$A:$AD,AG$2,0)</f>
        <v>Green</v>
      </c>
      <c r="AH41" t="str">
        <f>VLOOKUP($Z41,'oddspedia-matches'!$A:$AD,AH$2,0)</f>
        <v>Red</v>
      </c>
      <c r="AI41" t="str">
        <f>VLOOKUP($Z41,'oddspedia-matches'!$A:$AD,AI$2,0)</f>
        <v>Red</v>
      </c>
      <c r="AJ41" t="str">
        <f>VLOOKUP($Z41,'oddspedia-matches'!$A:$AD,AJ$2,0)</f>
        <v>Green</v>
      </c>
      <c r="AK41" t="str">
        <f>VLOOKUP($Z41,'oddspedia-matches'!$A:$AD,AK$2,0)</f>
        <v>Green</v>
      </c>
      <c r="AL41" t="str">
        <f>VLOOKUP($Z41,'oddspedia-matches'!$A:$AD,AL$2,0)</f>
        <v>Green</v>
      </c>
      <c r="AM41" t="str">
        <f>VLOOKUP($Z41,'oddspedia-matches'!$A:$AD,AM$2,0)</f>
        <v>Green</v>
      </c>
      <c r="AN41" t="str">
        <f>VLOOKUP($Z41,'oddspedia-matches'!$A:$AD,AN$2,0)</f>
        <v>Red</v>
      </c>
      <c r="AO41" t="str">
        <f>VLOOKUP($Z41,'oddspedia-matches'!$A:$AD,AO$2,0)</f>
        <v>Green</v>
      </c>
      <c r="AP41" t="str">
        <f>VLOOKUP($Z41,'oddspedia-matches'!$A:$AD,AP$2,0)</f>
        <v>Green</v>
      </c>
      <c r="AQ41" t="str">
        <f>VLOOKUP($Z41,'oddspedia-matches'!$A:$AD,AQ$2,0)</f>
        <v>Red</v>
      </c>
    </row>
    <row r="42" spans="2:43" x14ac:dyDescent="0.2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tr">
        <f>VLOOKUP(E42,'Transform table'!A:B,2,0)</f>
        <v>CSD Macara</v>
      </c>
      <c r="Y42" t="str">
        <f>VLOOKUP(F42,'Transform table'!A:B,2,0)</f>
        <v>Deportivo Cuenca</v>
      </c>
      <c r="Z42" t="str">
        <f t="shared" si="0"/>
        <v>22/07/2026CSD MacaraDeportivo Cuenca</v>
      </c>
      <c r="AA42" t="str">
        <f>VLOOKUP($Z42,'oddspedia-matches'!$A:$AD,AA$2,0)</f>
        <v>3 - 0</v>
      </c>
      <c r="AB42" t="str">
        <f>VLOOKUP($Z42,'oddspedia-matches'!$A:$AD,AB$2,0)</f>
        <v>Green</v>
      </c>
      <c r="AC42" t="str">
        <f>VLOOKUP($Z42,'oddspedia-matches'!$A:$AD,AC$2,0)</f>
        <v>Red</v>
      </c>
      <c r="AD42" t="str">
        <f>VLOOKUP($Z42,'oddspedia-matches'!$A:$AD,AD$2,0)</f>
        <v>Red</v>
      </c>
      <c r="AE42" t="str">
        <f>VLOOKUP($Z42,'oddspedia-matches'!$A:$AD,AE$2,0)</f>
        <v>Green</v>
      </c>
      <c r="AF42" t="str">
        <f>VLOOKUP($Z42,'oddspedia-matches'!$A:$AD,AF$2,0)</f>
        <v>Red</v>
      </c>
      <c r="AG42" t="str">
        <f>VLOOKUP($Z42,'oddspedia-matches'!$A:$AD,AG$2,0)</f>
        <v>Green</v>
      </c>
      <c r="AH42" t="str">
        <f>VLOOKUP($Z42,'oddspedia-matches'!$A:$AD,AH$2,0)</f>
        <v>Green</v>
      </c>
      <c r="AI42" t="str">
        <f>VLOOKUP($Z42,'oddspedia-matches'!$A:$AD,AI$2,0)</f>
        <v>Red</v>
      </c>
      <c r="AJ42" t="str">
        <f>VLOOKUP($Z42,'oddspedia-matches'!$A:$AD,AJ$2,0)</f>
        <v>Red</v>
      </c>
      <c r="AK42" t="str">
        <f>VLOOKUP($Z42,'oddspedia-matches'!$A:$AD,AK$2,0)</f>
        <v>Green</v>
      </c>
      <c r="AL42" t="str">
        <f>VLOOKUP($Z42,'oddspedia-matches'!$A:$AD,AL$2,0)</f>
        <v>Green</v>
      </c>
      <c r="AM42" t="str">
        <f>VLOOKUP($Z42,'oddspedia-matches'!$A:$AD,AM$2,0)</f>
        <v>Green</v>
      </c>
      <c r="AN42" t="str">
        <f>VLOOKUP($Z42,'oddspedia-matches'!$A:$AD,AN$2,0)</f>
        <v>Red</v>
      </c>
      <c r="AO42" t="str">
        <f>VLOOKUP($Z42,'oddspedia-matches'!$A:$AD,AO$2,0)</f>
        <v>Green</v>
      </c>
      <c r="AP42" t="str">
        <f>VLOOKUP($Z42,'oddspedia-matches'!$A:$AD,AP$2,0)</f>
        <v>Red</v>
      </c>
      <c r="AQ42" t="str">
        <f>VLOOKUP($Z42,'oddspedia-matches'!$A:$AD,AQ$2,0)</f>
        <v>Green</v>
      </c>
    </row>
    <row r="43" spans="2:43" x14ac:dyDescent="0.2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tr">
        <f>VLOOKUP(E43,'Transform table'!A:B,2,0)</f>
        <v>Independiente del Valle</v>
      </c>
      <c r="Y43" t="str">
        <f>VLOOKUP(F43,'Transform table'!A:B,2,0)</f>
        <v>Tecnico Universitario</v>
      </c>
      <c r="Z43" t="str">
        <f t="shared" si="0"/>
        <v>22/07/2026Independiente del ValleTecnico Universitario</v>
      </c>
      <c r="AA43" t="str">
        <f>VLOOKUP($Z43,'oddspedia-matches'!$A:$AD,AA$2,0)</f>
        <v>3 - 0</v>
      </c>
      <c r="AB43" t="str">
        <f>VLOOKUP($Z43,'oddspedia-matches'!$A:$AD,AB$2,0)</f>
        <v>Green</v>
      </c>
      <c r="AC43" t="str">
        <f>VLOOKUP($Z43,'oddspedia-matches'!$A:$AD,AC$2,0)</f>
        <v>Red</v>
      </c>
      <c r="AD43" t="str">
        <f>VLOOKUP($Z43,'oddspedia-matches'!$A:$AD,AD$2,0)</f>
        <v>Red</v>
      </c>
      <c r="AE43" t="str">
        <f>VLOOKUP($Z43,'oddspedia-matches'!$A:$AD,AE$2,0)</f>
        <v>Green</v>
      </c>
      <c r="AF43" t="str">
        <f>VLOOKUP($Z43,'oddspedia-matches'!$A:$AD,AF$2,0)</f>
        <v>Red</v>
      </c>
      <c r="AG43" t="str">
        <f>VLOOKUP($Z43,'oddspedia-matches'!$A:$AD,AG$2,0)</f>
        <v>Green</v>
      </c>
      <c r="AH43" t="str">
        <f>VLOOKUP($Z43,'oddspedia-matches'!$A:$AD,AH$2,0)</f>
        <v>Green</v>
      </c>
      <c r="AI43" t="str">
        <f>VLOOKUP($Z43,'oddspedia-matches'!$A:$AD,AI$2,0)</f>
        <v>Red</v>
      </c>
      <c r="AJ43" t="str">
        <f>VLOOKUP($Z43,'oddspedia-matches'!$A:$AD,AJ$2,0)</f>
        <v>Red</v>
      </c>
      <c r="AK43" t="str">
        <f>VLOOKUP($Z43,'oddspedia-matches'!$A:$AD,AK$2,0)</f>
        <v>Green</v>
      </c>
      <c r="AL43" t="str">
        <f>VLOOKUP($Z43,'oddspedia-matches'!$A:$AD,AL$2,0)</f>
        <v>Green</v>
      </c>
      <c r="AM43" t="str">
        <f>VLOOKUP($Z43,'oddspedia-matches'!$A:$AD,AM$2,0)</f>
        <v>Green</v>
      </c>
      <c r="AN43" t="str">
        <f>VLOOKUP($Z43,'oddspedia-matches'!$A:$AD,AN$2,0)</f>
        <v>Red</v>
      </c>
      <c r="AO43" t="str">
        <f>VLOOKUP($Z43,'oddspedia-matches'!$A:$AD,AO$2,0)</f>
        <v>Green</v>
      </c>
      <c r="AP43" t="str">
        <f>VLOOKUP($Z43,'oddspedia-matches'!$A:$AD,AP$2,0)</f>
        <v>Red</v>
      </c>
      <c r="AQ43" t="str">
        <f>VLOOKUP($Z43,'oddspedia-matches'!$A:$AD,AQ$2,0)</f>
        <v>Green</v>
      </c>
    </row>
    <row r="44" spans="2:43" x14ac:dyDescent="0.2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tr">
        <f>VLOOKUP(E44,'Transform table'!A:B,2,0)</f>
        <v>Coritiba PR</v>
      </c>
      <c r="Y44" t="str">
        <f>VLOOKUP(F44,'Transform table'!A:B,2,0)</f>
        <v>Palmeiras</v>
      </c>
      <c r="Z44" t="str">
        <f t="shared" si="0"/>
        <v>22/07/2026Coritiba PRPalmeiras</v>
      </c>
      <c r="AA44" t="str">
        <f>VLOOKUP($Z44,'oddspedia-matches'!$A:$AD,AA$2,0)</f>
        <v>1 - 3</v>
      </c>
      <c r="AB44" t="str">
        <f>VLOOKUP($Z44,'oddspedia-matches'!$A:$AD,AB$2,0)</f>
        <v>Red</v>
      </c>
      <c r="AC44" t="str">
        <f>VLOOKUP($Z44,'oddspedia-matches'!$A:$AD,AC$2,0)</f>
        <v>Red</v>
      </c>
      <c r="AD44" t="str">
        <f>VLOOKUP($Z44,'oddspedia-matches'!$A:$AD,AD$2,0)</f>
        <v>Green</v>
      </c>
      <c r="AE44" t="str">
        <f>VLOOKUP($Z44,'oddspedia-matches'!$A:$AD,AE$2,0)</f>
        <v>Red</v>
      </c>
      <c r="AF44" t="str">
        <f>VLOOKUP($Z44,'oddspedia-matches'!$A:$AD,AF$2,0)</f>
        <v>Green</v>
      </c>
      <c r="AG44" t="str">
        <f>VLOOKUP($Z44,'oddspedia-matches'!$A:$AD,AG$2,0)</f>
        <v>Green</v>
      </c>
      <c r="AH44" t="str">
        <f>VLOOKUP($Z44,'oddspedia-matches'!$A:$AD,AH$2,0)</f>
        <v>Red</v>
      </c>
      <c r="AI44" t="str">
        <f>VLOOKUP($Z44,'oddspedia-matches'!$A:$AD,AI$2,0)</f>
        <v>Red</v>
      </c>
      <c r="AJ44" t="str">
        <f>VLOOKUP($Z44,'oddspedia-matches'!$A:$AD,AJ$2,0)</f>
        <v>Green</v>
      </c>
      <c r="AK44" t="str">
        <f>VLOOKUP($Z44,'oddspedia-matches'!$A:$AD,AK$2,0)</f>
        <v>Green</v>
      </c>
      <c r="AL44" t="str">
        <f>VLOOKUP($Z44,'oddspedia-matches'!$A:$AD,AL$2,0)</f>
        <v>Green</v>
      </c>
      <c r="AM44" t="str">
        <f>VLOOKUP($Z44,'oddspedia-matches'!$A:$AD,AM$2,0)</f>
        <v>Green</v>
      </c>
      <c r="AN44" t="str">
        <f>VLOOKUP($Z44,'oddspedia-matches'!$A:$AD,AN$2,0)</f>
        <v>Red</v>
      </c>
      <c r="AO44" t="str">
        <f>VLOOKUP($Z44,'oddspedia-matches'!$A:$AD,AO$2,0)</f>
        <v>Red</v>
      </c>
      <c r="AP44" t="str">
        <f>VLOOKUP($Z44,'oddspedia-matches'!$A:$AD,AP$2,0)</f>
        <v>Green</v>
      </c>
      <c r="AQ44" t="str">
        <f>VLOOKUP($Z44,'oddspedia-matches'!$A:$AD,AQ$2,0)</f>
        <v>Red</v>
      </c>
    </row>
    <row r="45" spans="2:43" x14ac:dyDescent="0.2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tr">
        <f>VLOOKUP(E45,'Transform table'!A:B,2,0)</f>
        <v>Ceara</v>
      </c>
      <c r="Y45" t="str">
        <f>VLOOKUP(F45,'Transform table'!A:B,2,0)</f>
        <v>Clube de Regatas Brasil</v>
      </c>
      <c r="Z45" t="str">
        <f t="shared" si="0"/>
        <v>22/07/2026CearaClube de Regatas Brasil</v>
      </c>
      <c r="AA45" t="str">
        <f>VLOOKUP($Z45,'oddspedia-matches'!$A:$AD,AA$2,0)</f>
        <v>0 - 1</v>
      </c>
      <c r="AB45" t="str">
        <f>VLOOKUP($Z45,'oddspedia-matches'!$A:$AD,AB$2,0)</f>
        <v>Red</v>
      </c>
      <c r="AC45" t="str">
        <f>VLOOKUP($Z45,'oddspedia-matches'!$A:$AD,AC$2,0)</f>
        <v>Red</v>
      </c>
      <c r="AD45" t="str">
        <f>VLOOKUP($Z45,'oddspedia-matches'!$A:$AD,AD$2,0)</f>
        <v>Green</v>
      </c>
      <c r="AE45" t="str">
        <f>VLOOKUP($Z45,'oddspedia-matches'!$A:$AD,AE$2,0)</f>
        <v>Red</v>
      </c>
      <c r="AF45" t="str">
        <f>VLOOKUP($Z45,'oddspedia-matches'!$A:$AD,AF$2,0)</f>
        <v>Green</v>
      </c>
      <c r="AG45" t="str">
        <f>VLOOKUP($Z45,'oddspedia-matches'!$A:$AD,AG$2,0)</f>
        <v>Green</v>
      </c>
      <c r="AH45" t="str">
        <f>VLOOKUP($Z45,'oddspedia-matches'!$A:$AD,AH$2,0)</f>
        <v>Red</v>
      </c>
      <c r="AI45" t="str">
        <f>VLOOKUP($Z45,'oddspedia-matches'!$A:$AD,AI$2,0)</f>
        <v>Red</v>
      </c>
      <c r="AJ45" t="str">
        <f>VLOOKUP($Z45,'oddspedia-matches'!$A:$AD,AJ$2,0)</f>
        <v>Green</v>
      </c>
      <c r="AK45" t="str">
        <f>VLOOKUP($Z45,'oddspedia-matches'!$A:$AD,AK$2,0)</f>
        <v>Green</v>
      </c>
      <c r="AL45" t="str">
        <f>VLOOKUP($Z45,'oddspedia-matches'!$A:$AD,AL$2,0)</f>
        <v>Red</v>
      </c>
      <c r="AM45" t="str">
        <f>VLOOKUP($Z45,'oddspedia-matches'!$A:$AD,AM$2,0)</f>
        <v>Red</v>
      </c>
      <c r="AN45" t="str">
        <f>VLOOKUP($Z45,'oddspedia-matches'!$A:$AD,AN$2,0)</f>
        <v>Green</v>
      </c>
      <c r="AO45" t="str">
        <f>VLOOKUP($Z45,'oddspedia-matches'!$A:$AD,AO$2,0)</f>
        <v>Green</v>
      </c>
      <c r="AP45" t="str">
        <f>VLOOKUP($Z45,'oddspedia-matches'!$A:$AD,AP$2,0)</f>
        <v>Red</v>
      </c>
      <c r="AQ45" t="str">
        <f>VLOOKUP($Z45,'oddspedia-matches'!$A:$AD,AQ$2,0)</f>
        <v>Green</v>
      </c>
    </row>
    <row r="46" spans="2:43" x14ac:dyDescent="0.2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tr">
        <f>VLOOKUP(E46,'Transform table'!A:B,2,0)</f>
        <v>Operario PR</v>
      </c>
      <c r="Y46" t="str">
        <f>VLOOKUP(F46,'Transform table'!A:B,2,0)</f>
        <v>Ponte Preta</v>
      </c>
      <c r="Z46" t="str">
        <f t="shared" si="0"/>
        <v>22/07/2026Operario PRPonte Preta</v>
      </c>
      <c r="AA46" t="str">
        <f>VLOOKUP($Z46,'oddspedia-matches'!$A:$AD,AA$2,0)</f>
        <v>3 - 2</v>
      </c>
      <c r="AB46" t="str">
        <f>VLOOKUP($Z46,'oddspedia-matches'!$A:$AD,AB$2,0)</f>
        <v>Green</v>
      </c>
      <c r="AC46" t="str">
        <f>VLOOKUP($Z46,'oddspedia-matches'!$A:$AD,AC$2,0)</f>
        <v>Red</v>
      </c>
      <c r="AD46" t="str">
        <f>VLOOKUP($Z46,'oddspedia-matches'!$A:$AD,AD$2,0)</f>
        <v>Red</v>
      </c>
      <c r="AE46" t="str">
        <f>VLOOKUP($Z46,'oddspedia-matches'!$A:$AD,AE$2,0)</f>
        <v>Green</v>
      </c>
      <c r="AF46" t="str">
        <f>VLOOKUP($Z46,'oddspedia-matches'!$A:$AD,AF$2,0)</f>
        <v>Red</v>
      </c>
      <c r="AG46" t="str">
        <f>VLOOKUP($Z46,'oddspedia-matches'!$A:$AD,AG$2,0)</f>
        <v>Green</v>
      </c>
      <c r="AH46" t="str">
        <f>VLOOKUP($Z46,'oddspedia-matches'!$A:$AD,AH$2,0)</f>
        <v>Red</v>
      </c>
      <c r="AI46" t="str">
        <f>VLOOKUP($Z46,'oddspedia-matches'!$A:$AD,AI$2,0)</f>
        <v>Green</v>
      </c>
      <c r="AJ46" t="str">
        <f>VLOOKUP($Z46,'oddspedia-matches'!$A:$AD,AJ$2,0)</f>
        <v>Red</v>
      </c>
      <c r="AK46" t="str">
        <f>VLOOKUP($Z46,'oddspedia-matches'!$A:$AD,AK$2,0)</f>
        <v>Green</v>
      </c>
      <c r="AL46" t="str">
        <f>VLOOKUP($Z46,'oddspedia-matches'!$A:$AD,AL$2,0)</f>
        <v>Green</v>
      </c>
      <c r="AM46" t="str">
        <f>VLOOKUP($Z46,'oddspedia-matches'!$A:$AD,AM$2,0)</f>
        <v>Green</v>
      </c>
      <c r="AN46" t="str">
        <f>VLOOKUP($Z46,'oddspedia-matches'!$A:$AD,AN$2,0)</f>
        <v>Red</v>
      </c>
      <c r="AO46" t="str">
        <f>VLOOKUP($Z46,'oddspedia-matches'!$A:$AD,AO$2,0)</f>
        <v>Red</v>
      </c>
      <c r="AP46" t="str">
        <f>VLOOKUP($Z46,'oddspedia-matches'!$A:$AD,AP$2,0)</f>
        <v>Green</v>
      </c>
      <c r="AQ46" t="str">
        <f>VLOOKUP($Z46,'oddspedia-matches'!$A:$AD,AQ$2,0)</f>
        <v>Red</v>
      </c>
    </row>
    <row r="47" spans="2:43" x14ac:dyDescent="0.2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tr">
        <f>VLOOKUP(E47,'Transform table'!A:B,2,0)</f>
        <v>Carolina Core</v>
      </c>
      <c r="Y47" t="str">
        <f>VLOOKUP(F47,'Transform table'!A:B,2,0)</f>
        <v>Inter Miami II</v>
      </c>
      <c r="Z47" t="str">
        <f t="shared" si="0"/>
        <v>22/07/2026Carolina CoreInter Miami II</v>
      </c>
      <c r="AA47" t="str">
        <f>VLOOKUP($Z47,'oddspedia-matches'!$A:$AD,AA$2,0)</f>
        <v>4 - 0</v>
      </c>
      <c r="AB47" t="str">
        <f>VLOOKUP($Z47,'oddspedia-matches'!$A:$AD,AB$2,0)</f>
        <v>Green</v>
      </c>
      <c r="AC47" t="str">
        <f>VLOOKUP($Z47,'oddspedia-matches'!$A:$AD,AC$2,0)</f>
        <v>Red</v>
      </c>
      <c r="AD47" t="str">
        <f>VLOOKUP($Z47,'oddspedia-matches'!$A:$AD,AD$2,0)</f>
        <v>Red</v>
      </c>
      <c r="AE47" t="str">
        <f>VLOOKUP($Z47,'oddspedia-matches'!$A:$AD,AE$2,0)</f>
        <v>Green</v>
      </c>
      <c r="AF47" t="str">
        <f>VLOOKUP($Z47,'oddspedia-matches'!$A:$AD,AF$2,0)</f>
        <v>Red</v>
      </c>
      <c r="AG47" t="str">
        <f>VLOOKUP($Z47,'oddspedia-matches'!$A:$AD,AG$2,0)</f>
        <v>Green</v>
      </c>
      <c r="AH47" t="str">
        <f>VLOOKUP($Z47,'oddspedia-matches'!$A:$AD,AH$2,0)</f>
        <v>Green</v>
      </c>
      <c r="AI47" t="str">
        <f>VLOOKUP($Z47,'oddspedia-matches'!$A:$AD,AI$2,0)</f>
        <v>Red</v>
      </c>
      <c r="AJ47" t="str">
        <f>VLOOKUP($Z47,'oddspedia-matches'!$A:$AD,AJ$2,0)</f>
        <v>Red</v>
      </c>
      <c r="AK47" t="str">
        <f>VLOOKUP($Z47,'oddspedia-matches'!$A:$AD,AK$2,0)</f>
        <v>Green</v>
      </c>
      <c r="AL47" t="str">
        <f>VLOOKUP($Z47,'oddspedia-matches'!$A:$AD,AL$2,0)</f>
        <v>Green</v>
      </c>
      <c r="AM47" t="str">
        <f>VLOOKUP($Z47,'oddspedia-matches'!$A:$AD,AM$2,0)</f>
        <v>Green</v>
      </c>
      <c r="AN47" t="str">
        <f>VLOOKUP($Z47,'oddspedia-matches'!$A:$AD,AN$2,0)</f>
        <v>Red</v>
      </c>
      <c r="AO47" t="str">
        <f>VLOOKUP($Z47,'oddspedia-matches'!$A:$AD,AO$2,0)</f>
        <v>Red</v>
      </c>
      <c r="AP47" t="str">
        <f>VLOOKUP($Z47,'oddspedia-matches'!$A:$AD,AP$2,0)</f>
        <v>Red</v>
      </c>
      <c r="AQ47" t="str">
        <f>VLOOKUP($Z47,'oddspedia-matches'!$A:$AD,AQ$2,0)</f>
        <v>Green</v>
      </c>
    </row>
    <row r="48" spans="2:43" x14ac:dyDescent="0.2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tr">
        <f>VLOOKUP(E48,'Transform table'!A:B,2,0)</f>
        <v>Lexington SC</v>
      </c>
      <c r="Y48" t="str">
        <f>VLOOKUP(F48,'Transform table'!A:B,2,0)</f>
        <v>Oakland Roots</v>
      </c>
      <c r="Z48" t="str">
        <f t="shared" si="0"/>
        <v>22/07/2026Lexington SCOakland Roots</v>
      </c>
      <c r="AA48" t="str">
        <f>VLOOKUP($Z48,'oddspedia-matches'!$A:$AD,AA$2,0)</f>
        <v>2 - 0</v>
      </c>
      <c r="AB48" t="str">
        <f>VLOOKUP($Z48,'oddspedia-matches'!$A:$AD,AB$2,0)</f>
        <v>Green</v>
      </c>
      <c r="AC48" t="str">
        <f>VLOOKUP($Z48,'oddspedia-matches'!$A:$AD,AC$2,0)</f>
        <v>Red</v>
      </c>
      <c r="AD48" t="str">
        <f>VLOOKUP($Z48,'oddspedia-matches'!$A:$AD,AD$2,0)</f>
        <v>Red</v>
      </c>
      <c r="AE48" t="str">
        <f>VLOOKUP($Z48,'oddspedia-matches'!$A:$AD,AE$2,0)</f>
        <v>Green</v>
      </c>
      <c r="AF48" t="str">
        <f>VLOOKUP($Z48,'oddspedia-matches'!$A:$AD,AF$2,0)</f>
        <v>Red</v>
      </c>
      <c r="AG48" t="str">
        <f>VLOOKUP($Z48,'oddspedia-matches'!$A:$AD,AG$2,0)</f>
        <v>Green</v>
      </c>
      <c r="AH48" t="str">
        <f>VLOOKUP($Z48,'oddspedia-matches'!$A:$AD,AH$2,0)</f>
        <v>Red</v>
      </c>
      <c r="AI48" t="str">
        <f>VLOOKUP($Z48,'oddspedia-matches'!$A:$AD,AI$2,0)</f>
        <v>Green</v>
      </c>
      <c r="AJ48" t="str">
        <f>VLOOKUP($Z48,'oddspedia-matches'!$A:$AD,AJ$2,0)</f>
        <v>Red</v>
      </c>
      <c r="AK48" t="str">
        <f>VLOOKUP($Z48,'oddspedia-matches'!$A:$AD,AK$2,0)</f>
        <v>Red</v>
      </c>
      <c r="AL48" t="str">
        <f>VLOOKUP($Z48,'oddspedia-matches'!$A:$AD,AL$2,0)</f>
        <v>Green</v>
      </c>
      <c r="AM48" t="str">
        <f>VLOOKUP($Z48,'oddspedia-matches'!$A:$AD,AM$2,0)</f>
        <v>Red</v>
      </c>
      <c r="AN48" t="str">
        <f>VLOOKUP($Z48,'oddspedia-matches'!$A:$AD,AN$2,0)</f>
        <v>Green</v>
      </c>
      <c r="AO48" t="str">
        <f>VLOOKUP($Z48,'oddspedia-matches'!$A:$AD,AO$2,0)</f>
        <v>Green</v>
      </c>
      <c r="AP48" t="str">
        <f>VLOOKUP($Z48,'oddspedia-matches'!$A:$AD,AP$2,0)</f>
        <v>Red</v>
      </c>
      <c r="AQ48" t="str">
        <f>VLOOKUP($Z48,'oddspedia-matches'!$A:$AD,AQ$2,0)</f>
        <v>Green</v>
      </c>
    </row>
    <row r="49" spans="2:43" x14ac:dyDescent="0.2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tr">
        <f>VLOOKUP(E49,'Transform table'!A:B,2,0)</f>
        <v>Goias</v>
      </c>
      <c r="Y49" t="str">
        <f>VLOOKUP(F49,'Transform table'!A:B,2,0)</f>
        <v>Sport Recife</v>
      </c>
      <c r="Z49" t="str">
        <f t="shared" si="0"/>
        <v>22/07/2026GoiasSport Recife</v>
      </c>
      <c r="AA49" t="str">
        <f>VLOOKUP($Z49,'oddspedia-matches'!$A:$AD,AA$2,0)</f>
        <v>1 - 1</v>
      </c>
      <c r="AB49" t="str">
        <f>VLOOKUP($Z49,'oddspedia-matches'!$A:$AD,AB$2,0)</f>
        <v>Red</v>
      </c>
      <c r="AC49" t="str">
        <f>VLOOKUP($Z49,'oddspedia-matches'!$A:$AD,AC$2,0)</f>
        <v>Green</v>
      </c>
      <c r="AD49" t="str">
        <f>VLOOKUP($Z49,'oddspedia-matches'!$A:$AD,AD$2,0)</f>
        <v>Red</v>
      </c>
      <c r="AE49" t="str">
        <f>VLOOKUP($Z49,'oddspedia-matches'!$A:$AD,AE$2,0)</f>
        <v>Green</v>
      </c>
      <c r="AF49" t="str">
        <f>VLOOKUP($Z49,'oddspedia-matches'!$A:$AD,AF$2,0)</f>
        <v>Green</v>
      </c>
      <c r="AG49" t="str">
        <f>VLOOKUP($Z49,'oddspedia-matches'!$A:$AD,AG$2,0)</f>
        <v>Red</v>
      </c>
      <c r="AH49" t="str">
        <f>VLOOKUP($Z49,'oddspedia-matches'!$A:$AD,AH$2,0)</f>
        <v>Red</v>
      </c>
      <c r="AI49" t="str">
        <f>VLOOKUP($Z49,'oddspedia-matches'!$A:$AD,AI$2,0)</f>
        <v>Red</v>
      </c>
      <c r="AJ49" t="str">
        <f>VLOOKUP($Z49,'oddspedia-matches'!$A:$AD,AJ$2,0)</f>
        <v>Green</v>
      </c>
      <c r="AK49" t="str">
        <f>VLOOKUP($Z49,'oddspedia-matches'!$A:$AD,AK$2,0)</f>
        <v>Green</v>
      </c>
      <c r="AL49" t="str">
        <f>VLOOKUP($Z49,'oddspedia-matches'!$A:$AD,AL$2,0)</f>
        <v>Green</v>
      </c>
      <c r="AM49" t="str">
        <f>VLOOKUP($Z49,'oddspedia-matches'!$A:$AD,AM$2,0)</f>
        <v>Red</v>
      </c>
      <c r="AN49" t="str">
        <f>VLOOKUP($Z49,'oddspedia-matches'!$A:$AD,AN$2,0)</f>
        <v>Green</v>
      </c>
      <c r="AO49" t="str">
        <f>VLOOKUP($Z49,'oddspedia-matches'!$A:$AD,AO$2,0)</f>
        <v>Green</v>
      </c>
      <c r="AP49" t="str">
        <f>VLOOKUP($Z49,'oddspedia-matches'!$A:$AD,AP$2,0)</f>
        <v>Green</v>
      </c>
      <c r="AQ49" t="str">
        <f>VLOOKUP($Z49,'oddspedia-matches'!$A:$AD,AQ$2,0)</f>
        <v>Red</v>
      </c>
    </row>
    <row r="50" spans="2:43" x14ac:dyDescent="0.2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tr">
        <f>VLOOKUP(E50,'Transform table'!A:B,2,0)</f>
        <v>Columbus Crew</v>
      </c>
      <c r="Y50" t="str">
        <f>VLOOKUP(F50,'Transform table'!A:B,2,0)</f>
        <v>New York City</v>
      </c>
      <c r="Z50" t="str">
        <f t="shared" si="0"/>
        <v>22/07/2026Columbus CrewNew York City</v>
      </c>
      <c r="AA50" t="str">
        <f>VLOOKUP($Z50,'oddspedia-matches'!$A:$AD,AA$2,0)</f>
        <v>1 - 2</v>
      </c>
      <c r="AB50" t="str">
        <f>VLOOKUP($Z50,'oddspedia-matches'!$A:$AD,AB$2,0)</f>
        <v>Red</v>
      </c>
      <c r="AC50" t="str">
        <f>VLOOKUP($Z50,'oddspedia-matches'!$A:$AD,AC$2,0)</f>
        <v>Red</v>
      </c>
      <c r="AD50" t="str">
        <f>VLOOKUP($Z50,'oddspedia-matches'!$A:$AD,AD$2,0)</f>
        <v>Green</v>
      </c>
      <c r="AE50" t="str">
        <f>VLOOKUP($Z50,'oddspedia-matches'!$A:$AD,AE$2,0)</f>
        <v>Red</v>
      </c>
      <c r="AF50" t="str">
        <f>VLOOKUP($Z50,'oddspedia-matches'!$A:$AD,AF$2,0)</f>
        <v>Green</v>
      </c>
      <c r="AG50" t="str">
        <f>VLOOKUP($Z50,'oddspedia-matches'!$A:$AD,AG$2,0)</f>
        <v>Green</v>
      </c>
      <c r="AH50" t="str">
        <f>VLOOKUP($Z50,'oddspedia-matches'!$A:$AD,AH$2,0)</f>
        <v>Red</v>
      </c>
      <c r="AI50" t="str">
        <f>VLOOKUP($Z50,'oddspedia-matches'!$A:$AD,AI$2,0)</f>
        <v>Red</v>
      </c>
      <c r="AJ50" t="str">
        <f>VLOOKUP($Z50,'oddspedia-matches'!$A:$AD,AJ$2,0)</f>
        <v>Green</v>
      </c>
      <c r="AK50" t="str">
        <f>VLOOKUP($Z50,'oddspedia-matches'!$A:$AD,AK$2,0)</f>
        <v>Green</v>
      </c>
      <c r="AL50" t="str">
        <f>VLOOKUP($Z50,'oddspedia-matches'!$A:$AD,AL$2,0)</f>
        <v>Green</v>
      </c>
      <c r="AM50" t="str">
        <f>VLOOKUP($Z50,'oddspedia-matches'!$A:$AD,AM$2,0)</f>
        <v>Green</v>
      </c>
      <c r="AN50" t="str">
        <f>VLOOKUP($Z50,'oddspedia-matches'!$A:$AD,AN$2,0)</f>
        <v>Red</v>
      </c>
      <c r="AO50" t="str">
        <f>VLOOKUP($Z50,'oddspedia-matches'!$A:$AD,AO$2,0)</f>
        <v>Green</v>
      </c>
      <c r="AP50" t="str">
        <f>VLOOKUP($Z50,'oddspedia-matches'!$A:$AD,AP$2,0)</f>
        <v>Green</v>
      </c>
      <c r="AQ50" t="str">
        <f>VLOOKUP($Z50,'oddspedia-matches'!$A:$AD,AQ$2,0)</f>
        <v>Red</v>
      </c>
    </row>
    <row r="51" spans="2:43" x14ac:dyDescent="0.2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tr">
        <f>VLOOKUP(E51,'Transform table'!A:B,2,0)</f>
        <v>FC Cincinnati</v>
      </c>
      <c r="Y51" t="str">
        <f>VLOOKUP(F51,'Transform table'!A:B,2,0)</f>
        <v>Vancouver Whitecaps</v>
      </c>
      <c r="Z51" t="str">
        <f t="shared" si="0"/>
        <v>22/07/2026FC CincinnatiVancouver Whitecaps</v>
      </c>
      <c r="AA51" t="str">
        <f>VLOOKUP($Z51,'oddspedia-matches'!$A:$AD,AA$2,0)</f>
        <v>4 - 3</v>
      </c>
      <c r="AB51" t="str">
        <f>VLOOKUP($Z51,'oddspedia-matches'!$A:$AD,AB$2,0)</f>
        <v>Green</v>
      </c>
      <c r="AC51" t="str">
        <f>VLOOKUP($Z51,'oddspedia-matches'!$A:$AD,AC$2,0)</f>
        <v>Red</v>
      </c>
      <c r="AD51" t="str">
        <f>VLOOKUP($Z51,'oddspedia-matches'!$A:$AD,AD$2,0)</f>
        <v>Red</v>
      </c>
      <c r="AE51" t="str">
        <f>VLOOKUP($Z51,'oddspedia-matches'!$A:$AD,AE$2,0)</f>
        <v>Green</v>
      </c>
      <c r="AF51" t="str">
        <f>VLOOKUP($Z51,'oddspedia-matches'!$A:$AD,AF$2,0)</f>
        <v>Red</v>
      </c>
      <c r="AG51" t="str">
        <f>VLOOKUP($Z51,'oddspedia-matches'!$A:$AD,AG$2,0)</f>
        <v>Green</v>
      </c>
      <c r="AH51" t="str">
        <f>VLOOKUP($Z51,'oddspedia-matches'!$A:$AD,AH$2,0)</f>
        <v>Green</v>
      </c>
      <c r="AI51" t="str">
        <f>VLOOKUP($Z51,'oddspedia-matches'!$A:$AD,AI$2,0)</f>
        <v>Red</v>
      </c>
      <c r="AJ51" t="str">
        <f>VLOOKUP($Z51,'oddspedia-matches'!$A:$AD,AJ$2,0)</f>
        <v>Red</v>
      </c>
      <c r="AK51" t="str">
        <f>VLOOKUP($Z51,'oddspedia-matches'!$A:$AD,AK$2,0)</f>
        <v>Green</v>
      </c>
      <c r="AL51" t="str">
        <f>VLOOKUP($Z51,'oddspedia-matches'!$A:$AD,AL$2,0)</f>
        <v>Green</v>
      </c>
      <c r="AM51" t="str">
        <f>VLOOKUP($Z51,'oddspedia-matches'!$A:$AD,AM$2,0)</f>
        <v>Green</v>
      </c>
      <c r="AN51" t="str">
        <f>VLOOKUP($Z51,'oddspedia-matches'!$A:$AD,AN$2,0)</f>
        <v>Red</v>
      </c>
      <c r="AO51" t="str">
        <f>VLOOKUP($Z51,'oddspedia-matches'!$A:$AD,AO$2,0)</f>
        <v>Red</v>
      </c>
      <c r="AP51" t="str">
        <f>VLOOKUP($Z51,'oddspedia-matches'!$A:$AD,AP$2,0)</f>
        <v>Green</v>
      </c>
      <c r="AQ51" t="str">
        <f>VLOOKUP($Z51,'oddspedia-matches'!$A:$AD,AQ$2,0)</f>
        <v>Red</v>
      </c>
    </row>
    <row r="52" spans="2:43" x14ac:dyDescent="0.2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tr">
        <f>VLOOKUP(E52,'Transform table'!A:B,2,0)</f>
        <v>Inter Miami CF</v>
      </c>
      <c r="Y52" t="str">
        <f>VLOOKUP(F52,'Transform table'!A:B,2,0)</f>
        <v>Chicago Fire</v>
      </c>
      <c r="Z52" t="str">
        <f t="shared" si="0"/>
        <v>22/07/2026Inter Miami CFChicago Fire</v>
      </c>
      <c r="AA52" t="str">
        <f>VLOOKUP($Z52,'oddspedia-matches'!$A:$AD,AA$2,0)</f>
        <v>3 - 2</v>
      </c>
      <c r="AB52" t="str">
        <f>VLOOKUP($Z52,'oddspedia-matches'!$A:$AD,AB$2,0)</f>
        <v>Green</v>
      </c>
      <c r="AC52" t="str">
        <f>VLOOKUP($Z52,'oddspedia-matches'!$A:$AD,AC$2,0)</f>
        <v>Red</v>
      </c>
      <c r="AD52" t="str">
        <f>VLOOKUP($Z52,'oddspedia-matches'!$A:$AD,AD$2,0)</f>
        <v>Red</v>
      </c>
      <c r="AE52" t="str">
        <f>VLOOKUP($Z52,'oddspedia-matches'!$A:$AD,AE$2,0)</f>
        <v>Green</v>
      </c>
      <c r="AF52" t="str">
        <f>VLOOKUP($Z52,'oddspedia-matches'!$A:$AD,AF$2,0)</f>
        <v>Red</v>
      </c>
      <c r="AG52" t="str">
        <f>VLOOKUP($Z52,'oddspedia-matches'!$A:$AD,AG$2,0)</f>
        <v>Green</v>
      </c>
      <c r="AH52" t="str">
        <f>VLOOKUP($Z52,'oddspedia-matches'!$A:$AD,AH$2,0)</f>
        <v>Red</v>
      </c>
      <c r="AI52" t="str">
        <f>VLOOKUP($Z52,'oddspedia-matches'!$A:$AD,AI$2,0)</f>
        <v>Green</v>
      </c>
      <c r="AJ52" t="str">
        <f>VLOOKUP($Z52,'oddspedia-matches'!$A:$AD,AJ$2,0)</f>
        <v>Red</v>
      </c>
      <c r="AK52" t="str">
        <f>VLOOKUP($Z52,'oddspedia-matches'!$A:$AD,AK$2,0)</f>
        <v>Green</v>
      </c>
      <c r="AL52" t="str">
        <f>VLOOKUP($Z52,'oddspedia-matches'!$A:$AD,AL$2,0)</f>
        <v>Green</v>
      </c>
      <c r="AM52" t="str">
        <f>VLOOKUP($Z52,'oddspedia-matches'!$A:$AD,AM$2,0)</f>
        <v>Green</v>
      </c>
      <c r="AN52" t="str">
        <f>VLOOKUP($Z52,'oddspedia-matches'!$A:$AD,AN$2,0)</f>
        <v>Red</v>
      </c>
      <c r="AO52" t="str">
        <f>VLOOKUP($Z52,'oddspedia-matches'!$A:$AD,AO$2,0)</f>
        <v>Red</v>
      </c>
      <c r="AP52" t="str">
        <f>VLOOKUP($Z52,'oddspedia-matches'!$A:$AD,AP$2,0)</f>
        <v>Green</v>
      </c>
      <c r="AQ52" t="str">
        <f>VLOOKUP($Z52,'oddspedia-matches'!$A:$AD,AQ$2,0)</f>
        <v>Red</v>
      </c>
    </row>
    <row r="53" spans="2:43" x14ac:dyDescent="0.2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tr">
        <f>VLOOKUP(E53,'Transform table'!A:B,2,0)</f>
        <v>New England Revolution</v>
      </c>
      <c r="Y53" t="str">
        <f>VLOOKUP(F53,'Transform table'!A:B,2,0)</f>
        <v>Toronto FC</v>
      </c>
      <c r="Z53" t="str">
        <f t="shared" si="0"/>
        <v>22/07/2026New England RevolutionToronto FC</v>
      </c>
      <c r="AA53" t="str">
        <f>VLOOKUP($Z53,'oddspedia-matches'!$A:$AD,AA$2,0)</f>
        <v>0 - 0</v>
      </c>
      <c r="AB53" t="str">
        <f>VLOOKUP($Z53,'oddspedia-matches'!$A:$AD,AB$2,0)</f>
        <v>Red</v>
      </c>
      <c r="AC53" t="str">
        <f>VLOOKUP($Z53,'oddspedia-matches'!$A:$AD,AC$2,0)</f>
        <v>Green</v>
      </c>
      <c r="AD53" t="str">
        <f>VLOOKUP($Z53,'oddspedia-matches'!$A:$AD,AD$2,0)</f>
        <v>Red</v>
      </c>
      <c r="AE53" t="str">
        <f>VLOOKUP($Z53,'oddspedia-matches'!$A:$AD,AE$2,0)</f>
        <v>Green</v>
      </c>
      <c r="AF53" t="str">
        <f>VLOOKUP($Z53,'oddspedia-matches'!$A:$AD,AF$2,0)</f>
        <v>Green</v>
      </c>
      <c r="AG53" t="str">
        <f>VLOOKUP($Z53,'oddspedia-matches'!$A:$AD,AG$2,0)</f>
        <v>Red</v>
      </c>
      <c r="AH53" t="str">
        <f>VLOOKUP($Z53,'oddspedia-matches'!$A:$AD,AH$2,0)</f>
        <v>Red</v>
      </c>
      <c r="AI53" t="str">
        <f>VLOOKUP($Z53,'oddspedia-matches'!$A:$AD,AI$2,0)</f>
        <v>Green</v>
      </c>
      <c r="AJ53" t="str">
        <f>VLOOKUP($Z53,'oddspedia-matches'!$A:$AD,AJ$2,0)</f>
        <v>Red</v>
      </c>
      <c r="AK53" t="str">
        <f>VLOOKUP($Z53,'oddspedia-matches'!$A:$AD,AK$2,0)</f>
        <v>Red</v>
      </c>
      <c r="AL53" t="str">
        <f>VLOOKUP($Z53,'oddspedia-matches'!$A:$AD,AL$2,0)</f>
        <v>Red</v>
      </c>
      <c r="AM53" t="str">
        <f>VLOOKUP($Z53,'oddspedia-matches'!$A:$AD,AM$2,0)</f>
        <v>Red</v>
      </c>
      <c r="AN53" t="str">
        <f>VLOOKUP($Z53,'oddspedia-matches'!$A:$AD,AN$2,0)</f>
        <v>Green</v>
      </c>
      <c r="AO53" t="str">
        <f>VLOOKUP($Z53,'oddspedia-matches'!$A:$AD,AO$2,0)</f>
        <v>Green</v>
      </c>
      <c r="AP53" t="str">
        <f>VLOOKUP($Z53,'oddspedia-matches'!$A:$AD,AP$2,0)</f>
        <v>Red</v>
      </c>
      <c r="AQ53" t="str">
        <f>VLOOKUP($Z53,'oddspedia-matches'!$A:$AD,AQ$2,0)</f>
        <v>Green</v>
      </c>
    </row>
    <row r="54" spans="2:43" x14ac:dyDescent="0.2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tr">
        <f>VLOOKUP(E54,'Transform table'!A:B,2,0)</f>
        <v>Philadelphia Union</v>
      </c>
      <c r="Y54" t="str">
        <f>VLOOKUP(F54,'Transform table'!A:B,2,0)</f>
        <v>New York Red Bulls</v>
      </c>
      <c r="Z54" t="str">
        <f t="shared" si="0"/>
        <v>22/07/2026Philadelphia UnionNew York Red Bulls</v>
      </c>
      <c r="AA54" t="str">
        <f>VLOOKUP($Z54,'oddspedia-matches'!$A:$AD,AA$2,0)</f>
        <v>3 - 1</v>
      </c>
      <c r="AB54" t="str">
        <f>VLOOKUP($Z54,'oddspedia-matches'!$A:$AD,AB$2,0)</f>
        <v>Green</v>
      </c>
      <c r="AC54" t="str">
        <f>VLOOKUP($Z54,'oddspedia-matches'!$A:$AD,AC$2,0)</f>
        <v>Red</v>
      </c>
      <c r="AD54" t="str">
        <f>VLOOKUP($Z54,'oddspedia-matches'!$A:$AD,AD$2,0)</f>
        <v>Red</v>
      </c>
      <c r="AE54" t="str">
        <f>VLOOKUP($Z54,'oddspedia-matches'!$A:$AD,AE$2,0)</f>
        <v>Green</v>
      </c>
      <c r="AF54" t="str">
        <f>VLOOKUP($Z54,'oddspedia-matches'!$A:$AD,AF$2,0)</f>
        <v>Red</v>
      </c>
      <c r="AG54" t="str">
        <f>VLOOKUP($Z54,'oddspedia-matches'!$A:$AD,AG$2,0)</f>
        <v>Green</v>
      </c>
      <c r="AH54" t="str">
        <f>VLOOKUP($Z54,'oddspedia-matches'!$A:$AD,AH$2,0)</f>
        <v>Red</v>
      </c>
      <c r="AI54" t="str">
        <f>VLOOKUP($Z54,'oddspedia-matches'!$A:$AD,AI$2,0)</f>
        <v>Green</v>
      </c>
      <c r="AJ54" t="str">
        <f>VLOOKUP($Z54,'oddspedia-matches'!$A:$AD,AJ$2,0)</f>
        <v>Red</v>
      </c>
      <c r="AK54" t="str">
        <f>VLOOKUP($Z54,'oddspedia-matches'!$A:$AD,AK$2,0)</f>
        <v>Green</v>
      </c>
      <c r="AL54" t="str">
        <f>VLOOKUP($Z54,'oddspedia-matches'!$A:$AD,AL$2,0)</f>
        <v>Green</v>
      </c>
      <c r="AM54" t="str">
        <f>VLOOKUP($Z54,'oddspedia-matches'!$A:$AD,AM$2,0)</f>
        <v>Green</v>
      </c>
      <c r="AN54" t="str">
        <f>VLOOKUP($Z54,'oddspedia-matches'!$A:$AD,AN$2,0)</f>
        <v>Red</v>
      </c>
      <c r="AO54" t="str">
        <f>VLOOKUP($Z54,'oddspedia-matches'!$A:$AD,AO$2,0)</f>
        <v>Red</v>
      </c>
      <c r="AP54" t="str">
        <f>VLOOKUP($Z54,'oddspedia-matches'!$A:$AD,AP$2,0)</f>
        <v>Green</v>
      </c>
      <c r="AQ54" t="str">
        <f>VLOOKUP($Z54,'oddspedia-matches'!$A:$AD,AQ$2,0)</f>
        <v>Red</v>
      </c>
    </row>
    <row r="55" spans="2:43" x14ac:dyDescent="0.2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tr">
        <f>VLOOKUP(E55,'Transform table'!A:B,2,0)</f>
        <v>Manta FC</v>
      </c>
      <c r="Y55" t="str">
        <f>VLOOKUP(F55,'Transform table'!A:B,2,0)</f>
        <v>LDU Quito</v>
      </c>
      <c r="Z55" t="str">
        <f t="shared" si="0"/>
        <v>22/07/2026Manta FCLDU Quito</v>
      </c>
      <c r="AA55" t="str">
        <f>VLOOKUP($Z55,'oddspedia-matches'!$A:$AD,AA$2,0)</f>
        <v>1 - 1</v>
      </c>
      <c r="AB55" t="str">
        <f>VLOOKUP($Z55,'oddspedia-matches'!$A:$AD,AB$2,0)</f>
        <v>Red</v>
      </c>
      <c r="AC55" t="str">
        <f>VLOOKUP($Z55,'oddspedia-matches'!$A:$AD,AC$2,0)</f>
        <v>Green</v>
      </c>
      <c r="AD55" t="str">
        <f>VLOOKUP($Z55,'oddspedia-matches'!$A:$AD,AD$2,0)</f>
        <v>Red</v>
      </c>
      <c r="AE55" t="str">
        <f>VLOOKUP($Z55,'oddspedia-matches'!$A:$AD,AE$2,0)</f>
        <v>Green</v>
      </c>
      <c r="AF55" t="str">
        <f>VLOOKUP($Z55,'oddspedia-matches'!$A:$AD,AF$2,0)</f>
        <v>Green</v>
      </c>
      <c r="AG55" t="str">
        <f>VLOOKUP($Z55,'oddspedia-matches'!$A:$AD,AG$2,0)</f>
        <v>Red</v>
      </c>
      <c r="AH55" t="str">
        <f>VLOOKUP($Z55,'oddspedia-matches'!$A:$AD,AH$2,0)</f>
        <v>Red</v>
      </c>
      <c r="AI55" t="str">
        <f>VLOOKUP($Z55,'oddspedia-matches'!$A:$AD,AI$2,0)</f>
        <v>Red</v>
      </c>
      <c r="AJ55" t="str">
        <f>VLOOKUP($Z55,'oddspedia-matches'!$A:$AD,AJ$2,0)</f>
        <v>Green</v>
      </c>
      <c r="AK55" t="str">
        <f>VLOOKUP($Z55,'oddspedia-matches'!$A:$AD,AK$2,0)</f>
        <v>Green</v>
      </c>
      <c r="AL55" t="str">
        <f>VLOOKUP($Z55,'oddspedia-matches'!$A:$AD,AL$2,0)</f>
        <v>Green</v>
      </c>
      <c r="AM55" t="str">
        <f>VLOOKUP($Z55,'oddspedia-matches'!$A:$AD,AM$2,0)</f>
        <v>Red</v>
      </c>
      <c r="AN55" t="str">
        <f>VLOOKUP($Z55,'oddspedia-matches'!$A:$AD,AN$2,0)</f>
        <v>Green</v>
      </c>
      <c r="AO55" t="str">
        <f>VLOOKUP($Z55,'oddspedia-matches'!$A:$AD,AO$2,0)</f>
        <v>Green</v>
      </c>
      <c r="AP55" t="str">
        <f>VLOOKUP($Z55,'oddspedia-matches'!$A:$AD,AP$2,0)</f>
        <v>Green</v>
      </c>
      <c r="AQ55" t="str">
        <f>VLOOKUP($Z55,'oddspedia-matches'!$A:$AD,AQ$2,0)</f>
        <v>Red</v>
      </c>
    </row>
    <row r="56" spans="2:43" x14ac:dyDescent="0.2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tr">
        <f>VLOOKUP(E56,'Transform table'!A:B,2,0)</f>
        <v>Charlotte FC</v>
      </c>
      <c r="Y56" t="str">
        <f>VLOOKUP(F56,'Transform table'!A:B,2,0)</f>
        <v>Atlanta United</v>
      </c>
      <c r="Z56" t="str">
        <f t="shared" si="0"/>
        <v>22/07/2026Charlotte FCAtlanta United</v>
      </c>
      <c r="AA56" t="str">
        <f>VLOOKUP($Z56,'oddspedia-matches'!$A:$AD,AA$2,0)</f>
        <v>2 - 2</v>
      </c>
      <c r="AB56" t="str">
        <f>VLOOKUP($Z56,'oddspedia-matches'!$A:$AD,AB$2,0)</f>
        <v>Red</v>
      </c>
      <c r="AC56" t="str">
        <f>VLOOKUP($Z56,'oddspedia-matches'!$A:$AD,AC$2,0)</f>
        <v>Green</v>
      </c>
      <c r="AD56" t="str">
        <f>VLOOKUP($Z56,'oddspedia-matches'!$A:$AD,AD$2,0)</f>
        <v>Red</v>
      </c>
      <c r="AE56" t="str">
        <f>VLOOKUP($Z56,'oddspedia-matches'!$A:$AD,AE$2,0)</f>
        <v>Green</v>
      </c>
      <c r="AF56" t="str">
        <f>VLOOKUP($Z56,'oddspedia-matches'!$A:$AD,AF$2,0)</f>
        <v>Green</v>
      </c>
      <c r="AG56" t="str">
        <f>VLOOKUP($Z56,'oddspedia-matches'!$A:$AD,AG$2,0)</f>
        <v>Red</v>
      </c>
      <c r="AH56" t="str">
        <f>VLOOKUP($Z56,'oddspedia-matches'!$A:$AD,AH$2,0)</f>
        <v>Green</v>
      </c>
      <c r="AI56" t="str">
        <f>VLOOKUP($Z56,'oddspedia-matches'!$A:$AD,AI$2,0)</f>
        <v>Red</v>
      </c>
      <c r="AJ56" t="str">
        <f>VLOOKUP($Z56,'oddspedia-matches'!$A:$AD,AJ$2,0)</f>
        <v>Red</v>
      </c>
      <c r="AK56" t="str">
        <f>VLOOKUP($Z56,'oddspedia-matches'!$A:$AD,AK$2,0)</f>
        <v>Green</v>
      </c>
      <c r="AL56" t="str">
        <f>VLOOKUP($Z56,'oddspedia-matches'!$A:$AD,AL$2,0)</f>
        <v>Green</v>
      </c>
      <c r="AM56" t="str">
        <f>VLOOKUP($Z56,'oddspedia-matches'!$A:$AD,AM$2,0)</f>
        <v>Green</v>
      </c>
      <c r="AN56" t="str">
        <f>VLOOKUP($Z56,'oddspedia-matches'!$A:$AD,AN$2,0)</f>
        <v>Red</v>
      </c>
      <c r="AO56" t="str">
        <f>VLOOKUP($Z56,'oddspedia-matches'!$A:$AD,AO$2,0)</f>
        <v>Red</v>
      </c>
      <c r="AP56" t="str">
        <f>VLOOKUP($Z56,'oddspedia-matches'!$A:$AD,AP$2,0)</f>
        <v>Green</v>
      </c>
      <c r="AQ56" t="str">
        <f>VLOOKUP($Z56,'oddspedia-matches'!$A:$AD,AQ$2,0)</f>
        <v>Red</v>
      </c>
    </row>
    <row r="57" spans="2:43" x14ac:dyDescent="0.2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tr">
        <f>VLOOKUP(E57,'Transform table'!A:B,2,0)</f>
        <v>Chapecoense</v>
      </c>
      <c r="Y57" t="str">
        <f>VLOOKUP(F57,'Transform table'!A:B,2,0)</f>
        <v>Flamengo RJ</v>
      </c>
      <c r="Z57" t="str">
        <f t="shared" si="0"/>
        <v>22/07/2026ChapecoenseFlamengo RJ</v>
      </c>
      <c r="AA57" t="str">
        <f>VLOOKUP($Z57,'oddspedia-matches'!$A:$AD,AA$2,0)</f>
        <v>0 - 4</v>
      </c>
      <c r="AB57" t="str">
        <f>VLOOKUP($Z57,'oddspedia-matches'!$A:$AD,AB$2,0)</f>
        <v>Red</v>
      </c>
      <c r="AC57" t="str">
        <f>VLOOKUP($Z57,'oddspedia-matches'!$A:$AD,AC$2,0)</f>
        <v>Red</v>
      </c>
      <c r="AD57" t="str">
        <f>VLOOKUP($Z57,'oddspedia-matches'!$A:$AD,AD$2,0)</f>
        <v>Green</v>
      </c>
      <c r="AE57" t="str">
        <f>VLOOKUP($Z57,'oddspedia-matches'!$A:$AD,AE$2,0)</f>
        <v>Red</v>
      </c>
      <c r="AF57" t="str">
        <f>VLOOKUP($Z57,'oddspedia-matches'!$A:$AD,AF$2,0)</f>
        <v>Green</v>
      </c>
      <c r="AG57" t="str">
        <f>VLOOKUP($Z57,'oddspedia-matches'!$A:$AD,AG$2,0)</f>
        <v>Green</v>
      </c>
      <c r="AH57" t="str">
        <f>VLOOKUP($Z57,'oddspedia-matches'!$A:$AD,AH$2,0)</f>
        <v>Red</v>
      </c>
      <c r="AI57" t="str">
        <f>VLOOKUP($Z57,'oddspedia-matches'!$A:$AD,AI$2,0)</f>
        <v>Red</v>
      </c>
      <c r="AJ57" t="str">
        <f>VLOOKUP($Z57,'oddspedia-matches'!$A:$AD,AJ$2,0)</f>
        <v>Green</v>
      </c>
      <c r="AK57" t="str">
        <f>VLOOKUP($Z57,'oddspedia-matches'!$A:$AD,AK$2,0)</f>
        <v>Green</v>
      </c>
      <c r="AL57" t="str">
        <f>VLOOKUP($Z57,'oddspedia-matches'!$A:$AD,AL$2,0)</f>
        <v>Green</v>
      </c>
      <c r="AM57" t="str">
        <f>VLOOKUP($Z57,'oddspedia-matches'!$A:$AD,AM$2,0)</f>
        <v>Green</v>
      </c>
      <c r="AN57" t="str">
        <f>VLOOKUP($Z57,'oddspedia-matches'!$A:$AD,AN$2,0)</f>
        <v>Red</v>
      </c>
      <c r="AO57" t="str">
        <f>VLOOKUP($Z57,'oddspedia-matches'!$A:$AD,AO$2,0)</f>
        <v>Red</v>
      </c>
      <c r="AP57" t="str">
        <f>VLOOKUP($Z57,'oddspedia-matches'!$A:$AD,AP$2,0)</f>
        <v>Red</v>
      </c>
      <c r="AQ57" t="str">
        <f>VLOOKUP($Z57,'oddspedia-matches'!$A:$AD,AQ$2,0)</f>
        <v>Green</v>
      </c>
    </row>
    <row r="58" spans="2:43" x14ac:dyDescent="0.2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tr">
        <f>VLOOKUP(E58,'Transform table'!A:B,2,0)</f>
        <v>Internacional</v>
      </c>
      <c r="Y58" t="str">
        <f>VLOOKUP(F58,'Transform table'!A:B,2,0)</f>
        <v>Cruzeiro</v>
      </c>
      <c r="Z58" t="str">
        <f t="shared" si="0"/>
        <v>22/07/2026InternacionalCruzeiro</v>
      </c>
      <c r="AA58" t="str">
        <f>VLOOKUP($Z58,'oddspedia-matches'!$A:$AD,AA$2,0)</f>
        <v>1 - 2</v>
      </c>
      <c r="AB58" t="str">
        <f>VLOOKUP($Z58,'oddspedia-matches'!$A:$AD,AB$2,0)</f>
        <v>Red</v>
      </c>
      <c r="AC58" t="str">
        <f>VLOOKUP($Z58,'oddspedia-matches'!$A:$AD,AC$2,0)</f>
        <v>Red</v>
      </c>
      <c r="AD58" t="str">
        <f>VLOOKUP($Z58,'oddspedia-matches'!$A:$AD,AD$2,0)</f>
        <v>Green</v>
      </c>
      <c r="AE58" t="str">
        <f>VLOOKUP($Z58,'oddspedia-matches'!$A:$AD,AE$2,0)</f>
        <v>Red</v>
      </c>
      <c r="AF58" t="str">
        <f>VLOOKUP($Z58,'oddspedia-matches'!$A:$AD,AF$2,0)</f>
        <v>Green</v>
      </c>
      <c r="AG58" t="str">
        <f>VLOOKUP($Z58,'oddspedia-matches'!$A:$AD,AG$2,0)</f>
        <v>Green</v>
      </c>
      <c r="AH58" t="str">
        <f>VLOOKUP($Z58,'oddspedia-matches'!$A:$AD,AH$2,0)</f>
        <v>Red</v>
      </c>
      <c r="AI58" t="str">
        <f>VLOOKUP($Z58,'oddspedia-matches'!$A:$AD,AI$2,0)</f>
        <v>Red</v>
      </c>
      <c r="AJ58" t="str">
        <f>VLOOKUP($Z58,'oddspedia-matches'!$A:$AD,AJ$2,0)</f>
        <v>Green</v>
      </c>
      <c r="AK58" t="str">
        <f>VLOOKUP($Z58,'oddspedia-matches'!$A:$AD,AK$2,0)</f>
        <v>Green</v>
      </c>
      <c r="AL58" t="str">
        <f>VLOOKUP($Z58,'oddspedia-matches'!$A:$AD,AL$2,0)</f>
        <v>Green</v>
      </c>
      <c r="AM58" t="str">
        <f>VLOOKUP($Z58,'oddspedia-matches'!$A:$AD,AM$2,0)</f>
        <v>Green</v>
      </c>
      <c r="AN58" t="str">
        <f>VLOOKUP($Z58,'oddspedia-matches'!$A:$AD,AN$2,0)</f>
        <v>Red</v>
      </c>
      <c r="AO58" t="str">
        <f>VLOOKUP($Z58,'oddspedia-matches'!$A:$AD,AO$2,0)</f>
        <v>Green</v>
      </c>
      <c r="AP58" t="str">
        <f>VLOOKUP($Z58,'oddspedia-matches'!$A:$AD,AP$2,0)</f>
        <v>Green</v>
      </c>
      <c r="AQ58" t="str">
        <f>VLOOKUP($Z58,'oddspedia-matches'!$A:$AD,AQ$2,0)</f>
        <v>Red</v>
      </c>
    </row>
    <row r="59" spans="2:43" x14ac:dyDescent="0.2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tr">
        <f>VLOOKUP(E59,'Transform table'!A:B,2,0)</f>
        <v>Sao Paulo</v>
      </c>
      <c r="Y59" t="str">
        <f>VLOOKUP(F59,'Transform table'!A:B,2,0)</f>
        <v>Athletico Paranaense</v>
      </c>
      <c r="Z59" t="str">
        <f t="shared" si="0"/>
        <v>22/07/2026Sao PauloAthletico Paranaense</v>
      </c>
      <c r="AA59" t="str">
        <f>VLOOKUP($Z59,'oddspedia-matches'!$A:$AD,AA$2,0)</f>
        <v>1 - 2</v>
      </c>
      <c r="AB59" t="str">
        <f>VLOOKUP($Z59,'oddspedia-matches'!$A:$AD,AB$2,0)</f>
        <v>Red</v>
      </c>
      <c r="AC59" t="str">
        <f>VLOOKUP($Z59,'oddspedia-matches'!$A:$AD,AC$2,0)</f>
        <v>Red</v>
      </c>
      <c r="AD59" t="str">
        <f>VLOOKUP($Z59,'oddspedia-matches'!$A:$AD,AD$2,0)</f>
        <v>Green</v>
      </c>
      <c r="AE59" t="str">
        <f>VLOOKUP($Z59,'oddspedia-matches'!$A:$AD,AE$2,0)</f>
        <v>Red</v>
      </c>
      <c r="AF59" t="str">
        <f>VLOOKUP($Z59,'oddspedia-matches'!$A:$AD,AF$2,0)</f>
        <v>Green</v>
      </c>
      <c r="AG59" t="str">
        <f>VLOOKUP($Z59,'oddspedia-matches'!$A:$AD,AG$2,0)</f>
        <v>Green</v>
      </c>
      <c r="AH59" t="str">
        <f>VLOOKUP($Z59,'oddspedia-matches'!$A:$AD,AH$2,0)</f>
        <v>Green</v>
      </c>
      <c r="AI59" t="str">
        <f>VLOOKUP($Z59,'oddspedia-matches'!$A:$AD,AI$2,0)</f>
        <v>Red</v>
      </c>
      <c r="AJ59" t="str">
        <f>VLOOKUP($Z59,'oddspedia-matches'!$A:$AD,AJ$2,0)</f>
        <v>Red</v>
      </c>
      <c r="AK59" t="str">
        <f>VLOOKUP($Z59,'oddspedia-matches'!$A:$AD,AK$2,0)</f>
        <v>Green</v>
      </c>
      <c r="AL59" t="str">
        <f>VLOOKUP($Z59,'oddspedia-matches'!$A:$AD,AL$2,0)</f>
        <v>Green</v>
      </c>
      <c r="AM59" t="str">
        <f>VLOOKUP($Z59,'oddspedia-matches'!$A:$AD,AM$2,0)</f>
        <v>Green</v>
      </c>
      <c r="AN59" t="str">
        <f>VLOOKUP($Z59,'oddspedia-matches'!$A:$AD,AN$2,0)</f>
        <v>Red</v>
      </c>
      <c r="AO59" t="str">
        <f>VLOOKUP($Z59,'oddspedia-matches'!$A:$AD,AO$2,0)</f>
        <v>Green</v>
      </c>
      <c r="AP59" t="str">
        <f>VLOOKUP($Z59,'oddspedia-matches'!$A:$AD,AP$2,0)</f>
        <v>Green</v>
      </c>
      <c r="AQ59" t="str">
        <f>VLOOKUP($Z59,'oddspedia-matches'!$A:$AD,AQ$2,0)</f>
        <v>Red</v>
      </c>
    </row>
    <row r="60" spans="2:43" x14ac:dyDescent="0.2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tr">
        <f>VLOOKUP(E60,'Transform table'!A:B,2,0)</f>
        <v>Nautico</v>
      </c>
      <c r="Y60" t="str">
        <f>VLOOKUP(F60,'Transform table'!A:B,2,0)</f>
        <v>Londrina EC</v>
      </c>
      <c r="Z60" t="str">
        <f t="shared" si="0"/>
        <v>22/07/2026NauticoLondrina EC</v>
      </c>
      <c r="AA60" t="str">
        <f>VLOOKUP($Z60,'oddspedia-matches'!$A:$AD,AA$2,0)</f>
        <v>2 - 1</v>
      </c>
      <c r="AB60" t="str">
        <f>VLOOKUP($Z60,'oddspedia-matches'!$A:$AD,AB$2,0)</f>
        <v>Green</v>
      </c>
      <c r="AC60" t="str">
        <f>VLOOKUP($Z60,'oddspedia-matches'!$A:$AD,AC$2,0)</f>
        <v>Red</v>
      </c>
      <c r="AD60" t="str">
        <f>VLOOKUP($Z60,'oddspedia-matches'!$A:$AD,AD$2,0)</f>
        <v>Red</v>
      </c>
      <c r="AE60" t="str">
        <f>VLOOKUP($Z60,'oddspedia-matches'!$A:$AD,AE$2,0)</f>
        <v>Green</v>
      </c>
      <c r="AF60" t="str">
        <f>VLOOKUP($Z60,'oddspedia-matches'!$A:$AD,AF$2,0)</f>
        <v>Red</v>
      </c>
      <c r="AG60" t="str">
        <f>VLOOKUP($Z60,'oddspedia-matches'!$A:$AD,AG$2,0)</f>
        <v>Green</v>
      </c>
      <c r="AH60" t="str">
        <f>VLOOKUP($Z60,'oddspedia-matches'!$A:$AD,AH$2,0)</f>
        <v>Green</v>
      </c>
      <c r="AI60" t="str">
        <f>VLOOKUP($Z60,'oddspedia-matches'!$A:$AD,AI$2,0)</f>
        <v>Red</v>
      </c>
      <c r="AJ60" t="str">
        <f>VLOOKUP($Z60,'oddspedia-matches'!$A:$AD,AJ$2,0)</f>
        <v>Red</v>
      </c>
      <c r="AK60" t="str">
        <f>VLOOKUP($Z60,'oddspedia-matches'!$A:$AD,AK$2,0)</f>
        <v>Green</v>
      </c>
      <c r="AL60" t="str">
        <f>VLOOKUP($Z60,'oddspedia-matches'!$A:$AD,AL$2,0)</f>
        <v>Green</v>
      </c>
      <c r="AM60" t="str">
        <f>VLOOKUP($Z60,'oddspedia-matches'!$A:$AD,AM$2,0)</f>
        <v>Green</v>
      </c>
      <c r="AN60" t="str">
        <f>VLOOKUP($Z60,'oddspedia-matches'!$A:$AD,AN$2,0)</f>
        <v>Red</v>
      </c>
      <c r="AO60" t="str">
        <f>VLOOKUP($Z60,'oddspedia-matches'!$A:$AD,AO$2,0)</f>
        <v>Green</v>
      </c>
      <c r="AP60" t="str">
        <f>VLOOKUP($Z60,'oddspedia-matches'!$A:$AD,AP$2,0)</f>
        <v>Green</v>
      </c>
      <c r="AQ60" t="str">
        <f>VLOOKUP($Z60,'oddspedia-matches'!$A:$AD,AQ$2,0)</f>
        <v>Red</v>
      </c>
    </row>
    <row r="61" spans="2:43" x14ac:dyDescent="0.2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tr">
        <f>VLOOKUP(E61,'Transform table'!A:B,2,0)</f>
        <v>Austin FC</v>
      </c>
      <c r="Y61" t="str">
        <f>VLOOKUP(F61,'Transform table'!A:B,2,0)</f>
        <v>Seattle Sounders FC</v>
      </c>
      <c r="Z61" t="str">
        <f t="shared" si="0"/>
        <v>22/07/2026Austin FCSeattle Sounders FC</v>
      </c>
      <c r="AA61" t="str">
        <f>VLOOKUP($Z61,'oddspedia-matches'!$A:$AD,AA$2,0)</f>
        <v>3 - 1</v>
      </c>
      <c r="AB61" t="str">
        <f>VLOOKUP($Z61,'oddspedia-matches'!$A:$AD,AB$2,0)</f>
        <v>Green</v>
      </c>
      <c r="AC61" t="str">
        <f>VLOOKUP($Z61,'oddspedia-matches'!$A:$AD,AC$2,0)</f>
        <v>Red</v>
      </c>
      <c r="AD61" t="str">
        <f>VLOOKUP($Z61,'oddspedia-matches'!$A:$AD,AD$2,0)</f>
        <v>Red</v>
      </c>
      <c r="AE61" t="str">
        <f>VLOOKUP($Z61,'oddspedia-matches'!$A:$AD,AE$2,0)</f>
        <v>Green</v>
      </c>
      <c r="AF61" t="str">
        <f>VLOOKUP($Z61,'oddspedia-matches'!$A:$AD,AF$2,0)</f>
        <v>Red</v>
      </c>
      <c r="AG61" t="str">
        <f>VLOOKUP($Z61,'oddspedia-matches'!$A:$AD,AG$2,0)</f>
        <v>Green</v>
      </c>
      <c r="AH61" t="str">
        <f>VLOOKUP($Z61,'oddspedia-matches'!$A:$AD,AH$2,0)</f>
        <v>Red</v>
      </c>
      <c r="AI61" t="str">
        <f>VLOOKUP($Z61,'oddspedia-matches'!$A:$AD,AI$2,0)</f>
        <v>Green</v>
      </c>
      <c r="AJ61" t="str">
        <f>VLOOKUP($Z61,'oddspedia-matches'!$A:$AD,AJ$2,0)</f>
        <v>Red</v>
      </c>
      <c r="AK61" t="str">
        <f>VLOOKUP($Z61,'oddspedia-matches'!$A:$AD,AK$2,0)</f>
        <v>Green</v>
      </c>
      <c r="AL61" t="str">
        <f>VLOOKUP($Z61,'oddspedia-matches'!$A:$AD,AL$2,0)</f>
        <v>Green</v>
      </c>
      <c r="AM61" t="str">
        <f>VLOOKUP($Z61,'oddspedia-matches'!$A:$AD,AM$2,0)</f>
        <v>Green</v>
      </c>
      <c r="AN61" t="str">
        <f>VLOOKUP($Z61,'oddspedia-matches'!$A:$AD,AN$2,0)</f>
        <v>Red</v>
      </c>
      <c r="AO61" t="str">
        <f>VLOOKUP($Z61,'oddspedia-matches'!$A:$AD,AO$2,0)</f>
        <v>Red</v>
      </c>
      <c r="AP61" t="str">
        <f>VLOOKUP($Z61,'oddspedia-matches'!$A:$AD,AP$2,0)</f>
        <v>Green</v>
      </c>
      <c r="AQ61" t="str">
        <f>VLOOKUP($Z61,'oddspedia-matches'!$A:$AD,AQ$2,0)</f>
        <v>Red</v>
      </c>
    </row>
    <row r="62" spans="2:43" x14ac:dyDescent="0.2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tr">
        <f>VLOOKUP(E62,'Transform table'!A:B,2,0)</f>
        <v>Houston Dynamo</v>
      </c>
      <c r="Y62" t="str">
        <f>VLOOKUP(F62,'Transform table'!A:B,2,0)</f>
        <v>DC United</v>
      </c>
      <c r="Z62" t="str">
        <f t="shared" si="0"/>
        <v>22/07/2026Houston DynamoDC United</v>
      </c>
      <c r="AA62" t="str">
        <f>VLOOKUP($Z62,'oddspedia-matches'!$A:$AD,AA$2,0)</f>
        <v>1 - 1</v>
      </c>
      <c r="AB62" t="str">
        <f>VLOOKUP($Z62,'oddspedia-matches'!$A:$AD,AB$2,0)</f>
        <v>Red</v>
      </c>
      <c r="AC62" t="str">
        <f>VLOOKUP($Z62,'oddspedia-matches'!$A:$AD,AC$2,0)</f>
        <v>Green</v>
      </c>
      <c r="AD62" t="str">
        <f>VLOOKUP($Z62,'oddspedia-matches'!$A:$AD,AD$2,0)</f>
        <v>Red</v>
      </c>
      <c r="AE62" t="str">
        <f>VLOOKUP($Z62,'oddspedia-matches'!$A:$AD,AE$2,0)</f>
        <v>Green</v>
      </c>
      <c r="AF62" t="str">
        <f>VLOOKUP($Z62,'oddspedia-matches'!$A:$AD,AF$2,0)</f>
        <v>Green</v>
      </c>
      <c r="AG62" t="str">
        <f>VLOOKUP($Z62,'oddspedia-matches'!$A:$AD,AG$2,0)</f>
        <v>Red</v>
      </c>
      <c r="AH62" t="str">
        <f>VLOOKUP($Z62,'oddspedia-matches'!$A:$AD,AH$2,0)</f>
        <v>Green</v>
      </c>
      <c r="AI62" t="str">
        <f>VLOOKUP($Z62,'oddspedia-matches'!$A:$AD,AI$2,0)</f>
        <v>Red</v>
      </c>
      <c r="AJ62" t="str">
        <f>VLOOKUP($Z62,'oddspedia-matches'!$A:$AD,AJ$2,0)</f>
        <v>Red</v>
      </c>
      <c r="AK62" t="str">
        <f>VLOOKUP($Z62,'oddspedia-matches'!$A:$AD,AK$2,0)</f>
        <v>Green</v>
      </c>
      <c r="AL62" t="str">
        <f>VLOOKUP($Z62,'oddspedia-matches'!$A:$AD,AL$2,0)</f>
        <v>Green</v>
      </c>
      <c r="AM62" t="str">
        <f>VLOOKUP($Z62,'oddspedia-matches'!$A:$AD,AM$2,0)</f>
        <v>Red</v>
      </c>
      <c r="AN62" t="str">
        <f>VLOOKUP($Z62,'oddspedia-matches'!$A:$AD,AN$2,0)</f>
        <v>Green</v>
      </c>
      <c r="AO62" t="str">
        <f>VLOOKUP($Z62,'oddspedia-matches'!$A:$AD,AO$2,0)</f>
        <v>Green</v>
      </c>
      <c r="AP62" t="str">
        <f>VLOOKUP($Z62,'oddspedia-matches'!$A:$AD,AP$2,0)</f>
        <v>Green</v>
      </c>
      <c r="AQ62" t="str">
        <f>VLOOKUP($Z62,'oddspedia-matches'!$A:$AD,AQ$2,0)</f>
        <v>Red</v>
      </c>
    </row>
    <row r="63" spans="2:43" x14ac:dyDescent="0.2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tr">
        <f>VLOOKUP(E63,'Transform table'!A:B,2,0)</f>
        <v>Nashville FC</v>
      </c>
      <c r="Y63" t="str">
        <f>VLOOKUP(F63,'Transform table'!A:B,2,0)</f>
        <v>Montreal Impact</v>
      </c>
      <c r="Z63" t="str">
        <f t="shared" si="0"/>
        <v>22/07/2026Nashville FCMontreal Impact</v>
      </c>
      <c r="AA63" t="str">
        <f>VLOOKUP($Z63,'oddspedia-matches'!$A:$AD,AA$2,0)</f>
        <v>1 - 0</v>
      </c>
      <c r="AB63" t="str">
        <f>VLOOKUP($Z63,'oddspedia-matches'!$A:$AD,AB$2,0)</f>
        <v>Green</v>
      </c>
      <c r="AC63" t="str">
        <f>VLOOKUP($Z63,'oddspedia-matches'!$A:$AD,AC$2,0)</f>
        <v>Red</v>
      </c>
      <c r="AD63" t="str">
        <f>VLOOKUP($Z63,'oddspedia-matches'!$A:$AD,AD$2,0)</f>
        <v>Red</v>
      </c>
      <c r="AE63" t="str">
        <f>VLOOKUP($Z63,'oddspedia-matches'!$A:$AD,AE$2,0)</f>
        <v>Green</v>
      </c>
      <c r="AF63" t="str">
        <f>VLOOKUP($Z63,'oddspedia-matches'!$A:$AD,AF$2,0)</f>
        <v>Red</v>
      </c>
      <c r="AG63" t="str">
        <f>VLOOKUP($Z63,'oddspedia-matches'!$A:$AD,AG$2,0)</f>
        <v>Green</v>
      </c>
      <c r="AH63" t="str">
        <f>VLOOKUP($Z63,'oddspedia-matches'!$A:$AD,AH$2,0)</f>
        <v>Red</v>
      </c>
      <c r="AI63" t="str">
        <f>VLOOKUP($Z63,'oddspedia-matches'!$A:$AD,AI$2,0)</f>
        <v>Green</v>
      </c>
      <c r="AJ63" t="str">
        <f>VLOOKUP($Z63,'oddspedia-matches'!$A:$AD,AJ$2,0)</f>
        <v>Red</v>
      </c>
      <c r="AK63" t="str">
        <f>VLOOKUP($Z63,'oddspedia-matches'!$A:$AD,AK$2,0)</f>
        <v>Red</v>
      </c>
      <c r="AL63" t="str">
        <f>VLOOKUP($Z63,'oddspedia-matches'!$A:$AD,AL$2,0)</f>
        <v>Red</v>
      </c>
      <c r="AM63" t="str">
        <f>VLOOKUP($Z63,'oddspedia-matches'!$A:$AD,AM$2,0)</f>
        <v>Red</v>
      </c>
      <c r="AN63" t="str">
        <f>VLOOKUP($Z63,'oddspedia-matches'!$A:$AD,AN$2,0)</f>
        <v>Green</v>
      </c>
      <c r="AO63" t="str">
        <f>VLOOKUP($Z63,'oddspedia-matches'!$A:$AD,AO$2,0)</f>
        <v>Green</v>
      </c>
      <c r="AP63" t="str">
        <f>VLOOKUP($Z63,'oddspedia-matches'!$A:$AD,AP$2,0)</f>
        <v>Red</v>
      </c>
      <c r="AQ63" t="str">
        <f>VLOOKUP($Z63,'oddspedia-matches'!$A:$AD,AQ$2,0)</f>
        <v>Green</v>
      </c>
    </row>
    <row r="64" spans="2:43" x14ac:dyDescent="0.2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tr">
        <f>VLOOKUP(E64,'Transform table'!A:B,2,0)</f>
        <v>Sporting Kansas City</v>
      </c>
      <c r="Y64" t="str">
        <f>VLOOKUP(F64,'Transform table'!A:B,2,0)</f>
        <v>Minnesota United</v>
      </c>
      <c r="Z64" t="str">
        <f t="shared" si="0"/>
        <v>22/07/2026Sporting Kansas CityMinnesota United</v>
      </c>
      <c r="AA64" t="str">
        <f>VLOOKUP($Z64,'oddspedia-matches'!$A:$AD,AA$2,0)</f>
        <v>2 - 1</v>
      </c>
      <c r="AB64" t="str">
        <f>VLOOKUP($Z64,'oddspedia-matches'!$A:$AD,AB$2,0)</f>
        <v>Green</v>
      </c>
      <c r="AC64" t="str">
        <f>VLOOKUP($Z64,'oddspedia-matches'!$A:$AD,AC$2,0)</f>
        <v>Red</v>
      </c>
      <c r="AD64" t="str">
        <f>VLOOKUP($Z64,'oddspedia-matches'!$A:$AD,AD$2,0)</f>
        <v>Red</v>
      </c>
      <c r="AE64" t="str">
        <f>VLOOKUP($Z64,'oddspedia-matches'!$A:$AD,AE$2,0)</f>
        <v>Green</v>
      </c>
      <c r="AF64" t="str">
        <f>VLOOKUP($Z64,'oddspedia-matches'!$A:$AD,AF$2,0)</f>
        <v>Red</v>
      </c>
      <c r="AG64" t="str">
        <f>VLOOKUP($Z64,'oddspedia-matches'!$A:$AD,AG$2,0)</f>
        <v>Green</v>
      </c>
      <c r="AH64" t="str">
        <f>VLOOKUP($Z64,'oddspedia-matches'!$A:$AD,AH$2,0)</f>
        <v>Green</v>
      </c>
      <c r="AI64" t="str">
        <f>VLOOKUP($Z64,'oddspedia-matches'!$A:$AD,AI$2,0)</f>
        <v>Red</v>
      </c>
      <c r="AJ64" t="str">
        <f>VLOOKUP($Z64,'oddspedia-matches'!$A:$AD,AJ$2,0)</f>
        <v>Red</v>
      </c>
      <c r="AK64" t="str">
        <f>VLOOKUP($Z64,'oddspedia-matches'!$A:$AD,AK$2,0)</f>
        <v>Green</v>
      </c>
      <c r="AL64" t="str">
        <f>VLOOKUP($Z64,'oddspedia-matches'!$A:$AD,AL$2,0)</f>
        <v>Green</v>
      </c>
      <c r="AM64" t="str">
        <f>VLOOKUP($Z64,'oddspedia-matches'!$A:$AD,AM$2,0)</f>
        <v>Green</v>
      </c>
      <c r="AN64" t="str">
        <f>VLOOKUP($Z64,'oddspedia-matches'!$A:$AD,AN$2,0)</f>
        <v>Red</v>
      </c>
      <c r="AO64" t="str">
        <f>VLOOKUP($Z64,'oddspedia-matches'!$A:$AD,AO$2,0)</f>
        <v>Green</v>
      </c>
      <c r="AP64" t="str">
        <f>VLOOKUP($Z64,'oddspedia-matches'!$A:$AD,AP$2,0)</f>
        <v>Green</v>
      </c>
      <c r="AQ64" t="str">
        <f>VLOOKUP($Z64,'oddspedia-matches'!$A:$AD,AQ$2,0)</f>
        <v>Red</v>
      </c>
    </row>
    <row r="65" spans="2:43" x14ac:dyDescent="0.2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tr">
        <f>VLOOKUP(E65,'Transform table'!A:B,2,0)</f>
        <v>Colorado Switchbacks</v>
      </c>
      <c r="Y65" t="str">
        <f>VLOOKUP(F65,'Transform table'!A:B,2,0)</f>
        <v>Miami FC</v>
      </c>
      <c r="Z65" t="str">
        <f t="shared" si="0"/>
        <v>22/07/2026Colorado SwitchbacksMiami FC</v>
      </c>
      <c r="AA65" t="str">
        <f>VLOOKUP($Z65,'oddspedia-matches'!$A:$AD,AA$2,0)</f>
        <v>2 - 0</v>
      </c>
      <c r="AB65" t="str">
        <f>VLOOKUP($Z65,'oddspedia-matches'!$A:$AD,AB$2,0)</f>
        <v>Green</v>
      </c>
      <c r="AC65" t="str">
        <f>VLOOKUP($Z65,'oddspedia-matches'!$A:$AD,AC$2,0)</f>
        <v>Red</v>
      </c>
      <c r="AD65" t="str">
        <f>VLOOKUP($Z65,'oddspedia-matches'!$A:$AD,AD$2,0)</f>
        <v>Red</v>
      </c>
      <c r="AE65" t="str">
        <f>VLOOKUP($Z65,'oddspedia-matches'!$A:$AD,AE$2,0)</f>
        <v>Green</v>
      </c>
      <c r="AF65" t="str">
        <f>VLOOKUP($Z65,'oddspedia-matches'!$A:$AD,AF$2,0)</f>
        <v>Red</v>
      </c>
      <c r="AG65" t="str">
        <f>VLOOKUP($Z65,'oddspedia-matches'!$A:$AD,AG$2,0)</f>
        <v>Green</v>
      </c>
      <c r="AH65" t="str">
        <f>VLOOKUP($Z65,'oddspedia-matches'!$A:$AD,AH$2,0)</f>
        <v>Red</v>
      </c>
      <c r="AI65" t="str">
        <f>VLOOKUP($Z65,'oddspedia-matches'!$A:$AD,AI$2,0)</f>
        <v>Green</v>
      </c>
      <c r="AJ65" t="str">
        <f>VLOOKUP($Z65,'oddspedia-matches'!$A:$AD,AJ$2,0)</f>
        <v>Red</v>
      </c>
      <c r="AK65" t="str">
        <f>VLOOKUP($Z65,'oddspedia-matches'!$A:$AD,AK$2,0)</f>
        <v>Red</v>
      </c>
      <c r="AL65" t="str">
        <f>VLOOKUP($Z65,'oddspedia-matches'!$A:$AD,AL$2,0)</f>
        <v>Green</v>
      </c>
      <c r="AM65" t="str">
        <f>VLOOKUP($Z65,'oddspedia-matches'!$A:$AD,AM$2,0)</f>
        <v>Red</v>
      </c>
      <c r="AN65" t="str">
        <f>VLOOKUP($Z65,'oddspedia-matches'!$A:$AD,AN$2,0)</f>
        <v>Green</v>
      </c>
      <c r="AO65" t="str">
        <f>VLOOKUP($Z65,'oddspedia-matches'!$A:$AD,AO$2,0)</f>
        <v>Green</v>
      </c>
      <c r="AP65" t="str">
        <f>VLOOKUP($Z65,'oddspedia-matches'!$A:$AD,AP$2,0)</f>
        <v>Red</v>
      </c>
      <c r="AQ65" t="str">
        <f>VLOOKUP($Z65,'oddspedia-matches'!$A:$AD,AQ$2,0)</f>
        <v>Green</v>
      </c>
    </row>
    <row r="66" spans="2:43" x14ac:dyDescent="0.2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tr">
        <f>VLOOKUP(E66,'Transform table'!A:B,2,0)</f>
        <v>Vancouver Whitecaps II</v>
      </c>
      <c r="Y66" t="str">
        <f>VLOOKUP(F66,'Transform table'!A:B,2,0)</f>
        <v>Austin FC II</v>
      </c>
      <c r="Z66" t="str">
        <f t="shared" si="0"/>
        <v>22/07/2026Vancouver Whitecaps IIAustin FC II</v>
      </c>
      <c r="AA66" t="str">
        <f>VLOOKUP($Z66,'oddspedia-matches'!$A:$AD,AA$2,0)</f>
        <v>0 - 4</v>
      </c>
      <c r="AB66" t="str">
        <f>VLOOKUP($Z66,'oddspedia-matches'!$A:$AD,AB$2,0)</f>
        <v>Red</v>
      </c>
      <c r="AC66" t="str">
        <f>VLOOKUP($Z66,'oddspedia-matches'!$A:$AD,AC$2,0)</f>
        <v>Red</v>
      </c>
      <c r="AD66" t="str">
        <f>VLOOKUP($Z66,'oddspedia-matches'!$A:$AD,AD$2,0)</f>
        <v>Green</v>
      </c>
      <c r="AE66" t="str">
        <f>VLOOKUP($Z66,'oddspedia-matches'!$A:$AD,AE$2,0)</f>
        <v>Red</v>
      </c>
      <c r="AF66" t="str">
        <f>VLOOKUP($Z66,'oddspedia-matches'!$A:$AD,AF$2,0)</f>
        <v>Green</v>
      </c>
      <c r="AG66" t="str">
        <f>VLOOKUP($Z66,'oddspedia-matches'!$A:$AD,AG$2,0)</f>
        <v>Green</v>
      </c>
      <c r="AH66" t="str">
        <f>VLOOKUP($Z66,'oddspedia-matches'!$A:$AD,AH$2,0)</f>
        <v>Red</v>
      </c>
      <c r="AI66" t="str">
        <f>VLOOKUP($Z66,'oddspedia-matches'!$A:$AD,AI$2,0)</f>
        <v>Red</v>
      </c>
      <c r="AJ66" t="str">
        <f>VLOOKUP($Z66,'oddspedia-matches'!$A:$AD,AJ$2,0)</f>
        <v>Green</v>
      </c>
      <c r="AK66" t="str">
        <f>VLOOKUP($Z66,'oddspedia-matches'!$A:$AD,AK$2,0)</f>
        <v>Green</v>
      </c>
      <c r="AL66" t="str">
        <f>VLOOKUP($Z66,'oddspedia-matches'!$A:$AD,AL$2,0)</f>
        <v>Green</v>
      </c>
      <c r="AM66" t="str">
        <f>VLOOKUP($Z66,'oddspedia-matches'!$A:$AD,AM$2,0)</f>
        <v>Green</v>
      </c>
      <c r="AN66" t="str">
        <f>VLOOKUP($Z66,'oddspedia-matches'!$A:$AD,AN$2,0)</f>
        <v>Red</v>
      </c>
      <c r="AO66" t="str">
        <f>VLOOKUP($Z66,'oddspedia-matches'!$A:$AD,AO$2,0)</f>
        <v>Red</v>
      </c>
      <c r="AP66" t="str">
        <f>VLOOKUP($Z66,'oddspedia-matches'!$A:$AD,AP$2,0)</f>
        <v>Red</v>
      </c>
      <c r="AQ66" t="str">
        <f>VLOOKUP($Z66,'oddspedia-matches'!$A:$AD,AQ$2,0)</f>
        <v>Green</v>
      </c>
    </row>
    <row r="67" spans="2:43" x14ac:dyDescent="0.2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tr">
        <f>VLOOKUP(E67,'Transform table'!A:B,2,0)</f>
        <v>Colorado Rapids</v>
      </c>
      <c r="Y67" t="str">
        <f>VLOOKUP(F67,'Transform table'!A:B,2,0)</f>
        <v>San Diego FC</v>
      </c>
      <c r="Z67" t="str">
        <f t="shared" si="0"/>
        <v>22/07/2026Colorado RapidsSan Diego FC</v>
      </c>
      <c r="AA67" t="str">
        <f>VLOOKUP($Z67,'oddspedia-matches'!$A:$AD,AA$2,0)</f>
        <v>1 - 0</v>
      </c>
      <c r="AB67" t="str">
        <f>VLOOKUP($Z67,'oddspedia-matches'!$A:$AD,AB$2,0)</f>
        <v>Green</v>
      </c>
      <c r="AC67" t="str">
        <f>VLOOKUP($Z67,'oddspedia-matches'!$A:$AD,AC$2,0)</f>
        <v>Red</v>
      </c>
      <c r="AD67" t="str">
        <f>VLOOKUP($Z67,'oddspedia-matches'!$A:$AD,AD$2,0)</f>
        <v>Red</v>
      </c>
      <c r="AE67" t="str">
        <f>VLOOKUP($Z67,'oddspedia-matches'!$A:$AD,AE$2,0)</f>
        <v>Green</v>
      </c>
      <c r="AF67" t="str">
        <f>VLOOKUP($Z67,'oddspedia-matches'!$A:$AD,AF$2,0)</f>
        <v>Red</v>
      </c>
      <c r="AG67" t="str">
        <f>VLOOKUP($Z67,'oddspedia-matches'!$A:$AD,AG$2,0)</f>
        <v>Green</v>
      </c>
      <c r="AH67" t="str">
        <f>VLOOKUP($Z67,'oddspedia-matches'!$A:$AD,AH$2,0)</f>
        <v>Red</v>
      </c>
      <c r="AI67" t="str">
        <f>VLOOKUP($Z67,'oddspedia-matches'!$A:$AD,AI$2,0)</f>
        <v>Green</v>
      </c>
      <c r="AJ67" t="str">
        <f>VLOOKUP($Z67,'oddspedia-matches'!$A:$AD,AJ$2,0)</f>
        <v>Red</v>
      </c>
      <c r="AK67" t="str">
        <f>VLOOKUP($Z67,'oddspedia-matches'!$A:$AD,AK$2,0)</f>
        <v>Red</v>
      </c>
      <c r="AL67" t="str">
        <f>VLOOKUP($Z67,'oddspedia-matches'!$A:$AD,AL$2,0)</f>
        <v>Red</v>
      </c>
      <c r="AM67" t="str">
        <f>VLOOKUP($Z67,'oddspedia-matches'!$A:$AD,AM$2,0)</f>
        <v>Red</v>
      </c>
      <c r="AN67" t="str">
        <f>VLOOKUP($Z67,'oddspedia-matches'!$A:$AD,AN$2,0)</f>
        <v>Green</v>
      </c>
      <c r="AO67" t="str">
        <f>VLOOKUP($Z67,'oddspedia-matches'!$A:$AD,AO$2,0)</f>
        <v>Green</v>
      </c>
      <c r="AP67" t="str">
        <f>VLOOKUP($Z67,'oddspedia-matches'!$A:$AD,AP$2,0)</f>
        <v>Red</v>
      </c>
      <c r="AQ67" t="str">
        <f>VLOOKUP($Z67,'oddspedia-matches'!$A:$AD,AQ$2,0)</f>
        <v>Green</v>
      </c>
    </row>
    <row r="68" spans="2:43" x14ac:dyDescent="0.2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tr">
        <f>VLOOKUP(E68,'Transform table'!A:B,2,0)</f>
        <v>LA Galaxy</v>
      </c>
      <c r="Y68" t="str">
        <f>VLOOKUP(F68,'Transform table'!A:B,2,0)</f>
        <v>Saint Louis City</v>
      </c>
      <c r="Z68" t="str">
        <f t="shared" ref="Z68:Z131" si="1">C68&amp;X68&amp;Y68</f>
        <v>22/07/2026LA GalaxySaint Louis City</v>
      </c>
      <c r="AA68" t="str">
        <f>VLOOKUP($Z68,'oddspedia-matches'!$A:$AD,AA$2,0)</f>
        <v>1 - 3</v>
      </c>
      <c r="AB68" t="str">
        <f>VLOOKUP($Z68,'oddspedia-matches'!$A:$AD,AB$2,0)</f>
        <v>Red</v>
      </c>
      <c r="AC68" t="str">
        <f>VLOOKUP($Z68,'oddspedia-matches'!$A:$AD,AC$2,0)</f>
        <v>Red</v>
      </c>
      <c r="AD68" t="str">
        <f>VLOOKUP($Z68,'oddspedia-matches'!$A:$AD,AD$2,0)</f>
        <v>Green</v>
      </c>
      <c r="AE68" t="str">
        <f>VLOOKUP($Z68,'oddspedia-matches'!$A:$AD,AE$2,0)</f>
        <v>Red</v>
      </c>
      <c r="AF68" t="str">
        <f>VLOOKUP($Z68,'oddspedia-matches'!$A:$AD,AF$2,0)</f>
        <v>Green</v>
      </c>
      <c r="AG68" t="str">
        <f>VLOOKUP($Z68,'oddspedia-matches'!$A:$AD,AG$2,0)</f>
        <v>Green</v>
      </c>
      <c r="AH68" t="str">
        <f>VLOOKUP($Z68,'oddspedia-matches'!$A:$AD,AH$2,0)</f>
        <v>Red</v>
      </c>
      <c r="AI68" t="str">
        <f>VLOOKUP($Z68,'oddspedia-matches'!$A:$AD,AI$2,0)</f>
        <v>Red</v>
      </c>
      <c r="AJ68" t="str">
        <f>VLOOKUP($Z68,'oddspedia-matches'!$A:$AD,AJ$2,0)</f>
        <v>Green</v>
      </c>
      <c r="AK68" t="str">
        <f>VLOOKUP($Z68,'oddspedia-matches'!$A:$AD,AK$2,0)</f>
        <v>Green</v>
      </c>
      <c r="AL68" t="str">
        <f>VLOOKUP($Z68,'oddspedia-matches'!$A:$AD,AL$2,0)</f>
        <v>Green</v>
      </c>
      <c r="AM68" t="str">
        <f>VLOOKUP($Z68,'oddspedia-matches'!$A:$AD,AM$2,0)</f>
        <v>Green</v>
      </c>
      <c r="AN68" t="str">
        <f>VLOOKUP($Z68,'oddspedia-matches'!$A:$AD,AN$2,0)</f>
        <v>Red</v>
      </c>
      <c r="AO68" t="str">
        <f>VLOOKUP($Z68,'oddspedia-matches'!$A:$AD,AO$2,0)</f>
        <v>Red</v>
      </c>
      <c r="AP68" t="str">
        <f>VLOOKUP($Z68,'oddspedia-matches'!$A:$AD,AP$2,0)</f>
        <v>Green</v>
      </c>
      <c r="AQ68" t="str">
        <f>VLOOKUP($Z68,'oddspedia-matches'!$A:$AD,AQ$2,0)</f>
        <v>Red</v>
      </c>
    </row>
    <row r="69" spans="2:43" x14ac:dyDescent="0.2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tr">
        <f>VLOOKUP(E69,'Transform table'!A:B,2,0)</f>
        <v>Los Angeles FC</v>
      </c>
      <c r="Y69" t="str">
        <f>VLOOKUP(F69,'Transform table'!A:B,2,0)</f>
        <v>Real Salt Lake</v>
      </c>
      <c r="Z69" t="str">
        <f t="shared" si="1"/>
        <v>22/07/2026Los Angeles FCReal Salt Lake</v>
      </c>
      <c r="AA69" t="str">
        <f>VLOOKUP($Z69,'oddspedia-matches'!$A:$AD,AA$2,0)</f>
        <v>3 - 1</v>
      </c>
      <c r="AB69" t="str">
        <f>VLOOKUP($Z69,'oddspedia-matches'!$A:$AD,AB$2,0)</f>
        <v>Green</v>
      </c>
      <c r="AC69" t="str">
        <f>VLOOKUP($Z69,'oddspedia-matches'!$A:$AD,AC$2,0)</f>
        <v>Red</v>
      </c>
      <c r="AD69" t="str">
        <f>VLOOKUP($Z69,'oddspedia-matches'!$A:$AD,AD$2,0)</f>
        <v>Red</v>
      </c>
      <c r="AE69" t="str">
        <f>VLOOKUP($Z69,'oddspedia-matches'!$A:$AD,AE$2,0)</f>
        <v>Green</v>
      </c>
      <c r="AF69" t="str">
        <f>VLOOKUP($Z69,'oddspedia-matches'!$A:$AD,AF$2,0)</f>
        <v>Red</v>
      </c>
      <c r="AG69" t="str">
        <f>VLOOKUP($Z69,'oddspedia-matches'!$A:$AD,AG$2,0)</f>
        <v>Green</v>
      </c>
      <c r="AH69" t="str">
        <f>VLOOKUP($Z69,'oddspedia-matches'!$A:$AD,AH$2,0)</f>
        <v>Green</v>
      </c>
      <c r="AI69" t="str">
        <f>VLOOKUP($Z69,'oddspedia-matches'!$A:$AD,AI$2,0)</f>
        <v>Red</v>
      </c>
      <c r="AJ69" t="str">
        <f>VLOOKUP($Z69,'oddspedia-matches'!$A:$AD,AJ$2,0)</f>
        <v>Red</v>
      </c>
      <c r="AK69" t="str">
        <f>VLOOKUP($Z69,'oddspedia-matches'!$A:$AD,AK$2,0)</f>
        <v>Green</v>
      </c>
      <c r="AL69" t="str">
        <f>VLOOKUP($Z69,'oddspedia-matches'!$A:$AD,AL$2,0)</f>
        <v>Green</v>
      </c>
      <c r="AM69" t="str">
        <f>VLOOKUP($Z69,'oddspedia-matches'!$A:$AD,AM$2,0)</f>
        <v>Green</v>
      </c>
      <c r="AN69" t="str">
        <f>VLOOKUP($Z69,'oddspedia-matches'!$A:$AD,AN$2,0)</f>
        <v>Red</v>
      </c>
      <c r="AO69" t="str">
        <f>VLOOKUP($Z69,'oddspedia-matches'!$A:$AD,AO$2,0)</f>
        <v>Red</v>
      </c>
      <c r="AP69" t="str">
        <f>VLOOKUP($Z69,'oddspedia-matches'!$A:$AD,AP$2,0)</f>
        <v>Green</v>
      </c>
      <c r="AQ69" t="str">
        <f>VLOOKUP($Z69,'oddspedia-matches'!$A:$AD,AQ$2,0)</f>
        <v>Red</v>
      </c>
    </row>
    <row r="70" spans="2:43" x14ac:dyDescent="0.2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tr">
        <f>VLOOKUP(E70,'Transform table'!A:B,2,0)</f>
        <v>Portland Timbers</v>
      </c>
      <c r="Y70" t="str">
        <f>VLOOKUP(F70,'Transform table'!A:B,2,0)</f>
        <v>Dallas</v>
      </c>
      <c r="Z70" t="str">
        <f t="shared" si="1"/>
        <v>22/07/2026Portland TimbersDallas</v>
      </c>
      <c r="AA70" t="str">
        <f>VLOOKUP($Z70,'oddspedia-matches'!$A:$AD,AA$2,0)</f>
        <v>2 - 2</v>
      </c>
      <c r="AB70" t="str">
        <f>VLOOKUP($Z70,'oddspedia-matches'!$A:$AD,AB$2,0)</f>
        <v>Red</v>
      </c>
      <c r="AC70" t="str">
        <f>VLOOKUP($Z70,'oddspedia-matches'!$A:$AD,AC$2,0)</f>
        <v>Green</v>
      </c>
      <c r="AD70" t="str">
        <f>VLOOKUP($Z70,'oddspedia-matches'!$A:$AD,AD$2,0)</f>
        <v>Red</v>
      </c>
      <c r="AE70" t="str">
        <f>VLOOKUP($Z70,'oddspedia-matches'!$A:$AD,AE$2,0)</f>
        <v>Green</v>
      </c>
      <c r="AF70" t="str">
        <f>VLOOKUP($Z70,'oddspedia-matches'!$A:$AD,AF$2,0)</f>
        <v>Green</v>
      </c>
      <c r="AG70" t="str">
        <f>VLOOKUP($Z70,'oddspedia-matches'!$A:$AD,AG$2,0)</f>
        <v>Red</v>
      </c>
      <c r="AH70" t="str">
        <f>VLOOKUP($Z70,'oddspedia-matches'!$A:$AD,AH$2,0)</f>
        <v>Red</v>
      </c>
      <c r="AI70" t="str">
        <f>VLOOKUP($Z70,'oddspedia-matches'!$A:$AD,AI$2,0)</f>
        <v>Red</v>
      </c>
      <c r="AJ70" t="str">
        <f>VLOOKUP($Z70,'oddspedia-matches'!$A:$AD,AJ$2,0)</f>
        <v>Green</v>
      </c>
      <c r="AK70" t="str">
        <f>VLOOKUP($Z70,'oddspedia-matches'!$A:$AD,AK$2,0)</f>
        <v>Green</v>
      </c>
      <c r="AL70" t="str">
        <f>VLOOKUP($Z70,'oddspedia-matches'!$A:$AD,AL$2,0)</f>
        <v>Green</v>
      </c>
      <c r="AM70" t="str">
        <f>VLOOKUP($Z70,'oddspedia-matches'!$A:$AD,AM$2,0)</f>
        <v>Green</v>
      </c>
      <c r="AN70" t="str">
        <f>VLOOKUP($Z70,'oddspedia-matches'!$A:$AD,AN$2,0)</f>
        <v>Red</v>
      </c>
      <c r="AO70" t="str">
        <f>VLOOKUP($Z70,'oddspedia-matches'!$A:$AD,AO$2,0)</f>
        <v>Red</v>
      </c>
      <c r="AP70" t="str">
        <f>VLOOKUP($Z70,'oddspedia-matches'!$A:$AD,AP$2,0)</f>
        <v>Green</v>
      </c>
      <c r="AQ70" t="str">
        <f>VLOOKUP($Z70,'oddspedia-matches'!$A:$AD,AQ$2,0)</f>
        <v>Red</v>
      </c>
    </row>
    <row r="71" spans="2:43" x14ac:dyDescent="0.2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tr">
        <f>VLOOKUP(E71,'Transform table'!A:B,2,0)</f>
        <v>San Jose Earthquakes</v>
      </c>
      <c r="Y71" t="str">
        <f>VLOOKUP(F71,'Transform table'!A:B,2,0)</f>
        <v>Orlando City</v>
      </c>
      <c r="Z71" t="str">
        <f t="shared" si="1"/>
        <v>22/07/2026San Jose EarthquakesOrlando City</v>
      </c>
      <c r="AA71" t="str">
        <f>VLOOKUP($Z71,'oddspedia-matches'!$A:$AD,AA$2,0)</f>
        <v>0 - 4</v>
      </c>
      <c r="AB71" t="str">
        <f>VLOOKUP($Z71,'oddspedia-matches'!$A:$AD,AB$2,0)</f>
        <v>Red</v>
      </c>
      <c r="AC71" t="str">
        <f>VLOOKUP($Z71,'oddspedia-matches'!$A:$AD,AC$2,0)</f>
        <v>Red</v>
      </c>
      <c r="AD71" t="str">
        <f>VLOOKUP($Z71,'oddspedia-matches'!$A:$AD,AD$2,0)</f>
        <v>Green</v>
      </c>
      <c r="AE71" t="str">
        <f>VLOOKUP($Z71,'oddspedia-matches'!$A:$AD,AE$2,0)</f>
        <v>Red</v>
      </c>
      <c r="AF71" t="str">
        <f>VLOOKUP($Z71,'oddspedia-matches'!$A:$AD,AF$2,0)</f>
        <v>Green</v>
      </c>
      <c r="AG71" t="str">
        <f>VLOOKUP($Z71,'oddspedia-matches'!$A:$AD,AG$2,0)</f>
        <v>Green</v>
      </c>
      <c r="AH71" t="str">
        <f>VLOOKUP($Z71,'oddspedia-matches'!$A:$AD,AH$2,0)</f>
        <v>Red</v>
      </c>
      <c r="AI71" t="str">
        <f>VLOOKUP($Z71,'oddspedia-matches'!$A:$AD,AI$2,0)</f>
        <v>Red</v>
      </c>
      <c r="AJ71" t="str">
        <f>VLOOKUP($Z71,'oddspedia-matches'!$A:$AD,AJ$2,0)</f>
        <v>Green</v>
      </c>
      <c r="AK71" t="str">
        <f>VLOOKUP($Z71,'oddspedia-matches'!$A:$AD,AK$2,0)</f>
        <v>Green</v>
      </c>
      <c r="AL71" t="str">
        <f>VLOOKUP($Z71,'oddspedia-matches'!$A:$AD,AL$2,0)</f>
        <v>Green</v>
      </c>
      <c r="AM71" t="str">
        <f>VLOOKUP($Z71,'oddspedia-matches'!$A:$AD,AM$2,0)</f>
        <v>Green</v>
      </c>
      <c r="AN71" t="str">
        <f>VLOOKUP($Z71,'oddspedia-matches'!$A:$AD,AN$2,0)</f>
        <v>Red</v>
      </c>
      <c r="AO71" t="str">
        <f>VLOOKUP($Z71,'oddspedia-matches'!$A:$AD,AO$2,0)</f>
        <v>Red</v>
      </c>
      <c r="AP71" t="str">
        <f>VLOOKUP($Z71,'oddspedia-matches'!$A:$AD,AP$2,0)</f>
        <v>Red</v>
      </c>
      <c r="AQ71" t="str">
        <f>VLOOKUP($Z71,'oddspedia-matches'!$A:$AD,AQ$2,0)</f>
        <v>Green</v>
      </c>
    </row>
    <row r="72" spans="2:43" x14ac:dyDescent="0.2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tr">
        <f>VLOOKUP(E72,'Transform table'!A:B,2,0)</f>
        <v>New England Revolution II</v>
      </c>
      <c r="Y72" t="str">
        <f>VLOOKUP(F72,'Transform table'!A:B,2,0)</f>
        <v>New York City II</v>
      </c>
      <c r="Z72" t="str">
        <f t="shared" si="1"/>
        <v>23/07/2026New England Revolution IINew York City II</v>
      </c>
      <c r="AA72" t="str">
        <f>VLOOKUP($Z72,'oddspedia-matches'!$A:$AD,AA$2,0)</f>
        <v>3 - 0</v>
      </c>
      <c r="AB72" t="str">
        <f>VLOOKUP($Z72,'oddspedia-matches'!$A:$AD,AB$2,0)</f>
        <v>Green</v>
      </c>
      <c r="AC72" t="str">
        <f>VLOOKUP($Z72,'oddspedia-matches'!$A:$AD,AC$2,0)</f>
        <v>Red</v>
      </c>
      <c r="AD72" t="str">
        <f>VLOOKUP($Z72,'oddspedia-matches'!$A:$AD,AD$2,0)</f>
        <v>Red</v>
      </c>
      <c r="AE72" t="str">
        <f>VLOOKUP($Z72,'oddspedia-matches'!$A:$AD,AE$2,0)</f>
        <v>Green</v>
      </c>
      <c r="AF72" t="str">
        <f>VLOOKUP($Z72,'oddspedia-matches'!$A:$AD,AF$2,0)</f>
        <v>Red</v>
      </c>
      <c r="AG72" t="str">
        <f>VLOOKUP($Z72,'oddspedia-matches'!$A:$AD,AG$2,0)</f>
        <v>Green</v>
      </c>
      <c r="AH72" t="str">
        <f>VLOOKUP($Z72,'oddspedia-matches'!$A:$AD,AH$2,0)</f>
        <v>Green</v>
      </c>
      <c r="AI72" t="str">
        <f>VLOOKUP($Z72,'oddspedia-matches'!$A:$AD,AI$2,0)</f>
        <v>Red</v>
      </c>
      <c r="AJ72" t="str">
        <f>VLOOKUP($Z72,'oddspedia-matches'!$A:$AD,AJ$2,0)</f>
        <v>Red</v>
      </c>
      <c r="AK72" t="str">
        <f>VLOOKUP($Z72,'oddspedia-matches'!$A:$AD,AK$2,0)</f>
        <v>Green</v>
      </c>
      <c r="AL72" t="str">
        <f>VLOOKUP($Z72,'oddspedia-matches'!$A:$AD,AL$2,0)</f>
        <v>Green</v>
      </c>
      <c r="AM72" t="str">
        <f>VLOOKUP($Z72,'oddspedia-matches'!$A:$AD,AM$2,0)</f>
        <v>Green</v>
      </c>
      <c r="AN72" t="str">
        <f>VLOOKUP($Z72,'oddspedia-matches'!$A:$AD,AN$2,0)</f>
        <v>Red</v>
      </c>
      <c r="AO72" t="str">
        <f>VLOOKUP($Z72,'oddspedia-matches'!$A:$AD,AO$2,0)</f>
        <v>Green</v>
      </c>
      <c r="AP72" t="str">
        <f>VLOOKUP($Z72,'oddspedia-matches'!$A:$AD,AP$2,0)</f>
        <v>Red</v>
      </c>
      <c r="AQ72" t="str">
        <f>VLOOKUP($Z72,'oddspedia-matches'!$A:$AD,AQ$2,0)</f>
        <v>Green</v>
      </c>
    </row>
    <row r="73" spans="2:43" x14ac:dyDescent="0.2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tr">
        <f>VLOOKUP(E73,'Transform table'!A:B,2,0)</f>
        <v>Leiknir Reykjavik</v>
      </c>
      <c r="Y73" t="str">
        <f>VLOOKUP(F73,'Transform table'!A:B,2,0)</f>
        <v xml:space="preserve">Throttur </v>
      </c>
      <c r="Z73" t="str">
        <f t="shared" si="1"/>
        <v xml:space="preserve">23/07/2026Leiknir ReykjavikThrottur </v>
      </c>
      <c r="AA73" t="str">
        <f>VLOOKUP($Z73,'oddspedia-matches'!$A:$AD,AA$2,0)</f>
        <v>1 - 5</v>
      </c>
      <c r="AB73" t="str">
        <f>VLOOKUP($Z73,'oddspedia-matches'!$A:$AD,AB$2,0)</f>
        <v>Red</v>
      </c>
      <c r="AC73" t="str">
        <f>VLOOKUP($Z73,'oddspedia-matches'!$A:$AD,AC$2,0)</f>
        <v>Red</v>
      </c>
      <c r="AD73" t="str">
        <f>VLOOKUP($Z73,'oddspedia-matches'!$A:$AD,AD$2,0)</f>
        <v>Green</v>
      </c>
      <c r="AE73" t="str">
        <f>VLOOKUP($Z73,'oddspedia-matches'!$A:$AD,AE$2,0)</f>
        <v>Red</v>
      </c>
      <c r="AF73" t="str">
        <f>VLOOKUP($Z73,'oddspedia-matches'!$A:$AD,AF$2,0)</f>
        <v>Green</v>
      </c>
      <c r="AG73" t="str">
        <f>VLOOKUP($Z73,'oddspedia-matches'!$A:$AD,AG$2,0)</f>
        <v>Green</v>
      </c>
      <c r="AH73" t="str">
        <f>VLOOKUP($Z73,'oddspedia-matches'!$A:$AD,AH$2,0)</f>
        <v>Red</v>
      </c>
      <c r="AI73" t="str">
        <f>VLOOKUP($Z73,'oddspedia-matches'!$A:$AD,AI$2,0)</f>
        <v>Red</v>
      </c>
      <c r="AJ73" t="str">
        <f>VLOOKUP($Z73,'oddspedia-matches'!$A:$AD,AJ$2,0)</f>
        <v>Green</v>
      </c>
      <c r="AK73" t="str">
        <f>VLOOKUP($Z73,'oddspedia-matches'!$A:$AD,AK$2,0)</f>
        <v>Green</v>
      </c>
      <c r="AL73" t="str">
        <f>VLOOKUP($Z73,'oddspedia-matches'!$A:$AD,AL$2,0)</f>
        <v>Green</v>
      </c>
      <c r="AM73" t="str">
        <f>VLOOKUP($Z73,'oddspedia-matches'!$A:$AD,AM$2,0)</f>
        <v>Green</v>
      </c>
      <c r="AN73" t="str">
        <f>VLOOKUP($Z73,'oddspedia-matches'!$A:$AD,AN$2,0)</f>
        <v>Red</v>
      </c>
      <c r="AO73" t="str">
        <f>VLOOKUP($Z73,'oddspedia-matches'!$A:$AD,AO$2,0)</f>
        <v>Red</v>
      </c>
      <c r="AP73" t="str">
        <f>VLOOKUP($Z73,'oddspedia-matches'!$A:$AD,AP$2,0)</f>
        <v>Green</v>
      </c>
      <c r="AQ73" t="str">
        <f>VLOOKUP($Z73,'oddspedia-matches'!$A:$AD,AQ$2,0)</f>
        <v>Red</v>
      </c>
    </row>
    <row r="74" spans="2:43" x14ac:dyDescent="0.2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tr">
        <f>VLOOKUP(E74,'Transform table'!A:B,2,0)</f>
        <v>CD Leones Del Norte</v>
      </c>
      <c r="Y74" t="str">
        <f>VLOOKUP(F74,'Transform table'!A:B,2,0)</f>
        <v>Guayaquil City FC</v>
      </c>
      <c r="Z74" t="str">
        <f t="shared" si="1"/>
        <v>23/07/2026CD Leones Del NorteGuayaquil City FC</v>
      </c>
      <c r="AA74" t="str">
        <f>VLOOKUP($Z74,'oddspedia-matches'!$A:$AD,AA$2,0)</f>
        <v>1 - 1</v>
      </c>
      <c r="AB74" t="str">
        <f>VLOOKUP($Z74,'oddspedia-matches'!$A:$AD,AB$2,0)</f>
        <v>Red</v>
      </c>
      <c r="AC74" t="str">
        <f>VLOOKUP($Z74,'oddspedia-matches'!$A:$AD,AC$2,0)</f>
        <v>Green</v>
      </c>
      <c r="AD74" t="str">
        <f>VLOOKUP($Z74,'oddspedia-matches'!$A:$AD,AD$2,0)</f>
        <v>Red</v>
      </c>
      <c r="AE74" t="str">
        <f>VLOOKUP($Z74,'oddspedia-matches'!$A:$AD,AE$2,0)</f>
        <v>Green</v>
      </c>
      <c r="AF74" t="str">
        <f>VLOOKUP($Z74,'oddspedia-matches'!$A:$AD,AF$2,0)</f>
        <v>Green</v>
      </c>
      <c r="AG74" t="str">
        <f>VLOOKUP($Z74,'oddspedia-matches'!$A:$AD,AG$2,0)</f>
        <v>Red</v>
      </c>
      <c r="AH74" t="str">
        <f>VLOOKUP($Z74,'oddspedia-matches'!$A:$AD,AH$2,0)</f>
        <v>Red</v>
      </c>
      <c r="AI74" t="str">
        <f>VLOOKUP($Z74,'oddspedia-matches'!$A:$AD,AI$2,0)</f>
        <v>Red</v>
      </c>
      <c r="AJ74" t="str">
        <f>VLOOKUP($Z74,'oddspedia-matches'!$A:$AD,AJ$2,0)</f>
        <v>Green</v>
      </c>
      <c r="AK74" t="str">
        <f>VLOOKUP($Z74,'oddspedia-matches'!$A:$AD,AK$2,0)</f>
        <v>Green</v>
      </c>
      <c r="AL74" t="str">
        <f>VLOOKUP($Z74,'oddspedia-matches'!$A:$AD,AL$2,0)</f>
        <v>Green</v>
      </c>
      <c r="AM74" t="str">
        <f>VLOOKUP($Z74,'oddspedia-matches'!$A:$AD,AM$2,0)</f>
        <v>Red</v>
      </c>
      <c r="AN74" t="str">
        <f>VLOOKUP($Z74,'oddspedia-matches'!$A:$AD,AN$2,0)</f>
        <v>Green</v>
      </c>
      <c r="AO74" t="str">
        <f>VLOOKUP($Z74,'oddspedia-matches'!$A:$AD,AO$2,0)</f>
        <v>Green</v>
      </c>
      <c r="AP74" t="str">
        <f>VLOOKUP($Z74,'oddspedia-matches'!$A:$AD,AP$2,0)</f>
        <v>Green</v>
      </c>
      <c r="AQ74" t="str">
        <f>VLOOKUP($Z74,'oddspedia-matches'!$A:$AD,AQ$2,0)</f>
        <v>Red</v>
      </c>
    </row>
    <row r="75" spans="2:43" x14ac:dyDescent="0.2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tr">
        <f>VLOOKUP(E75,'Transform table'!A:B,2,0)</f>
        <v>Orense SC</v>
      </c>
      <c r="Y75" t="str">
        <f>VLOOKUP(F75,'Transform table'!A:B,2,0)</f>
        <v>SD Aucas</v>
      </c>
      <c r="Z75" t="str">
        <f t="shared" si="1"/>
        <v>23/07/2026Orense SCSD Aucas</v>
      </c>
      <c r="AA75" t="str">
        <f>VLOOKUP($Z75,'oddspedia-matches'!$A:$AD,AA$2,0)</f>
        <v>2 - 1</v>
      </c>
      <c r="AB75" t="str">
        <f>VLOOKUP($Z75,'oddspedia-matches'!$A:$AD,AB$2,0)</f>
        <v>Green</v>
      </c>
      <c r="AC75" t="str">
        <f>VLOOKUP($Z75,'oddspedia-matches'!$A:$AD,AC$2,0)</f>
        <v>Red</v>
      </c>
      <c r="AD75" t="str">
        <f>VLOOKUP($Z75,'oddspedia-matches'!$A:$AD,AD$2,0)</f>
        <v>Red</v>
      </c>
      <c r="AE75" t="str">
        <f>VLOOKUP($Z75,'oddspedia-matches'!$A:$AD,AE$2,0)</f>
        <v>Green</v>
      </c>
      <c r="AF75" t="str">
        <f>VLOOKUP($Z75,'oddspedia-matches'!$A:$AD,AF$2,0)</f>
        <v>Red</v>
      </c>
      <c r="AG75" t="str">
        <f>VLOOKUP($Z75,'oddspedia-matches'!$A:$AD,AG$2,0)</f>
        <v>Green</v>
      </c>
      <c r="AH75" t="str">
        <f>VLOOKUP($Z75,'oddspedia-matches'!$A:$AD,AH$2,0)</f>
        <v>Red</v>
      </c>
      <c r="AI75" t="str">
        <f>VLOOKUP($Z75,'oddspedia-matches'!$A:$AD,AI$2,0)</f>
        <v>Green</v>
      </c>
      <c r="AJ75" t="str">
        <f>VLOOKUP($Z75,'oddspedia-matches'!$A:$AD,AJ$2,0)</f>
        <v>Red</v>
      </c>
      <c r="AK75" t="str">
        <f>VLOOKUP($Z75,'oddspedia-matches'!$A:$AD,AK$2,0)</f>
        <v>Green</v>
      </c>
      <c r="AL75" t="str">
        <f>VLOOKUP($Z75,'oddspedia-matches'!$A:$AD,AL$2,0)</f>
        <v>Green</v>
      </c>
      <c r="AM75" t="str">
        <f>VLOOKUP($Z75,'oddspedia-matches'!$A:$AD,AM$2,0)</f>
        <v>Green</v>
      </c>
      <c r="AN75" t="str">
        <f>VLOOKUP($Z75,'oddspedia-matches'!$A:$AD,AN$2,0)</f>
        <v>Red</v>
      </c>
      <c r="AO75" t="str">
        <f>VLOOKUP($Z75,'oddspedia-matches'!$A:$AD,AO$2,0)</f>
        <v>Green</v>
      </c>
      <c r="AP75" t="str">
        <f>VLOOKUP($Z75,'oddspedia-matches'!$A:$AD,AP$2,0)</f>
        <v>Green</v>
      </c>
      <c r="AQ75" t="str">
        <f>VLOOKUP($Z75,'oddspedia-matches'!$A:$AD,AQ$2,0)</f>
        <v>Red</v>
      </c>
    </row>
    <row r="76" spans="2:43" x14ac:dyDescent="0.2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tr">
        <f>VLOOKUP(E76,'Transform table'!A:B,2,0)</f>
        <v>Belgrano</v>
      </c>
      <c r="Y76" t="str">
        <f>VLOOKUP(F76,'Transform table'!A:B,2,0)</f>
        <v>Rosario Central</v>
      </c>
      <c r="Z76" t="str">
        <f t="shared" si="1"/>
        <v>23/07/2026BelgranoRosario Central</v>
      </c>
      <c r="AA76" t="str">
        <f>VLOOKUP($Z76,'oddspedia-matches'!$A:$AD,AA$2,0)</f>
        <v>2 - 1</v>
      </c>
      <c r="AB76" t="str">
        <f>VLOOKUP($Z76,'oddspedia-matches'!$A:$AD,AB$2,0)</f>
        <v>Green</v>
      </c>
      <c r="AC76" t="str">
        <f>VLOOKUP($Z76,'oddspedia-matches'!$A:$AD,AC$2,0)</f>
        <v>Red</v>
      </c>
      <c r="AD76" t="str">
        <f>VLOOKUP($Z76,'oddspedia-matches'!$A:$AD,AD$2,0)</f>
        <v>Red</v>
      </c>
      <c r="AE76" t="str">
        <f>VLOOKUP($Z76,'oddspedia-matches'!$A:$AD,AE$2,0)</f>
        <v>Green</v>
      </c>
      <c r="AF76" t="str">
        <f>VLOOKUP($Z76,'oddspedia-matches'!$A:$AD,AF$2,0)</f>
        <v>Red</v>
      </c>
      <c r="AG76" t="str">
        <f>VLOOKUP($Z76,'oddspedia-matches'!$A:$AD,AG$2,0)</f>
        <v>Green</v>
      </c>
      <c r="AH76" t="str">
        <f>VLOOKUP($Z76,'oddspedia-matches'!$A:$AD,AH$2,0)</f>
        <v>Green</v>
      </c>
      <c r="AI76" t="str">
        <f>VLOOKUP($Z76,'oddspedia-matches'!$A:$AD,AI$2,0)</f>
        <v>Red</v>
      </c>
      <c r="AJ76" t="str">
        <f>VLOOKUP($Z76,'oddspedia-matches'!$A:$AD,AJ$2,0)</f>
        <v>Red</v>
      </c>
      <c r="AK76" t="str">
        <f>VLOOKUP($Z76,'oddspedia-matches'!$A:$AD,AK$2,0)</f>
        <v>Green</v>
      </c>
      <c r="AL76" t="str">
        <f>VLOOKUP($Z76,'oddspedia-matches'!$A:$AD,AL$2,0)</f>
        <v>Green</v>
      </c>
      <c r="AM76" t="str">
        <f>VLOOKUP($Z76,'oddspedia-matches'!$A:$AD,AM$2,0)</f>
        <v>Green</v>
      </c>
      <c r="AN76" t="str">
        <f>VLOOKUP($Z76,'oddspedia-matches'!$A:$AD,AN$2,0)</f>
        <v>Red</v>
      </c>
      <c r="AO76" t="str">
        <f>VLOOKUP($Z76,'oddspedia-matches'!$A:$AD,AO$2,0)</f>
        <v>Green</v>
      </c>
      <c r="AP76" t="str">
        <f>VLOOKUP($Z76,'oddspedia-matches'!$A:$AD,AP$2,0)</f>
        <v>Green</v>
      </c>
      <c r="AQ76" t="str">
        <f>VLOOKUP($Z76,'oddspedia-matches'!$A:$AD,AQ$2,0)</f>
        <v>Red</v>
      </c>
    </row>
    <row r="77" spans="2:43" x14ac:dyDescent="0.2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tr">
        <f>VLOOKUP(E77,'Transform table'!A:B,2,0)</f>
        <v>Sarmiento</v>
      </c>
      <c r="Y77" t="str">
        <f>VLOOKUP(F77,'Transform table'!A:B,2,0)</f>
        <v>Argentinos Juniors</v>
      </c>
      <c r="Z77" t="str">
        <f t="shared" si="1"/>
        <v>23/07/2026SarmientoArgentinos Juniors</v>
      </c>
      <c r="AA77" t="str">
        <f>VLOOKUP($Z77,'oddspedia-matches'!$A:$AD,AA$2,0)</f>
        <v>2 - 3</v>
      </c>
      <c r="AB77" t="str">
        <f>VLOOKUP($Z77,'oddspedia-matches'!$A:$AD,AB$2,0)</f>
        <v>Red</v>
      </c>
      <c r="AC77" t="str">
        <f>VLOOKUP($Z77,'oddspedia-matches'!$A:$AD,AC$2,0)</f>
        <v>Red</v>
      </c>
      <c r="AD77" t="str">
        <f>VLOOKUP($Z77,'oddspedia-matches'!$A:$AD,AD$2,0)</f>
        <v>Green</v>
      </c>
      <c r="AE77" t="str">
        <f>VLOOKUP($Z77,'oddspedia-matches'!$A:$AD,AE$2,0)</f>
        <v>Red</v>
      </c>
      <c r="AF77" t="str">
        <f>VLOOKUP($Z77,'oddspedia-matches'!$A:$AD,AF$2,0)</f>
        <v>Green</v>
      </c>
      <c r="AG77" t="str">
        <f>VLOOKUP($Z77,'oddspedia-matches'!$A:$AD,AG$2,0)</f>
        <v>Green</v>
      </c>
      <c r="AH77" t="str">
        <f>VLOOKUP($Z77,'oddspedia-matches'!$A:$AD,AH$2,0)</f>
        <v>Green</v>
      </c>
      <c r="AI77" t="str">
        <f>VLOOKUP($Z77,'oddspedia-matches'!$A:$AD,AI$2,0)</f>
        <v>Red</v>
      </c>
      <c r="AJ77" t="str">
        <f>VLOOKUP($Z77,'oddspedia-matches'!$A:$AD,AJ$2,0)</f>
        <v>Red</v>
      </c>
      <c r="AK77" t="str">
        <f>VLOOKUP($Z77,'oddspedia-matches'!$A:$AD,AK$2,0)</f>
        <v>Green</v>
      </c>
      <c r="AL77" t="str">
        <f>VLOOKUP($Z77,'oddspedia-matches'!$A:$AD,AL$2,0)</f>
        <v>Green</v>
      </c>
      <c r="AM77" t="str">
        <f>VLOOKUP($Z77,'oddspedia-matches'!$A:$AD,AM$2,0)</f>
        <v>Green</v>
      </c>
      <c r="AN77" t="str">
        <f>VLOOKUP($Z77,'oddspedia-matches'!$A:$AD,AN$2,0)</f>
        <v>Red</v>
      </c>
      <c r="AO77" t="str">
        <f>VLOOKUP($Z77,'oddspedia-matches'!$A:$AD,AO$2,0)</f>
        <v>Red</v>
      </c>
      <c r="AP77" t="str">
        <f>VLOOKUP($Z77,'oddspedia-matches'!$A:$AD,AP$2,0)</f>
        <v>Green</v>
      </c>
      <c r="AQ77" t="str">
        <f>VLOOKUP($Z77,'oddspedia-matches'!$A:$AD,AQ$2,0)</f>
        <v>Red</v>
      </c>
    </row>
    <row r="78" spans="2:43" x14ac:dyDescent="0.2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tr">
        <f>VLOOKUP(E78,'Transform table'!A:B,2,0)</f>
        <v>Botafogo RJ</v>
      </c>
      <c r="Y78" t="str">
        <f>VLOOKUP(F78,'Transform table'!A:B,2,0)</f>
        <v>Vitoria BA</v>
      </c>
      <c r="Z78" t="str">
        <f t="shared" si="1"/>
        <v>23/07/2026Botafogo RJVitoria BA</v>
      </c>
      <c r="AA78" t="str">
        <f>VLOOKUP($Z78,'oddspedia-matches'!$A:$AD,AA$2,0)</f>
        <v>0 - 0</v>
      </c>
      <c r="AB78" t="str">
        <f>VLOOKUP($Z78,'oddspedia-matches'!$A:$AD,AB$2,0)</f>
        <v>Red</v>
      </c>
      <c r="AC78" t="str">
        <f>VLOOKUP($Z78,'oddspedia-matches'!$A:$AD,AC$2,0)</f>
        <v>Green</v>
      </c>
      <c r="AD78" t="str">
        <f>VLOOKUP($Z78,'oddspedia-matches'!$A:$AD,AD$2,0)</f>
        <v>Red</v>
      </c>
      <c r="AE78" t="str">
        <f>VLOOKUP($Z78,'oddspedia-matches'!$A:$AD,AE$2,0)</f>
        <v>Green</v>
      </c>
      <c r="AF78" t="str">
        <f>VLOOKUP($Z78,'oddspedia-matches'!$A:$AD,AF$2,0)</f>
        <v>Green</v>
      </c>
      <c r="AG78" t="str">
        <f>VLOOKUP($Z78,'oddspedia-matches'!$A:$AD,AG$2,0)</f>
        <v>Red</v>
      </c>
      <c r="AH78" t="str">
        <f>VLOOKUP($Z78,'oddspedia-matches'!$A:$AD,AH$2,0)</f>
        <v>Red</v>
      </c>
      <c r="AI78" t="str">
        <f>VLOOKUP($Z78,'oddspedia-matches'!$A:$AD,AI$2,0)</f>
        <v>Green</v>
      </c>
      <c r="AJ78" t="str">
        <f>VLOOKUP($Z78,'oddspedia-matches'!$A:$AD,AJ$2,0)</f>
        <v>Red</v>
      </c>
      <c r="AK78" t="str">
        <f>VLOOKUP($Z78,'oddspedia-matches'!$A:$AD,AK$2,0)</f>
        <v>Red</v>
      </c>
      <c r="AL78" t="str">
        <f>VLOOKUP($Z78,'oddspedia-matches'!$A:$AD,AL$2,0)</f>
        <v>Red</v>
      </c>
      <c r="AM78" t="str">
        <f>VLOOKUP($Z78,'oddspedia-matches'!$A:$AD,AM$2,0)</f>
        <v>Red</v>
      </c>
      <c r="AN78" t="str">
        <f>VLOOKUP($Z78,'oddspedia-matches'!$A:$AD,AN$2,0)</f>
        <v>Green</v>
      </c>
      <c r="AO78" t="str">
        <f>VLOOKUP($Z78,'oddspedia-matches'!$A:$AD,AO$2,0)</f>
        <v>Green</v>
      </c>
      <c r="AP78" t="str">
        <f>VLOOKUP($Z78,'oddspedia-matches'!$A:$AD,AP$2,0)</f>
        <v>Red</v>
      </c>
      <c r="AQ78" t="str">
        <f>VLOOKUP($Z78,'oddspedia-matches'!$A:$AD,AQ$2,0)</f>
        <v>Green</v>
      </c>
    </row>
    <row r="79" spans="2:43" x14ac:dyDescent="0.2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tr">
        <f>VLOOKUP(E79,'Transform table'!A:B,2,0)</f>
        <v>Corinthians</v>
      </c>
      <c r="Y79" t="str">
        <f>VLOOKUP(F79,'Transform table'!A:B,2,0)</f>
        <v>Clube Do Remo</v>
      </c>
      <c r="Z79" t="str">
        <f t="shared" si="1"/>
        <v>23/07/2026CorinthiansClube Do Remo</v>
      </c>
      <c r="AA79" t="str">
        <f>VLOOKUP($Z79,'oddspedia-matches'!$A:$AD,AA$2,0)</f>
        <v>3 - 0</v>
      </c>
      <c r="AB79" t="str">
        <f>VLOOKUP($Z79,'oddspedia-matches'!$A:$AD,AB$2,0)</f>
        <v>Green</v>
      </c>
      <c r="AC79" t="str">
        <f>VLOOKUP($Z79,'oddspedia-matches'!$A:$AD,AC$2,0)</f>
        <v>Red</v>
      </c>
      <c r="AD79" t="str">
        <f>VLOOKUP($Z79,'oddspedia-matches'!$A:$AD,AD$2,0)</f>
        <v>Red</v>
      </c>
      <c r="AE79" t="str">
        <f>VLOOKUP($Z79,'oddspedia-matches'!$A:$AD,AE$2,0)</f>
        <v>Green</v>
      </c>
      <c r="AF79" t="str">
        <f>VLOOKUP($Z79,'oddspedia-matches'!$A:$AD,AF$2,0)</f>
        <v>Red</v>
      </c>
      <c r="AG79" t="str">
        <f>VLOOKUP($Z79,'oddspedia-matches'!$A:$AD,AG$2,0)</f>
        <v>Green</v>
      </c>
      <c r="AH79" t="str">
        <f>VLOOKUP($Z79,'oddspedia-matches'!$A:$AD,AH$2,0)</f>
        <v>Green</v>
      </c>
      <c r="AI79" t="str">
        <f>VLOOKUP($Z79,'oddspedia-matches'!$A:$AD,AI$2,0)</f>
        <v>Red</v>
      </c>
      <c r="AJ79" t="str">
        <f>VLOOKUP($Z79,'oddspedia-matches'!$A:$AD,AJ$2,0)</f>
        <v>Red</v>
      </c>
      <c r="AK79" t="str">
        <f>VLOOKUP($Z79,'oddspedia-matches'!$A:$AD,AK$2,0)</f>
        <v>Green</v>
      </c>
      <c r="AL79" t="str">
        <f>VLOOKUP($Z79,'oddspedia-matches'!$A:$AD,AL$2,0)</f>
        <v>Green</v>
      </c>
      <c r="AM79" t="str">
        <f>VLOOKUP($Z79,'oddspedia-matches'!$A:$AD,AM$2,0)</f>
        <v>Green</v>
      </c>
      <c r="AN79" t="str">
        <f>VLOOKUP($Z79,'oddspedia-matches'!$A:$AD,AN$2,0)</f>
        <v>Red</v>
      </c>
      <c r="AO79" t="str">
        <f>VLOOKUP($Z79,'oddspedia-matches'!$A:$AD,AO$2,0)</f>
        <v>Green</v>
      </c>
      <c r="AP79" t="str">
        <f>VLOOKUP($Z79,'oddspedia-matches'!$A:$AD,AP$2,0)</f>
        <v>Red</v>
      </c>
      <c r="AQ79" t="str">
        <f>VLOOKUP($Z79,'oddspedia-matches'!$A:$AD,AQ$2,0)</f>
        <v>Green</v>
      </c>
    </row>
    <row r="80" spans="2:43" x14ac:dyDescent="0.2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tr">
        <f>VLOOKUP(E80,'Transform table'!A:B,2,0)</f>
        <v>Athletic Club MG</v>
      </c>
      <c r="Y80" t="str">
        <f>VLOOKUP(F80,'Transform table'!A:B,2,0)</f>
        <v>Sao Bernardo FC SP</v>
      </c>
      <c r="Z80" t="str">
        <f t="shared" si="1"/>
        <v>23/07/2026Athletic Club MGSao Bernardo FC SP</v>
      </c>
      <c r="AA80" t="str">
        <f>VLOOKUP($Z80,'oddspedia-matches'!$A:$AD,AA$2,0)</f>
        <v>2 - 1</v>
      </c>
      <c r="AB80" t="str">
        <f>VLOOKUP($Z80,'oddspedia-matches'!$A:$AD,AB$2,0)</f>
        <v>Green</v>
      </c>
      <c r="AC80" t="str">
        <f>VLOOKUP($Z80,'oddspedia-matches'!$A:$AD,AC$2,0)</f>
        <v>Red</v>
      </c>
      <c r="AD80" t="str">
        <f>VLOOKUP($Z80,'oddspedia-matches'!$A:$AD,AD$2,0)</f>
        <v>Red</v>
      </c>
      <c r="AE80" t="str">
        <f>VLOOKUP($Z80,'oddspedia-matches'!$A:$AD,AE$2,0)</f>
        <v>Green</v>
      </c>
      <c r="AF80" t="str">
        <f>VLOOKUP($Z80,'oddspedia-matches'!$A:$AD,AF$2,0)</f>
        <v>Red</v>
      </c>
      <c r="AG80" t="str">
        <f>VLOOKUP($Z80,'oddspedia-matches'!$A:$AD,AG$2,0)</f>
        <v>Green</v>
      </c>
      <c r="AH80" t="str">
        <f>VLOOKUP($Z80,'oddspedia-matches'!$A:$AD,AH$2,0)</f>
        <v>Red</v>
      </c>
      <c r="AI80" t="str">
        <f>VLOOKUP($Z80,'oddspedia-matches'!$A:$AD,AI$2,0)</f>
        <v>Green</v>
      </c>
      <c r="AJ80" t="str">
        <f>VLOOKUP($Z80,'oddspedia-matches'!$A:$AD,AJ$2,0)</f>
        <v>Red</v>
      </c>
      <c r="AK80" t="str">
        <f>VLOOKUP($Z80,'oddspedia-matches'!$A:$AD,AK$2,0)</f>
        <v>Green</v>
      </c>
      <c r="AL80" t="str">
        <f>VLOOKUP($Z80,'oddspedia-matches'!$A:$AD,AL$2,0)</f>
        <v>Green</v>
      </c>
      <c r="AM80" t="str">
        <f>VLOOKUP($Z80,'oddspedia-matches'!$A:$AD,AM$2,0)</f>
        <v>Green</v>
      </c>
      <c r="AN80" t="str">
        <f>VLOOKUP($Z80,'oddspedia-matches'!$A:$AD,AN$2,0)</f>
        <v>Red</v>
      </c>
      <c r="AO80" t="str">
        <f>VLOOKUP($Z80,'oddspedia-matches'!$A:$AD,AO$2,0)</f>
        <v>Green</v>
      </c>
      <c r="AP80" t="str">
        <f>VLOOKUP($Z80,'oddspedia-matches'!$A:$AD,AP$2,0)</f>
        <v>Green</v>
      </c>
      <c r="AQ80" t="str">
        <f>VLOOKUP($Z80,'oddspedia-matches'!$A:$AD,AQ$2,0)</f>
        <v>Red</v>
      </c>
    </row>
    <row r="81" spans="2:43" x14ac:dyDescent="0.2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tr">
        <f>VLOOKUP(E81,'Transform table'!A:B,2,0)</f>
        <v>Cuiaba</v>
      </c>
      <c r="Y81" t="str">
        <f>VLOOKUP(F81,'Transform table'!A:B,2,0)</f>
        <v>Atletico Goianiense</v>
      </c>
      <c r="Z81" t="str">
        <f t="shared" si="1"/>
        <v>23/07/2026CuiabaAtletico Goianiense</v>
      </c>
      <c r="AA81" t="str">
        <f>VLOOKUP($Z81,'oddspedia-matches'!$A:$AD,AA$2,0)</f>
        <v>0 - 1</v>
      </c>
      <c r="AB81" t="str">
        <f>VLOOKUP($Z81,'oddspedia-matches'!$A:$AD,AB$2,0)</f>
        <v>Red</v>
      </c>
      <c r="AC81" t="str">
        <f>VLOOKUP($Z81,'oddspedia-matches'!$A:$AD,AC$2,0)</f>
        <v>Red</v>
      </c>
      <c r="AD81" t="str">
        <f>VLOOKUP($Z81,'oddspedia-matches'!$A:$AD,AD$2,0)</f>
        <v>Green</v>
      </c>
      <c r="AE81" t="str">
        <f>VLOOKUP($Z81,'oddspedia-matches'!$A:$AD,AE$2,0)</f>
        <v>Red</v>
      </c>
      <c r="AF81" t="str">
        <f>VLOOKUP($Z81,'oddspedia-matches'!$A:$AD,AF$2,0)</f>
        <v>Green</v>
      </c>
      <c r="AG81" t="str">
        <f>VLOOKUP($Z81,'oddspedia-matches'!$A:$AD,AG$2,0)</f>
        <v>Green</v>
      </c>
      <c r="AH81" t="str">
        <f>VLOOKUP($Z81,'oddspedia-matches'!$A:$AD,AH$2,0)</f>
        <v>Red</v>
      </c>
      <c r="AI81" t="str">
        <f>VLOOKUP($Z81,'oddspedia-matches'!$A:$AD,AI$2,0)</f>
        <v>Green</v>
      </c>
      <c r="AJ81" t="str">
        <f>VLOOKUP($Z81,'oddspedia-matches'!$A:$AD,AJ$2,0)</f>
        <v>Red</v>
      </c>
      <c r="AK81" t="str">
        <f>VLOOKUP($Z81,'oddspedia-matches'!$A:$AD,AK$2,0)</f>
        <v>Red</v>
      </c>
      <c r="AL81" t="str">
        <f>VLOOKUP($Z81,'oddspedia-matches'!$A:$AD,AL$2,0)</f>
        <v>Red</v>
      </c>
      <c r="AM81" t="str">
        <f>VLOOKUP($Z81,'oddspedia-matches'!$A:$AD,AM$2,0)</f>
        <v>Red</v>
      </c>
      <c r="AN81" t="str">
        <f>VLOOKUP($Z81,'oddspedia-matches'!$A:$AD,AN$2,0)</f>
        <v>Green</v>
      </c>
      <c r="AO81" t="str">
        <f>VLOOKUP($Z81,'oddspedia-matches'!$A:$AD,AO$2,0)</f>
        <v>Green</v>
      </c>
      <c r="AP81" t="str">
        <f>VLOOKUP($Z81,'oddspedia-matches'!$A:$AD,AP$2,0)</f>
        <v>Red</v>
      </c>
      <c r="AQ81" t="str">
        <f>VLOOKUP($Z81,'oddspedia-matches'!$A:$AD,AQ$2,0)</f>
        <v>Green</v>
      </c>
    </row>
    <row r="82" spans="2:43" x14ac:dyDescent="0.2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tr">
        <f>VLOOKUP(E82,'Transform table'!A:B,2,0)</f>
        <v>Emelec</v>
      </c>
      <c r="Y82" t="str">
        <f>VLOOKUP(F82,'Transform table'!A:B,2,0)</f>
        <v>Mushuc Runa</v>
      </c>
      <c r="Z82" t="str">
        <f t="shared" si="1"/>
        <v>23/07/2026EmelecMushuc Runa</v>
      </c>
      <c r="AA82" t="str">
        <f>VLOOKUP($Z82,'oddspedia-matches'!$A:$AD,AA$2,0)</f>
        <v>1 - 1</v>
      </c>
      <c r="AB82" t="str">
        <f>VLOOKUP($Z82,'oddspedia-matches'!$A:$AD,AB$2,0)</f>
        <v>Red</v>
      </c>
      <c r="AC82" t="str">
        <f>VLOOKUP($Z82,'oddspedia-matches'!$A:$AD,AC$2,0)</f>
        <v>Green</v>
      </c>
      <c r="AD82" t="str">
        <f>VLOOKUP($Z82,'oddspedia-matches'!$A:$AD,AD$2,0)</f>
        <v>Red</v>
      </c>
      <c r="AE82" t="str">
        <f>VLOOKUP($Z82,'oddspedia-matches'!$A:$AD,AE$2,0)</f>
        <v>Green</v>
      </c>
      <c r="AF82" t="str">
        <f>VLOOKUP($Z82,'oddspedia-matches'!$A:$AD,AF$2,0)</f>
        <v>Green</v>
      </c>
      <c r="AG82" t="str">
        <f>VLOOKUP($Z82,'oddspedia-matches'!$A:$AD,AG$2,0)</f>
        <v>Red</v>
      </c>
      <c r="AH82" t="str">
        <f>VLOOKUP($Z82,'oddspedia-matches'!$A:$AD,AH$2,0)</f>
        <v>Green</v>
      </c>
      <c r="AI82" t="str">
        <f>VLOOKUP($Z82,'oddspedia-matches'!$A:$AD,AI$2,0)</f>
        <v>Red</v>
      </c>
      <c r="AJ82" t="str">
        <f>VLOOKUP($Z82,'oddspedia-matches'!$A:$AD,AJ$2,0)</f>
        <v>Red</v>
      </c>
      <c r="AK82" t="str">
        <f>VLOOKUP($Z82,'oddspedia-matches'!$A:$AD,AK$2,0)</f>
        <v>Green</v>
      </c>
      <c r="AL82" t="str">
        <f>VLOOKUP($Z82,'oddspedia-matches'!$A:$AD,AL$2,0)</f>
        <v>Green</v>
      </c>
      <c r="AM82" t="str">
        <f>VLOOKUP($Z82,'oddspedia-matches'!$A:$AD,AM$2,0)</f>
        <v>Red</v>
      </c>
      <c r="AN82" t="str">
        <f>VLOOKUP($Z82,'oddspedia-matches'!$A:$AD,AN$2,0)</f>
        <v>Green</v>
      </c>
      <c r="AO82" t="str">
        <f>VLOOKUP($Z82,'oddspedia-matches'!$A:$AD,AO$2,0)</f>
        <v>Green</v>
      </c>
      <c r="AP82" t="str">
        <f>VLOOKUP($Z82,'oddspedia-matches'!$A:$AD,AP$2,0)</f>
        <v>Green</v>
      </c>
      <c r="AQ82" t="str">
        <f>VLOOKUP($Z82,'oddspedia-matches'!$A:$AD,AQ$2,0)</f>
        <v>Red</v>
      </c>
    </row>
    <row r="83" spans="2:43" x14ac:dyDescent="0.2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tr">
        <f>VLOOKUP(E83,'Transform table'!A:B,2,0)</f>
        <v>Botafogo SP</v>
      </c>
      <c r="Y83" t="str">
        <f>VLOOKUP(F83,'Transform table'!A:B,2,0)</f>
        <v>EC Juventude</v>
      </c>
      <c r="Z83" t="str">
        <f t="shared" si="1"/>
        <v>23/07/2026Botafogo SPEC Juventude</v>
      </c>
      <c r="AA83" t="str">
        <f>VLOOKUP($Z83,'oddspedia-matches'!$A:$AD,AA$2,0)</f>
        <v>4 - 2</v>
      </c>
      <c r="AB83" t="str">
        <f>VLOOKUP($Z83,'oddspedia-matches'!$A:$AD,AB$2,0)</f>
        <v>Green</v>
      </c>
      <c r="AC83" t="str">
        <f>VLOOKUP($Z83,'oddspedia-matches'!$A:$AD,AC$2,0)</f>
        <v>Red</v>
      </c>
      <c r="AD83" t="str">
        <f>VLOOKUP($Z83,'oddspedia-matches'!$A:$AD,AD$2,0)</f>
        <v>Red</v>
      </c>
      <c r="AE83" t="str">
        <f>VLOOKUP($Z83,'oddspedia-matches'!$A:$AD,AE$2,0)</f>
        <v>Green</v>
      </c>
      <c r="AF83" t="str">
        <f>VLOOKUP($Z83,'oddspedia-matches'!$A:$AD,AF$2,0)</f>
        <v>Red</v>
      </c>
      <c r="AG83" t="str">
        <f>VLOOKUP($Z83,'oddspedia-matches'!$A:$AD,AG$2,0)</f>
        <v>Green</v>
      </c>
      <c r="AH83" t="str">
        <f>VLOOKUP($Z83,'oddspedia-matches'!$A:$AD,AH$2,0)</f>
        <v>Green</v>
      </c>
      <c r="AI83" t="str">
        <f>VLOOKUP($Z83,'oddspedia-matches'!$A:$AD,AI$2,0)</f>
        <v>Red</v>
      </c>
      <c r="AJ83" t="str">
        <f>VLOOKUP($Z83,'oddspedia-matches'!$A:$AD,AJ$2,0)</f>
        <v>Red</v>
      </c>
      <c r="AK83" t="str">
        <f>VLOOKUP($Z83,'oddspedia-matches'!$A:$AD,AK$2,0)</f>
        <v>Green</v>
      </c>
      <c r="AL83" t="str">
        <f>VLOOKUP($Z83,'oddspedia-matches'!$A:$AD,AL$2,0)</f>
        <v>Green</v>
      </c>
      <c r="AM83" t="str">
        <f>VLOOKUP($Z83,'oddspedia-matches'!$A:$AD,AM$2,0)</f>
        <v>Green</v>
      </c>
      <c r="AN83" t="str">
        <f>VLOOKUP($Z83,'oddspedia-matches'!$A:$AD,AN$2,0)</f>
        <v>Red</v>
      </c>
      <c r="AO83" t="str">
        <f>VLOOKUP($Z83,'oddspedia-matches'!$A:$AD,AO$2,0)</f>
        <v>Red</v>
      </c>
      <c r="AP83" t="str">
        <f>VLOOKUP($Z83,'oddspedia-matches'!$A:$AD,AP$2,0)</f>
        <v>Green</v>
      </c>
      <c r="AQ83" t="str">
        <f>VLOOKUP($Z83,'oddspedia-matches'!$A:$AD,AQ$2,0)</f>
        <v>Red</v>
      </c>
    </row>
    <row r="84" spans="2:43" x14ac:dyDescent="0.2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tr">
        <f>VLOOKUP(E84,'Transform table'!A:B,2,0)</f>
        <v>Defensa Y Justicia</v>
      </c>
      <c r="Y84" t="str">
        <f>VLOOKUP(F84,'Transform table'!A:B,2,0)</f>
        <v>Aldosivi</v>
      </c>
      <c r="Z84" t="str">
        <f t="shared" si="1"/>
        <v>23/07/2026Defensa Y JusticiaAldosivi</v>
      </c>
      <c r="AA84" t="str">
        <f>VLOOKUP($Z84,'oddspedia-matches'!$A:$AD,AA$2,0)</f>
        <v>1 - 1</v>
      </c>
      <c r="AB84" t="str">
        <f>VLOOKUP($Z84,'oddspedia-matches'!$A:$AD,AB$2,0)</f>
        <v>Red</v>
      </c>
      <c r="AC84" t="str">
        <f>VLOOKUP($Z84,'oddspedia-matches'!$A:$AD,AC$2,0)</f>
        <v>Green</v>
      </c>
      <c r="AD84" t="str">
        <f>VLOOKUP($Z84,'oddspedia-matches'!$A:$AD,AD$2,0)</f>
        <v>Red</v>
      </c>
      <c r="AE84" t="str">
        <f>VLOOKUP($Z84,'oddspedia-matches'!$A:$AD,AE$2,0)</f>
        <v>Green</v>
      </c>
      <c r="AF84" t="str">
        <f>VLOOKUP($Z84,'oddspedia-matches'!$A:$AD,AF$2,0)</f>
        <v>Green</v>
      </c>
      <c r="AG84" t="str">
        <f>VLOOKUP($Z84,'oddspedia-matches'!$A:$AD,AG$2,0)</f>
        <v>Red</v>
      </c>
      <c r="AH84" t="str">
        <f>VLOOKUP($Z84,'oddspedia-matches'!$A:$AD,AH$2,0)</f>
        <v>Red</v>
      </c>
      <c r="AI84" t="str">
        <f>VLOOKUP($Z84,'oddspedia-matches'!$A:$AD,AI$2,0)</f>
        <v>Green</v>
      </c>
      <c r="AJ84" t="str">
        <f>VLOOKUP($Z84,'oddspedia-matches'!$A:$AD,AJ$2,0)</f>
        <v>Red</v>
      </c>
      <c r="AK84" t="str">
        <f>VLOOKUP($Z84,'oddspedia-matches'!$A:$AD,AK$2,0)</f>
        <v>Green</v>
      </c>
      <c r="AL84" t="str">
        <f>VLOOKUP($Z84,'oddspedia-matches'!$A:$AD,AL$2,0)</f>
        <v>Green</v>
      </c>
      <c r="AM84" t="str">
        <f>VLOOKUP($Z84,'oddspedia-matches'!$A:$AD,AM$2,0)</f>
        <v>Red</v>
      </c>
      <c r="AN84" t="str">
        <f>VLOOKUP($Z84,'oddspedia-matches'!$A:$AD,AN$2,0)</f>
        <v>Green</v>
      </c>
      <c r="AO84" t="str">
        <f>VLOOKUP($Z84,'oddspedia-matches'!$A:$AD,AO$2,0)</f>
        <v>Green</v>
      </c>
      <c r="AP84" t="str">
        <f>VLOOKUP($Z84,'oddspedia-matches'!$A:$AD,AP$2,0)</f>
        <v>Green</v>
      </c>
      <c r="AQ84" t="str">
        <f>VLOOKUP($Z84,'oddspedia-matches'!$A:$AD,AQ$2,0)</f>
        <v>Red</v>
      </c>
    </row>
    <row r="85" spans="2:43" x14ac:dyDescent="0.2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tr">
        <f>VLOOKUP(E85,'Transform table'!A:B,2,0)</f>
        <v>Manly United</v>
      </c>
      <c r="Y85" t="str">
        <f>VLOOKUP(F85,'Transform table'!A:B,2,0)</f>
        <v>Sydney Olympic</v>
      </c>
      <c r="Z85" t="str">
        <f t="shared" si="1"/>
        <v>24/07/2026Manly UnitedSydney Olympic</v>
      </c>
      <c r="AA85" t="str">
        <f>VLOOKUP($Z85,'oddspedia-matches'!$A:$AD,AA$2,0)</f>
        <v>4 - 0</v>
      </c>
      <c r="AB85" t="str">
        <f>VLOOKUP($Z85,'oddspedia-matches'!$A:$AD,AB$2,0)</f>
        <v>Green</v>
      </c>
      <c r="AC85" t="str">
        <f>VLOOKUP($Z85,'oddspedia-matches'!$A:$AD,AC$2,0)</f>
        <v>Red</v>
      </c>
      <c r="AD85" t="str">
        <f>VLOOKUP($Z85,'oddspedia-matches'!$A:$AD,AD$2,0)</f>
        <v>Red</v>
      </c>
      <c r="AE85" t="str">
        <f>VLOOKUP($Z85,'oddspedia-matches'!$A:$AD,AE$2,0)</f>
        <v>Green</v>
      </c>
      <c r="AF85" t="str">
        <f>VLOOKUP($Z85,'oddspedia-matches'!$A:$AD,AF$2,0)</f>
        <v>Red</v>
      </c>
      <c r="AG85" t="str">
        <f>VLOOKUP($Z85,'oddspedia-matches'!$A:$AD,AG$2,0)</f>
        <v>Green</v>
      </c>
      <c r="AH85" t="str">
        <f>VLOOKUP($Z85,'oddspedia-matches'!$A:$AD,AH$2,0)</f>
        <v>Green</v>
      </c>
      <c r="AI85" t="str">
        <f>VLOOKUP($Z85,'oddspedia-matches'!$A:$AD,AI$2,0)</f>
        <v>Red</v>
      </c>
      <c r="AJ85" t="str">
        <f>VLOOKUP($Z85,'oddspedia-matches'!$A:$AD,AJ$2,0)</f>
        <v>Red</v>
      </c>
      <c r="AK85" t="str">
        <f>VLOOKUP($Z85,'oddspedia-matches'!$A:$AD,AK$2,0)</f>
        <v>Green</v>
      </c>
      <c r="AL85" t="str">
        <f>VLOOKUP($Z85,'oddspedia-matches'!$A:$AD,AL$2,0)</f>
        <v>Green</v>
      </c>
      <c r="AM85" t="str">
        <f>VLOOKUP($Z85,'oddspedia-matches'!$A:$AD,AM$2,0)</f>
        <v>Green</v>
      </c>
      <c r="AN85" t="str">
        <f>VLOOKUP($Z85,'oddspedia-matches'!$A:$AD,AN$2,0)</f>
        <v>Red</v>
      </c>
      <c r="AO85" t="str">
        <f>VLOOKUP($Z85,'oddspedia-matches'!$A:$AD,AO$2,0)</f>
        <v>Red</v>
      </c>
      <c r="AP85" t="str">
        <f>VLOOKUP($Z85,'oddspedia-matches'!$A:$AD,AP$2,0)</f>
        <v>Red</v>
      </c>
      <c r="AQ85" t="str">
        <f>VLOOKUP($Z85,'oddspedia-matches'!$A:$AD,AQ$2,0)</f>
        <v>Green</v>
      </c>
    </row>
    <row r="86" spans="2:43" x14ac:dyDescent="0.2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tr">
        <f>VLOOKUP(E86,'Transform table'!A:B,2,0)</f>
        <v>Green Gully SC</v>
      </c>
      <c r="Y86" t="str">
        <f>VLOOKUP(F86,'Transform table'!A:B,2,0)</f>
        <v>Dandenong City</v>
      </c>
      <c r="Z86" t="str">
        <f t="shared" si="1"/>
        <v>24/07/2026Green Gully SCDandenong City</v>
      </c>
      <c r="AA86" t="str">
        <f>VLOOKUP($Z86,'oddspedia-matches'!$A:$AD,AA$2,0)</f>
        <v>0 - 0</v>
      </c>
      <c r="AB86" t="str">
        <f>VLOOKUP($Z86,'oddspedia-matches'!$A:$AD,AB$2,0)</f>
        <v>Red</v>
      </c>
      <c r="AC86" t="str">
        <f>VLOOKUP($Z86,'oddspedia-matches'!$A:$AD,AC$2,0)</f>
        <v>Green</v>
      </c>
      <c r="AD86" t="str">
        <f>VLOOKUP($Z86,'oddspedia-matches'!$A:$AD,AD$2,0)</f>
        <v>Red</v>
      </c>
      <c r="AE86" t="str">
        <f>VLOOKUP($Z86,'oddspedia-matches'!$A:$AD,AE$2,0)</f>
        <v>Green</v>
      </c>
      <c r="AF86" t="str">
        <f>VLOOKUP($Z86,'oddspedia-matches'!$A:$AD,AF$2,0)</f>
        <v>Green</v>
      </c>
      <c r="AG86" t="str">
        <f>VLOOKUP($Z86,'oddspedia-matches'!$A:$AD,AG$2,0)</f>
        <v>Red</v>
      </c>
      <c r="AH86" t="str">
        <f>VLOOKUP($Z86,'oddspedia-matches'!$A:$AD,AH$2,0)</f>
        <v>Red</v>
      </c>
      <c r="AI86" t="str">
        <f>VLOOKUP($Z86,'oddspedia-matches'!$A:$AD,AI$2,0)</f>
        <v>Green</v>
      </c>
      <c r="AJ86" t="str">
        <f>VLOOKUP($Z86,'oddspedia-matches'!$A:$AD,AJ$2,0)</f>
        <v>Red</v>
      </c>
      <c r="AK86" t="str">
        <f>VLOOKUP($Z86,'oddspedia-matches'!$A:$AD,AK$2,0)</f>
        <v>Red</v>
      </c>
      <c r="AL86" t="str">
        <f>VLOOKUP($Z86,'oddspedia-matches'!$A:$AD,AL$2,0)</f>
        <v>Red</v>
      </c>
      <c r="AM86" t="str">
        <f>VLOOKUP($Z86,'oddspedia-matches'!$A:$AD,AM$2,0)</f>
        <v>Red</v>
      </c>
      <c r="AN86" t="str">
        <f>VLOOKUP($Z86,'oddspedia-matches'!$A:$AD,AN$2,0)</f>
        <v>Green</v>
      </c>
      <c r="AO86" t="str">
        <f>VLOOKUP($Z86,'oddspedia-matches'!$A:$AD,AO$2,0)</f>
        <v>Green</v>
      </c>
      <c r="AP86" t="str">
        <f>VLOOKUP($Z86,'oddspedia-matches'!$A:$AD,AP$2,0)</f>
        <v>Red</v>
      </c>
      <c r="AQ86" t="str">
        <f>VLOOKUP($Z86,'oddspedia-matches'!$A:$AD,AQ$2,0)</f>
        <v>Green</v>
      </c>
    </row>
    <row r="87" spans="2:43" x14ac:dyDescent="0.2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tr">
        <f>VLOOKUP(E87,'Transform table'!A:B,2,0)</f>
        <v>Heidelberg United</v>
      </c>
      <c r="Y87" t="str">
        <f>VLOOKUP(F87,'Transform table'!A:B,2,0)</f>
        <v>Sunshine George Cross</v>
      </c>
      <c r="Z87" t="str">
        <f t="shared" si="1"/>
        <v>24/07/2026Heidelberg UnitedSunshine George Cross</v>
      </c>
      <c r="AA87" t="str">
        <f>VLOOKUP($Z87,'oddspedia-matches'!$A:$AD,AA$2,0)</f>
        <v>0 - 0</v>
      </c>
      <c r="AB87" t="str">
        <f>VLOOKUP($Z87,'oddspedia-matches'!$A:$AD,AB$2,0)</f>
        <v>Red</v>
      </c>
      <c r="AC87" t="str">
        <f>VLOOKUP($Z87,'oddspedia-matches'!$A:$AD,AC$2,0)</f>
        <v>Green</v>
      </c>
      <c r="AD87" t="str">
        <f>VLOOKUP($Z87,'oddspedia-matches'!$A:$AD,AD$2,0)</f>
        <v>Red</v>
      </c>
      <c r="AE87" t="str">
        <f>VLOOKUP($Z87,'oddspedia-matches'!$A:$AD,AE$2,0)</f>
        <v>Green</v>
      </c>
      <c r="AF87" t="str">
        <f>VLOOKUP($Z87,'oddspedia-matches'!$A:$AD,AF$2,0)</f>
        <v>Green</v>
      </c>
      <c r="AG87" t="str">
        <f>VLOOKUP($Z87,'oddspedia-matches'!$A:$AD,AG$2,0)</f>
        <v>Red</v>
      </c>
      <c r="AH87" t="str">
        <f>VLOOKUP($Z87,'oddspedia-matches'!$A:$AD,AH$2,0)</f>
        <v>Red</v>
      </c>
      <c r="AI87" t="str">
        <f>VLOOKUP($Z87,'oddspedia-matches'!$A:$AD,AI$2,0)</f>
        <v>Green</v>
      </c>
      <c r="AJ87" t="str">
        <f>VLOOKUP($Z87,'oddspedia-matches'!$A:$AD,AJ$2,0)</f>
        <v>Red</v>
      </c>
      <c r="AK87" t="str">
        <f>VLOOKUP($Z87,'oddspedia-matches'!$A:$AD,AK$2,0)</f>
        <v>Red</v>
      </c>
      <c r="AL87" t="str">
        <f>VLOOKUP($Z87,'oddspedia-matches'!$A:$AD,AL$2,0)</f>
        <v>Red</v>
      </c>
      <c r="AM87" t="str">
        <f>VLOOKUP($Z87,'oddspedia-matches'!$A:$AD,AM$2,0)</f>
        <v>Red</v>
      </c>
      <c r="AN87" t="str">
        <f>VLOOKUP($Z87,'oddspedia-matches'!$A:$AD,AN$2,0)</f>
        <v>Green</v>
      </c>
      <c r="AO87" t="str">
        <f>VLOOKUP($Z87,'oddspedia-matches'!$A:$AD,AO$2,0)</f>
        <v>Green</v>
      </c>
      <c r="AP87" t="str">
        <f>VLOOKUP($Z87,'oddspedia-matches'!$A:$AD,AP$2,0)</f>
        <v>Red</v>
      </c>
      <c r="AQ87" t="str">
        <f>VLOOKUP($Z87,'oddspedia-matches'!$A:$AD,AQ$2,0)</f>
        <v>Green</v>
      </c>
    </row>
    <row r="88" spans="2:43" x14ac:dyDescent="0.2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tr">
        <f>VLOOKUP(E88,'Transform table'!A:B,2,0)</f>
        <v>St Albans Saints</v>
      </c>
      <c r="Y88" t="str">
        <f>VLOOKUP(F88,'Transform table'!A:B,2,0)</f>
        <v>Hume City</v>
      </c>
      <c r="Z88" t="str">
        <f t="shared" si="1"/>
        <v>24/07/2026St Albans SaintsHume City</v>
      </c>
      <c r="AA88" t="str">
        <f>VLOOKUP($Z88,'oddspedia-matches'!$A:$AD,AA$2,0)</f>
        <v>3 - 2</v>
      </c>
      <c r="AB88" t="str">
        <f>VLOOKUP($Z88,'oddspedia-matches'!$A:$AD,AB$2,0)</f>
        <v>Green</v>
      </c>
      <c r="AC88" t="str">
        <f>VLOOKUP($Z88,'oddspedia-matches'!$A:$AD,AC$2,0)</f>
        <v>Red</v>
      </c>
      <c r="AD88" t="str">
        <f>VLOOKUP($Z88,'oddspedia-matches'!$A:$AD,AD$2,0)</f>
        <v>Red</v>
      </c>
      <c r="AE88" t="str">
        <f>VLOOKUP($Z88,'oddspedia-matches'!$A:$AD,AE$2,0)</f>
        <v>Green</v>
      </c>
      <c r="AF88" t="str">
        <f>VLOOKUP($Z88,'oddspedia-matches'!$A:$AD,AF$2,0)</f>
        <v>Red</v>
      </c>
      <c r="AG88" t="str">
        <f>VLOOKUP($Z88,'oddspedia-matches'!$A:$AD,AG$2,0)</f>
        <v>Green</v>
      </c>
      <c r="AH88" t="str">
        <f>VLOOKUP($Z88,'oddspedia-matches'!$A:$AD,AH$2,0)</f>
        <v>Green</v>
      </c>
      <c r="AI88" t="str">
        <f>VLOOKUP($Z88,'oddspedia-matches'!$A:$AD,AI$2,0)</f>
        <v>Red</v>
      </c>
      <c r="AJ88" t="str">
        <f>VLOOKUP($Z88,'oddspedia-matches'!$A:$AD,AJ$2,0)</f>
        <v>Red</v>
      </c>
      <c r="AK88" t="str">
        <f>VLOOKUP($Z88,'oddspedia-matches'!$A:$AD,AK$2,0)</f>
        <v>Green</v>
      </c>
      <c r="AL88" t="str">
        <f>VLOOKUP($Z88,'oddspedia-matches'!$A:$AD,AL$2,0)</f>
        <v>Green</v>
      </c>
      <c r="AM88" t="str">
        <f>VLOOKUP($Z88,'oddspedia-matches'!$A:$AD,AM$2,0)</f>
        <v>Green</v>
      </c>
      <c r="AN88" t="str">
        <f>VLOOKUP($Z88,'oddspedia-matches'!$A:$AD,AN$2,0)</f>
        <v>Red</v>
      </c>
      <c r="AO88" t="str">
        <f>VLOOKUP($Z88,'oddspedia-matches'!$A:$AD,AO$2,0)</f>
        <v>Red</v>
      </c>
      <c r="AP88" t="str">
        <f>VLOOKUP($Z88,'oddspedia-matches'!$A:$AD,AP$2,0)</f>
        <v>Green</v>
      </c>
      <c r="AQ88" t="str">
        <f>VLOOKUP($Z88,'oddspedia-matches'!$A:$AD,AQ$2,0)</f>
        <v>Red</v>
      </c>
    </row>
    <row r="89" spans="2:43" x14ac:dyDescent="0.2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tr">
        <f>VLOOKUP(E89,'Transform table'!A:B,2,0)</f>
        <v>Oakleigh Cannons</v>
      </c>
      <c r="Y89" t="str">
        <f>VLOOKUP(F89,'Transform table'!A:B,2,0)</f>
        <v>South Melbourne FC</v>
      </c>
      <c r="Z89" t="str">
        <f t="shared" si="1"/>
        <v>24/07/2026Oakleigh CannonsSouth Melbourne FC</v>
      </c>
      <c r="AA89" t="str">
        <f>VLOOKUP($Z89,'oddspedia-matches'!$A:$AD,AA$2,0)</f>
        <v>1 - 2</v>
      </c>
      <c r="AB89" t="str">
        <f>VLOOKUP($Z89,'oddspedia-matches'!$A:$AD,AB$2,0)</f>
        <v>Red</v>
      </c>
      <c r="AC89" t="str">
        <f>VLOOKUP($Z89,'oddspedia-matches'!$A:$AD,AC$2,0)</f>
        <v>Red</v>
      </c>
      <c r="AD89" t="str">
        <f>VLOOKUP($Z89,'oddspedia-matches'!$A:$AD,AD$2,0)</f>
        <v>Green</v>
      </c>
      <c r="AE89" t="str">
        <f>VLOOKUP($Z89,'oddspedia-matches'!$A:$AD,AE$2,0)</f>
        <v>Red</v>
      </c>
      <c r="AF89" t="str">
        <f>VLOOKUP($Z89,'oddspedia-matches'!$A:$AD,AF$2,0)</f>
        <v>Green</v>
      </c>
      <c r="AG89" t="str">
        <f>VLOOKUP($Z89,'oddspedia-matches'!$A:$AD,AG$2,0)</f>
        <v>Green</v>
      </c>
      <c r="AH89" t="str">
        <f>VLOOKUP($Z89,'oddspedia-matches'!$A:$AD,AH$2,0)</f>
        <v>Red</v>
      </c>
      <c r="AI89" t="str">
        <f>VLOOKUP($Z89,'oddspedia-matches'!$A:$AD,AI$2,0)</f>
        <v>Green</v>
      </c>
      <c r="AJ89" t="str">
        <f>VLOOKUP($Z89,'oddspedia-matches'!$A:$AD,AJ$2,0)</f>
        <v>Red</v>
      </c>
      <c r="AK89" t="str">
        <f>VLOOKUP($Z89,'oddspedia-matches'!$A:$AD,AK$2,0)</f>
        <v>Red</v>
      </c>
      <c r="AL89" t="str">
        <f>VLOOKUP($Z89,'oddspedia-matches'!$A:$AD,AL$2,0)</f>
        <v>Green</v>
      </c>
      <c r="AM89" t="str">
        <f>VLOOKUP($Z89,'oddspedia-matches'!$A:$AD,AM$2,0)</f>
        <v>Green</v>
      </c>
      <c r="AN89" t="str">
        <f>VLOOKUP($Z89,'oddspedia-matches'!$A:$AD,AN$2,0)</f>
        <v>Red</v>
      </c>
      <c r="AO89" t="str">
        <f>VLOOKUP($Z89,'oddspedia-matches'!$A:$AD,AO$2,0)</f>
        <v>Green</v>
      </c>
      <c r="AP89" t="str">
        <f>VLOOKUP($Z89,'oddspedia-matches'!$A:$AD,AP$2,0)</f>
        <v>Green</v>
      </c>
      <c r="AQ89" t="str">
        <f>VLOOKUP($Z89,'oddspedia-matches'!$A:$AD,AQ$2,0)</f>
        <v>Red</v>
      </c>
    </row>
    <row r="90" spans="2:43" x14ac:dyDescent="0.2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tr">
        <f>VLOOKUP(E90,'Transform table'!A:B,2,0)</f>
        <v>Preston Lions</v>
      </c>
      <c r="Y90" t="str">
        <f>VLOOKUP(F90,'Transform table'!A:B,2,0)</f>
        <v>Bentleigh Greens</v>
      </c>
      <c r="Z90" t="str">
        <f t="shared" si="1"/>
        <v>24/07/2026Preston LionsBentleigh Greens</v>
      </c>
      <c r="AA90" t="str">
        <f>VLOOKUP($Z90,'oddspedia-matches'!$A:$AD,AA$2,0)</f>
        <v>1 - 0</v>
      </c>
      <c r="AB90" t="str">
        <f>VLOOKUP($Z90,'oddspedia-matches'!$A:$AD,AB$2,0)</f>
        <v>Green</v>
      </c>
      <c r="AC90" t="str">
        <f>VLOOKUP($Z90,'oddspedia-matches'!$A:$AD,AC$2,0)</f>
        <v>Red</v>
      </c>
      <c r="AD90" t="str">
        <f>VLOOKUP($Z90,'oddspedia-matches'!$A:$AD,AD$2,0)</f>
        <v>Red</v>
      </c>
      <c r="AE90" t="str">
        <f>VLOOKUP($Z90,'oddspedia-matches'!$A:$AD,AE$2,0)</f>
        <v>Green</v>
      </c>
      <c r="AF90" t="str">
        <f>VLOOKUP($Z90,'oddspedia-matches'!$A:$AD,AF$2,0)</f>
        <v>Red</v>
      </c>
      <c r="AG90" t="str">
        <f>VLOOKUP($Z90,'oddspedia-matches'!$A:$AD,AG$2,0)</f>
        <v>Green</v>
      </c>
      <c r="AH90" t="str">
        <f>VLOOKUP($Z90,'oddspedia-matches'!$A:$AD,AH$2,0)</f>
        <v>Green</v>
      </c>
      <c r="AI90" t="str">
        <f>VLOOKUP($Z90,'oddspedia-matches'!$A:$AD,AI$2,0)</f>
        <v>Red</v>
      </c>
      <c r="AJ90" t="str">
        <f>VLOOKUP($Z90,'oddspedia-matches'!$A:$AD,AJ$2,0)</f>
        <v>Red</v>
      </c>
      <c r="AK90" t="str">
        <f>VLOOKUP($Z90,'oddspedia-matches'!$A:$AD,AK$2,0)</f>
        <v>Green</v>
      </c>
      <c r="AL90" t="str">
        <f>VLOOKUP($Z90,'oddspedia-matches'!$A:$AD,AL$2,0)</f>
        <v>Red</v>
      </c>
      <c r="AM90" t="str">
        <f>VLOOKUP($Z90,'oddspedia-matches'!$A:$AD,AM$2,0)</f>
        <v>Red</v>
      </c>
      <c r="AN90" t="str">
        <f>VLOOKUP($Z90,'oddspedia-matches'!$A:$AD,AN$2,0)</f>
        <v>Green</v>
      </c>
      <c r="AO90" t="str">
        <f>VLOOKUP($Z90,'oddspedia-matches'!$A:$AD,AO$2,0)</f>
        <v>Green</v>
      </c>
      <c r="AP90" t="str">
        <f>VLOOKUP($Z90,'oddspedia-matches'!$A:$AD,AP$2,0)</f>
        <v>Red</v>
      </c>
      <c r="AQ90" t="str">
        <f>VLOOKUP($Z90,'oddspedia-matches'!$A:$AD,AQ$2,0)</f>
        <v>Green</v>
      </c>
    </row>
    <row r="91" spans="2:43" x14ac:dyDescent="0.2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tr">
        <f>VLOOKUP(E91,'Transform table'!A:B,2,0)</f>
        <v>Gimhae City</v>
      </c>
      <c r="Y91" t="str">
        <f>VLOOKUP(F91,'Transform table'!A:B,2,0)</f>
        <v>Chungbuk Cheongju</v>
      </c>
      <c r="Z91" t="str">
        <f t="shared" si="1"/>
        <v>24/07/2026Gimhae CityChungbuk Cheongju</v>
      </c>
      <c r="AA91" t="str">
        <f>VLOOKUP($Z91,'oddspedia-matches'!$A:$AD,AA$2,0)</f>
        <v>1 - 1</v>
      </c>
      <c r="AB91" t="str">
        <f>VLOOKUP($Z91,'oddspedia-matches'!$A:$AD,AB$2,0)</f>
        <v>Red</v>
      </c>
      <c r="AC91" t="str">
        <f>VLOOKUP($Z91,'oddspedia-matches'!$A:$AD,AC$2,0)</f>
        <v>Green</v>
      </c>
      <c r="AD91" t="str">
        <f>VLOOKUP($Z91,'oddspedia-matches'!$A:$AD,AD$2,0)</f>
        <v>Red</v>
      </c>
      <c r="AE91" t="str">
        <f>VLOOKUP($Z91,'oddspedia-matches'!$A:$AD,AE$2,0)</f>
        <v>Green</v>
      </c>
      <c r="AF91" t="str">
        <f>VLOOKUP($Z91,'oddspedia-matches'!$A:$AD,AF$2,0)</f>
        <v>Green</v>
      </c>
      <c r="AG91" t="str">
        <f>VLOOKUP($Z91,'oddspedia-matches'!$A:$AD,AG$2,0)</f>
        <v>Red</v>
      </c>
      <c r="AH91" t="str">
        <f>VLOOKUP($Z91,'oddspedia-matches'!$A:$AD,AH$2,0)</f>
        <v>Red</v>
      </c>
      <c r="AI91" t="str">
        <f>VLOOKUP($Z91,'oddspedia-matches'!$A:$AD,AI$2,0)</f>
        <v>Green</v>
      </c>
      <c r="AJ91" t="str">
        <f>VLOOKUP($Z91,'oddspedia-matches'!$A:$AD,AJ$2,0)</f>
        <v>Red</v>
      </c>
      <c r="AK91" t="str">
        <f>VLOOKUP($Z91,'oddspedia-matches'!$A:$AD,AK$2,0)</f>
        <v>Red</v>
      </c>
      <c r="AL91" t="str">
        <f>VLOOKUP($Z91,'oddspedia-matches'!$A:$AD,AL$2,0)</f>
        <v>Green</v>
      </c>
      <c r="AM91" t="str">
        <f>VLOOKUP($Z91,'oddspedia-matches'!$A:$AD,AM$2,0)</f>
        <v>Red</v>
      </c>
      <c r="AN91" t="str">
        <f>VLOOKUP($Z91,'oddspedia-matches'!$A:$AD,AN$2,0)</f>
        <v>Green</v>
      </c>
      <c r="AO91" t="str">
        <f>VLOOKUP($Z91,'oddspedia-matches'!$A:$AD,AO$2,0)</f>
        <v>Green</v>
      </c>
      <c r="AP91" t="str">
        <f>VLOOKUP($Z91,'oddspedia-matches'!$A:$AD,AP$2,0)</f>
        <v>Green</v>
      </c>
      <c r="AQ91" t="str">
        <f>VLOOKUP($Z91,'oddspedia-matches'!$A:$AD,AQ$2,0)</f>
        <v>Red</v>
      </c>
    </row>
    <row r="92" spans="2:43" x14ac:dyDescent="0.2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tr">
        <f>VLOOKUP(E92,'Transform table'!A:B,2,0)</f>
        <v>Seoul E-Land</v>
      </c>
      <c r="Y92" t="str">
        <f>VLOOKUP(F92,'Transform table'!A:B,2,0)</f>
        <v>Cheonan City</v>
      </c>
      <c r="Z92" t="str">
        <f t="shared" si="1"/>
        <v>24/07/2026Seoul E-LandCheonan City</v>
      </c>
      <c r="AA92" t="str">
        <f>VLOOKUP($Z92,'oddspedia-matches'!$A:$AD,AA$2,0)</f>
        <v>4 - 3</v>
      </c>
      <c r="AB92" t="str">
        <f>VLOOKUP($Z92,'oddspedia-matches'!$A:$AD,AB$2,0)</f>
        <v>Green</v>
      </c>
      <c r="AC92" t="str">
        <f>VLOOKUP($Z92,'oddspedia-matches'!$A:$AD,AC$2,0)</f>
        <v>Red</v>
      </c>
      <c r="AD92" t="str">
        <f>VLOOKUP($Z92,'oddspedia-matches'!$A:$AD,AD$2,0)</f>
        <v>Red</v>
      </c>
      <c r="AE92" t="str">
        <f>VLOOKUP($Z92,'oddspedia-matches'!$A:$AD,AE$2,0)</f>
        <v>Green</v>
      </c>
      <c r="AF92" t="str">
        <f>VLOOKUP($Z92,'oddspedia-matches'!$A:$AD,AF$2,0)</f>
        <v>Red</v>
      </c>
      <c r="AG92" t="str">
        <f>VLOOKUP($Z92,'oddspedia-matches'!$A:$AD,AG$2,0)</f>
        <v>Green</v>
      </c>
      <c r="AH92" t="str">
        <f>VLOOKUP($Z92,'oddspedia-matches'!$A:$AD,AH$2,0)</f>
        <v>Red</v>
      </c>
      <c r="AI92" t="str">
        <f>VLOOKUP($Z92,'oddspedia-matches'!$A:$AD,AI$2,0)</f>
        <v>Green</v>
      </c>
      <c r="AJ92" t="str">
        <f>VLOOKUP($Z92,'oddspedia-matches'!$A:$AD,AJ$2,0)</f>
        <v>Red</v>
      </c>
      <c r="AK92" t="str">
        <f>VLOOKUP($Z92,'oddspedia-matches'!$A:$AD,AK$2,0)</f>
        <v>Green</v>
      </c>
      <c r="AL92" t="str">
        <f>VLOOKUP($Z92,'oddspedia-matches'!$A:$AD,AL$2,0)</f>
        <v>Green</v>
      </c>
      <c r="AM92" t="str">
        <f>VLOOKUP($Z92,'oddspedia-matches'!$A:$AD,AM$2,0)</f>
        <v>Green</v>
      </c>
      <c r="AN92" t="str">
        <f>VLOOKUP($Z92,'oddspedia-matches'!$A:$AD,AN$2,0)</f>
        <v>Red</v>
      </c>
      <c r="AO92" t="str">
        <f>VLOOKUP($Z92,'oddspedia-matches'!$A:$AD,AO$2,0)</f>
        <v>Red</v>
      </c>
      <c r="AP92" t="str">
        <f>VLOOKUP($Z92,'oddspedia-matches'!$A:$AD,AP$2,0)</f>
        <v>Green</v>
      </c>
      <c r="AQ92" t="str">
        <f>VLOOKUP($Z92,'oddspedia-matches'!$A:$AD,AQ$2,0)</f>
        <v>Red</v>
      </c>
    </row>
    <row r="93" spans="2:43" x14ac:dyDescent="0.2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tr">
        <f>VLOOKUP(E93,'Transform table'!A:B,2,0)</f>
        <v>FK Panevezys</v>
      </c>
      <c r="Y93" t="str">
        <f>VLOOKUP(F93,'Transform table'!A:B,2,0)</f>
        <v>Kauno Zalgiris</v>
      </c>
      <c r="Z93" t="str">
        <f t="shared" si="1"/>
        <v>24/07/2026FK PanevezysKauno Zalgiris</v>
      </c>
      <c r="AA93" t="e">
        <f>VLOOKUP($Z93,'oddspedia-matches'!$A:$AD,AA$2,0)</f>
        <v>#N/A</v>
      </c>
      <c r="AB93" t="e">
        <f>VLOOKUP($Z93,'oddspedia-matches'!$A:$AD,AB$2,0)</f>
        <v>#N/A</v>
      </c>
      <c r="AC93" t="e">
        <f>VLOOKUP($Z93,'oddspedia-matches'!$A:$AD,AC$2,0)</f>
        <v>#N/A</v>
      </c>
      <c r="AD93" t="e">
        <f>VLOOKUP($Z93,'oddspedia-matches'!$A:$AD,AD$2,0)</f>
        <v>#N/A</v>
      </c>
      <c r="AE93" t="e">
        <f>VLOOKUP($Z93,'oddspedia-matches'!$A:$AD,AE$2,0)</f>
        <v>#N/A</v>
      </c>
      <c r="AF93" t="e">
        <f>VLOOKUP($Z93,'oddspedia-matches'!$A:$AD,AF$2,0)</f>
        <v>#N/A</v>
      </c>
      <c r="AG93" t="e">
        <f>VLOOKUP($Z93,'oddspedia-matches'!$A:$AD,AG$2,0)</f>
        <v>#N/A</v>
      </c>
      <c r="AH93" t="e">
        <f>VLOOKUP($Z93,'oddspedia-matches'!$A:$AD,AH$2,0)</f>
        <v>#N/A</v>
      </c>
      <c r="AI93" t="e">
        <f>VLOOKUP($Z93,'oddspedia-matches'!$A:$AD,AI$2,0)</f>
        <v>#N/A</v>
      </c>
      <c r="AJ93" t="e">
        <f>VLOOKUP($Z93,'oddspedia-matches'!$A:$AD,AJ$2,0)</f>
        <v>#N/A</v>
      </c>
      <c r="AK93" t="e">
        <f>VLOOKUP($Z93,'oddspedia-matches'!$A:$AD,AK$2,0)</f>
        <v>#N/A</v>
      </c>
      <c r="AL93" t="e">
        <f>VLOOKUP($Z93,'oddspedia-matches'!$A:$AD,AL$2,0)</f>
        <v>#N/A</v>
      </c>
      <c r="AM93" t="e">
        <f>VLOOKUP($Z93,'oddspedia-matches'!$A:$AD,AM$2,0)</f>
        <v>#N/A</v>
      </c>
      <c r="AN93" t="e">
        <f>VLOOKUP($Z93,'oddspedia-matches'!$A:$AD,AN$2,0)</f>
        <v>#N/A</v>
      </c>
      <c r="AO93" t="e">
        <f>VLOOKUP($Z93,'oddspedia-matches'!$A:$AD,AO$2,0)</f>
        <v>#N/A</v>
      </c>
      <c r="AP93" t="e">
        <f>VLOOKUP($Z93,'oddspedia-matches'!$A:$AD,AP$2,0)</f>
        <v>#N/A</v>
      </c>
      <c r="AQ93" t="e">
        <f>VLOOKUP($Z93,'oddspedia-matches'!$A:$AD,AQ$2,0)</f>
        <v>#N/A</v>
      </c>
    </row>
    <row r="94" spans="2:43" x14ac:dyDescent="0.2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tr">
        <f>VLOOKUP(E94,'Transform table'!A:B,2,0)</f>
        <v>FF Jaro II</v>
      </c>
      <c r="Y94" t="str">
        <f>VLOOKUP(F94,'Transform table'!A:B,2,0)</f>
        <v>Kuopio PS</v>
      </c>
      <c r="Z94" t="str">
        <f t="shared" si="1"/>
        <v>24/07/2026FF Jaro IIKuopio PS</v>
      </c>
      <c r="AA94" t="e">
        <f>VLOOKUP($Z94,'oddspedia-matches'!$A:$AD,AA$2,0)</f>
        <v>#N/A</v>
      </c>
      <c r="AB94" t="e">
        <f>VLOOKUP($Z94,'oddspedia-matches'!$A:$AD,AB$2,0)</f>
        <v>#N/A</v>
      </c>
      <c r="AC94" t="e">
        <f>VLOOKUP($Z94,'oddspedia-matches'!$A:$AD,AC$2,0)</f>
        <v>#N/A</v>
      </c>
      <c r="AD94" t="e">
        <f>VLOOKUP($Z94,'oddspedia-matches'!$A:$AD,AD$2,0)</f>
        <v>#N/A</v>
      </c>
      <c r="AE94" t="e">
        <f>VLOOKUP($Z94,'oddspedia-matches'!$A:$AD,AE$2,0)</f>
        <v>#N/A</v>
      </c>
      <c r="AF94" t="e">
        <f>VLOOKUP($Z94,'oddspedia-matches'!$A:$AD,AF$2,0)</f>
        <v>#N/A</v>
      </c>
      <c r="AG94" t="e">
        <f>VLOOKUP($Z94,'oddspedia-matches'!$A:$AD,AG$2,0)</f>
        <v>#N/A</v>
      </c>
      <c r="AH94" t="e">
        <f>VLOOKUP($Z94,'oddspedia-matches'!$A:$AD,AH$2,0)</f>
        <v>#N/A</v>
      </c>
      <c r="AI94" t="e">
        <f>VLOOKUP($Z94,'oddspedia-matches'!$A:$AD,AI$2,0)</f>
        <v>#N/A</v>
      </c>
      <c r="AJ94" t="e">
        <f>VLOOKUP($Z94,'oddspedia-matches'!$A:$AD,AJ$2,0)</f>
        <v>#N/A</v>
      </c>
      <c r="AK94" t="e">
        <f>VLOOKUP($Z94,'oddspedia-matches'!$A:$AD,AK$2,0)</f>
        <v>#N/A</v>
      </c>
      <c r="AL94" t="e">
        <f>VLOOKUP($Z94,'oddspedia-matches'!$A:$AD,AL$2,0)</f>
        <v>#N/A</v>
      </c>
      <c r="AM94" t="e">
        <f>VLOOKUP($Z94,'oddspedia-matches'!$A:$AD,AM$2,0)</f>
        <v>#N/A</v>
      </c>
      <c r="AN94" t="e">
        <f>VLOOKUP($Z94,'oddspedia-matches'!$A:$AD,AN$2,0)</f>
        <v>#N/A</v>
      </c>
      <c r="AO94" t="e">
        <f>VLOOKUP($Z94,'oddspedia-matches'!$A:$AD,AO$2,0)</f>
        <v>#N/A</v>
      </c>
      <c r="AP94" t="e">
        <f>VLOOKUP($Z94,'oddspedia-matches'!$A:$AD,AP$2,0)</f>
        <v>#N/A</v>
      </c>
      <c r="AQ94" t="e">
        <f>VLOOKUP($Z94,'oddspedia-matches'!$A:$AD,AQ$2,0)</f>
        <v>#N/A</v>
      </c>
    </row>
    <row r="95" spans="2:43" x14ac:dyDescent="0.2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tr">
        <f>VLOOKUP(E95,'Transform table'!A:B,2,0)</f>
        <v>VMFD Zalgiris</v>
      </c>
      <c r="Y95" t="str">
        <f>VLOOKUP(F95,'Transform table'!A:B,2,0)</f>
        <v>Hegelmann Litauen</v>
      </c>
      <c r="Z95" t="str">
        <f t="shared" si="1"/>
        <v>24/07/2026VMFD ZalgirisHegelmann Litauen</v>
      </c>
      <c r="AA95" t="e">
        <f>VLOOKUP($Z95,'oddspedia-matches'!$A:$AD,AA$2,0)</f>
        <v>#N/A</v>
      </c>
      <c r="AB95" t="e">
        <f>VLOOKUP($Z95,'oddspedia-matches'!$A:$AD,AB$2,0)</f>
        <v>#N/A</v>
      </c>
      <c r="AC95" t="e">
        <f>VLOOKUP($Z95,'oddspedia-matches'!$A:$AD,AC$2,0)</f>
        <v>#N/A</v>
      </c>
      <c r="AD95" t="e">
        <f>VLOOKUP($Z95,'oddspedia-matches'!$A:$AD,AD$2,0)</f>
        <v>#N/A</v>
      </c>
      <c r="AE95" t="e">
        <f>VLOOKUP($Z95,'oddspedia-matches'!$A:$AD,AE$2,0)</f>
        <v>#N/A</v>
      </c>
      <c r="AF95" t="e">
        <f>VLOOKUP($Z95,'oddspedia-matches'!$A:$AD,AF$2,0)</f>
        <v>#N/A</v>
      </c>
      <c r="AG95" t="e">
        <f>VLOOKUP($Z95,'oddspedia-matches'!$A:$AD,AG$2,0)</f>
        <v>#N/A</v>
      </c>
      <c r="AH95" t="e">
        <f>VLOOKUP($Z95,'oddspedia-matches'!$A:$AD,AH$2,0)</f>
        <v>#N/A</v>
      </c>
      <c r="AI95" t="e">
        <f>VLOOKUP($Z95,'oddspedia-matches'!$A:$AD,AI$2,0)</f>
        <v>#N/A</v>
      </c>
      <c r="AJ95" t="e">
        <f>VLOOKUP($Z95,'oddspedia-matches'!$A:$AD,AJ$2,0)</f>
        <v>#N/A</v>
      </c>
      <c r="AK95" t="e">
        <f>VLOOKUP($Z95,'oddspedia-matches'!$A:$AD,AK$2,0)</f>
        <v>#N/A</v>
      </c>
      <c r="AL95" t="e">
        <f>VLOOKUP($Z95,'oddspedia-matches'!$A:$AD,AL$2,0)</f>
        <v>#N/A</v>
      </c>
      <c r="AM95" t="e">
        <f>VLOOKUP($Z95,'oddspedia-matches'!$A:$AD,AM$2,0)</f>
        <v>#N/A</v>
      </c>
      <c r="AN95" t="e">
        <f>VLOOKUP($Z95,'oddspedia-matches'!$A:$AD,AN$2,0)</f>
        <v>#N/A</v>
      </c>
      <c r="AO95" t="e">
        <f>VLOOKUP($Z95,'oddspedia-matches'!$A:$AD,AO$2,0)</f>
        <v>#N/A</v>
      </c>
      <c r="AP95" t="e">
        <f>VLOOKUP($Z95,'oddspedia-matches'!$A:$AD,AP$2,0)</f>
        <v>#N/A</v>
      </c>
      <c r="AQ95" t="e">
        <f>VLOOKUP($Z95,'oddspedia-matches'!$A:$AD,AQ$2,0)</f>
        <v>#N/A</v>
      </c>
    </row>
    <row r="96" spans="2:43" x14ac:dyDescent="0.2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tr">
        <f>VLOOKUP(E96,'Transform table'!A:B,2,0)</f>
        <v>VSK Arhus</v>
      </c>
      <c r="Y96" t="str">
        <f>VLOOKUP(F96,'Transform table'!A:B,2,0)</f>
        <v>Orgryte IS</v>
      </c>
      <c r="Z96" t="str">
        <f t="shared" si="1"/>
        <v>24/07/2026VSK ArhusOrgryte IS</v>
      </c>
      <c r="AA96" t="e">
        <f>VLOOKUP($Z96,'oddspedia-matches'!$A:$AD,AA$2,0)</f>
        <v>#N/A</v>
      </c>
      <c r="AB96" t="e">
        <f>VLOOKUP($Z96,'oddspedia-matches'!$A:$AD,AB$2,0)</f>
        <v>#N/A</v>
      </c>
      <c r="AC96" t="e">
        <f>VLOOKUP($Z96,'oddspedia-matches'!$A:$AD,AC$2,0)</f>
        <v>#N/A</v>
      </c>
      <c r="AD96" t="e">
        <f>VLOOKUP($Z96,'oddspedia-matches'!$A:$AD,AD$2,0)</f>
        <v>#N/A</v>
      </c>
      <c r="AE96" t="e">
        <f>VLOOKUP($Z96,'oddspedia-matches'!$A:$AD,AE$2,0)</f>
        <v>#N/A</v>
      </c>
      <c r="AF96" t="e">
        <f>VLOOKUP($Z96,'oddspedia-matches'!$A:$AD,AF$2,0)</f>
        <v>#N/A</v>
      </c>
      <c r="AG96" t="e">
        <f>VLOOKUP($Z96,'oddspedia-matches'!$A:$AD,AG$2,0)</f>
        <v>#N/A</v>
      </c>
      <c r="AH96" t="e">
        <f>VLOOKUP($Z96,'oddspedia-matches'!$A:$AD,AH$2,0)</f>
        <v>#N/A</v>
      </c>
      <c r="AI96" t="e">
        <f>VLOOKUP($Z96,'oddspedia-matches'!$A:$AD,AI$2,0)</f>
        <v>#N/A</v>
      </c>
      <c r="AJ96" t="e">
        <f>VLOOKUP($Z96,'oddspedia-matches'!$A:$AD,AJ$2,0)</f>
        <v>#N/A</v>
      </c>
      <c r="AK96" t="e">
        <f>VLOOKUP($Z96,'oddspedia-matches'!$A:$AD,AK$2,0)</f>
        <v>#N/A</v>
      </c>
      <c r="AL96" t="e">
        <f>VLOOKUP($Z96,'oddspedia-matches'!$A:$AD,AL$2,0)</f>
        <v>#N/A</v>
      </c>
      <c r="AM96" t="e">
        <f>VLOOKUP($Z96,'oddspedia-matches'!$A:$AD,AM$2,0)</f>
        <v>#N/A</v>
      </c>
      <c r="AN96" t="e">
        <f>VLOOKUP($Z96,'oddspedia-matches'!$A:$AD,AN$2,0)</f>
        <v>#N/A</v>
      </c>
      <c r="AO96" t="e">
        <f>VLOOKUP($Z96,'oddspedia-matches'!$A:$AD,AO$2,0)</f>
        <v>#N/A</v>
      </c>
      <c r="AP96" t="e">
        <f>VLOOKUP($Z96,'oddspedia-matches'!$A:$AD,AP$2,0)</f>
        <v>#N/A</v>
      </c>
      <c r="AQ96" t="e">
        <f>VLOOKUP($Z96,'oddspedia-matches'!$A:$AD,AQ$2,0)</f>
        <v>#N/A</v>
      </c>
    </row>
    <row r="97" spans="2:43" x14ac:dyDescent="0.2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tr">
        <f>VLOOKUP(E97,'Transform table'!A:B,2,0)</f>
        <v>Volsungur</v>
      </c>
      <c r="Y97" t="str">
        <f>VLOOKUP(F97,'Transform table'!A:B,2,0)</f>
        <v>Grindavik</v>
      </c>
      <c r="Z97" t="str">
        <f t="shared" si="1"/>
        <v>24/07/2026VolsungurGrindavik</v>
      </c>
      <c r="AA97" t="str">
        <f>VLOOKUP($Z97,'oddspedia-matches'!$A:$AD,AA$2,0)</f>
        <v>2 - 0</v>
      </c>
      <c r="AB97" t="str">
        <f>VLOOKUP($Z97,'oddspedia-matches'!$A:$AD,AB$2,0)</f>
        <v>Green</v>
      </c>
      <c r="AC97" t="str">
        <f>VLOOKUP($Z97,'oddspedia-matches'!$A:$AD,AC$2,0)</f>
        <v>Red</v>
      </c>
      <c r="AD97" t="str">
        <f>VLOOKUP($Z97,'oddspedia-matches'!$A:$AD,AD$2,0)</f>
        <v>Red</v>
      </c>
      <c r="AE97" t="str">
        <f>VLOOKUP($Z97,'oddspedia-matches'!$A:$AD,AE$2,0)</f>
        <v>Green</v>
      </c>
      <c r="AF97" t="str">
        <f>VLOOKUP($Z97,'oddspedia-matches'!$A:$AD,AF$2,0)</f>
        <v>Red</v>
      </c>
      <c r="AG97" t="str">
        <f>VLOOKUP($Z97,'oddspedia-matches'!$A:$AD,AG$2,0)</f>
        <v>Green</v>
      </c>
      <c r="AH97" t="str">
        <f>VLOOKUP($Z97,'oddspedia-matches'!$A:$AD,AH$2,0)</f>
        <v>Green</v>
      </c>
      <c r="AI97" t="str">
        <f>VLOOKUP($Z97,'oddspedia-matches'!$A:$AD,AI$2,0)</f>
        <v>Red</v>
      </c>
      <c r="AJ97" t="str">
        <f>VLOOKUP($Z97,'oddspedia-matches'!$A:$AD,AJ$2,0)</f>
        <v>Red</v>
      </c>
      <c r="AK97" t="str">
        <f>VLOOKUP($Z97,'oddspedia-matches'!$A:$AD,AK$2,0)</f>
        <v>Green</v>
      </c>
      <c r="AL97" t="str">
        <f>VLOOKUP($Z97,'oddspedia-matches'!$A:$AD,AL$2,0)</f>
        <v>Green</v>
      </c>
      <c r="AM97" t="str">
        <f>VLOOKUP($Z97,'oddspedia-matches'!$A:$AD,AM$2,0)</f>
        <v>Red</v>
      </c>
      <c r="AN97" t="str">
        <f>VLOOKUP($Z97,'oddspedia-matches'!$A:$AD,AN$2,0)</f>
        <v>Green</v>
      </c>
      <c r="AO97" t="str">
        <f>VLOOKUP($Z97,'oddspedia-matches'!$A:$AD,AO$2,0)</f>
        <v>Green</v>
      </c>
      <c r="AP97" t="str">
        <f>VLOOKUP($Z97,'oddspedia-matches'!$A:$AD,AP$2,0)</f>
        <v>Red</v>
      </c>
      <c r="AQ97" t="str">
        <f>VLOOKUP($Z97,'oddspedia-matches'!$A:$AD,AQ$2,0)</f>
        <v>Green</v>
      </c>
    </row>
    <row r="98" spans="2:43" x14ac:dyDescent="0.2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tr">
        <f>VLOOKUP(E98,'Transform table'!A:B,2,0)</f>
        <v>Cobh Ramblers</v>
      </c>
      <c r="Y98" t="str">
        <f>VLOOKUP(F98,'Transform table'!A:B,2,0)</f>
        <v>Bray Wanderers</v>
      </c>
      <c r="Z98" t="str">
        <f t="shared" si="1"/>
        <v>24/07/2026Cobh RamblersBray Wanderers</v>
      </c>
      <c r="AA98" t="str">
        <f>VLOOKUP($Z98,'oddspedia-matches'!$A:$AD,AA$2,0)</f>
        <v>1 - 2</v>
      </c>
      <c r="AB98" t="str">
        <f>VLOOKUP($Z98,'oddspedia-matches'!$A:$AD,AB$2,0)</f>
        <v>Red</v>
      </c>
      <c r="AC98" t="str">
        <f>VLOOKUP($Z98,'oddspedia-matches'!$A:$AD,AC$2,0)</f>
        <v>Red</v>
      </c>
      <c r="AD98" t="str">
        <f>VLOOKUP($Z98,'oddspedia-matches'!$A:$AD,AD$2,0)</f>
        <v>Green</v>
      </c>
      <c r="AE98" t="str">
        <f>VLOOKUP($Z98,'oddspedia-matches'!$A:$AD,AE$2,0)</f>
        <v>Red</v>
      </c>
      <c r="AF98" t="str">
        <f>VLOOKUP($Z98,'oddspedia-matches'!$A:$AD,AF$2,0)</f>
        <v>Green</v>
      </c>
      <c r="AG98" t="str">
        <f>VLOOKUP($Z98,'oddspedia-matches'!$A:$AD,AG$2,0)</f>
        <v>Green</v>
      </c>
      <c r="AH98" t="str">
        <f>VLOOKUP($Z98,'oddspedia-matches'!$A:$AD,AH$2,0)</f>
        <v>Red</v>
      </c>
      <c r="AI98" t="str">
        <f>VLOOKUP($Z98,'oddspedia-matches'!$A:$AD,AI$2,0)</f>
        <v>Green</v>
      </c>
      <c r="AJ98" t="str">
        <f>VLOOKUP($Z98,'oddspedia-matches'!$A:$AD,AJ$2,0)</f>
        <v>Red</v>
      </c>
      <c r="AK98" t="str">
        <f>VLOOKUP($Z98,'oddspedia-matches'!$A:$AD,AK$2,0)</f>
        <v>Green</v>
      </c>
      <c r="AL98" t="str">
        <f>VLOOKUP($Z98,'oddspedia-matches'!$A:$AD,AL$2,0)</f>
        <v>Green</v>
      </c>
      <c r="AM98" t="str">
        <f>VLOOKUP($Z98,'oddspedia-matches'!$A:$AD,AM$2,0)</f>
        <v>Green</v>
      </c>
      <c r="AN98" t="str">
        <f>VLOOKUP($Z98,'oddspedia-matches'!$A:$AD,AN$2,0)</f>
        <v>Red</v>
      </c>
      <c r="AO98" t="str">
        <f>VLOOKUP($Z98,'oddspedia-matches'!$A:$AD,AO$2,0)</f>
        <v>Green</v>
      </c>
      <c r="AP98" t="str">
        <f>VLOOKUP($Z98,'oddspedia-matches'!$A:$AD,AP$2,0)</f>
        <v>Green</v>
      </c>
      <c r="AQ98" t="str">
        <f>VLOOKUP($Z98,'oddspedia-matches'!$A:$AD,AQ$2,0)</f>
        <v>Red</v>
      </c>
    </row>
    <row r="99" spans="2:43" x14ac:dyDescent="0.2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tr">
        <f>VLOOKUP(E99,'Transform table'!A:B,2,0)</f>
        <v>Kerry FC</v>
      </c>
      <c r="Y99" t="str">
        <f>VLOOKUP(F99,'Transform table'!A:B,2,0)</f>
        <v>Finn Harps</v>
      </c>
      <c r="Z99" t="str">
        <f t="shared" si="1"/>
        <v>24/07/2026Kerry FCFinn Harps</v>
      </c>
      <c r="AA99" t="str">
        <f>VLOOKUP($Z99,'oddspedia-matches'!$A:$AD,AA$2,0)</f>
        <v>2 - 1</v>
      </c>
      <c r="AB99" t="str">
        <f>VLOOKUP($Z99,'oddspedia-matches'!$A:$AD,AB$2,0)</f>
        <v>Green</v>
      </c>
      <c r="AC99" t="str">
        <f>VLOOKUP($Z99,'oddspedia-matches'!$A:$AD,AC$2,0)</f>
        <v>Red</v>
      </c>
      <c r="AD99" t="str">
        <f>VLOOKUP($Z99,'oddspedia-matches'!$A:$AD,AD$2,0)</f>
        <v>Red</v>
      </c>
      <c r="AE99" t="str">
        <f>VLOOKUP($Z99,'oddspedia-matches'!$A:$AD,AE$2,0)</f>
        <v>Green</v>
      </c>
      <c r="AF99" t="str">
        <f>VLOOKUP($Z99,'oddspedia-matches'!$A:$AD,AF$2,0)</f>
        <v>Red</v>
      </c>
      <c r="AG99" t="str">
        <f>VLOOKUP($Z99,'oddspedia-matches'!$A:$AD,AG$2,0)</f>
        <v>Green</v>
      </c>
      <c r="AH99" t="str">
        <f>VLOOKUP($Z99,'oddspedia-matches'!$A:$AD,AH$2,0)</f>
        <v>Green</v>
      </c>
      <c r="AI99" t="str">
        <f>VLOOKUP($Z99,'oddspedia-matches'!$A:$AD,AI$2,0)</f>
        <v>Red</v>
      </c>
      <c r="AJ99" t="str">
        <f>VLOOKUP($Z99,'oddspedia-matches'!$A:$AD,AJ$2,0)</f>
        <v>Red</v>
      </c>
      <c r="AK99" t="str">
        <f>VLOOKUP($Z99,'oddspedia-matches'!$A:$AD,AK$2,0)</f>
        <v>Green</v>
      </c>
      <c r="AL99" t="str">
        <f>VLOOKUP($Z99,'oddspedia-matches'!$A:$AD,AL$2,0)</f>
        <v>Green</v>
      </c>
      <c r="AM99" t="str">
        <f>VLOOKUP($Z99,'oddspedia-matches'!$A:$AD,AM$2,0)</f>
        <v>Green</v>
      </c>
      <c r="AN99" t="str">
        <f>VLOOKUP($Z99,'oddspedia-matches'!$A:$AD,AN$2,0)</f>
        <v>Red</v>
      </c>
      <c r="AO99" t="str">
        <f>VLOOKUP($Z99,'oddspedia-matches'!$A:$AD,AO$2,0)</f>
        <v>Green</v>
      </c>
      <c r="AP99" t="str">
        <f>VLOOKUP($Z99,'oddspedia-matches'!$A:$AD,AP$2,0)</f>
        <v>Green</v>
      </c>
      <c r="AQ99" t="str">
        <f>VLOOKUP($Z99,'oddspedia-matches'!$A:$AD,AQ$2,0)</f>
        <v>Red</v>
      </c>
    </row>
    <row r="100" spans="2:43" x14ac:dyDescent="0.2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tr">
        <f>VLOOKUP(E100,'Transform table'!A:B,2,0)</f>
        <v>Treaty United</v>
      </c>
      <c r="Y100" t="str">
        <f>VLOOKUP(F100,'Transform table'!A:B,2,0)</f>
        <v>Athlone Town</v>
      </c>
      <c r="Z100" t="str">
        <f t="shared" si="1"/>
        <v>24/07/2026Treaty UnitedAthlone Town</v>
      </c>
      <c r="AA100" t="str">
        <f>VLOOKUP($Z100,'oddspedia-matches'!$A:$AD,AA$2,0)</f>
        <v>2 - 1</v>
      </c>
      <c r="AB100" t="str">
        <f>VLOOKUP($Z100,'oddspedia-matches'!$A:$AD,AB$2,0)</f>
        <v>Green</v>
      </c>
      <c r="AC100" t="str">
        <f>VLOOKUP($Z100,'oddspedia-matches'!$A:$AD,AC$2,0)</f>
        <v>Red</v>
      </c>
      <c r="AD100" t="str">
        <f>VLOOKUP($Z100,'oddspedia-matches'!$A:$AD,AD$2,0)</f>
        <v>Red</v>
      </c>
      <c r="AE100" t="str">
        <f>VLOOKUP($Z100,'oddspedia-matches'!$A:$AD,AE$2,0)</f>
        <v>Green</v>
      </c>
      <c r="AF100" t="str">
        <f>VLOOKUP($Z100,'oddspedia-matches'!$A:$AD,AF$2,0)</f>
        <v>Red</v>
      </c>
      <c r="AG100" t="str">
        <f>VLOOKUP($Z100,'oddspedia-matches'!$A:$AD,AG$2,0)</f>
        <v>Green</v>
      </c>
      <c r="AH100" t="str">
        <f>VLOOKUP($Z100,'oddspedia-matches'!$A:$AD,AH$2,0)</f>
        <v>Green</v>
      </c>
      <c r="AI100" t="str">
        <f>VLOOKUP($Z100,'oddspedia-matches'!$A:$AD,AI$2,0)</f>
        <v>Red</v>
      </c>
      <c r="AJ100" t="str">
        <f>VLOOKUP($Z100,'oddspedia-matches'!$A:$AD,AJ$2,0)</f>
        <v>Red</v>
      </c>
      <c r="AK100" t="str">
        <f>VLOOKUP($Z100,'oddspedia-matches'!$A:$AD,AK$2,0)</f>
        <v>Green</v>
      </c>
      <c r="AL100" t="str">
        <f>VLOOKUP($Z100,'oddspedia-matches'!$A:$AD,AL$2,0)</f>
        <v>Green</v>
      </c>
      <c r="AM100" t="str">
        <f>VLOOKUP($Z100,'oddspedia-matches'!$A:$AD,AM$2,0)</f>
        <v>Green</v>
      </c>
      <c r="AN100" t="str">
        <f>VLOOKUP($Z100,'oddspedia-matches'!$A:$AD,AN$2,0)</f>
        <v>Red</v>
      </c>
      <c r="AO100" t="str">
        <f>VLOOKUP($Z100,'oddspedia-matches'!$A:$AD,AO$2,0)</f>
        <v>Green</v>
      </c>
      <c r="AP100" t="str">
        <f>VLOOKUP($Z100,'oddspedia-matches'!$A:$AD,AP$2,0)</f>
        <v>Green</v>
      </c>
      <c r="AQ100" t="str">
        <f>VLOOKUP($Z100,'oddspedia-matches'!$A:$AD,AQ$2,0)</f>
        <v>Red</v>
      </c>
    </row>
    <row r="101" spans="2:43" x14ac:dyDescent="0.2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tr">
        <f>VLOOKUP(E101,'Transform table'!A:B,2,0)</f>
        <v>UC Dublin</v>
      </c>
      <c r="Y101" t="str">
        <f>VLOOKUP(F101,'Transform table'!A:B,2,0)</f>
        <v>Cork City</v>
      </c>
      <c r="Z101" t="str">
        <f t="shared" si="1"/>
        <v>24/07/2026UC DublinCork City</v>
      </c>
      <c r="AA101" t="str">
        <f>VLOOKUP($Z101,'oddspedia-matches'!$A:$AD,AA$2,0)</f>
        <v>5 - 2</v>
      </c>
      <c r="AB101" t="str">
        <f>VLOOKUP($Z101,'oddspedia-matches'!$A:$AD,AB$2,0)</f>
        <v>Green</v>
      </c>
      <c r="AC101" t="str">
        <f>VLOOKUP($Z101,'oddspedia-matches'!$A:$AD,AC$2,0)</f>
        <v>Red</v>
      </c>
      <c r="AD101" t="str">
        <f>VLOOKUP($Z101,'oddspedia-matches'!$A:$AD,AD$2,0)</f>
        <v>Red</v>
      </c>
      <c r="AE101" t="str">
        <f>VLOOKUP($Z101,'oddspedia-matches'!$A:$AD,AE$2,0)</f>
        <v>Green</v>
      </c>
      <c r="AF101" t="str">
        <f>VLOOKUP($Z101,'oddspedia-matches'!$A:$AD,AF$2,0)</f>
        <v>Red</v>
      </c>
      <c r="AG101" t="str">
        <f>VLOOKUP($Z101,'oddspedia-matches'!$A:$AD,AG$2,0)</f>
        <v>Green</v>
      </c>
      <c r="AH101" t="str">
        <f>VLOOKUP($Z101,'oddspedia-matches'!$A:$AD,AH$2,0)</f>
        <v>Red</v>
      </c>
      <c r="AI101" t="str">
        <f>VLOOKUP($Z101,'oddspedia-matches'!$A:$AD,AI$2,0)</f>
        <v>Green</v>
      </c>
      <c r="AJ101" t="str">
        <f>VLOOKUP($Z101,'oddspedia-matches'!$A:$AD,AJ$2,0)</f>
        <v>Red</v>
      </c>
      <c r="AK101" t="str">
        <f>VLOOKUP($Z101,'oddspedia-matches'!$A:$AD,AK$2,0)</f>
        <v>Green</v>
      </c>
      <c r="AL101" t="str">
        <f>VLOOKUP($Z101,'oddspedia-matches'!$A:$AD,AL$2,0)</f>
        <v>Green</v>
      </c>
      <c r="AM101" t="str">
        <f>VLOOKUP($Z101,'oddspedia-matches'!$A:$AD,AM$2,0)</f>
        <v>Green</v>
      </c>
      <c r="AN101" t="str">
        <f>VLOOKUP($Z101,'oddspedia-matches'!$A:$AD,AN$2,0)</f>
        <v>Red</v>
      </c>
      <c r="AO101" t="str">
        <f>VLOOKUP($Z101,'oddspedia-matches'!$A:$AD,AO$2,0)</f>
        <v>Red</v>
      </c>
      <c r="AP101" t="str">
        <f>VLOOKUP($Z101,'oddspedia-matches'!$A:$AD,AP$2,0)</f>
        <v>Green</v>
      </c>
      <c r="AQ101" t="str">
        <f>VLOOKUP($Z101,'oddspedia-matches'!$A:$AD,AQ$2,0)</f>
        <v>Red</v>
      </c>
    </row>
    <row r="102" spans="2:43" x14ac:dyDescent="0.2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tr">
        <f>VLOOKUP(E102,'Transform table'!A:B,2,0)</f>
        <v>St Patrick's Athletic</v>
      </c>
      <c r="Y102" t="str">
        <f>VLOOKUP(F102,'Transform table'!A:B,2,0)</f>
        <v>Dundalk</v>
      </c>
      <c r="Z102" t="str">
        <f t="shared" si="1"/>
        <v>24/07/2026St Patrick's AthleticDundalk</v>
      </c>
      <c r="AA102" t="str">
        <f>VLOOKUP($Z102,'oddspedia-matches'!$A:$AD,AA$2,0)</f>
        <v>1 - 1</v>
      </c>
      <c r="AB102" t="str">
        <f>VLOOKUP($Z102,'oddspedia-matches'!$A:$AD,AB$2,0)</f>
        <v>Red</v>
      </c>
      <c r="AC102" t="str">
        <f>VLOOKUP($Z102,'oddspedia-matches'!$A:$AD,AC$2,0)</f>
        <v>Green</v>
      </c>
      <c r="AD102" t="str">
        <f>VLOOKUP($Z102,'oddspedia-matches'!$A:$AD,AD$2,0)</f>
        <v>Red</v>
      </c>
      <c r="AE102" t="str">
        <f>VLOOKUP($Z102,'oddspedia-matches'!$A:$AD,AE$2,0)</f>
        <v>Green</v>
      </c>
      <c r="AF102" t="str">
        <f>VLOOKUP($Z102,'oddspedia-matches'!$A:$AD,AF$2,0)</f>
        <v>Green</v>
      </c>
      <c r="AG102" t="str">
        <f>VLOOKUP($Z102,'oddspedia-matches'!$A:$AD,AG$2,0)</f>
        <v>Red</v>
      </c>
      <c r="AH102" t="str">
        <f>VLOOKUP($Z102,'oddspedia-matches'!$A:$AD,AH$2,0)</f>
        <v>Red</v>
      </c>
      <c r="AI102" t="str">
        <f>VLOOKUP($Z102,'oddspedia-matches'!$A:$AD,AI$2,0)</f>
        <v>Red</v>
      </c>
      <c r="AJ102" t="str">
        <f>VLOOKUP($Z102,'oddspedia-matches'!$A:$AD,AJ$2,0)</f>
        <v>Green</v>
      </c>
      <c r="AK102" t="str">
        <f>VLOOKUP($Z102,'oddspedia-matches'!$A:$AD,AK$2,0)</f>
        <v>Green</v>
      </c>
      <c r="AL102" t="str">
        <f>VLOOKUP($Z102,'oddspedia-matches'!$A:$AD,AL$2,0)</f>
        <v>Green</v>
      </c>
      <c r="AM102" t="str">
        <f>VLOOKUP($Z102,'oddspedia-matches'!$A:$AD,AM$2,0)</f>
        <v>Red</v>
      </c>
      <c r="AN102" t="str">
        <f>VLOOKUP($Z102,'oddspedia-matches'!$A:$AD,AN$2,0)</f>
        <v>Green</v>
      </c>
      <c r="AO102" t="str">
        <f>VLOOKUP($Z102,'oddspedia-matches'!$A:$AD,AO$2,0)</f>
        <v>Green</v>
      </c>
      <c r="AP102" t="str">
        <f>VLOOKUP($Z102,'oddspedia-matches'!$A:$AD,AP$2,0)</f>
        <v>Green</v>
      </c>
      <c r="AQ102" t="str">
        <f>VLOOKUP($Z102,'oddspedia-matches'!$A:$AD,AQ$2,0)</f>
        <v>Red</v>
      </c>
    </row>
    <row r="103" spans="2:43" x14ac:dyDescent="0.2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tr">
        <f>VLOOKUP(E103,'Transform table'!A:B,2,0)</f>
        <v>CS 2 de Mayo</v>
      </c>
      <c r="Y103" t="str">
        <f>VLOOKUP(F103,'Transform table'!A:B,2,0)</f>
        <v>Rubio Nu</v>
      </c>
      <c r="Z103" t="str">
        <f t="shared" si="1"/>
        <v>24/07/2026CS 2 de MayoRubio Nu</v>
      </c>
      <c r="AA103" t="str">
        <f>VLOOKUP($Z103,'oddspedia-matches'!$A:$AD,AA$2,0)</f>
        <v>1 - 0</v>
      </c>
      <c r="AB103" t="str">
        <f>VLOOKUP($Z103,'oddspedia-matches'!$A:$AD,AB$2,0)</f>
        <v>Green</v>
      </c>
      <c r="AC103" t="str">
        <f>VLOOKUP($Z103,'oddspedia-matches'!$A:$AD,AC$2,0)</f>
        <v>Red</v>
      </c>
      <c r="AD103" t="str">
        <f>VLOOKUP($Z103,'oddspedia-matches'!$A:$AD,AD$2,0)</f>
        <v>Red</v>
      </c>
      <c r="AE103" t="str">
        <f>VLOOKUP($Z103,'oddspedia-matches'!$A:$AD,AE$2,0)</f>
        <v>Green</v>
      </c>
      <c r="AF103" t="str">
        <f>VLOOKUP($Z103,'oddspedia-matches'!$A:$AD,AF$2,0)</f>
        <v>Red</v>
      </c>
      <c r="AG103" t="str">
        <f>VLOOKUP($Z103,'oddspedia-matches'!$A:$AD,AG$2,0)</f>
        <v>Green</v>
      </c>
      <c r="AH103" t="str">
        <f>VLOOKUP($Z103,'oddspedia-matches'!$A:$AD,AH$2,0)</f>
        <v>Red</v>
      </c>
      <c r="AI103" t="str">
        <f>VLOOKUP($Z103,'oddspedia-matches'!$A:$AD,AI$2,0)</f>
        <v>Green</v>
      </c>
      <c r="AJ103" t="str">
        <f>VLOOKUP($Z103,'oddspedia-matches'!$A:$AD,AJ$2,0)</f>
        <v>Red</v>
      </c>
      <c r="AK103" t="str">
        <f>VLOOKUP($Z103,'oddspedia-matches'!$A:$AD,AK$2,0)</f>
        <v>Red</v>
      </c>
      <c r="AL103" t="str">
        <f>VLOOKUP($Z103,'oddspedia-matches'!$A:$AD,AL$2,0)</f>
        <v>Red</v>
      </c>
      <c r="AM103" t="str">
        <f>VLOOKUP($Z103,'oddspedia-matches'!$A:$AD,AM$2,0)</f>
        <v>Red</v>
      </c>
      <c r="AN103" t="str">
        <f>VLOOKUP($Z103,'oddspedia-matches'!$A:$AD,AN$2,0)</f>
        <v>Green</v>
      </c>
      <c r="AO103" t="str">
        <f>VLOOKUP($Z103,'oddspedia-matches'!$A:$AD,AO$2,0)</f>
        <v>Green</v>
      </c>
      <c r="AP103" t="str">
        <f>VLOOKUP($Z103,'oddspedia-matches'!$A:$AD,AP$2,0)</f>
        <v>Red</v>
      </c>
      <c r="AQ103" t="str">
        <f>VLOOKUP($Z103,'oddspedia-matches'!$A:$AD,AQ$2,0)</f>
        <v>Green</v>
      </c>
    </row>
    <row r="104" spans="2:43" x14ac:dyDescent="0.2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>
        <f>VLOOKUP(E104,'Transform table'!A:B,2,0)</f>
        <v>0</v>
      </c>
      <c r="Y104" t="str">
        <f>VLOOKUP(F104,'Transform table'!A:B,2,0)</f>
        <v>Kopavogs</v>
      </c>
      <c r="Z104" t="str">
        <f t="shared" si="1"/>
        <v>24/07/20260Kopavogs</v>
      </c>
      <c r="AA104" t="e">
        <f>VLOOKUP($Z104,'oddspedia-matches'!$A:$AD,AA$2,0)</f>
        <v>#N/A</v>
      </c>
      <c r="AB104" t="e">
        <f>VLOOKUP($Z104,'oddspedia-matches'!$A:$AD,AB$2,0)</f>
        <v>#N/A</v>
      </c>
      <c r="AC104" t="e">
        <f>VLOOKUP($Z104,'oddspedia-matches'!$A:$AD,AC$2,0)</f>
        <v>#N/A</v>
      </c>
      <c r="AD104" t="e">
        <f>VLOOKUP($Z104,'oddspedia-matches'!$A:$AD,AD$2,0)</f>
        <v>#N/A</v>
      </c>
      <c r="AE104" t="e">
        <f>VLOOKUP($Z104,'oddspedia-matches'!$A:$AD,AE$2,0)</f>
        <v>#N/A</v>
      </c>
      <c r="AF104" t="e">
        <f>VLOOKUP($Z104,'oddspedia-matches'!$A:$AD,AF$2,0)</f>
        <v>#N/A</v>
      </c>
      <c r="AG104" t="e">
        <f>VLOOKUP($Z104,'oddspedia-matches'!$A:$AD,AG$2,0)</f>
        <v>#N/A</v>
      </c>
      <c r="AH104" t="e">
        <f>VLOOKUP($Z104,'oddspedia-matches'!$A:$AD,AH$2,0)</f>
        <v>#N/A</v>
      </c>
      <c r="AI104" t="e">
        <f>VLOOKUP($Z104,'oddspedia-matches'!$A:$AD,AI$2,0)</f>
        <v>#N/A</v>
      </c>
      <c r="AJ104" t="e">
        <f>VLOOKUP($Z104,'oddspedia-matches'!$A:$AD,AJ$2,0)</f>
        <v>#N/A</v>
      </c>
      <c r="AK104" t="e">
        <f>VLOOKUP($Z104,'oddspedia-matches'!$A:$AD,AK$2,0)</f>
        <v>#N/A</v>
      </c>
      <c r="AL104" t="e">
        <f>VLOOKUP($Z104,'oddspedia-matches'!$A:$AD,AL$2,0)</f>
        <v>#N/A</v>
      </c>
      <c r="AM104" t="e">
        <f>VLOOKUP($Z104,'oddspedia-matches'!$A:$AD,AM$2,0)</f>
        <v>#N/A</v>
      </c>
      <c r="AN104" t="e">
        <f>VLOOKUP($Z104,'oddspedia-matches'!$A:$AD,AN$2,0)</f>
        <v>#N/A</v>
      </c>
      <c r="AO104" t="e">
        <f>VLOOKUP($Z104,'oddspedia-matches'!$A:$AD,AO$2,0)</f>
        <v>#N/A</v>
      </c>
      <c r="AP104" t="e">
        <f>VLOOKUP($Z104,'oddspedia-matches'!$A:$AD,AP$2,0)</f>
        <v>#N/A</v>
      </c>
      <c r="AQ104" t="e">
        <f>VLOOKUP($Z104,'oddspedia-matches'!$A:$AD,AQ$2,0)</f>
        <v>#N/A</v>
      </c>
    </row>
    <row r="105" spans="2:43" x14ac:dyDescent="0.2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tr">
        <f>VLOOKUP(E105,'Transform table'!A:B,2,0)</f>
        <v xml:space="preserve">Fjolnir </v>
      </c>
      <c r="Y105" t="str">
        <f>VLOOKUP(F105,'Transform table'!A:B,2,0)</f>
        <v>Haukar</v>
      </c>
      <c r="Z105" t="str">
        <f t="shared" si="1"/>
        <v>24/07/2026Fjolnir Haukar</v>
      </c>
      <c r="AA105" t="str">
        <f>VLOOKUP($Z105,'oddspedia-matches'!$A:$AD,AA$2,0)</f>
        <v>2 - 1</v>
      </c>
      <c r="AB105" t="str">
        <f>VLOOKUP($Z105,'oddspedia-matches'!$A:$AD,AB$2,0)</f>
        <v>Green</v>
      </c>
      <c r="AC105" t="str">
        <f>VLOOKUP($Z105,'oddspedia-matches'!$A:$AD,AC$2,0)</f>
        <v>Red</v>
      </c>
      <c r="AD105" t="str">
        <f>VLOOKUP($Z105,'oddspedia-matches'!$A:$AD,AD$2,0)</f>
        <v>Red</v>
      </c>
      <c r="AE105" t="str">
        <f>VLOOKUP($Z105,'oddspedia-matches'!$A:$AD,AE$2,0)</f>
        <v>Green</v>
      </c>
      <c r="AF105" t="str">
        <f>VLOOKUP($Z105,'oddspedia-matches'!$A:$AD,AF$2,0)</f>
        <v>Red</v>
      </c>
      <c r="AG105" t="str">
        <f>VLOOKUP($Z105,'oddspedia-matches'!$A:$AD,AG$2,0)</f>
        <v>Green</v>
      </c>
      <c r="AH105" t="str">
        <f>VLOOKUP($Z105,'oddspedia-matches'!$A:$AD,AH$2,0)</f>
        <v>Green</v>
      </c>
      <c r="AI105" t="str">
        <f>VLOOKUP($Z105,'oddspedia-matches'!$A:$AD,AI$2,0)</f>
        <v>Red</v>
      </c>
      <c r="AJ105" t="str">
        <f>VLOOKUP($Z105,'oddspedia-matches'!$A:$AD,AJ$2,0)</f>
        <v>Red</v>
      </c>
      <c r="AK105" t="str">
        <f>VLOOKUP($Z105,'oddspedia-matches'!$A:$AD,AK$2,0)</f>
        <v>Green</v>
      </c>
      <c r="AL105" t="str">
        <f>VLOOKUP($Z105,'oddspedia-matches'!$A:$AD,AL$2,0)</f>
        <v>Green</v>
      </c>
      <c r="AM105" t="str">
        <f>VLOOKUP($Z105,'oddspedia-matches'!$A:$AD,AM$2,0)</f>
        <v>Green</v>
      </c>
      <c r="AN105" t="str">
        <f>VLOOKUP($Z105,'oddspedia-matches'!$A:$AD,AN$2,0)</f>
        <v>Red</v>
      </c>
      <c r="AO105" t="str">
        <f>VLOOKUP($Z105,'oddspedia-matches'!$A:$AD,AO$2,0)</f>
        <v>Green</v>
      </c>
      <c r="AP105" t="str">
        <f>VLOOKUP($Z105,'oddspedia-matches'!$A:$AD,AP$2,0)</f>
        <v>Green</v>
      </c>
      <c r="AQ105" t="str">
        <f>VLOOKUP($Z105,'oddspedia-matches'!$A:$AD,AQ$2,0)</f>
        <v>Red</v>
      </c>
    </row>
    <row r="106" spans="2:43" x14ac:dyDescent="0.2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tr">
        <f>VLOOKUP(E106,'Transform table'!A:B,2,0)</f>
        <v>Gimnasia Mendoza</v>
      </c>
      <c r="Y106" t="str">
        <f>VLOOKUP(F106,'Transform table'!A:B,2,0)</f>
        <v>Central Cordoba SDE</v>
      </c>
      <c r="Z106" t="str">
        <f t="shared" si="1"/>
        <v>24/07/2026Gimnasia MendozaCentral Cordoba SDE</v>
      </c>
      <c r="AA106" t="str">
        <f>VLOOKUP($Z106,'oddspedia-matches'!$A:$AD,AA$2,0)</f>
        <v>1 - 0</v>
      </c>
      <c r="AB106" t="str">
        <f>VLOOKUP($Z106,'oddspedia-matches'!$A:$AD,AB$2,0)</f>
        <v>Green</v>
      </c>
      <c r="AC106" t="str">
        <f>VLOOKUP($Z106,'oddspedia-matches'!$A:$AD,AC$2,0)</f>
        <v>Red</v>
      </c>
      <c r="AD106" t="str">
        <f>VLOOKUP($Z106,'oddspedia-matches'!$A:$AD,AD$2,0)</f>
        <v>Red</v>
      </c>
      <c r="AE106" t="str">
        <f>VLOOKUP($Z106,'oddspedia-matches'!$A:$AD,AE$2,0)</f>
        <v>Green</v>
      </c>
      <c r="AF106" t="str">
        <f>VLOOKUP($Z106,'oddspedia-matches'!$A:$AD,AF$2,0)</f>
        <v>Red</v>
      </c>
      <c r="AG106" t="str">
        <f>VLOOKUP($Z106,'oddspedia-matches'!$A:$AD,AG$2,0)</f>
        <v>Green</v>
      </c>
      <c r="AH106" t="str">
        <f>VLOOKUP($Z106,'oddspedia-matches'!$A:$AD,AH$2,0)</f>
        <v>Red</v>
      </c>
      <c r="AI106" t="str">
        <f>VLOOKUP($Z106,'oddspedia-matches'!$A:$AD,AI$2,0)</f>
        <v>Green</v>
      </c>
      <c r="AJ106" t="str">
        <f>VLOOKUP($Z106,'oddspedia-matches'!$A:$AD,AJ$2,0)</f>
        <v>Red</v>
      </c>
      <c r="AK106" t="str">
        <f>VLOOKUP($Z106,'oddspedia-matches'!$A:$AD,AK$2,0)</f>
        <v>Red</v>
      </c>
      <c r="AL106" t="str">
        <f>VLOOKUP($Z106,'oddspedia-matches'!$A:$AD,AL$2,0)</f>
        <v>Red</v>
      </c>
      <c r="AM106" t="str">
        <f>VLOOKUP($Z106,'oddspedia-matches'!$A:$AD,AM$2,0)</f>
        <v>Red</v>
      </c>
      <c r="AN106" t="str">
        <f>VLOOKUP($Z106,'oddspedia-matches'!$A:$AD,AN$2,0)</f>
        <v>Green</v>
      </c>
      <c r="AO106" t="str">
        <f>VLOOKUP($Z106,'oddspedia-matches'!$A:$AD,AO$2,0)</f>
        <v>Green</v>
      </c>
      <c r="AP106" t="str">
        <f>VLOOKUP($Z106,'oddspedia-matches'!$A:$AD,AP$2,0)</f>
        <v>Red</v>
      </c>
      <c r="AQ106" t="str">
        <f>VLOOKUP($Z106,'oddspedia-matches'!$A:$AD,AQ$2,0)</f>
        <v>Green</v>
      </c>
    </row>
    <row r="107" spans="2:43" x14ac:dyDescent="0.2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str">
        <f>VLOOKUP(E107,'Transform table'!A:B,2,0)</f>
        <v>Vikingur Reykjavik</v>
      </c>
      <c r="Y107" t="str">
        <f>VLOOKUP(F107,'Transform table'!A:B,2,0)</f>
        <v>Keflavik</v>
      </c>
      <c r="Z107" t="str">
        <f t="shared" si="1"/>
        <v>24/07/2026Vikingur ReykjavikKeflavik</v>
      </c>
      <c r="AA107" t="str">
        <f>VLOOKUP($Z107,'oddspedia-matches'!$A:$AD,AA$2,0)</f>
        <v>5 - 1</v>
      </c>
      <c r="AB107" t="str">
        <f>VLOOKUP($Z107,'oddspedia-matches'!$A:$AD,AB$2,0)</f>
        <v>Green</v>
      </c>
      <c r="AC107" t="str">
        <f>VLOOKUP($Z107,'oddspedia-matches'!$A:$AD,AC$2,0)</f>
        <v>Red</v>
      </c>
      <c r="AD107" t="str">
        <f>VLOOKUP($Z107,'oddspedia-matches'!$A:$AD,AD$2,0)</f>
        <v>Red</v>
      </c>
      <c r="AE107" t="str">
        <f>VLOOKUP($Z107,'oddspedia-matches'!$A:$AD,AE$2,0)</f>
        <v>Green</v>
      </c>
      <c r="AF107" t="str">
        <f>VLOOKUP($Z107,'oddspedia-matches'!$A:$AD,AF$2,0)</f>
        <v>Red</v>
      </c>
      <c r="AG107" t="str">
        <f>VLOOKUP($Z107,'oddspedia-matches'!$A:$AD,AG$2,0)</f>
        <v>Green</v>
      </c>
      <c r="AH107" t="str">
        <f>VLOOKUP($Z107,'oddspedia-matches'!$A:$AD,AH$2,0)</f>
        <v>Green</v>
      </c>
      <c r="AI107" t="str">
        <f>VLOOKUP($Z107,'oddspedia-matches'!$A:$AD,AI$2,0)</f>
        <v>Red</v>
      </c>
      <c r="AJ107" t="str">
        <f>VLOOKUP($Z107,'oddspedia-matches'!$A:$AD,AJ$2,0)</f>
        <v>Red</v>
      </c>
      <c r="AK107" t="str">
        <f>VLOOKUP($Z107,'oddspedia-matches'!$A:$AD,AK$2,0)</f>
        <v>Green</v>
      </c>
      <c r="AL107" t="str">
        <f>VLOOKUP($Z107,'oddspedia-matches'!$A:$AD,AL$2,0)</f>
        <v>Green</v>
      </c>
      <c r="AM107" t="str">
        <f>VLOOKUP($Z107,'oddspedia-matches'!$A:$AD,AM$2,0)</f>
        <v>Green</v>
      </c>
      <c r="AN107" t="str">
        <f>VLOOKUP($Z107,'oddspedia-matches'!$A:$AD,AN$2,0)</f>
        <v>Red</v>
      </c>
      <c r="AO107" t="str">
        <f>VLOOKUP($Z107,'oddspedia-matches'!$A:$AD,AO$2,0)</f>
        <v>Red</v>
      </c>
      <c r="AP107" t="str">
        <f>VLOOKUP($Z107,'oddspedia-matches'!$A:$AD,AP$2,0)</f>
        <v>Green</v>
      </c>
      <c r="AQ107" t="str">
        <f>VLOOKUP($Z107,'oddspedia-matches'!$A:$AD,AQ$2,0)</f>
        <v>Red</v>
      </c>
    </row>
    <row r="108" spans="2:43" x14ac:dyDescent="0.2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tr">
        <f>VLOOKUP(E108,'Transform table'!A:B,2,0)</f>
        <v>Hviti Riddarinn</v>
      </c>
      <c r="Y108" t="str">
        <f>VLOOKUP(F108,'Transform table'!A:B,2,0)</f>
        <v>Kari</v>
      </c>
      <c r="Z108" t="str">
        <f t="shared" si="1"/>
        <v>24/07/2026Hviti RiddarinnKari</v>
      </c>
      <c r="AA108" t="str">
        <f>VLOOKUP($Z108,'oddspedia-matches'!$A:$AD,AA$2,0)</f>
        <v>1 - 3</v>
      </c>
      <c r="AB108" t="str">
        <f>VLOOKUP($Z108,'oddspedia-matches'!$A:$AD,AB$2,0)</f>
        <v>Red</v>
      </c>
      <c r="AC108" t="str">
        <f>VLOOKUP($Z108,'oddspedia-matches'!$A:$AD,AC$2,0)</f>
        <v>Red</v>
      </c>
      <c r="AD108" t="str">
        <f>VLOOKUP($Z108,'oddspedia-matches'!$A:$AD,AD$2,0)</f>
        <v>Green</v>
      </c>
      <c r="AE108" t="str">
        <f>VLOOKUP($Z108,'oddspedia-matches'!$A:$AD,AE$2,0)</f>
        <v>Red</v>
      </c>
      <c r="AF108" t="str">
        <f>VLOOKUP($Z108,'oddspedia-matches'!$A:$AD,AF$2,0)</f>
        <v>Green</v>
      </c>
      <c r="AG108" t="str">
        <f>VLOOKUP($Z108,'oddspedia-matches'!$A:$AD,AG$2,0)</f>
        <v>Green</v>
      </c>
      <c r="AH108" t="str">
        <f>VLOOKUP($Z108,'oddspedia-matches'!$A:$AD,AH$2,0)</f>
        <v>Red</v>
      </c>
      <c r="AI108" t="str">
        <f>VLOOKUP($Z108,'oddspedia-matches'!$A:$AD,AI$2,0)</f>
        <v>Red</v>
      </c>
      <c r="AJ108" t="str">
        <f>VLOOKUP($Z108,'oddspedia-matches'!$A:$AD,AJ$2,0)</f>
        <v>Green</v>
      </c>
      <c r="AK108" t="str">
        <f>VLOOKUP($Z108,'oddspedia-matches'!$A:$AD,AK$2,0)</f>
        <v>Green</v>
      </c>
      <c r="AL108" t="str">
        <f>VLOOKUP($Z108,'oddspedia-matches'!$A:$AD,AL$2,0)</f>
        <v>Green</v>
      </c>
      <c r="AM108" t="str">
        <f>VLOOKUP($Z108,'oddspedia-matches'!$A:$AD,AM$2,0)</f>
        <v>Green</v>
      </c>
      <c r="AN108" t="str">
        <f>VLOOKUP($Z108,'oddspedia-matches'!$A:$AD,AN$2,0)</f>
        <v>Red</v>
      </c>
      <c r="AO108" t="str">
        <f>VLOOKUP($Z108,'oddspedia-matches'!$A:$AD,AO$2,0)</f>
        <v>Red</v>
      </c>
      <c r="AP108" t="str">
        <f>VLOOKUP($Z108,'oddspedia-matches'!$A:$AD,AP$2,0)</f>
        <v>Green</v>
      </c>
      <c r="AQ108" t="str">
        <f>VLOOKUP($Z108,'oddspedia-matches'!$A:$AD,AQ$2,0)</f>
        <v>Red</v>
      </c>
    </row>
    <row r="109" spans="2:43" x14ac:dyDescent="0.2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tr">
        <f>VLOOKUP(E109,'Transform table'!A:B,2,0)</f>
        <v>Alianza Atletico</v>
      </c>
      <c r="Y109" t="str">
        <f>VLOOKUP(F109,'Transform table'!A:B,2,0)</f>
        <v>CSD Santa Rosa</v>
      </c>
      <c r="Z109" t="str">
        <f t="shared" si="1"/>
        <v>24/07/2026Alianza AtleticoCSD Santa Rosa</v>
      </c>
      <c r="AA109" t="str">
        <f>VLOOKUP($Z109,'oddspedia-matches'!$A:$AD,AA$2,0)</f>
        <v>3 - 1</v>
      </c>
      <c r="AB109" t="str">
        <f>VLOOKUP($Z109,'oddspedia-matches'!$A:$AD,AB$2,0)</f>
        <v>Green</v>
      </c>
      <c r="AC109" t="str">
        <f>VLOOKUP($Z109,'oddspedia-matches'!$A:$AD,AC$2,0)</f>
        <v>Red</v>
      </c>
      <c r="AD109" t="str">
        <f>VLOOKUP($Z109,'oddspedia-matches'!$A:$AD,AD$2,0)</f>
        <v>Red</v>
      </c>
      <c r="AE109" t="str">
        <f>VLOOKUP($Z109,'oddspedia-matches'!$A:$AD,AE$2,0)</f>
        <v>Green</v>
      </c>
      <c r="AF109" t="str">
        <f>VLOOKUP($Z109,'oddspedia-matches'!$A:$AD,AF$2,0)</f>
        <v>Red</v>
      </c>
      <c r="AG109" t="str">
        <f>VLOOKUP($Z109,'oddspedia-matches'!$A:$AD,AG$2,0)</f>
        <v>Green</v>
      </c>
      <c r="AH109" t="str">
        <f>VLOOKUP($Z109,'oddspedia-matches'!$A:$AD,AH$2,0)</f>
        <v>Green</v>
      </c>
      <c r="AI109" t="str">
        <f>VLOOKUP($Z109,'oddspedia-matches'!$A:$AD,AI$2,0)</f>
        <v>Red</v>
      </c>
      <c r="AJ109" t="str">
        <f>VLOOKUP($Z109,'oddspedia-matches'!$A:$AD,AJ$2,0)</f>
        <v>Red</v>
      </c>
      <c r="AK109" t="str">
        <f>VLOOKUP($Z109,'oddspedia-matches'!$A:$AD,AK$2,0)</f>
        <v>Green</v>
      </c>
      <c r="AL109" t="str">
        <f>VLOOKUP($Z109,'oddspedia-matches'!$A:$AD,AL$2,0)</f>
        <v>Green</v>
      </c>
      <c r="AM109" t="str">
        <f>VLOOKUP($Z109,'oddspedia-matches'!$A:$AD,AM$2,0)</f>
        <v>Green</v>
      </c>
      <c r="AN109" t="str">
        <f>VLOOKUP($Z109,'oddspedia-matches'!$A:$AD,AN$2,0)</f>
        <v>Red</v>
      </c>
      <c r="AO109" t="str">
        <f>VLOOKUP($Z109,'oddspedia-matches'!$A:$AD,AO$2,0)</f>
        <v>Red</v>
      </c>
      <c r="AP109" t="str">
        <f>VLOOKUP($Z109,'oddspedia-matches'!$A:$AD,AP$2,0)</f>
        <v>Green</v>
      </c>
      <c r="AQ109" t="str">
        <f>VLOOKUP($Z109,'oddspedia-matches'!$A:$AD,AQ$2,0)</f>
        <v>Red</v>
      </c>
    </row>
    <row r="110" spans="2:43" x14ac:dyDescent="0.2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tr">
        <f>VLOOKUP(E110,'Transform table'!A:B,2,0)</f>
        <v>Deportes Quindio</v>
      </c>
      <c r="Y110" t="str">
        <f>VLOOKUP(F110,'Transform table'!A:B,2,0)</f>
        <v>Universitario Popayan</v>
      </c>
      <c r="Z110" t="str">
        <f t="shared" si="1"/>
        <v>24/07/2026Deportes QuindioUniversitario Popayan</v>
      </c>
      <c r="AA110" t="str">
        <f>VLOOKUP($Z110,'oddspedia-matches'!$A:$AD,AA$2,0)</f>
        <v>0 - 1</v>
      </c>
      <c r="AB110" t="str">
        <f>VLOOKUP($Z110,'oddspedia-matches'!$A:$AD,AB$2,0)</f>
        <v>Red</v>
      </c>
      <c r="AC110" t="str">
        <f>VLOOKUP($Z110,'oddspedia-matches'!$A:$AD,AC$2,0)</f>
        <v>Red</v>
      </c>
      <c r="AD110" t="str">
        <f>VLOOKUP($Z110,'oddspedia-matches'!$A:$AD,AD$2,0)</f>
        <v>Green</v>
      </c>
      <c r="AE110" t="str">
        <f>VLOOKUP($Z110,'oddspedia-matches'!$A:$AD,AE$2,0)</f>
        <v>Red</v>
      </c>
      <c r="AF110" t="str">
        <f>VLOOKUP($Z110,'oddspedia-matches'!$A:$AD,AF$2,0)</f>
        <v>Green</v>
      </c>
      <c r="AG110" t="str">
        <f>VLOOKUP($Z110,'oddspedia-matches'!$A:$AD,AG$2,0)</f>
        <v>Green</v>
      </c>
      <c r="AH110" t="str">
        <f>VLOOKUP($Z110,'oddspedia-matches'!$A:$AD,AH$2,0)</f>
        <v>Red</v>
      </c>
      <c r="AI110" t="str">
        <f>VLOOKUP($Z110,'oddspedia-matches'!$A:$AD,AI$2,0)</f>
        <v>Green</v>
      </c>
      <c r="AJ110" t="str">
        <f>VLOOKUP($Z110,'oddspedia-matches'!$A:$AD,AJ$2,0)</f>
        <v>Red</v>
      </c>
      <c r="AK110" t="str">
        <f>VLOOKUP($Z110,'oddspedia-matches'!$A:$AD,AK$2,0)</f>
        <v>Red</v>
      </c>
      <c r="AL110" t="str">
        <f>VLOOKUP($Z110,'oddspedia-matches'!$A:$AD,AL$2,0)</f>
        <v>Red</v>
      </c>
      <c r="AM110" t="str">
        <f>VLOOKUP($Z110,'oddspedia-matches'!$A:$AD,AM$2,0)</f>
        <v>Red</v>
      </c>
      <c r="AN110" t="str">
        <f>VLOOKUP($Z110,'oddspedia-matches'!$A:$AD,AN$2,0)</f>
        <v>Green</v>
      </c>
      <c r="AO110" t="str">
        <f>VLOOKUP($Z110,'oddspedia-matches'!$A:$AD,AO$2,0)</f>
        <v>Green</v>
      </c>
      <c r="AP110" t="str">
        <f>VLOOKUP($Z110,'oddspedia-matches'!$A:$AD,AP$2,0)</f>
        <v>Red</v>
      </c>
      <c r="AQ110" t="str">
        <f>VLOOKUP($Z110,'oddspedia-matches'!$A:$AD,AQ$2,0)</f>
        <v>Green</v>
      </c>
    </row>
    <row r="111" spans="2:43" x14ac:dyDescent="0.2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tr">
        <f>VLOOKUP(E111,'Transform table'!A:B,2,0)</f>
        <v>Cerro Porteno</v>
      </c>
      <c r="Y111" t="str">
        <f>VLOOKUP(F111,'Transform table'!A:B,2,0)</f>
        <v>Sportivo Trinidense</v>
      </c>
      <c r="Z111" t="str">
        <f t="shared" si="1"/>
        <v>24/07/2026Cerro PortenoSportivo Trinidense</v>
      </c>
      <c r="AA111" t="str">
        <f>VLOOKUP($Z111,'oddspedia-matches'!$A:$AD,AA$2,0)</f>
        <v>1 - 2</v>
      </c>
      <c r="AB111" t="str">
        <f>VLOOKUP($Z111,'oddspedia-matches'!$A:$AD,AB$2,0)</f>
        <v>Red</v>
      </c>
      <c r="AC111" t="str">
        <f>VLOOKUP($Z111,'oddspedia-matches'!$A:$AD,AC$2,0)</f>
        <v>Red</v>
      </c>
      <c r="AD111" t="str">
        <f>VLOOKUP($Z111,'oddspedia-matches'!$A:$AD,AD$2,0)</f>
        <v>Green</v>
      </c>
      <c r="AE111" t="str">
        <f>VLOOKUP($Z111,'oddspedia-matches'!$A:$AD,AE$2,0)</f>
        <v>Red</v>
      </c>
      <c r="AF111" t="str">
        <f>VLOOKUP($Z111,'oddspedia-matches'!$A:$AD,AF$2,0)</f>
        <v>Green</v>
      </c>
      <c r="AG111" t="str">
        <f>VLOOKUP($Z111,'oddspedia-matches'!$A:$AD,AG$2,0)</f>
        <v>Green</v>
      </c>
      <c r="AH111" t="str">
        <f>VLOOKUP($Z111,'oddspedia-matches'!$A:$AD,AH$2,0)</f>
        <v>Green</v>
      </c>
      <c r="AI111" t="str">
        <f>VLOOKUP($Z111,'oddspedia-matches'!$A:$AD,AI$2,0)</f>
        <v>Red</v>
      </c>
      <c r="AJ111" t="str">
        <f>VLOOKUP($Z111,'oddspedia-matches'!$A:$AD,AJ$2,0)</f>
        <v>Red</v>
      </c>
      <c r="AK111" t="str">
        <f>VLOOKUP($Z111,'oddspedia-matches'!$A:$AD,AK$2,0)</f>
        <v>Green</v>
      </c>
      <c r="AL111" t="str">
        <f>VLOOKUP($Z111,'oddspedia-matches'!$A:$AD,AL$2,0)</f>
        <v>Green</v>
      </c>
      <c r="AM111" t="str">
        <f>VLOOKUP($Z111,'oddspedia-matches'!$A:$AD,AM$2,0)</f>
        <v>Green</v>
      </c>
      <c r="AN111" t="str">
        <f>VLOOKUP($Z111,'oddspedia-matches'!$A:$AD,AN$2,0)</f>
        <v>Red</v>
      </c>
      <c r="AO111" t="str">
        <f>VLOOKUP($Z111,'oddspedia-matches'!$A:$AD,AO$2,0)</f>
        <v>Green</v>
      </c>
      <c r="AP111" t="str">
        <f>VLOOKUP($Z111,'oddspedia-matches'!$A:$AD,AP$2,0)</f>
        <v>Green</v>
      </c>
      <c r="AQ111" t="str">
        <f>VLOOKUP($Z111,'oddspedia-matches'!$A:$AD,AQ$2,0)</f>
        <v>Red</v>
      </c>
    </row>
    <row r="112" spans="2:43" x14ac:dyDescent="0.2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tr">
        <f>VLOOKUP(E112,'Transform table'!A:B,2,0)</f>
        <v>Racing Avellaneda</v>
      </c>
      <c r="Y112" t="str">
        <f>VLOOKUP(F112,'Transform table'!A:B,2,0)</f>
        <v>Gimnasia La Plata</v>
      </c>
      <c r="Z112" t="str">
        <f t="shared" si="1"/>
        <v>24/07/2026Racing AvellanedaGimnasia La Plata</v>
      </c>
      <c r="AA112" t="str">
        <f>VLOOKUP($Z112,'oddspedia-matches'!$A:$AD,AA$2,0)</f>
        <v>2 - 1</v>
      </c>
      <c r="AB112" t="str">
        <f>VLOOKUP($Z112,'oddspedia-matches'!$A:$AD,AB$2,0)</f>
        <v>Green</v>
      </c>
      <c r="AC112" t="str">
        <f>VLOOKUP($Z112,'oddspedia-matches'!$A:$AD,AC$2,0)</f>
        <v>Red</v>
      </c>
      <c r="AD112" t="str">
        <f>VLOOKUP($Z112,'oddspedia-matches'!$A:$AD,AD$2,0)</f>
        <v>Red</v>
      </c>
      <c r="AE112" t="str">
        <f>VLOOKUP($Z112,'oddspedia-matches'!$A:$AD,AE$2,0)</f>
        <v>Green</v>
      </c>
      <c r="AF112" t="str">
        <f>VLOOKUP($Z112,'oddspedia-matches'!$A:$AD,AF$2,0)</f>
        <v>Red</v>
      </c>
      <c r="AG112" t="str">
        <f>VLOOKUP($Z112,'oddspedia-matches'!$A:$AD,AG$2,0)</f>
        <v>Green</v>
      </c>
      <c r="AH112" t="str">
        <f>VLOOKUP($Z112,'oddspedia-matches'!$A:$AD,AH$2,0)</f>
        <v>Red</v>
      </c>
      <c r="AI112" t="str">
        <f>VLOOKUP($Z112,'oddspedia-matches'!$A:$AD,AI$2,0)</f>
        <v>Green</v>
      </c>
      <c r="AJ112" t="str">
        <f>VLOOKUP($Z112,'oddspedia-matches'!$A:$AD,AJ$2,0)</f>
        <v>Red</v>
      </c>
      <c r="AK112" t="str">
        <f>VLOOKUP($Z112,'oddspedia-matches'!$A:$AD,AK$2,0)</f>
        <v>Green</v>
      </c>
      <c r="AL112" t="str">
        <f>VLOOKUP($Z112,'oddspedia-matches'!$A:$AD,AL$2,0)</f>
        <v>Green</v>
      </c>
      <c r="AM112" t="str">
        <f>VLOOKUP($Z112,'oddspedia-matches'!$A:$AD,AM$2,0)</f>
        <v>Green</v>
      </c>
      <c r="AN112" t="str">
        <f>VLOOKUP($Z112,'oddspedia-matches'!$A:$AD,AN$2,0)</f>
        <v>Red</v>
      </c>
      <c r="AO112" t="str">
        <f>VLOOKUP($Z112,'oddspedia-matches'!$A:$AD,AO$2,0)</f>
        <v>Green</v>
      </c>
      <c r="AP112" t="str">
        <f>VLOOKUP($Z112,'oddspedia-matches'!$A:$AD,AP$2,0)</f>
        <v>Green</v>
      </c>
      <c r="AQ112" t="str">
        <f>VLOOKUP($Z112,'oddspedia-matches'!$A:$AD,AQ$2,0)</f>
        <v>Red</v>
      </c>
    </row>
    <row r="113" spans="2:43" x14ac:dyDescent="0.2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tr">
        <f>VLOOKUP(E113,'Transform table'!A:B,2,0)</f>
        <v>Velez Sarsfield</v>
      </c>
      <c r="Y113" t="str">
        <f>VLOOKUP(F113,'Transform table'!A:B,2,0)</f>
        <v>Instituto de Cordoba</v>
      </c>
      <c r="Z113" t="str">
        <f t="shared" si="1"/>
        <v>24/07/2026Velez SarsfieldInstituto de Cordoba</v>
      </c>
      <c r="AA113" t="str">
        <f>VLOOKUP($Z113,'oddspedia-matches'!$A:$AD,AA$2,0)</f>
        <v>1 - 0</v>
      </c>
      <c r="AB113" t="str">
        <f>VLOOKUP($Z113,'oddspedia-matches'!$A:$AD,AB$2,0)</f>
        <v>Green</v>
      </c>
      <c r="AC113" t="str">
        <f>VLOOKUP($Z113,'oddspedia-matches'!$A:$AD,AC$2,0)</f>
        <v>Red</v>
      </c>
      <c r="AD113" t="str">
        <f>VLOOKUP($Z113,'oddspedia-matches'!$A:$AD,AD$2,0)</f>
        <v>Red</v>
      </c>
      <c r="AE113" t="str">
        <f>VLOOKUP($Z113,'oddspedia-matches'!$A:$AD,AE$2,0)</f>
        <v>Green</v>
      </c>
      <c r="AF113" t="str">
        <f>VLOOKUP($Z113,'oddspedia-matches'!$A:$AD,AF$2,0)</f>
        <v>Red</v>
      </c>
      <c r="AG113" t="str">
        <f>VLOOKUP($Z113,'oddspedia-matches'!$A:$AD,AG$2,0)</f>
        <v>Green</v>
      </c>
      <c r="AH113" t="str">
        <f>VLOOKUP($Z113,'oddspedia-matches'!$A:$AD,AH$2,0)</f>
        <v>Green</v>
      </c>
      <c r="AI113" t="str">
        <f>VLOOKUP($Z113,'oddspedia-matches'!$A:$AD,AI$2,0)</f>
        <v>Red</v>
      </c>
      <c r="AJ113" t="str">
        <f>VLOOKUP($Z113,'oddspedia-matches'!$A:$AD,AJ$2,0)</f>
        <v>Red</v>
      </c>
      <c r="AK113" t="str">
        <f>VLOOKUP($Z113,'oddspedia-matches'!$A:$AD,AK$2,0)</f>
        <v>Green</v>
      </c>
      <c r="AL113" t="str">
        <f>VLOOKUP($Z113,'oddspedia-matches'!$A:$AD,AL$2,0)</f>
        <v>Red</v>
      </c>
      <c r="AM113" t="str">
        <f>VLOOKUP($Z113,'oddspedia-matches'!$A:$AD,AM$2,0)</f>
        <v>Red</v>
      </c>
      <c r="AN113" t="str">
        <f>VLOOKUP($Z113,'oddspedia-matches'!$A:$AD,AN$2,0)</f>
        <v>Green</v>
      </c>
      <c r="AO113" t="str">
        <f>VLOOKUP($Z113,'oddspedia-matches'!$A:$AD,AO$2,0)</f>
        <v>Green</v>
      </c>
      <c r="AP113" t="str">
        <f>VLOOKUP($Z113,'oddspedia-matches'!$A:$AD,AP$2,0)</f>
        <v>Red</v>
      </c>
      <c r="AQ113" t="str">
        <f>VLOOKUP($Z113,'oddspedia-matches'!$A:$AD,AQ$2,0)</f>
        <v>Green</v>
      </c>
    </row>
    <row r="114" spans="2:43" x14ac:dyDescent="0.2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tr">
        <f>VLOOKUP(E114,'Transform table'!A:B,2,0)</f>
        <v>HFX Wanderers</v>
      </c>
      <c r="Y114" t="str">
        <f>VLOOKUP(F114,'Transform table'!A:B,2,0)</f>
        <v>Supra du Quebec</v>
      </c>
      <c r="Z114" t="str">
        <f t="shared" si="1"/>
        <v>24/07/2026HFX WanderersSupra du Quebec</v>
      </c>
      <c r="AA114" t="str">
        <f>VLOOKUP($Z114,'oddspedia-matches'!$A:$AD,AA$2,0)</f>
        <v>2 - 3</v>
      </c>
      <c r="AB114" t="str">
        <f>VLOOKUP($Z114,'oddspedia-matches'!$A:$AD,AB$2,0)</f>
        <v>Red</v>
      </c>
      <c r="AC114" t="str">
        <f>VLOOKUP($Z114,'oddspedia-matches'!$A:$AD,AC$2,0)</f>
        <v>Red</v>
      </c>
      <c r="AD114" t="str">
        <f>VLOOKUP($Z114,'oddspedia-matches'!$A:$AD,AD$2,0)</f>
        <v>Green</v>
      </c>
      <c r="AE114" t="str">
        <f>VLOOKUP($Z114,'oddspedia-matches'!$A:$AD,AE$2,0)</f>
        <v>Red</v>
      </c>
      <c r="AF114" t="str">
        <f>VLOOKUP($Z114,'oddspedia-matches'!$A:$AD,AF$2,0)</f>
        <v>Green</v>
      </c>
      <c r="AG114" t="str">
        <f>VLOOKUP($Z114,'oddspedia-matches'!$A:$AD,AG$2,0)</f>
        <v>Green</v>
      </c>
      <c r="AH114" t="str">
        <f>VLOOKUP($Z114,'oddspedia-matches'!$A:$AD,AH$2,0)</f>
        <v>Green</v>
      </c>
      <c r="AI114" t="str">
        <f>VLOOKUP($Z114,'oddspedia-matches'!$A:$AD,AI$2,0)</f>
        <v>Red</v>
      </c>
      <c r="AJ114" t="str">
        <f>VLOOKUP($Z114,'oddspedia-matches'!$A:$AD,AJ$2,0)</f>
        <v>Red</v>
      </c>
      <c r="AK114" t="str">
        <f>VLOOKUP($Z114,'oddspedia-matches'!$A:$AD,AK$2,0)</f>
        <v>Green</v>
      </c>
      <c r="AL114" t="str">
        <f>VLOOKUP($Z114,'oddspedia-matches'!$A:$AD,AL$2,0)</f>
        <v>Green</v>
      </c>
      <c r="AM114" t="str">
        <f>VLOOKUP($Z114,'oddspedia-matches'!$A:$AD,AM$2,0)</f>
        <v>Green</v>
      </c>
      <c r="AN114" t="str">
        <f>VLOOKUP($Z114,'oddspedia-matches'!$A:$AD,AN$2,0)</f>
        <v>Red</v>
      </c>
      <c r="AO114" t="str">
        <f>VLOOKUP($Z114,'oddspedia-matches'!$A:$AD,AO$2,0)</f>
        <v>Red</v>
      </c>
      <c r="AP114" t="str">
        <f>VLOOKUP($Z114,'oddspedia-matches'!$A:$AD,AP$2,0)</f>
        <v>Green</v>
      </c>
      <c r="AQ114" t="str">
        <f>VLOOKUP($Z114,'oddspedia-matches'!$A:$AD,AQ$2,0)</f>
        <v>Red</v>
      </c>
    </row>
    <row r="115" spans="2:43" x14ac:dyDescent="0.2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tr">
        <f>VLOOKUP(E115,'Transform table'!A:B,2,0)</f>
        <v>Union La Calera</v>
      </c>
      <c r="Y115" t="str">
        <f>VLOOKUP(F115,'Transform table'!A:B,2,0)</f>
        <v>Everton de Vina</v>
      </c>
      <c r="Z115" t="str">
        <f t="shared" si="1"/>
        <v>24/07/2026Union La CaleraEverton de Vina</v>
      </c>
      <c r="AA115" t="str">
        <f>VLOOKUP($Z115,'oddspedia-matches'!$A:$AD,AA$2,0)</f>
        <v xml:space="preserve"> - </v>
      </c>
      <c r="AB115" t="str">
        <f>VLOOKUP($Z115,'oddspedia-matches'!$A:$AD,AB$2,0)</f>
        <v>Red</v>
      </c>
      <c r="AC115" t="str">
        <f>VLOOKUP($Z115,'oddspedia-matches'!$A:$AD,AC$2,0)</f>
        <v>Green</v>
      </c>
      <c r="AD115" t="str">
        <f>VLOOKUP($Z115,'oddspedia-matches'!$A:$AD,AD$2,0)</f>
        <v>Red</v>
      </c>
      <c r="AE115" t="str">
        <f>VLOOKUP($Z115,'oddspedia-matches'!$A:$AD,AE$2,0)</f>
        <v>Green</v>
      </c>
      <c r="AF115" t="str">
        <f>VLOOKUP($Z115,'oddspedia-matches'!$A:$AD,AF$2,0)</f>
        <v>Green</v>
      </c>
      <c r="AG115" t="str">
        <f>VLOOKUP($Z115,'oddspedia-matches'!$A:$AD,AG$2,0)</f>
        <v>Red</v>
      </c>
      <c r="AH115" t="str">
        <f>VLOOKUP($Z115,'oddspedia-matches'!$A:$AD,AH$2,0)</f>
        <v>Red</v>
      </c>
      <c r="AI115" t="str">
        <f>VLOOKUP($Z115,'oddspedia-matches'!$A:$AD,AI$2,0)</f>
        <v>Green</v>
      </c>
      <c r="AJ115" t="str">
        <f>VLOOKUP($Z115,'oddspedia-matches'!$A:$AD,AJ$2,0)</f>
        <v>Red</v>
      </c>
      <c r="AK115" t="str">
        <f>VLOOKUP($Z115,'oddspedia-matches'!$A:$AD,AK$2,0)</f>
        <v>Red</v>
      </c>
      <c r="AL115" t="str">
        <f>VLOOKUP($Z115,'oddspedia-matches'!$A:$AD,AL$2,0)</f>
        <v>Red</v>
      </c>
      <c r="AM115" t="str">
        <f>VLOOKUP($Z115,'oddspedia-matches'!$A:$AD,AM$2,0)</f>
        <v>Red</v>
      </c>
      <c r="AN115" t="str">
        <f>VLOOKUP($Z115,'oddspedia-matches'!$A:$AD,AN$2,0)</f>
        <v>Green</v>
      </c>
      <c r="AO115" t="str">
        <f>VLOOKUP($Z115,'oddspedia-matches'!$A:$AD,AO$2,0)</f>
        <v>Green</v>
      </c>
      <c r="AP115" t="str">
        <f>VLOOKUP($Z115,'oddspedia-matches'!$A:$AD,AP$2,0)</f>
        <v>Red</v>
      </c>
      <c r="AQ115" t="str">
        <f>VLOOKUP($Z115,'oddspedia-matches'!$A:$AD,AQ$2,0)</f>
        <v>Green</v>
      </c>
    </row>
    <row r="116" spans="2:43" x14ac:dyDescent="0.2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tr">
        <f>VLOOKUP(E116,'Transform table'!A:B,2,0)</f>
        <v>Nacional De Football</v>
      </c>
      <c r="Y116" t="str">
        <f>VLOOKUP(F116,'Transform table'!A:B,2,0)</f>
        <v>Club Atletico Progreso</v>
      </c>
      <c r="Z116" t="str">
        <f t="shared" si="1"/>
        <v>24/07/2026Nacional De FootballClub Atletico Progreso</v>
      </c>
      <c r="AA116" t="str">
        <f>VLOOKUP($Z116,'oddspedia-matches'!$A:$AD,AA$2,0)</f>
        <v xml:space="preserve"> - </v>
      </c>
      <c r="AB116" t="str">
        <f>VLOOKUP($Z116,'oddspedia-matches'!$A:$AD,AB$2,0)</f>
        <v>Red</v>
      </c>
      <c r="AC116" t="str">
        <f>VLOOKUP($Z116,'oddspedia-matches'!$A:$AD,AC$2,0)</f>
        <v>Green</v>
      </c>
      <c r="AD116" t="str">
        <f>VLOOKUP($Z116,'oddspedia-matches'!$A:$AD,AD$2,0)</f>
        <v>Red</v>
      </c>
      <c r="AE116" t="str">
        <f>VLOOKUP($Z116,'oddspedia-matches'!$A:$AD,AE$2,0)</f>
        <v>Green</v>
      </c>
      <c r="AF116" t="str">
        <f>VLOOKUP($Z116,'oddspedia-matches'!$A:$AD,AF$2,0)</f>
        <v>Green</v>
      </c>
      <c r="AG116" t="str">
        <f>VLOOKUP($Z116,'oddspedia-matches'!$A:$AD,AG$2,0)</f>
        <v>Red</v>
      </c>
      <c r="AH116" t="str">
        <f>VLOOKUP($Z116,'oddspedia-matches'!$A:$AD,AH$2,0)</f>
        <v>Red</v>
      </c>
      <c r="AI116" t="str">
        <f>VLOOKUP($Z116,'oddspedia-matches'!$A:$AD,AI$2,0)</f>
        <v>Green</v>
      </c>
      <c r="AJ116" t="str">
        <f>VLOOKUP($Z116,'oddspedia-matches'!$A:$AD,AJ$2,0)</f>
        <v>Red</v>
      </c>
      <c r="AK116" t="str">
        <f>VLOOKUP($Z116,'oddspedia-matches'!$A:$AD,AK$2,0)</f>
        <v>Red</v>
      </c>
      <c r="AL116" t="str">
        <f>VLOOKUP($Z116,'oddspedia-matches'!$A:$AD,AL$2,0)</f>
        <v>Red</v>
      </c>
      <c r="AM116" t="str">
        <f>VLOOKUP($Z116,'oddspedia-matches'!$A:$AD,AM$2,0)</f>
        <v>Red</v>
      </c>
      <c r="AN116" t="str">
        <f>VLOOKUP($Z116,'oddspedia-matches'!$A:$AD,AN$2,0)</f>
        <v>Green</v>
      </c>
      <c r="AO116" t="str">
        <f>VLOOKUP($Z116,'oddspedia-matches'!$A:$AD,AO$2,0)</f>
        <v>Green</v>
      </c>
      <c r="AP116" t="str">
        <f>VLOOKUP($Z116,'oddspedia-matches'!$A:$AD,AP$2,0)</f>
        <v>Red</v>
      </c>
      <c r="AQ116" t="str">
        <f>VLOOKUP($Z116,'oddspedia-matches'!$A:$AD,AQ$2,0)</f>
        <v>Green</v>
      </c>
    </row>
    <row r="117" spans="2:43" x14ac:dyDescent="0.2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tr">
        <f>VLOOKUP(E117,'Transform table'!A:B,2,0)</f>
        <v>Arouca</v>
      </c>
      <c r="Y117" t="str">
        <f>VLOOKUP(F117,'Transform table'!A:B,2,0)</f>
        <v>ABB</v>
      </c>
      <c r="Z117" t="str">
        <f t="shared" si="1"/>
        <v>24/07/2026AroucaABB</v>
      </c>
      <c r="AA117" t="e">
        <f>VLOOKUP($Z117,'oddspedia-matches'!$A:$AD,AA$2,0)</f>
        <v>#N/A</v>
      </c>
      <c r="AB117" t="e">
        <f>VLOOKUP($Z117,'oddspedia-matches'!$A:$AD,AB$2,0)</f>
        <v>#N/A</v>
      </c>
      <c r="AC117" t="e">
        <f>VLOOKUP($Z117,'oddspedia-matches'!$A:$AD,AC$2,0)</f>
        <v>#N/A</v>
      </c>
      <c r="AD117" t="e">
        <f>VLOOKUP($Z117,'oddspedia-matches'!$A:$AD,AD$2,0)</f>
        <v>#N/A</v>
      </c>
      <c r="AE117" t="e">
        <f>VLOOKUP($Z117,'oddspedia-matches'!$A:$AD,AE$2,0)</f>
        <v>#N/A</v>
      </c>
      <c r="AF117" t="e">
        <f>VLOOKUP($Z117,'oddspedia-matches'!$A:$AD,AF$2,0)</f>
        <v>#N/A</v>
      </c>
      <c r="AG117" t="e">
        <f>VLOOKUP($Z117,'oddspedia-matches'!$A:$AD,AG$2,0)</f>
        <v>#N/A</v>
      </c>
      <c r="AH117" t="e">
        <f>VLOOKUP($Z117,'oddspedia-matches'!$A:$AD,AH$2,0)</f>
        <v>#N/A</v>
      </c>
      <c r="AI117" t="e">
        <f>VLOOKUP($Z117,'oddspedia-matches'!$A:$AD,AI$2,0)</f>
        <v>#N/A</v>
      </c>
      <c r="AJ117" t="e">
        <f>VLOOKUP($Z117,'oddspedia-matches'!$A:$AD,AJ$2,0)</f>
        <v>#N/A</v>
      </c>
      <c r="AK117" t="e">
        <f>VLOOKUP($Z117,'oddspedia-matches'!$A:$AD,AK$2,0)</f>
        <v>#N/A</v>
      </c>
      <c r="AL117" t="e">
        <f>VLOOKUP($Z117,'oddspedia-matches'!$A:$AD,AL$2,0)</f>
        <v>#N/A</v>
      </c>
      <c r="AM117" t="e">
        <f>VLOOKUP($Z117,'oddspedia-matches'!$A:$AD,AM$2,0)</f>
        <v>#N/A</v>
      </c>
      <c r="AN117" t="e">
        <f>VLOOKUP($Z117,'oddspedia-matches'!$A:$AD,AN$2,0)</f>
        <v>#N/A</v>
      </c>
      <c r="AO117" t="e">
        <f>VLOOKUP($Z117,'oddspedia-matches'!$A:$AD,AO$2,0)</f>
        <v>#N/A</v>
      </c>
      <c r="AP117" t="e">
        <f>VLOOKUP($Z117,'oddspedia-matches'!$A:$AD,AP$2,0)</f>
        <v>#N/A</v>
      </c>
      <c r="AQ117" t="e">
        <f>VLOOKUP($Z117,'oddspedia-matches'!$A:$AD,AQ$2,0)</f>
        <v>#N/A</v>
      </c>
    </row>
    <row r="118" spans="2:43" x14ac:dyDescent="0.2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tr">
        <f>VLOOKUP(E118,'Transform table'!A:B,2,0)</f>
        <v>Tigres FC</v>
      </c>
      <c r="Y118" t="str">
        <f>VLOOKUP(F118,'Transform table'!A:B,2,0)</f>
        <v>Leones FC</v>
      </c>
      <c r="Z118" t="str">
        <f t="shared" si="1"/>
        <v>24/07/2026Tigres FCLeones FC</v>
      </c>
      <c r="AA118" t="str">
        <f>VLOOKUP($Z118,'oddspedia-matches'!$A:$AD,AA$2,0)</f>
        <v>0 - 1</v>
      </c>
      <c r="AB118" t="str">
        <f>VLOOKUP($Z118,'oddspedia-matches'!$A:$AD,AB$2,0)</f>
        <v>Red</v>
      </c>
      <c r="AC118" t="str">
        <f>VLOOKUP($Z118,'oddspedia-matches'!$A:$AD,AC$2,0)</f>
        <v>Red</v>
      </c>
      <c r="AD118" t="str">
        <f>VLOOKUP($Z118,'oddspedia-matches'!$A:$AD,AD$2,0)</f>
        <v>Green</v>
      </c>
      <c r="AE118" t="str">
        <f>VLOOKUP($Z118,'oddspedia-matches'!$A:$AD,AE$2,0)</f>
        <v>Red</v>
      </c>
      <c r="AF118" t="str">
        <f>VLOOKUP($Z118,'oddspedia-matches'!$A:$AD,AF$2,0)</f>
        <v>Green</v>
      </c>
      <c r="AG118" t="str">
        <f>VLOOKUP($Z118,'oddspedia-matches'!$A:$AD,AG$2,0)</f>
        <v>Green</v>
      </c>
      <c r="AH118" t="str">
        <f>VLOOKUP($Z118,'oddspedia-matches'!$A:$AD,AH$2,0)</f>
        <v>Red</v>
      </c>
      <c r="AI118" t="str">
        <f>VLOOKUP($Z118,'oddspedia-matches'!$A:$AD,AI$2,0)</f>
        <v>Red</v>
      </c>
      <c r="AJ118" t="str">
        <f>VLOOKUP($Z118,'oddspedia-matches'!$A:$AD,AJ$2,0)</f>
        <v>Green</v>
      </c>
      <c r="AK118" t="str">
        <f>VLOOKUP($Z118,'oddspedia-matches'!$A:$AD,AK$2,0)</f>
        <v>Green</v>
      </c>
      <c r="AL118" t="str">
        <f>VLOOKUP($Z118,'oddspedia-matches'!$A:$AD,AL$2,0)</f>
        <v>Red</v>
      </c>
      <c r="AM118" t="str">
        <f>VLOOKUP($Z118,'oddspedia-matches'!$A:$AD,AM$2,0)</f>
        <v>Red</v>
      </c>
      <c r="AN118" t="str">
        <f>VLOOKUP($Z118,'oddspedia-matches'!$A:$AD,AN$2,0)</f>
        <v>Green</v>
      </c>
      <c r="AO118" t="str">
        <f>VLOOKUP($Z118,'oddspedia-matches'!$A:$AD,AO$2,0)</f>
        <v>Green</v>
      </c>
      <c r="AP118" t="str">
        <f>VLOOKUP($Z118,'oddspedia-matches'!$A:$AD,AP$2,0)</f>
        <v>Red</v>
      </c>
      <c r="AQ118" t="str">
        <f>VLOOKUP($Z118,'oddspedia-matches'!$A:$AD,AQ$2,0)</f>
        <v>Green</v>
      </c>
    </row>
    <row r="119" spans="2:43" x14ac:dyDescent="0.2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tr">
        <f>VLOOKUP(E119,'Transform table'!A:B,2,0)</f>
        <v>New York Red Bulls II</v>
      </c>
      <c r="Y119" t="str">
        <f>VLOOKUP(F119,'Transform table'!A:B,2,0)</f>
        <v>Crown Legacy</v>
      </c>
      <c r="Z119" t="str">
        <f t="shared" si="1"/>
        <v>24/07/2026New York Red Bulls IICrown Legacy</v>
      </c>
      <c r="AA119" t="str">
        <f>VLOOKUP($Z119,'oddspedia-matches'!$A:$AD,AA$2,0)</f>
        <v>0 - 3</v>
      </c>
      <c r="AB119" t="str">
        <f>VLOOKUP($Z119,'oddspedia-matches'!$A:$AD,AB$2,0)</f>
        <v>Red</v>
      </c>
      <c r="AC119" t="str">
        <f>VLOOKUP($Z119,'oddspedia-matches'!$A:$AD,AC$2,0)</f>
        <v>Red</v>
      </c>
      <c r="AD119" t="str">
        <f>VLOOKUP($Z119,'oddspedia-matches'!$A:$AD,AD$2,0)</f>
        <v>Green</v>
      </c>
      <c r="AE119" t="str">
        <f>VLOOKUP($Z119,'oddspedia-matches'!$A:$AD,AE$2,0)</f>
        <v>Red</v>
      </c>
      <c r="AF119" t="str">
        <f>VLOOKUP($Z119,'oddspedia-matches'!$A:$AD,AF$2,0)</f>
        <v>Green</v>
      </c>
      <c r="AG119" t="str">
        <f>VLOOKUP($Z119,'oddspedia-matches'!$A:$AD,AG$2,0)</f>
        <v>Green</v>
      </c>
      <c r="AH119" t="str">
        <f>VLOOKUP($Z119,'oddspedia-matches'!$A:$AD,AH$2,0)</f>
        <v>Red</v>
      </c>
      <c r="AI119" t="str">
        <f>VLOOKUP($Z119,'oddspedia-matches'!$A:$AD,AI$2,0)</f>
        <v>Green</v>
      </c>
      <c r="AJ119" t="str">
        <f>VLOOKUP($Z119,'oddspedia-matches'!$A:$AD,AJ$2,0)</f>
        <v>Red</v>
      </c>
      <c r="AK119" t="str">
        <f>VLOOKUP($Z119,'oddspedia-matches'!$A:$AD,AK$2,0)</f>
        <v>Red</v>
      </c>
      <c r="AL119" t="str">
        <f>VLOOKUP($Z119,'oddspedia-matches'!$A:$AD,AL$2,0)</f>
        <v>Green</v>
      </c>
      <c r="AM119" t="str">
        <f>VLOOKUP($Z119,'oddspedia-matches'!$A:$AD,AM$2,0)</f>
        <v>Green</v>
      </c>
      <c r="AN119" t="str">
        <f>VLOOKUP($Z119,'oddspedia-matches'!$A:$AD,AN$2,0)</f>
        <v>Red</v>
      </c>
      <c r="AO119" t="str">
        <f>VLOOKUP($Z119,'oddspedia-matches'!$A:$AD,AO$2,0)</f>
        <v>Green</v>
      </c>
      <c r="AP119" t="str">
        <f>VLOOKUP($Z119,'oddspedia-matches'!$A:$AD,AP$2,0)</f>
        <v>Red</v>
      </c>
      <c r="AQ119" t="str">
        <f>VLOOKUP($Z119,'oddspedia-matches'!$A:$AD,AQ$2,0)</f>
        <v>Green</v>
      </c>
    </row>
    <row r="120" spans="2:43" x14ac:dyDescent="0.2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tr">
        <f>VLOOKUP(E120,'Transform table'!A:B,2,0)</f>
        <v>Llaneros</v>
      </c>
      <c r="Y120" t="str">
        <f>VLOOKUP(F120,'Transform table'!A:B,2,0)</f>
        <v>Deportivo Pereira</v>
      </c>
      <c r="Z120" t="str">
        <f t="shared" si="1"/>
        <v>24/07/2026LlanerosDeportivo Pereira</v>
      </c>
      <c r="AA120" t="str">
        <f>VLOOKUP($Z120,'oddspedia-matches'!$A:$AD,AA$2,0)</f>
        <v>1 - 0</v>
      </c>
      <c r="AB120" t="str">
        <f>VLOOKUP($Z120,'oddspedia-matches'!$A:$AD,AB$2,0)</f>
        <v>Green</v>
      </c>
      <c r="AC120" t="str">
        <f>VLOOKUP($Z120,'oddspedia-matches'!$A:$AD,AC$2,0)</f>
        <v>Red</v>
      </c>
      <c r="AD120" t="str">
        <f>VLOOKUP($Z120,'oddspedia-matches'!$A:$AD,AD$2,0)</f>
        <v>Red</v>
      </c>
      <c r="AE120" t="str">
        <f>VLOOKUP($Z120,'oddspedia-matches'!$A:$AD,AE$2,0)</f>
        <v>Green</v>
      </c>
      <c r="AF120" t="str">
        <f>VLOOKUP($Z120,'oddspedia-matches'!$A:$AD,AF$2,0)</f>
        <v>Red</v>
      </c>
      <c r="AG120" t="str">
        <f>VLOOKUP($Z120,'oddspedia-matches'!$A:$AD,AG$2,0)</f>
        <v>Green</v>
      </c>
      <c r="AH120" t="str">
        <f>VLOOKUP($Z120,'oddspedia-matches'!$A:$AD,AH$2,0)</f>
        <v>Red</v>
      </c>
      <c r="AI120" t="str">
        <f>VLOOKUP($Z120,'oddspedia-matches'!$A:$AD,AI$2,0)</f>
        <v>Green</v>
      </c>
      <c r="AJ120" t="str">
        <f>VLOOKUP($Z120,'oddspedia-matches'!$A:$AD,AJ$2,0)</f>
        <v>Red</v>
      </c>
      <c r="AK120" t="str">
        <f>VLOOKUP($Z120,'oddspedia-matches'!$A:$AD,AK$2,0)</f>
        <v>Red</v>
      </c>
      <c r="AL120" t="str">
        <f>VLOOKUP($Z120,'oddspedia-matches'!$A:$AD,AL$2,0)</f>
        <v>Red</v>
      </c>
      <c r="AM120" t="str">
        <f>VLOOKUP($Z120,'oddspedia-matches'!$A:$AD,AM$2,0)</f>
        <v>Red</v>
      </c>
      <c r="AN120" t="str">
        <f>VLOOKUP($Z120,'oddspedia-matches'!$A:$AD,AN$2,0)</f>
        <v>Green</v>
      </c>
      <c r="AO120" t="str">
        <f>VLOOKUP($Z120,'oddspedia-matches'!$A:$AD,AO$2,0)</f>
        <v>Green</v>
      </c>
      <c r="AP120" t="str">
        <f>VLOOKUP($Z120,'oddspedia-matches'!$A:$AD,AP$2,0)</f>
        <v>Red</v>
      </c>
      <c r="AQ120" t="str">
        <f>VLOOKUP($Z120,'oddspedia-matches'!$A:$AD,AQ$2,0)</f>
        <v>Green</v>
      </c>
    </row>
    <row r="121" spans="2:43" x14ac:dyDescent="0.2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>
        <f>VLOOKUP(E121,'Transform table'!A:B,2,0)</f>
        <v>0</v>
      </c>
      <c r="Y121">
        <f>VLOOKUP(F121,'Transform table'!A:B,2,0)</f>
        <v>0</v>
      </c>
      <c r="Z121" t="str">
        <f t="shared" si="1"/>
        <v>24/07/202600</v>
      </c>
      <c r="AA121" t="e">
        <f>VLOOKUP($Z121,'oddspedia-matches'!$A:$AD,AA$2,0)</f>
        <v>#N/A</v>
      </c>
      <c r="AB121" t="e">
        <f>VLOOKUP($Z121,'oddspedia-matches'!$A:$AD,AB$2,0)</f>
        <v>#N/A</v>
      </c>
      <c r="AC121" t="e">
        <f>VLOOKUP($Z121,'oddspedia-matches'!$A:$AD,AC$2,0)</f>
        <v>#N/A</v>
      </c>
      <c r="AD121" t="e">
        <f>VLOOKUP($Z121,'oddspedia-matches'!$A:$AD,AD$2,0)</f>
        <v>#N/A</v>
      </c>
      <c r="AE121" t="e">
        <f>VLOOKUP($Z121,'oddspedia-matches'!$A:$AD,AE$2,0)</f>
        <v>#N/A</v>
      </c>
      <c r="AF121" t="e">
        <f>VLOOKUP($Z121,'oddspedia-matches'!$A:$AD,AF$2,0)</f>
        <v>#N/A</v>
      </c>
      <c r="AG121" t="e">
        <f>VLOOKUP($Z121,'oddspedia-matches'!$A:$AD,AG$2,0)</f>
        <v>#N/A</v>
      </c>
      <c r="AH121" t="e">
        <f>VLOOKUP($Z121,'oddspedia-matches'!$A:$AD,AH$2,0)</f>
        <v>#N/A</v>
      </c>
      <c r="AI121" t="e">
        <f>VLOOKUP($Z121,'oddspedia-matches'!$A:$AD,AI$2,0)</f>
        <v>#N/A</v>
      </c>
      <c r="AJ121" t="e">
        <f>VLOOKUP($Z121,'oddspedia-matches'!$A:$AD,AJ$2,0)</f>
        <v>#N/A</v>
      </c>
      <c r="AK121" t="e">
        <f>VLOOKUP($Z121,'oddspedia-matches'!$A:$AD,AK$2,0)</f>
        <v>#N/A</v>
      </c>
      <c r="AL121" t="e">
        <f>VLOOKUP($Z121,'oddspedia-matches'!$A:$AD,AL$2,0)</f>
        <v>#N/A</v>
      </c>
      <c r="AM121" t="e">
        <f>VLOOKUP($Z121,'oddspedia-matches'!$A:$AD,AM$2,0)</f>
        <v>#N/A</v>
      </c>
      <c r="AN121" t="e">
        <f>VLOOKUP($Z121,'oddspedia-matches'!$A:$AD,AN$2,0)</f>
        <v>#N/A</v>
      </c>
      <c r="AO121" t="e">
        <f>VLOOKUP($Z121,'oddspedia-matches'!$A:$AD,AO$2,0)</f>
        <v>#N/A</v>
      </c>
      <c r="AP121" t="e">
        <f>VLOOKUP($Z121,'oddspedia-matches'!$A:$AD,AP$2,0)</f>
        <v>#N/A</v>
      </c>
      <c r="AQ121" t="e">
        <f>VLOOKUP($Z121,'oddspedia-matches'!$A:$AD,AQ$2,0)</f>
        <v>#N/A</v>
      </c>
    </row>
    <row r="122" spans="2:43" x14ac:dyDescent="0.2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tr">
        <f>VLOOKUP(E122,'Transform table'!A:B,2,0)</f>
        <v>Atletico Huracan</v>
      </c>
      <c r="Y122" t="str">
        <f>VLOOKUP(F122,'Transform table'!A:B,2,0)</f>
        <v>Banfield</v>
      </c>
      <c r="Z122" t="str">
        <f t="shared" si="1"/>
        <v>24/07/2026Atletico HuracanBanfield</v>
      </c>
      <c r="AA122" t="str">
        <f>VLOOKUP($Z122,'oddspedia-matches'!$A:$AD,AA$2,0)</f>
        <v>1 - 0</v>
      </c>
      <c r="AB122" t="str">
        <f>VLOOKUP($Z122,'oddspedia-matches'!$A:$AD,AB$2,0)</f>
        <v>Green</v>
      </c>
      <c r="AC122" t="str">
        <f>VLOOKUP($Z122,'oddspedia-matches'!$A:$AD,AC$2,0)</f>
        <v>Red</v>
      </c>
      <c r="AD122" t="str">
        <f>VLOOKUP($Z122,'oddspedia-matches'!$A:$AD,AD$2,0)</f>
        <v>Red</v>
      </c>
      <c r="AE122" t="str">
        <f>VLOOKUP($Z122,'oddspedia-matches'!$A:$AD,AE$2,0)</f>
        <v>Green</v>
      </c>
      <c r="AF122" t="str">
        <f>VLOOKUP($Z122,'oddspedia-matches'!$A:$AD,AF$2,0)</f>
        <v>Red</v>
      </c>
      <c r="AG122" t="str">
        <f>VLOOKUP($Z122,'oddspedia-matches'!$A:$AD,AG$2,0)</f>
        <v>Green</v>
      </c>
      <c r="AH122" t="str">
        <f>VLOOKUP($Z122,'oddspedia-matches'!$A:$AD,AH$2,0)</f>
        <v>Red</v>
      </c>
      <c r="AI122" t="str">
        <f>VLOOKUP($Z122,'oddspedia-matches'!$A:$AD,AI$2,0)</f>
        <v>Green</v>
      </c>
      <c r="AJ122" t="str">
        <f>VLOOKUP($Z122,'oddspedia-matches'!$A:$AD,AJ$2,0)</f>
        <v>Red</v>
      </c>
      <c r="AK122" t="str">
        <f>VLOOKUP($Z122,'oddspedia-matches'!$A:$AD,AK$2,0)</f>
        <v>Red</v>
      </c>
      <c r="AL122" t="str">
        <f>VLOOKUP($Z122,'oddspedia-matches'!$A:$AD,AL$2,0)</f>
        <v>Red</v>
      </c>
      <c r="AM122" t="str">
        <f>VLOOKUP($Z122,'oddspedia-matches'!$A:$AD,AM$2,0)</f>
        <v>Red</v>
      </c>
      <c r="AN122" t="str">
        <f>VLOOKUP($Z122,'oddspedia-matches'!$A:$AD,AN$2,0)</f>
        <v>Green</v>
      </c>
      <c r="AO122" t="str">
        <f>VLOOKUP($Z122,'oddspedia-matches'!$A:$AD,AO$2,0)</f>
        <v>Green</v>
      </c>
      <c r="AP122" t="str">
        <f>VLOOKUP($Z122,'oddspedia-matches'!$A:$AD,AP$2,0)</f>
        <v>Red</v>
      </c>
      <c r="AQ122" t="str">
        <f>VLOOKUP($Z122,'oddspedia-matches'!$A:$AD,AQ$2,0)</f>
        <v>Green</v>
      </c>
    </row>
    <row r="123" spans="2:43" x14ac:dyDescent="0.2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tr">
        <f>VLOOKUP(E123,'Transform table'!A:B,2,0)</f>
        <v>CA Platense</v>
      </c>
      <c r="Y123" t="str">
        <f>VLOOKUP(F123,'Transform table'!A:B,2,0)</f>
        <v>Union de Santa Fe</v>
      </c>
      <c r="Z123" t="str">
        <f t="shared" si="1"/>
        <v>24/07/2026CA PlatenseUnion de Santa Fe</v>
      </c>
      <c r="AA123" t="str">
        <f>VLOOKUP($Z123,'oddspedia-matches'!$A:$AD,AA$2,0)</f>
        <v>2 - 2</v>
      </c>
      <c r="AB123" t="str">
        <f>VLOOKUP($Z123,'oddspedia-matches'!$A:$AD,AB$2,0)</f>
        <v>Red</v>
      </c>
      <c r="AC123" t="str">
        <f>VLOOKUP($Z123,'oddspedia-matches'!$A:$AD,AC$2,0)</f>
        <v>Green</v>
      </c>
      <c r="AD123" t="str">
        <f>VLOOKUP($Z123,'oddspedia-matches'!$A:$AD,AD$2,0)</f>
        <v>Red</v>
      </c>
      <c r="AE123" t="str">
        <f>VLOOKUP($Z123,'oddspedia-matches'!$A:$AD,AE$2,0)</f>
        <v>Green</v>
      </c>
      <c r="AF123" t="str">
        <f>VLOOKUP($Z123,'oddspedia-matches'!$A:$AD,AF$2,0)</f>
        <v>Green</v>
      </c>
      <c r="AG123" t="str">
        <f>VLOOKUP($Z123,'oddspedia-matches'!$A:$AD,AG$2,0)</f>
        <v>Red</v>
      </c>
      <c r="AH123" t="str">
        <f>VLOOKUP($Z123,'oddspedia-matches'!$A:$AD,AH$2,0)</f>
        <v>Green</v>
      </c>
      <c r="AI123" t="str">
        <f>VLOOKUP($Z123,'oddspedia-matches'!$A:$AD,AI$2,0)</f>
        <v>Red</v>
      </c>
      <c r="AJ123" t="str">
        <f>VLOOKUP($Z123,'oddspedia-matches'!$A:$AD,AJ$2,0)</f>
        <v>Red</v>
      </c>
      <c r="AK123" t="str">
        <f>VLOOKUP($Z123,'oddspedia-matches'!$A:$AD,AK$2,0)</f>
        <v>Green</v>
      </c>
      <c r="AL123" t="str">
        <f>VLOOKUP($Z123,'oddspedia-matches'!$A:$AD,AL$2,0)</f>
        <v>Green</v>
      </c>
      <c r="AM123" t="str">
        <f>VLOOKUP($Z123,'oddspedia-matches'!$A:$AD,AM$2,0)</f>
        <v>Green</v>
      </c>
      <c r="AN123" t="str">
        <f>VLOOKUP($Z123,'oddspedia-matches'!$A:$AD,AN$2,0)</f>
        <v>Red</v>
      </c>
      <c r="AO123" t="str">
        <f>VLOOKUP($Z123,'oddspedia-matches'!$A:$AD,AO$2,0)</f>
        <v>Red</v>
      </c>
      <c r="AP123" t="str">
        <f>VLOOKUP($Z123,'oddspedia-matches'!$A:$AD,AP$2,0)</f>
        <v>Green</v>
      </c>
      <c r="AQ123" t="str">
        <f>VLOOKUP($Z123,'oddspedia-matches'!$A:$AD,AQ$2,0)</f>
        <v>Red</v>
      </c>
    </row>
    <row r="124" spans="2:43" x14ac:dyDescent="0.2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tr">
        <f>VLOOKUP(E124,'Transform table'!A:B,2,0)</f>
        <v>Colo Colo</v>
      </c>
      <c r="Y124" t="str">
        <f>VLOOKUP(F124,'Transform table'!A:B,2,0)</f>
        <v>Deportes Limache</v>
      </c>
      <c r="Z124" t="str">
        <f t="shared" si="1"/>
        <v>24/07/2026Colo ColoDeportes Limache</v>
      </c>
      <c r="AA124" t="str">
        <f>VLOOKUP($Z124,'oddspedia-matches'!$A:$AD,AA$2,0)</f>
        <v>3 - 1</v>
      </c>
      <c r="AB124" t="str">
        <f>VLOOKUP($Z124,'oddspedia-matches'!$A:$AD,AB$2,0)</f>
        <v>Green</v>
      </c>
      <c r="AC124" t="str">
        <f>VLOOKUP($Z124,'oddspedia-matches'!$A:$AD,AC$2,0)</f>
        <v>Red</v>
      </c>
      <c r="AD124" t="str">
        <f>VLOOKUP($Z124,'oddspedia-matches'!$A:$AD,AD$2,0)</f>
        <v>Red</v>
      </c>
      <c r="AE124" t="str">
        <f>VLOOKUP($Z124,'oddspedia-matches'!$A:$AD,AE$2,0)</f>
        <v>Green</v>
      </c>
      <c r="AF124" t="str">
        <f>VLOOKUP($Z124,'oddspedia-matches'!$A:$AD,AF$2,0)</f>
        <v>Red</v>
      </c>
      <c r="AG124" t="str">
        <f>VLOOKUP($Z124,'oddspedia-matches'!$A:$AD,AG$2,0)</f>
        <v>Green</v>
      </c>
      <c r="AH124" t="str">
        <f>VLOOKUP($Z124,'oddspedia-matches'!$A:$AD,AH$2,0)</f>
        <v>Red</v>
      </c>
      <c r="AI124" t="str">
        <f>VLOOKUP($Z124,'oddspedia-matches'!$A:$AD,AI$2,0)</f>
        <v>Green</v>
      </c>
      <c r="AJ124" t="str">
        <f>VLOOKUP($Z124,'oddspedia-matches'!$A:$AD,AJ$2,0)</f>
        <v>Red</v>
      </c>
      <c r="AK124" t="str">
        <f>VLOOKUP($Z124,'oddspedia-matches'!$A:$AD,AK$2,0)</f>
        <v>Red</v>
      </c>
      <c r="AL124" t="str">
        <f>VLOOKUP($Z124,'oddspedia-matches'!$A:$AD,AL$2,0)</f>
        <v>Green</v>
      </c>
      <c r="AM124" t="str">
        <f>VLOOKUP($Z124,'oddspedia-matches'!$A:$AD,AM$2,0)</f>
        <v>Green</v>
      </c>
      <c r="AN124" t="str">
        <f>VLOOKUP($Z124,'oddspedia-matches'!$A:$AD,AN$2,0)</f>
        <v>Red</v>
      </c>
      <c r="AO124" t="str">
        <f>VLOOKUP($Z124,'oddspedia-matches'!$A:$AD,AO$2,0)</f>
        <v>Red</v>
      </c>
      <c r="AP124" t="str">
        <f>VLOOKUP($Z124,'oddspedia-matches'!$A:$AD,AP$2,0)</f>
        <v>Green</v>
      </c>
      <c r="AQ124" t="str">
        <f>VLOOKUP($Z124,'oddspedia-matches'!$A:$AD,AQ$2,0)</f>
        <v>Red</v>
      </c>
    </row>
    <row r="125" spans="2:43" x14ac:dyDescent="0.2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tr">
        <f>VLOOKUP(E125,'Transform table'!A:B,2,0)</f>
        <v>Deportes Iquique</v>
      </c>
      <c r="Y125" t="str">
        <f>VLOOKUP(F125,'Transform table'!A:B,2,0)</f>
        <v>Deportes Temuco</v>
      </c>
      <c r="Z125" t="str">
        <f t="shared" si="1"/>
        <v>24/07/2026Deportes IquiqueDeportes Temuco</v>
      </c>
      <c r="AA125" t="str">
        <f>VLOOKUP($Z125,'oddspedia-matches'!$A:$AD,AA$2,0)</f>
        <v>1 - 0</v>
      </c>
      <c r="AB125" t="str">
        <f>VLOOKUP($Z125,'oddspedia-matches'!$A:$AD,AB$2,0)</f>
        <v>Green</v>
      </c>
      <c r="AC125" t="str">
        <f>VLOOKUP($Z125,'oddspedia-matches'!$A:$AD,AC$2,0)</f>
        <v>Red</v>
      </c>
      <c r="AD125" t="str">
        <f>VLOOKUP($Z125,'oddspedia-matches'!$A:$AD,AD$2,0)</f>
        <v>Red</v>
      </c>
      <c r="AE125" t="str">
        <f>VLOOKUP($Z125,'oddspedia-matches'!$A:$AD,AE$2,0)</f>
        <v>Green</v>
      </c>
      <c r="AF125" t="str">
        <f>VLOOKUP($Z125,'oddspedia-matches'!$A:$AD,AF$2,0)</f>
        <v>Red</v>
      </c>
      <c r="AG125" t="str">
        <f>VLOOKUP($Z125,'oddspedia-matches'!$A:$AD,AG$2,0)</f>
        <v>Green</v>
      </c>
      <c r="AH125" t="str">
        <f>VLOOKUP($Z125,'oddspedia-matches'!$A:$AD,AH$2,0)</f>
        <v>Green</v>
      </c>
      <c r="AI125" t="str">
        <f>VLOOKUP($Z125,'oddspedia-matches'!$A:$AD,AI$2,0)</f>
        <v>Red</v>
      </c>
      <c r="AJ125" t="str">
        <f>VLOOKUP($Z125,'oddspedia-matches'!$A:$AD,AJ$2,0)</f>
        <v>Red</v>
      </c>
      <c r="AK125" t="str">
        <f>VLOOKUP($Z125,'oddspedia-matches'!$A:$AD,AK$2,0)</f>
        <v>Green</v>
      </c>
      <c r="AL125" t="str">
        <f>VLOOKUP($Z125,'oddspedia-matches'!$A:$AD,AL$2,0)</f>
        <v>Red</v>
      </c>
      <c r="AM125" t="str">
        <f>VLOOKUP($Z125,'oddspedia-matches'!$A:$AD,AM$2,0)</f>
        <v>Red</v>
      </c>
      <c r="AN125" t="str">
        <f>VLOOKUP($Z125,'oddspedia-matches'!$A:$AD,AN$2,0)</f>
        <v>Green</v>
      </c>
      <c r="AO125" t="str">
        <f>VLOOKUP($Z125,'oddspedia-matches'!$A:$AD,AO$2,0)</f>
        <v>Green</v>
      </c>
      <c r="AP125" t="str">
        <f>VLOOKUP($Z125,'oddspedia-matches'!$A:$AD,AP$2,0)</f>
        <v>Red</v>
      </c>
      <c r="AQ125" t="str">
        <f>VLOOKUP($Z125,'oddspedia-matches'!$A:$AD,AQ$2,0)</f>
        <v>Green</v>
      </c>
    </row>
    <row r="126" spans="2:43" x14ac:dyDescent="0.2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tr">
        <f>VLOOKUP(E126,'Transform table'!A:B,2,0)</f>
        <v>Deportivo Cali</v>
      </c>
      <c r="Y126" t="str">
        <f>VLOOKUP(F126,'Transform table'!A:B,2,0)</f>
        <v>Jaguares de Cordoba</v>
      </c>
      <c r="Z126" t="str">
        <f t="shared" si="1"/>
        <v>24/07/2026Deportivo CaliJaguares de Cordoba</v>
      </c>
      <c r="AA126" t="str">
        <f>VLOOKUP($Z126,'oddspedia-matches'!$A:$AD,AA$2,0)</f>
        <v>2 - 0</v>
      </c>
      <c r="AB126" t="str">
        <f>VLOOKUP($Z126,'oddspedia-matches'!$A:$AD,AB$2,0)</f>
        <v>Green</v>
      </c>
      <c r="AC126" t="str">
        <f>VLOOKUP($Z126,'oddspedia-matches'!$A:$AD,AC$2,0)</f>
        <v>Red</v>
      </c>
      <c r="AD126" t="str">
        <f>VLOOKUP($Z126,'oddspedia-matches'!$A:$AD,AD$2,0)</f>
        <v>Red</v>
      </c>
      <c r="AE126" t="str">
        <f>VLOOKUP($Z126,'oddspedia-matches'!$A:$AD,AE$2,0)</f>
        <v>Green</v>
      </c>
      <c r="AF126" t="str">
        <f>VLOOKUP($Z126,'oddspedia-matches'!$A:$AD,AF$2,0)</f>
        <v>Red</v>
      </c>
      <c r="AG126" t="str">
        <f>VLOOKUP($Z126,'oddspedia-matches'!$A:$AD,AG$2,0)</f>
        <v>Green</v>
      </c>
      <c r="AH126" t="str">
        <f>VLOOKUP($Z126,'oddspedia-matches'!$A:$AD,AH$2,0)</f>
        <v>Red</v>
      </c>
      <c r="AI126" t="str">
        <f>VLOOKUP($Z126,'oddspedia-matches'!$A:$AD,AI$2,0)</f>
        <v>Green</v>
      </c>
      <c r="AJ126" t="str">
        <f>VLOOKUP($Z126,'oddspedia-matches'!$A:$AD,AJ$2,0)</f>
        <v>Red</v>
      </c>
      <c r="AK126" t="str">
        <f>VLOOKUP($Z126,'oddspedia-matches'!$A:$AD,AK$2,0)</f>
        <v>Red</v>
      </c>
      <c r="AL126" t="str">
        <f>VLOOKUP($Z126,'oddspedia-matches'!$A:$AD,AL$2,0)</f>
        <v>Green</v>
      </c>
      <c r="AM126" t="str">
        <f>VLOOKUP($Z126,'oddspedia-matches'!$A:$AD,AM$2,0)</f>
        <v>Red</v>
      </c>
      <c r="AN126" t="str">
        <f>VLOOKUP($Z126,'oddspedia-matches'!$A:$AD,AN$2,0)</f>
        <v>Green</v>
      </c>
      <c r="AO126" t="str">
        <f>VLOOKUP($Z126,'oddspedia-matches'!$A:$AD,AO$2,0)</f>
        <v>Green</v>
      </c>
      <c r="AP126" t="str">
        <f>VLOOKUP($Z126,'oddspedia-matches'!$A:$AD,AP$2,0)</f>
        <v>Red</v>
      </c>
      <c r="AQ126" t="str">
        <f>VLOOKUP($Z126,'oddspedia-matches'!$A:$AD,AQ$2,0)</f>
        <v>Green</v>
      </c>
    </row>
    <row r="127" spans="2:43" x14ac:dyDescent="0.2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tr">
        <f>VLOOKUP(E127,'Transform table'!A:B,2,0)</f>
        <v>Arabe Unido</v>
      </c>
      <c r="Y127" t="str">
        <f>VLOOKUP(F127,'Transform table'!A:B,2,0)</f>
        <v>Plaza Amador</v>
      </c>
      <c r="Z127" t="str">
        <f t="shared" si="1"/>
        <v>24/07/2026Arabe UnidoPlaza Amador</v>
      </c>
      <c r="AA127" t="str">
        <f>VLOOKUP($Z127,'oddspedia-matches'!$A:$AD,AA$2,0)</f>
        <v>2 - 2</v>
      </c>
      <c r="AB127" t="str">
        <f>VLOOKUP($Z127,'oddspedia-matches'!$A:$AD,AB$2,0)</f>
        <v>Red</v>
      </c>
      <c r="AC127" t="str">
        <f>VLOOKUP($Z127,'oddspedia-matches'!$A:$AD,AC$2,0)</f>
        <v>Green</v>
      </c>
      <c r="AD127" t="str">
        <f>VLOOKUP($Z127,'oddspedia-matches'!$A:$AD,AD$2,0)</f>
        <v>Red</v>
      </c>
      <c r="AE127" t="str">
        <f>VLOOKUP($Z127,'oddspedia-matches'!$A:$AD,AE$2,0)</f>
        <v>Green</v>
      </c>
      <c r="AF127" t="str">
        <f>VLOOKUP($Z127,'oddspedia-matches'!$A:$AD,AF$2,0)</f>
        <v>Green</v>
      </c>
      <c r="AG127" t="str">
        <f>VLOOKUP($Z127,'oddspedia-matches'!$A:$AD,AG$2,0)</f>
        <v>Red</v>
      </c>
      <c r="AH127" t="str">
        <f>VLOOKUP($Z127,'oddspedia-matches'!$A:$AD,AH$2,0)</f>
        <v>Green</v>
      </c>
      <c r="AI127" t="str">
        <f>VLOOKUP($Z127,'oddspedia-matches'!$A:$AD,AI$2,0)</f>
        <v>Red</v>
      </c>
      <c r="AJ127" t="str">
        <f>VLOOKUP($Z127,'oddspedia-matches'!$A:$AD,AJ$2,0)</f>
        <v>Red</v>
      </c>
      <c r="AK127" t="str">
        <f>VLOOKUP($Z127,'oddspedia-matches'!$A:$AD,AK$2,0)</f>
        <v>Green</v>
      </c>
      <c r="AL127" t="str">
        <f>VLOOKUP($Z127,'oddspedia-matches'!$A:$AD,AL$2,0)</f>
        <v>Green</v>
      </c>
      <c r="AM127" t="str">
        <f>VLOOKUP($Z127,'oddspedia-matches'!$A:$AD,AM$2,0)</f>
        <v>Green</v>
      </c>
      <c r="AN127" t="str">
        <f>VLOOKUP($Z127,'oddspedia-matches'!$A:$AD,AN$2,0)</f>
        <v>Red</v>
      </c>
      <c r="AO127" t="str">
        <f>VLOOKUP($Z127,'oddspedia-matches'!$A:$AD,AO$2,0)</f>
        <v>Red</v>
      </c>
      <c r="AP127" t="str">
        <f>VLOOKUP($Z127,'oddspedia-matches'!$A:$AD,AP$2,0)</f>
        <v>Green</v>
      </c>
      <c r="AQ127" t="str">
        <f>VLOOKUP($Z127,'oddspedia-matches'!$A:$AD,AQ$2,0)</f>
        <v>Red</v>
      </c>
    </row>
    <row r="128" spans="2:43" x14ac:dyDescent="0.2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tr">
        <f>VLOOKUP(E128,'Transform table'!A:B,2,0)</f>
        <v>Universitario de Deportes</v>
      </c>
      <c r="Y128" t="str">
        <f>VLOOKUP(F128,'Transform table'!A:B,2,0)</f>
        <v>Cusco FC</v>
      </c>
      <c r="Z128" t="str">
        <f t="shared" si="1"/>
        <v>24/07/2026Universitario de DeportesCusco FC</v>
      </c>
      <c r="AA128" t="str">
        <f>VLOOKUP($Z128,'oddspedia-matches'!$A:$AD,AA$2,0)</f>
        <v>2 - 1</v>
      </c>
      <c r="AB128" t="str">
        <f>VLOOKUP($Z128,'oddspedia-matches'!$A:$AD,AB$2,0)</f>
        <v>Green</v>
      </c>
      <c r="AC128" t="str">
        <f>VLOOKUP($Z128,'oddspedia-matches'!$A:$AD,AC$2,0)</f>
        <v>Red</v>
      </c>
      <c r="AD128" t="str">
        <f>VLOOKUP($Z128,'oddspedia-matches'!$A:$AD,AD$2,0)</f>
        <v>Red</v>
      </c>
      <c r="AE128" t="str">
        <f>VLOOKUP($Z128,'oddspedia-matches'!$A:$AD,AE$2,0)</f>
        <v>Green</v>
      </c>
      <c r="AF128" t="str">
        <f>VLOOKUP($Z128,'oddspedia-matches'!$A:$AD,AF$2,0)</f>
        <v>Red</v>
      </c>
      <c r="AG128" t="str">
        <f>VLOOKUP($Z128,'oddspedia-matches'!$A:$AD,AG$2,0)</f>
        <v>Green</v>
      </c>
      <c r="AH128" t="str">
        <f>VLOOKUP($Z128,'oddspedia-matches'!$A:$AD,AH$2,0)</f>
        <v>Green</v>
      </c>
      <c r="AI128" t="str">
        <f>VLOOKUP($Z128,'oddspedia-matches'!$A:$AD,AI$2,0)</f>
        <v>Red</v>
      </c>
      <c r="AJ128" t="str">
        <f>VLOOKUP($Z128,'oddspedia-matches'!$A:$AD,AJ$2,0)</f>
        <v>Red</v>
      </c>
      <c r="AK128" t="str">
        <f>VLOOKUP($Z128,'oddspedia-matches'!$A:$AD,AK$2,0)</f>
        <v>Green</v>
      </c>
      <c r="AL128" t="str">
        <f>VLOOKUP($Z128,'oddspedia-matches'!$A:$AD,AL$2,0)</f>
        <v>Green</v>
      </c>
      <c r="AM128" t="str">
        <f>VLOOKUP($Z128,'oddspedia-matches'!$A:$AD,AM$2,0)</f>
        <v>Green</v>
      </c>
      <c r="AN128" t="str">
        <f>VLOOKUP($Z128,'oddspedia-matches'!$A:$AD,AN$2,0)</f>
        <v>Red</v>
      </c>
      <c r="AO128" t="str">
        <f>VLOOKUP($Z128,'oddspedia-matches'!$A:$AD,AO$2,0)</f>
        <v>Green</v>
      </c>
      <c r="AP128" t="str">
        <f>VLOOKUP($Z128,'oddspedia-matches'!$A:$AD,AP$2,0)</f>
        <v>Green</v>
      </c>
      <c r="AQ128" t="str">
        <f>VLOOKUP($Z128,'oddspedia-matches'!$A:$AD,AQ$2,0)</f>
        <v>Red</v>
      </c>
    </row>
    <row r="129" spans="2:43" x14ac:dyDescent="0.2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tr">
        <f>VLOOKUP(E129,'Transform table'!A:B,2,0)</f>
        <v>Vancouver Langley</v>
      </c>
      <c r="Y129" t="str">
        <f>VLOOKUP(F129,'Transform table'!A:B,2,0)</f>
        <v>Cavalry FC</v>
      </c>
      <c r="Z129" t="str">
        <f t="shared" si="1"/>
        <v>24/07/2026Vancouver LangleyCavalry FC</v>
      </c>
      <c r="AA129" t="str">
        <f>VLOOKUP($Z129,'oddspedia-matches'!$A:$AD,AA$2,0)</f>
        <v>1 - 0</v>
      </c>
      <c r="AB129" t="str">
        <f>VLOOKUP($Z129,'oddspedia-matches'!$A:$AD,AB$2,0)</f>
        <v>Green</v>
      </c>
      <c r="AC129" t="str">
        <f>VLOOKUP($Z129,'oddspedia-matches'!$A:$AD,AC$2,0)</f>
        <v>Red</v>
      </c>
      <c r="AD129" t="str">
        <f>VLOOKUP($Z129,'oddspedia-matches'!$A:$AD,AD$2,0)</f>
        <v>Red</v>
      </c>
      <c r="AE129" t="str">
        <f>VLOOKUP($Z129,'oddspedia-matches'!$A:$AD,AE$2,0)</f>
        <v>Green</v>
      </c>
      <c r="AF129" t="str">
        <f>VLOOKUP($Z129,'oddspedia-matches'!$A:$AD,AF$2,0)</f>
        <v>Red</v>
      </c>
      <c r="AG129" t="str">
        <f>VLOOKUP($Z129,'oddspedia-matches'!$A:$AD,AG$2,0)</f>
        <v>Green</v>
      </c>
      <c r="AH129" t="str">
        <f>VLOOKUP($Z129,'oddspedia-matches'!$A:$AD,AH$2,0)</f>
        <v>Red</v>
      </c>
      <c r="AI129" t="str">
        <f>VLOOKUP($Z129,'oddspedia-matches'!$A:$AD,AI$2,0)</f>
        <v>Green</v>
      </c>
      <c r="AJ129" t="str">
        <f>VLOOKUP($Z129,'oddspedia-matches'!$A:$AD,AJ$2,0)</f>
        <v>Red</v>
      </c>
      <c r="AK129" t="str">
        <f>VLOOKUP($Z129,'oddspedia-matches'!$A:$AD,AK$2,0)</f>
        <v>Red</v>
      </c>
      <c r="AL129" t="str">
        <f>VLOOKUP($Z129,'oddspedia-matches'!$A:$AD,AL$2,0)</f>
        <v>Red</v>
      </c>
      <c r="AM129" t="str">
        <f>VLOOKUP($Z129,'oddspedia-matches'!$A:$AD,AM$2,0)</f>
        <v>Red</v>
      </c>
      <c r="AN129" t="str">
        <f>VLOOKUP($Z129,'oddspedia-matches'!$A:$AD,AN$2,0)</f>
        <v>Green</v>
      </c>
      <c r="AO129" t="str">
        <f>VLOOKUP($Z129,'oddspedia-matches'!$A:$AD,AO$2,0)</f>
        <v>Green</v>
      </c>
      <c r="AP129" t="str">
        <f>VLOOKUP($Z129,'oddspedia-matches'!$A:$AD,AP$2,0)</f>
        <v>Red</v>
      </c>
      <c r="AQ129" t="str">
        <f>VLOOKUP($Z129,'oddspedia-matches'!$A:$AD,AQ$2,0)</f>
        <v>Green</v>
      </c>
    </row>
    <row r="130" spans="2:43" x14ac:dyDescent="0.2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>
        <f>VLOOKUP(E130,'Transform table'!A:B,2,0)</f>
        <v>0</v>
      </c>
      <c r="Y130" t="str">
        <f>VLOOKUP(F130,'Transform table'!A:B,2,0)</f>
        <v>Lambton Jaffas</v>
      </c>
      <c r="Z130" t="str">
        <f t="shared" si="1"/>
        <v>25/07/20260Lambton Jaffas</v>
      </c>
      <c r="AA130" t="e">
        <f>VLOOKUP($Z130,'oddspedia-matches'!$A:$AD,AA$2,0)</f>
        <v>#N/A</v>
      </c>
      <c r="AB130" t="e">
        <f>VLOOKUP($Z130,'oddspedia-matches'!$A:$AD,AB$2,0)</f>
        <v>#N/A</v>
      </c>
      <c r="AC130" t="e">
        <f>VLOOKUP($Z130,'oddspedia-matches'!$A:$AD,AC$2,0)</f>
        <v>#N/A</v>
      </c>
      <c r="AD130" t="e">
        <f>VLOOKUP($Z130,'oddspedia-matches'!$A:$AD,AD$2,0)</f>
        <v>#N/A</v>
      </c>
      <c r="AE130" t="e">
        <f>VLOOKUP($Z130,'oddspedia-matches'!$A:$AD,AE$2,0)</f>
        <v>#N/A</v>
      </c>
      <c r="AF130" t="e">
        <f>VLOOKUP($Z130,'oddspedia-matches'!$A:$AD,AF$2,0)</f>
        <v>#N/A</v>
      </c>
      <c r="AG130" t="e">
        <f>VLOOKUP($Z130,'oddspedia-matches'!$A:$AD,AG$2,0)</f>
        <v>#N/A</v>
      </c>
      <c r="AH130" t="e">
        <f>VLOOKUP($Z130,'oddspedia-matches'!$A:$AD,AH$2,0)</f>
        <v>#N/A</v>
      </c>
      <c r="AI130" t="e">
        <f>VLOOKUP($Z130,'oddspedia-matches'!$A:$AD,AI$2,0)</f>
        <v>#N/A</v>
      </c>
      <c r="AJ130" t="e">
        <f>VLOOKUP($Z130,'oddspedia-matches'!$A:$AD,AJ$2,0)</f>
        <v>#N/A</v>
      </c>
      <c r="AK130" t="e">
        <f>VLOOKUP($Z130,'oddspedia-matches'!$A:$AD,AK$2,0)</f>
        <v>#N/A</v>
      </c>
      <c r="AL130" t="e">
        <f>VLOOKUP($Z130,'oddspedia-matches'!$A:$AD,AL$2,0)</f>
        <v>#N/A</v>
      </c>
      <c r="AM130" t="e">
        <f>VLOOKUP($Z130,'oddspedia-matches'!$A:$AD,AM$2,0)</f>
        <v>#N/A</v>
      </c>
      <c r="AN130" t="e">
        <f>VLOOKUP($Z130,'oddspedia-matches'!$A:$AD,AN$2,0)</f>
        <v>#N/A</v>
      </c>
      <c r="AO130" t="e">
        <f>VLOOKUP($Z130,'oddspedia-matches'!$A:$AD,AO$2,0)</f>
        <v>#N/A</v>
      </c>
      <c r="AP130" t="e">
        <f>VLOOKUP($Z130,'oddspedia-matches'!$A:$AD,AP$2,0)</f>
        <v>#N/A</v>
      </c>
      <c r="AQ130" t="e">
        <f>VLOOKUP($Z130,'oddspedia-matches'!$A:$AD,AQ$2,0)</f>
        <v>#N/A</v>
      </c>
    </row>
    <row r="131" spans="2:43" x14ac:dyDescent="0.2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tr">
        <f>VLOOKUP(E131,'Transform table'!A:B,2,0)</f>
        <v>Canberra</v>
      </c>
      <c r="Y131" t="str">
        <f>VLOOKUP(F131,'Transform table'!A:B,2,0)</f>
        <v>Queanbeyan City FC</v>
      </c>
      <c r="Z131" t="str">
        <f t="shared" si="1"/>
        <v>25/07/2026CanberraQueanbeyan City FC</v>
      </c>
      <c r="AA131" t="e">
        <f>VLOOKUP($Z131,'oddspedia-matches'!$A:$AD,AA$2,0)</f>
        <v>#N/A</v>
      </c>
      <c r="AB131" t="e">
        <f>VLOOKUP($Z131,'oddspedia-matches'!$A:$AD,AB$2,0)</f>
        <v>#N/A</v>
      </c>
      <c r="AC131" t="e">
        <f>VLOOKUP($Z131,'oddspedia-matches'!$A:$AD,AC$2,0)</f>
        <v>#N/A</v>
      </c>
      <c r="AD131" t="e">
        <f>VLOOKUP($Z131,'oddspedia-matches'!$A:$AD,AD$2,0)</f>
        <v>#N/A</v>
      </c>
      <c r="AE131" t="e">
        <f>VLOOKUP($Z131,'oddspedia-matches'!$A:$AD,AE$2,0)</f>
        <v>#N/A</v>
      </c>
      <c r="AF131" t="e">
        <f>VLOOKUP($Z131,'oddspedia-matches'!$A:$AD,AF$2,0)</f>
        <v>#N/A</v>
      </c>
      <c r="AG131" t="e">
        <f>VLOOKUP($Z131,'oddspedia-matches'!$A:$AD,AG$2,0)</f>
        <v>#N/A</v>
      </c>
      <c r="AH131" t="e">
        <f>VLOOKUP($Z131,'oddspedia-matches'!$A:$AD,AH$2,0)</f>
        <v>#N/A</v>
      </c>
      <c r="AI131" t="e">
        <f>VLOOKUP($Z131,'oddspedia-matches'!$A:$AD,AI$2,0)</f>
        <v>#N/A</v>
      </c>
      <c r="AJ131" t="e">
        <f>VLOOKUP($Z131,'oddspedia-matches'!$A:$AD,AJ$2,0)</f>
        <v>#N/A</v>
      </c>
      <c r="AK131" t="e">
        <f>VLOOKUP($Z131,'oddspedia-matches'!$A:$AD,AK$2,0)</f>
        <v>#N/A</v>
      </c>
      <c r="AL131" t="e">
        <f>VLOOKUP($Z131,'oddspedia-matches'!$A:$AD,AL$2,0)</f>
        <v>#N/A</v>
      </c>
      <c r="AM131" t="e">
        <f>VLOOKUP($Z131,'oddspedia-matches'!$A:$AD,AM$2,0)</f>
        <v>#N/A</v>
      </c>
      <c r="AN131" t="e">
        <f>VLOOKUP($Z131,'oddspedia-matches'!$A:$AD,AN$2,0)</f>
        <v>#N/A</v>
      </c>
      <c r="AO131" t="e">
        <f>VLOOKUP($Z131,'oddspedia-matches'!$A:$AD,AO$2,0)</f>
        <v>#N/A</v>
      </c>
      <c r="AP131" t="e">
        <f>VLOOKUP($Z131,'oddspedia-matches'!$A:$AD,AP$2,0)</f>
        <v>#N/A</v>
      </c>
      <c r="AQ131" t="e">
        <f>VLOOKUP($Z131,'oddspedia-matches'!$A:$AD,AQ$2,0)</f>
        <v>#N/A</v>
      </c>
    </row>
    <row r="132" spans="2:43" x14ac:dyDescent="0.2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tr">
        <f>VLOOKUP(E132,'Transform table'!A:B,2,0)</f>
        <v>Launceston United</v>
      </c>
      <c r="Y132" t="str">
        <f>VLOOKUP(F132,'Transform table'!A:B,2,0)</f>
        <v>Devonport City</v>
      </c>
      <c r="Z132" t="str">
        <f t="shared" ref="Z132:Z195" si="2">C132&amp;X132&amp;Y132</f>
        <v>25/07/2026Launceston UnitedDevonport City</v>
      </c>
      <c r="AA132" t="str">
        <f>VLOOKUP($Z132,'oddspedia-matches'!$A:$AD,AA$2,0)</f>
        <v>0 - 6</v>
      </c>
      <c r="AB132" t="str">
        <f>VLOOKUP($Z132,'oddspedia-matches'!$A:$AD,AB$2,0)</f>
        <v>Red</v>
      </c>
      <c r="AC132" t="str">
        <f>VLOOKUP($Z132,'oddspedia-matches'!$A:$AD,AC$2,0)</f>
        <v>Red</v>
      </c>
      <c r="AD132" t="str">
        <f>VLOOKUP($Z132,'oddspedia-matches'!$A:$AD,AD$2,0)</f>
        <v>Green</v>
      </c>
      <c r="AE132" t="str">
        <f>VLOOKUP($Z132,'oddspedia-matches'!$A:$AD,AE$2,0)</f>
        <v>Red</v>
      </c>
      <c r="AF132" t="str">
        <f>VLOOKUP($Z132,'oddspedia-matches'!$A:$AD,AF$2,0)</f>
        <v>Green</v>
      </c>
      <c r="AG132" t="str">
        <f>VLOOKUP($Z132,'oddspedia-matches'!$A:$AD,AG$2,0)</f>
        <v>Green</v>
      </c>
      <c r="AH132" t="str">
        <f>VLOOKUP($Z132,'oddspedia-matches'!$A:$AD,AH$2,0)</f>
        <v>Red</v>
      </c>
      <c r="AI132" t="str">
        <f>VLOOKUP($Z132,'oddspedia-matches'!$A:$AD,AI$2,0)</f>
        <v>Red</v>
      </c>
      <c r="AJ132" t="str">
        <f>VLOOKUP($Z132,'oddspedia-matches'!$A:$AD,AJ$2,0)</f>
        <v>Green</v>
      </c>
      <c r="AK132" t="str">
        <f>VLOOKUP($Z132,'oddspedia-matches'!$A:$AD,AK$2,0)</f>
        <v>Green</v>
      </c>
      <c r="AL132" t="str">
        <f>VLOOKUP($Z132,'oddspedia-matches'!$A:$AD,AL$2,0)</f>
        <v>Green</v>
      </c>
      <c r="AM132" t="str">
        <f>VLOOKUP($Z132,'oddspedia-matches'!$A:$AD,AM$2,0)</f>
        <v>Green</v>
      </c>
      <c r="AN132" t="str">
        <f>VLOOKUP($Z132,'oddspedia-matches'!$A:$AD,AN$2,0)</f>
        <v>Red</v>
      </c>
      <c r="AO132" t="str">
        <f>VLOOKUP($Z132,'oddspedia-matches'!$A:$AD,AO$2,0)</f>
        <v>Red</v>
      </c>
      <c r="AP132" t="str">
        <f>VLOOKUP($Z132,'oddspedia-matches'!$A:$AD,AP$2,0)</f>
        <v>Red</v>
      </c>
      <c r="AQ132" t="str">
        <f>VLOOKUP($Z132,'oddspedia-matches'!$A:$AD,AQ$2,0)</f>
        <v>Green</v>
      </c>
    </row>
    <row r="133" spans="2:43" x14ac:dyDescent="0.2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>
        <f>VLOOKUP(E133,'Transform table'!A:B,2,0)</f>
        <v>0</v>
      </c>
      <c r="Y133" t="str">
        <f>VLOOKUP(F133,'Transform table'!A:B,2,0)</f>
        <v>Launceston City</v>
      </c>
      <c r="Z133" t="str">
        <f t="shared" si="2"/>
        <v>25/07/20260Launceston City</v>
      </c>
      <c r="AA133" t="e">
        <f>VLOOKUP($Z133,'oddspedia-matches'!$A:$AD,AA$2,0)</f>
        <v>#N/A</v>
      </c>
      <c r="AB133" t="e">
        <f>VLOOKUP($Z133,'oddspedia-matches'!$A:$AD,AB$2,0)</f>
        <v>#N/A</v>
      </c>
      <c r="AC133" t="e">
        <f>VLOOKUP($Z133,'oddspedia-matches'!$A:$AD,AC$2,0)</f>
        <v>#N/A</v>
      </c>
      <c r="AD133" t="e">
        <f>VLOOKUP($Z133,'oddspedia-matches'!$A:$AD,AD$2,0)</f>
        <v>#N/A</v>
      </c>
      <c r="AE133" t="e">
        <f>VLOOKUP($Z133,'oddspedia-matches'!$A:$AD,AE$2,0)</f>
        <v>#N/A</v>
      </c>
      <c r="AF133" t="e">
        <f>VLOOKUP($Z133,'oddspedia-matches'!$A:$AD,AF$2,0)</f>
        <v>#N/A</v>
      </c>
      <c r="AG133" t="e">
        <f>VLOOKUP($Z133,'oddspedia-matches'!$A:$AD,AG$2,0)</f>
        <v>#N/A</v>
      </c>
      <c r="AH133" t="e">
        <f>VLOOKUP($Z133,'oddspedia-matches'!$A:$AD,AH$2,0)</f>
        <v>#N/A</v>
      </c>
      <c r="AI133" t="e">
        <f>VLOOKUP($Z133,'oddspedia-matches'!$A:$AD,AI$2,0)</f>
        <v>#N/A</v>
      </c>
      <c r="AJ133" t="e">
        <f>VLOOKUP($Z133,'oddspedia-matches'!$A:$AD,AJ$2,0)</f>
        <v>#N/A</v>
      </c>
      <c r="AK133" t="e">
        <f>VLOOKUP($Z133,'oddspedia-matches'!$A:$AD,AK$2,0)</f>
        <v>#N/A</v>
      </c>
      <c r="AL133" t="e">
        <f>VLOOKUP($Z133,'oddspedia-matches'!$A:$AD,AL$2,0)</f>
        <v>#N/A</v>
      </c>
      <c r="AM133" t="e">
        <f>VLOOKUP($Z133,'oddspedia-matches'!$A:$AD,AM$2,0)</f>
        <v>#N/A</v>
      </c>
      <c r="AN133" t="e">
        <f>VLOOKUP($Z133,'oddspedia-matches'!$A:$AD,AN$2,0)</f>
        <v>#N/A</v>
      </c>
      <c r="AO133" t="e">
        <f>VLOOKUP($Z133,'oddspedia-matches'!$A:$AD,AO$2,0)</f>
        <v>#N/A</v>
      </c>
      <c r="AP133" t="e">
        <f>VLOOKUP($Z133,'oddspedia-matches'!$A:$AD,AP$2,0)</f>
        <v>#N/A</v>
      </c>
      <c r="AQ133" t="e">
        <f>VLOOKUP($Z133,'oddspedia-matches'!$A:$AD,AQ$2,0)</f>
        <v>#N/A</v>
      </c>
    </row>
    <row r="134" spans="2:43" x14ac:dyDescent="0.2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>
        <f>VLOOKUP(E134,'Transform table'!A:B,2,0)</f>
        <v>0</v>
      </c>
      <c r="Y134" t="str">
        <f>VLOOKUP(F134,'Transform table'!A:B,2,0)</f>
        <v>Canberra White Eagles</v>
      </c>
      <c r="Z134" t="str">
        <f t="shared" si="2"/>
        <v>25/07/20260Canberra White Eagles</v>
      </c>
      <c r="AA134" t="e">
        <f>VLOOKUP($Z134,'oddspedia-matches'!$A:$AD,AA$2,0)</f>
        <v>#N/A</v>
      </c>
      <c r="AB134" t="e">
        <f>VLOOKUP($Z134,'oddspedia-matches'!$A:$AD,AB$2,0)</f>
        <v>#N/A</v>
      </c>
      <c r="AC134" t="e">
        <f>VLOOKUP($Z134,'oddspedia-matches'!$A:$AD,AC$2,0)</f>
        <v>#N/A</v>
      </c>
      <c r="AD134" t="e">
        <f>VLOOKUP($Z134,'oddspedia-matches'!$A:$AD,AD$2,0)</f>
        <v>#N/A</v>
      </c>
      <c r="AE134" t="e">
        <f>VLOOKUP($Z134,'oddspedia-matches'!$A:$AD,AE$2,0)</f>
        <v>#N/A</v>
      </c>
      <c r="AF134" t="e">
        <f>VLOOKUP($Z134,'oddspedia-matches'!$A:$AD,AF$2,0)</f>
        <v>#N/A</v>
      </c>
      <c r="AG134" t="e">
        <f>VLOOKUP($Z134,'oddspedia-matches'!$A:$AD,AG$2,0)</f>
        <v>#N/A</v>
      </c>
      <c r="AH134" t="e">
        <f>VLOOKUP($Z134,'oddspedia-matches'!$A:$AD,AH$2,0)</f>
        <v>#N/A</v>
      </c>
      <c r="AI134" t="e">
        <f>VLOOKUP($Z134,'oddspedia-matches'!$A:$AD,AI$2,0)</f>
        <v>#N/A</v>
      </c>
      <c r="AJ134" t="e">
        <f>VLOOKUP($Z134,'oddspedia-matches'!$A:$AD,AJ$2,0)</f>
        <v>#N/A</v>
      </c>
      <c r="AK134" t="e">
        <f>VLOOKUP($Z134,'oddspedia-matches'!$A:$AD,AK$2,0)</f>
        <v>#N/A</v>
      </c>
      <c r="AL134" t="e">
        <f>VLOOKUP($Z134,'oddspedia-matches'!$A:$AD,AL$2,0)</f>
        <v>#N/A</v>
      </c>
      <c r="AM134" t="e">
        <f>VLOOKUP($Z134,'oddspedia-matches'!$A:$AD,AM$2,0)</f>
        <v>#N/A</v>
      </c>
      <c r="AN134" t="e">
        <f>VLOOKUP($Z134,'oddspedia-matches'!$A:$AD,AN$2,0)</f>
        <v>#N/A</v>
      </c>
      <c r="AO134" t="e">
        <f>VLOOKUP($Z134,'oddspedia-matches'!$A:$AD,AO$2,0)</f>
        <v>#N/A</v>
      </c>
      <c r="AP134" t="e">
        <f>VLOOKUP($Z134,'oddspedia-matches'!$A:$AD,AP$2,0)</f>
        <v>#N/A</v>
      </c>
      <c r="AQ134" t="e">
        <f>VLOOKUP($Z134,'oddspedia-matches'!$A:$AD,AQ$2,0)</f>
        <v>#N/A</v>
      </c>
    </row>
    <row r="135" spans="2:43" x14ac:dyDescent="0.2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tr">
        <f>VLOOKUP(E135,'Transform table'!A:B,2,0)</f>
        <v>Adelaide United</v>
      </c>
      <c r="Y135" t="str">
        <f>VLOOKUP(F135,'Transform table'!A:B,2,0)</f>
        <v>West Torrens Birkalla</v>
      </c>
      <c r="Z135" t="str">
        <f t="shared" si="2"/>
        <v>25/07/2026Adelaide UnitedWest Torrens Birkalla</v>
      </c>
      <c r="AA135" t="e">
        <f>VLOOKUP($Z135,'oddspedia-matches'!$A:$AD,AA$2,0)</f>
        <v>#N/A</v>
      </c>
      <c r="AB135" t="e">
        <f>VLOOKUP($Z135,'oddspedia-matches'!$A:$AD,AB$2,0)</f>
        <v>#N/A</v>
      </c>
      <c r="AC135" t="e">
        <f>VLOOKUP($Z135,'oddspedia-matches'!$A:$AD,AC$2,0)</f>
        <v>#N/A</v>
      </c>
      <c r="AD135" t="e">
        <f>VLOOKUP($Z135,'oddspedia-matches'!$A:$AD,AD$2,0)</f>
        <v>#N/A</v>
      </c>
      <c r="AE135" t="e">
        <f>VLOOKUP($Z135,'oddspedia-matches'!$A:$AD,AE$2,0)</f>
        <v>#N/A</v>
      </c>
      <c r="AF135" t="e">
        <f>VLOOKUP($Z135,'oddspedia-matches'!$A:$AD,AF$2,0)</f>
        <v>#N/A</v>
      </c>
      <c r="AG135" t="e">
        <f>VLOOKUP($Z135,'oddspedia-matches'!$A:$AD,AG$2,0)</f>
        <v>#N/A</v>
      </c>
      <c r="AH135" t="e">
        <f>VLOOKUP($Z135,'oddspedia-matches'!$A:$AD,AH$2,0)</f>
        <v>#N/A</v>
      </c>
      <c r="AI135" t="e">
        <f>VLOOKUP($Z135,'oddspedia-matches'!$A:$AD,AI$2,0)</f>
        <v>#N/A</v>
      </c>
      <c r="AJ135" t="e">
        <f>VLOOKUP($Z135,'oddspedia-matches'!$A:$AD,AJ$2,0)</f>
        <v>#N/A</v>
      </c>
      <c r="AK135" t="e">
        <f>VLOOKUP($Z135,'oddspedia-matches'!$A:$AD,AK$2,0)</f>
        <v>#N/A</v>
      </c>
      <c r="AL135" t="e">
        <f>VLOOKUP($Z135,'oddspedia-matches'!$A:$AD,AL$2,0)</f>
        <v>#N/A</v>
      </c>
      <c r="AM135" t="e">
        <f>VLOOKUP($Z135,'oddspedia-matches'!$A:$AD,AM$2,0)</f>
        <v>#N/A</v>
      </c>
      <c r="AN135" t="e">
        <f>VLOOKUP($Z135,'oddspedia-matches'!$A:$AD,AN$2,0)</f>
        <v>#N/A</v>
      </c>
      <c r="AO135" t="e">
        <f>VLOOKUP($Z135,'oddspedia-matches'!$A:$AD,AO$2,0)</f>
        <v>#N/A</v>
      </c>
      <c r="AP135" t="e">
        <f>VLOOKUP($Z135,'oddspedia-matches'!$A:$AD,AP$2,0)</f>
        <v>#N/A</v>
      </c>
      <c r="AQ135" t="e">
        <f>VLOOKUP($Z135,'oddspedia-matches'!$A:$AD,AQ$2,0)</f>
        <v>#N/A</v>
      </c>
    </row>
    <row r="136" spans="2:43" x14ac:dyDescent="0.2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>
        <f>VLOOKUP(E136,'Transform table'!A:B,2,0)</f>
        <v>0</v>
      </c>
      <c r="Y136" t="str">
        <f>VLOOKUP(F136,'Transform table'!A:B,2,0)</f>
        <v>Campbelltown City</v>
      </c>
      <c r="Z136" t="str">
        <f t="shared" si="2"/>
        <v>25/07/20260Campbelltown City</v>
      </c>
      <c r="AA136" t="e">
        <f>VLOOKUP($Z136,'oddspedia-matches'!$A:$AD,AA$2,0)</f>
        <v>#N/A</v>
      </c>
      <c r="AB136" t="e">
        <f>VLOOKUP($Z136,'oddspedia-matches'!$A:$AD,AB$2,0)</f>
        <v>#N/A</v>
      </c>
      <c r="AC136" t="e">
        <f>VLOOKUP($Z136,'oddspedia-matches'!$A:$AD,AC$2,0)</f>
        <v>#N/A</v>
      </c>
      <c r="AD136" t="e">
        <f>VLOOKUP($Z136,'oddspedia-matches'!$A:$AD,AD$2,0)</f>
        <v>#N/A</v>
      </c>
      <c r="AE136" t="e">
        <f>VLOOKUP($Z136,'oddspedia-matches'!$A:$AD,AE$2,0)</f>
        <v>#N/A</v>
      </c>
      <c r="AF136" t="e">
        <f>VLOOKUP($Z136,'oddspedia-matches'!$A:$AD,AF$2,0)</f>
        <v>#N/A</v>
      </c>
      <c r="AG136" t="e">
        <f>VLOOKUP($Z136,'oddspedia-matches'!$A:$AD,AG$2,0)</f>
        <v>#N/A</v>
      </c>
      <c r="AH136" t="e">
        <f>VLOOKUP($Z136,'oddspedia-matches'!$A:$AD,AH$2,0)</f>
        <v>#N/A</v>
      </c>
      <c r="AI136" t="e">
        <f>VLOOKUP($Z136,'oddspedia-matches'!$A:$AD,AI$2,0)</f>
        <v>#N/A</v>
      </c>
      <c r="AJ136" t="e">
        <f>VLOOKUP($Z136,'oddspedia-matches'!$A:$AD,AJ$2,0)</f>
        <v>#N/A</v>
      </c>
      <c r="AK136" t="e">
        <f>VLOOKUP($Z136,'oddspedia-matches'!$A:$AD,AK$2,0)</f>
        <v>#N/A</v>
      </c>
      <c r="AL136" t="e">
        <f>VLOOKUP($Z136,'oddspedia-matches'!$A:$AD,AL$2,0)</f>
        <v>#N/A</v>
      </c>
      <c r="AM136" t="e">
        <f>VLOOKUP($Z136,'oddspedia-matches'!$A:$AD,AM$2,0)</f>
        <v>#N/A</v>
      </c>
      <c r="AN136" t="e">
        <f>VLOOKUP($Z136,'oddspedia-matches'!$A:$AD,AN$2,0)</f>
        <v>#N/A</v>
      </c>
      <c r="AO136" t="e">
        <f>VLOOKUP($Z136,'oddspedia-matches'!$A:$AD,AO$2,0)</f>
        <v>#N/A</v>
      </c>
      <c r="AP136" t="e">
        <f>VLOOKUP($Z136,'oddspedia-matches'!$A:$AD,AP$2,0)</f>
        <v>#N/A</v>
      </c>
      <c r="AQ136" t="e">
        <f>VLOOKUP($Z136,'oddspedia-matches'!$A:$AD,AQ$2,0)</f>
        <v>#N/A</v>
      </c>
    </row>
    <row r="137" spans="2:43" x14ac:dyDescent="0.2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>
        <f>VLOOKUP(E137,'Transform table'!A:B,2,0)</f>
        <v>0</v>
      </c>
      <c r="Y137" t="str">
        <f>VLOOKUP(F137,'Transform table'!A:B,2,0)</f>
        <v>Avondale Heights</v>
      </c>
      <c r="Z137" t="str">
        <f t="shared" si="2"/>
        <v>25/07/20260Avondale Heights</v>
      </c>
      <c r="AA137" t="e">
        <f>VLOOKUP($Z137,'oddspedia-matches'!$A:$AD,AA$2,0)</f>
        <v>#N/A</v>
      </c>
      <c r="AB137" t="e">
        <f>VLOOKUP($Z137,'oddspedia-matches'!$A:$AD,AB$2,0)</f>
        <v>#N/A</v>
      </c>
      <c r="AC137" t="e">
        <f>VLOOKUP($Z137,'oddspedia-matches'!$A:$AD,AC$2,0)</f>
        <v>#N/A</v>
      </c>
      <c r="AD137" t="e">
        <f>VLOOKUP($Z137,'oddspedia-matches'!$A:$AD,AD$2,0)</f>
        <v>#N/A</v>
      </c>
      <c r="AE137" t="e">
        <f>VLOOKUP($Z137,'oddspedia-matches'!$A:$AD,AE$2,0)</f>
        <v>#N/A</v>
      </c>
      <c r="AF137" t="e">
        <f>VLOOKUP($Z137,'oddspedia-matches'!$A:$AD,AF$2,0)</f>
        <v>#N/A</v>
      </c>
      <c r="AG137" t="e">
        <f>VLOOKUP($Z137,'oddspedia-matches'!$A:$AD,AG$2,0)</f>
        <v>#N/A</v>
      </c>
      <c r="AH137" t="e">
        <f>VLOOKUP($Z137,'oddspedia-matches'!$A:$AD,AH$2,0)</f>
        <v>#N/A</v>
      </c>
      <c r="AI137" t="e">
        <f>VLOOKUP($Z137,'oddspedia-matches'!$A:$AD,AI$2,0)</f>
        <v>#N/A</v>
      </c>
      <c r="AJ137" t="e">
        <f>VLOOKUP($Z137,'oddspedia-matches'!$A:$AD,AJ$2,0)</f>
        <v>#N/A</v>
      </c>
      <c r="AK137" t="e">
        <f>VLOOKUP($Z137,'oddspedia-matches'!$A:$AD,AK$2,0)</f>
        <v>#N/A</v>
      </c>
      <c r="AL137" t="e">
        <f>VLOOKUP($Z137,'oddspedia-matches'!$A:$AD,AL$2,0)</f>
        <v>#N/A</v>
      </c>
      <c r="AM137" t="e">
        <f>VLOOKUP($Z137,'oddspedia-matches'!$A:$AD,AM$2,0)</f>
        <v>#N/A</v>
      </c>
      <c r="AN137" t="e">
        <f>VLOOKUP($Z137,'oddspedia-matches'!$A:$AD,AN$2,0)</f>
        <v>#N/A</v>
      </c>
      <c r="AO137" t="e">
        <f>VLOOKUP($Z137,'oddspedia-matches'!$A:$AD,AO$2,0)</f>
        <v>#N/A</v>
      </c>
      <c r="AP137" t="e">
        <f>VLOOKUP($Z137,'oddspedia-matches'!$A:$AD,AP$2,0)</f>
        <v>#N/A</v>
      </c>
      <c r="AQ137" t="e">
        <f>VLOOKUP($Z137,'oddspedia-matches'!$A:$AD,AQ$2,0)</f>
        <v>#N/A</v>
      </c>
    </row>
    <row r="138" spans="2:43" x14ac:dyDescent="0.2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>
        <f>VLOOKUP(E138,'Transform table'!A:B,2,0)</f>
        <v>0</v>
      </c>
      <c r="Y138" t="str">
        <f>VLOOKUP(F138,'Transform table'!A:B,2,0)</f>
        <v>White City</v>
      </c>
      <c r="Z138" t="str">
        <f t="shared" si="2"/>
        <v>25/07/20260White City</v>
      </c>
      <c r="AA138" t="e">
        <f>VLOOKUP($Z138,'oddspedia-matches'!$A:$AD,AA$2,0)</f>
        <v>#N/A</v>
      </c>
      <c r="AB138" t="e">
        <f>VLOOKUP($Z138,'oddspedia-matches'!$A:$AD,AB$2,0)</f>
        <v>#N/A</v>
      </c>
      <c r="AC138" t="e">
        <f>VLOOKUP($Z138,'oddspedia-matches'!$A:$AD,AC$2,0)</f>
        <v>#N/A</v>
      </c>
      <c r="AD138" t="e">
        <f>VLOOKUP($Z138,'oddspedia-matches'!$A:$AD,AD$2,0)</f>
        <v>#N/A</v>
      </c>
      <c r="AE138" t="e">
        <f>VLOOKUP($Z138,'oddspedia-matches'!$A:$AD,AE$2,0)</f>
        <v>#N/A</v>
      </c>
      <c r="AF138" t="e">
        <f>VLOOKUP($Z138,'oddspedia-matches'!$A:$AD,AF$2,0)</f>
        <v>#N/A</v>
      </c>
      <c r="AG138" t="e">
        <f>VLOOKUP($Z138,'oddspedia-matches'!$A:$AD,AG$2,0)</f>
        <v>#N/A</v>
      </c>
      <c r="AH138" t="e">
        <f>VLOOKUP($Z138,'oddspedia-matches'!$A:$AD,AH$2,0)</f>
        <v>#N/A</v>
      </c>
      <c r="AI138" t="e">
        <f>VLOOKUP($Z138,'oddspedia-matches'!$A:$AD,AI$2,0)</f>
        <v>#N/A</v>
      </c>
      <c r="AJ138" t="e">
        <f>VLOOKUP($Z138,'oddspedia-matches'!$A:$AD,AJ$2,0)</f>
        <v>#N/A</v>
      </c>
      <c r="AK138" t="e">
        <f>VLOOKUP($Z138,'oddspedia-matches'!$A:$AD,AK$2,0)</f>
        <v>#N/A</v>
      </c>
      <c r="AL138" t="e">
        <f>VLOOKUP($Z138,'oddspedia-matches'!$A:$AD,AL$2,0)</f>
        <v>#N/A</v>
      </c>
      <c r="AM138" t="e">
        <f>VLOOKUP($Z138,'oddspedia-matches'!$A:$AD,AM$2,0)</f>
        <v>#N/A</v>
      </c>
      <c r="AN138" t="e">
        <f>VLOOKUP($Z138,'oddspedia-matches'!$A:$AD,AN$2,0)</f>
        <v>#N/A</v>
      </c>
      <c r="AO138" t="e">
        <f>VLOOKUP($Z138,'oddspedia-matches'!$A:$AD,AO$2,0)</f>
        <v>#N/A</v>
      </c>
      <c r="AP138" t="e">
        <f>VLOOKUP($Z138,'oddspedia-matches'!$A:$AD,AP$2,0)</f>
        <v>#N/A</v>
      </c>
      <c r="AQ138" t="e">
        <f>VLOOKUP($Z138,'oddspedia-matches'!$A:$AD,AQ$2,0)</f>
        <v>#N/A</v>
      </c>
    </row>
    <row r="139" spans="2:43" x14ac:dyDescent="0.2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>
        <f>VLOOKUP(E139,'Transform table'!A:B,2,0)</f>
        <v>0</v>
      </c>
      <c r="Y139" t="str">
        <f>VLOOKUP(F139,'Transform table'!A:B,2,0)</f>
        <v>Sturt Lions</v>
      </c>
      <c r="Z139" t="str">
        <f t="shared" si="2"/>
        <v>25/07/20260Sturt Lions</v>
      </c>
      <c r="AA139" t="e">
        <f>VLOOKUP($Z139,'oddspedia-matches'!$A:$AD,AA$2,0)</f>
        <v>#N/A</v>
      </c>
      <c r="AB139" t="e">
        <f>VLOOKUP($Z139,'oddspedia-matches'!$A:$AD,AB$2,0)</f>
        <v>#N/A</v>
      </c>
      <c r="AC139" t="e">
        <f>VLOOKUP($Z139,'oddspedia-matches'!$A:$AD,AC$2,0)</f>
        <v>#N/A</v>
      </c>
      <c r="AD139" t="e">
        <f>VLOOKUP($Z139,'oddspedia-matches'!$A:$AD,AD$2,0)</f>
        <v>#N/A</v>
      </c>
      <c r="AE139" t="e">
        <f>VLOOKUP($Z139,'oddspedia-matches'!$A:$AD,AE$2,0)</f>
        <v>#N/A</v>
      </c>
      <c r="AF139" t="e">
        <f>VLOOKUP($Z139,'oddspedia-matches'!$A:$AD,AF$2,0)</f>
        <v>#N/A</v>
      </c>
      <c r="AG139" t="e">
        <f>VLOOKUP($Z139,'oddspedia-matches'!$A:$AD,AG$2,0)</f>
        <v>#N/A</v>
      </c>
      <c r="AH139" t="e">
        <f>VLOOKUP($Z139,'oddspedia-matches'!$A:$AD,AH$2,0)</f>
        <v>#N/A</v>
      </c>
      <c r="AI139" t="e">
        <f>VLOOKUP($Z139,'oddspedia-matches'!$A:$AD,AI$2,0)</f>
        <v>#N/A</v>
      </c>
      <c r="AJ139" t="e">
        <f>VLOOKUP($Z139,'oddspedia-matches'!$A:$AD,AJ$2,0)</f>
        <v>#N/A</v>
      </c>
      <c r="AK139" t="e">
        <f>VLOOKUP($Z139,'oddspedia-matches'!$A:$AD,AK$2,0)</f>
        <v>#N/A</v>
      </c>
      <c r="AL139" t="e">
        <f>VLOOKUP($Z139,'oddspedia-matches'!$A:$AD,AL$2,0)</f>
        <v>#N/A</v>
      </c>
      <c r="AM139" t="e">
        <f>VLOOKUP($Z139,'oddspedia-matches'!$A:$AD,AM$2,0)</f>
        <v>#N/A</v>
      </c>
      <c r="AN139" t="e">
        <f>VLOOKUP($Z139,'oddspedia-matches'!$A:$AD,AN$2,0)</f>
        <v>#N/A</v>
      </c>
      <c r="AO139" t="e">
        <f>VLOOKUP($Z139,'oddspedia-matches'!$A:$AD,AO$2,0)</f>
        <v>#N/A</v>
      </c>
      <c r="AP139" t="e">
        <f>VLOOKUP($Z139,'oddspedia-matches'!$A:$AD,AP$2,0)</f>
        <v>#N/A</v>
      </c>
      <c r="AQ139" t="e">
        <f>VLOOKUP($Z139,'oddspedia-matches'!$A:$AD,AQ$2,0)</f>
        <v>#N/A</v>
      </c>
    </row>
    <row r="140" spans="2:43" x14ac:dyDescent="0.2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>
        <f>VLOOKUP(E140,'Transform table'!A:B,2,0)</f>
        <v>0</v>
      </c>
      <c r="Y140" t="str">
        <f>VLOOKUP(F140,'Transform table'!A:B,2,0)</f>
        <v>Playford City</v>
      </c>
      <c r="Z140" t="str">
        <f t="shared" si="2"/>
        <v>25/07/20260Playford City</v>
      </c>
      <c r="AA140" t="e">
        <f>VLOOKUP($Z140,'oddspedia-matches'!$A:$AD,AA$2,0)</f>
        <v>#N/A</v>
      </c>
      <c r="AB140" t="e">
        <f>VLOOKUP($Z140,'oddspedia-matches'!$A:$AD,AB$2,0)</f>
        <v>#N/A</v>
      </c>
      <c r="AC140" t="e">
        <f>VLOOKUP($Z140,'oddspedia-matches'!$A:$AD,AC$2,0)</f>
        <v>#N/A</v>
      </c>
      <c r="AD140" t="e">
        <f>VLOOKUP($Z140,'oddspedia-matches'!$A:$AD,AD$2,0)</f>
        <v>#N/A</v>
      </c>
      <c r="AE140" t="e">
        <f>VLOOKUP($Z140,'oddspedia-matches'!$A:$AD,AE$2,0)</f>
        <v>#N/A</v>
      </c>
      <c r="AF140" t="e">
        <f>VLOOKUP($Z140,'oddspedia-matches'!$A:$AD,AF$2,0)</f>
        <v>#N/A</v>
      </c>
      <c r="AG140" t="e">
        <f>VLOOKUP($Z140,'oddspedia-matches'!$A:$AD,AG$2,0)</f>
        <v>#N/A</v>
      </c>
      <c r="AH140" t="e">
        <f>VLOOKUP($Z140,'oddspedia-matches'!$A:$AD,AH$2,0)</f>
        <v>#N/A</v>
      </c>
      <c r="AI140" t="e">
        <f>VLOOKUP($Z140,'oddspedia-matches'!$A:$AD,AI$2,0)</f>
        <v>#N/A</v>
      </c>
      <c r="AJ140" t="e">
        <f>VLOOKUP($Z140,'oddspedia-matches'!$A:$AD,AJ$2,0)</f>
        <v>#N/A</v>
      </c>
      <c r="AK140" t="e">
        <f>VLOOKUP($Z140,'oddspedia-matches'!$A:$AD,AK$2,0)</f>
        <v>#N/A</v>
      </c>
      <c r="AL140" t="e">
        <f>VLOOKUP($Z140,'oddspedia-matches'!$A:$AD,AL$2,0)</f>
        <v>#N/A</v>
      </c>
      <c r="AM140" t="e">
        <f>VLOOKUP($Z140,'oddspedia-matches'!$A:$AD,AM$2,0)</f>
        <v>#N/A</v>
      </c>
      <c r="AN140" t="e">
        <f>VLOOKUP($Z140,'oddspedia-matches'!$A:$AD,AN$2,0)</f>
        <v>#N/A</v>
      </c>
      <c r="AO140" t="e">
        <f>VLOOKUP($Z140,'oddspedia-matches'!$A:$AD,AO$2,0)</f>
        <v>#N/A</v>
      </c>
      <c r="AP140" t="e">
        <f>VLOOKUP($Z140,'oddspedia-matches'!$A:$AD,AP$2,0)</f>
        <v>#N/A</v>
      </c>
      <c r="AQ140" t="e">
        <f>VLOOKUP($Z140,'oddspedia-matches'!$A:$AD,AQ$2,0)</f>
        <v>#N/A</v>
      </c>
    </row>
    <row r="141" spans="2:43" x14ac:dyDescent="0.2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>
        <f>VLOOKUP(E141,'Transform table'!A:B,2,0)</f>
        <v>0</v>
      </c>
      <c r="Y141" t="str">
        <f>VLOOKUP(F141,'Transform table'!A:B,2,0)</f>
        <v>O'Connor Knights</v>
      </c>
      <c r="Z141" t="str">
        <f t="shared" si="2"/>
        <v>25/07/20260O'Connor Knights</v>
      </c>
      <c r="AA141" t="e">
        <f>VLOOKUP($Z141,'oddspedia-matches'!$A:$AD,AA$2,0)</f>
        <v>#N/A</v>
      </c>
      <c r="AB141" t="e">
        <f>VLOOKUP($Z141,'oddspedia-matches'!$A:$AD,AB$2,0)</f>
        <v>#N/A</v>
      </c>
      <c r="AC141" t="e">
        <f>VLOOKUP($Z141,'oddspedia-matches'!$A:$AD,AC$2,0)</f>
        <v>#N/A</v>
      </c>
      <c r="AD141" t="e">
        <f>VLOOKUP($Z141,'oddspedia-matches'!$A:$AD,AD$2,0)</f>
        <v>#N/A</v>
      </c>
      <c r="AE141" t="e">
        <f>VLOOKUP($Z141,'oddspedia-matches'!$A:$AD,AE$2,0)</f>
        <v>#N/A</v>
      </c>
      <c r="AF141" t="e">
        <f>VLOOKUP($Z141,'oddspedia-matches'!$A:$AD,AF$2,0)</f>
        <v>#N/A</v>
      </c>
      <c r="AG141" t="e">
        <f>VLOOKUP($Z141,'oddspedia-matches'!$A:$AD,AG$2,0)</f>
        <v>#N/A</v>
      </c>
      <c r="AH141" t="e">
        <f>VLOOKUP($Z141,'oddspedia-matches'!$A:$AD,AH$2,0)</f>
        <v>#N/A</v>
      </c>
      <c r="AI141" t="e">
        <f>VLOOKUP($Z141,'oddspedia-matches'!$A:$AD,AI$2,0)</f>
        <v>#N/A</v>
      </c>
      <c r="AJ141" t="e">
        <f>VLOOKUP($Z141,'oddspedia-matches'!$A:$AD,AJ$2,0)</f>
        <v>#N/A</v>
      </c>
      <c r="AK141" t="e">
        <f>VLOOKUP($Z141,'oddspedia-matches'!$A:$AD,AK$2,0)</f>
        <v>#N/A</v>
      </c>
      <c r="AL141" t="e">
        <f>VLOOKUP($Z141,'oddspedia-matches'!$A:$AD,AL$2,0)</f>
        <v>#N/A</v>
      </c>
      <c r="AM141" t="e">
        <f>VLOOKUP($Z141,'oddspedia-matches'!$A:$AD,AM$2,0)</f>
        <v>#N/A</v>
      </c>
      <c r="AN141" t="e">
        <f>VLOOKUP($Z141,'oddspedia-matches'!$A:$AD,AN$2,0)</f>
        <v>#N/A</v>
      </c>
      <c r="AO141" t="e">
        <f>VLOOKUP($Z141,'oddspedia-matches'!$A:$AD,AO$2,0)</f>
        <v>#N/A</v>
      </c>
      <c r="AP141" t="e">
        <f>VLOOKUP($Z141,'oddspedia-matches'!$A:$AD,AP$2,0)</f>
        <v>#N/A</v>
      </c>
      <c r="AQ141" t="e">
        <f>VLOOKUP($Z141,'oddspedia-matches'!$A:$AD,AQ$2,0)</f>
        <v>#N/A</v>
      </c>
    </row>
    <row r="142" spans="2:43" x14ac:dyDescent="0.2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tr">
        <f>VLOOKUP(E142,'Transform table'!A:B,2,0)</f>
        <v>Maitland FC</v>
      </c>
      <c r="Y142" t="str">
        <f>VLOOKUP(F142,'Transform table'!A:B,2,0)</f>
        <v>Broadmeadow Magic</v>
      </c>
      <c r="Z142" t="str">
        <f t="shared" si="2"/>
        <v>25/07/2026Maitland FCBroadmeadow Magic</v>
      </c>
      <c r="AA142" t="str">
        <f>VLOOKUP($Z142,'oddspedia-matches'!$A:$AD,AA$2,0)</f>
        <v>0 - 1</v>
      </c>
      <c r="AB142" t="str">
        <f>VLOOKUP($Z142,'oddspedia-matches'!$A:$AD,AB$2,0)</f>
        <v>Red</v>
      </c>
      <c r="AC142" t="str">
        <f>VLOOKUP($Z142,'oddspedia-matches'!$A:$AD,AC$2,0)</f>
        <v>Red</v>
      </c>
      <c r="AD142" t="str">
        <f>VLOOKUP($Z142,'oddspedia-matches'!$A:$AD,AD$2,0)</f>
        <v>Green</v>
      </c>
      <c r="AE142" t="str">
        <f>VLOOKUP($Z142,'oddspedia-matches'!$A:$AD,AE$2,0)</f>
        <v>Red</v>
      </c>
      <c r="AF142" t="str">
        <f>VLOOKUP($Z142,'oddspedia-matches'!$A:$AD,AF$2,0)</f>
        <v>Green</v>
      </c>
      <c r="AG142" t="str">
        <f>VLOOKUP($Z142,'oddspedia-matches'!$A:$AD,AG$2,0)</f>
        <v>Green</v>
      </c>
      <c r="AH142" t="str">
        <f>VLOOKUP($Z142,'oddspedia-matches'!$A:$AD,AH$2,0)</f>
        <v>Red</v>
      </c>
      <c r="AI142" t="str">
        <f>VLOOKUP($Z142,'oddspedia-matches'!$A:$AD,AI$2,0)</f>
        <v>Green</v>
      </c>
      <c r="AJ142" t="str">
        <f>VLOOKUP($Z142,'oddspedia-matches'!$A:$AD,AJ$2,0)</f>
        <v>Red</v>
      </c>
      <c r="AK142" t="str">
        <f>VLOOKUP($Z142,'oddspedia-matches'!$A:$AD,AK$2,0)</f>
        <v>Red</v>
      </c>
      <c r="AL142" t="str">
        <f>VLOOKUP($Z142,'oddspedia-matches'!$A:$AD,AL$2,0)</f>
        <v>Red</v>
      </c>
      <c r="AM142" t="str">
        <f>VLOOKUP($Z142,'oddspedia-matches'!$A:$AD,AM$2,0)</f>
        <v>Red</v>
      </c>
      <c r="AN142" t="str">
        <f>VLOOKUP($Z142,'oddspedia-matches'!$A:$AD,AN$2,0)</f>
        <v>Green</v>
      </c>
      <c r="AO142" t="str">
        <f>VLOOKUP($Z142,'oddspedia-matches'!$A:$AD,AO$2,0)</f>
        <v>Green</v>
      </c>
      <c r="AP142" t="str">
        <f>VLOOKUP($Z142,'oddspedia-matches'!$A:$AD,AP$2,0)</f>
        <v>Red</v>
      </c>
      <c r="AQ142" t="str">
        <f>VLOOKUP($Z142,'oddspedia-matches'!$A:$AD,AQ$2,0)</f>
        <v>Green</v>
      </c>
    </row>
    <row r="143" spans="2:43" x14ac:dyDescent="0.2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>
        <f>VLOOKUP(E143,'Transform table'!A:B,2,0)</f>
        <v>0</v>
      </c>
      <c r="Y143" t="str">
        <f>VLOOKUP(F143,'Transform table'!A:B,2,0)</f>
        <v>Charlestown City Blues</v>
      </c>
      <c r="Z143" t="str">
        <f t="shared" si="2"/>
        <v>25/07/20260Charlestown City Blues</v>
      </c>
      <c r="AA143" t="e">
        <f>VLOOKUP($Z143,'oddspedia-matches'!$A:$AD,AA$2,0)</f>
        <v>#N/A</v>
      </c>
      <c r="AB143" t="e">
        <f>VLOOKUP($Z143,'oddspedia-matches'!$A:$AD,AB$2,0)</f>
        <v>#N/A</v>
      </c>
      <c r="AC143" t="e">
        <f>VLOOKUP($Z143,'oddspedia-matches'!$A:$AD,AC$2,0)</f>
        <v>#N/A</v>
      </c>
      <c r="AD143" t="e">
        <f>VLOOKUP($Z143,'oddspedia-matches'!$A:$AD,AD$2,0)</f>
        <v>#N/A</v>
      </c>
      <c r="AE143" t="e">
        <f>VLOOKUP($Z143,'oddspedia-matches'!$A:$AD,AE$2,0)</f>
        <v>#N/A</v>
      </c>
      <c r="AF143" t="e">
        <f>VLOOKUP($Z143,'oddspedia-matches'!$A:$AD,AF$2,0)</f>
        <v>#N/A</v>
      </c>
      <c r="AG143" t="e">
        <f>VLOOKUP($Z143,'oddspedia-matches'!$A:$AD,AG$2,0)</f>
        <v>#N/A</v>
      </c>
      <c r="AH143" t="e">
        <f>VLOOKUP($Z143,'oddspedia-matches'!$A:$AD,AH$2,0)</f>
        <v>#N/A</v>
      </c>
      <c r="AI143" t="e">
        <f>VLOOKUP($Z143,'oddspedia-matches'!$A:$AD,AI$2,0)</f>
        <v>#N/A</v>
      </c>
      <c r="AJ143" t="e">
        <f>VLOOKUP($Z143,'oddspedia-matches'!$A:$AD,AJ$2,0)</f>
        <v>#N/A</v>
      </c>
      <c r="AK143" t="e">
        <f>VLOOKUP($Z143,'oddspedia-matches'!$A:$AD,AK$2,0)</f>
        <v>#N/A</v>
      </c>
      <c r="AL143" t="e">
        <f>VLOOKUP($Z143,'oddspedia-matches'!$A:$AD,AL$2,0)</f>
        <v>#N/A</v>
      </c>
      <c r="AM143" t="e">
        <f>VLOOKUP($Z143,'oddspedia-matches'!$A:$AD,AM$2,0)</f>
        <v>#N/A</v>
      </c>
      <c r="AN143" t="e">
        <f>VLOOKUP($Z143,'oddspedia-matches'!$A:$AD,AN$2,0)</f>
        <v>#N/A</v>
      </c>
      <c r="AO143" t="e">
        <f>VLOOKUP($Z143,'oddspedia-matches'!$A:$AD,AO$2,0)</f>
        <v>#N/A</v>
      </c>
      <c r="AP143" t="e">
        <f>VLOOKUP($Z143,'oddspedia-matches'!$A:$AD,AP$2,0)</f>
        <v>#N/A</v>
      </c>
      <c r="AQ143" t="e">
        <f>VLOOKUP($Z143,'oddspedia-matches'!$A:$AD,AQ$2,0)</f>
        <v>#N/A</v>
      </c>
    </row>
    <row r="144" spans="2:43" x14ac:dyDescent="0.2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>
        <f>VLOOKUP(E144,'Transform table'!A:B,2,0)</f>
        <v>0</v>
      </c>
      <c r="Y144" t="str">
        <f>VLOOKUP(F144,'Transform table'!A:B,2,0)</f>
        <v>Marconi Stallions</v>
      </c>
      <c r="Z144" t="str">
        <f t="shared" si="2"/>
        <v>25/07/20260Marconi Stallions</v>
      </c>
      <c r="AA144" t="e">
        <f>VLOOKUP($Z144,'oddspedia-matches'!$A:$AD,AA$2,0)</f>
        <v>#N/A</v>
      </c>
      <c r="AB144" t="e">
        <f>VLOOKUP($Z144,'oddspedia-matches'!$A:$AD,AB$2,0)</f>
        <v>#N/A</v>
      </c>
      <c r="AC144" t="e">
        <f>VLOOKUP($Z144,'oddspedia-matches'!$A:$AD,AC$2,0)</f>
        <v>#N/A</v>
      </c>
      <c r="AD144" t="e">
        <f>VLOOKUP($Z144,'oddspedia-matches'!$A:$AD,AD$2,0)</f>
        <v>#N/A</v>
      </c>
      <c r="AE144" t="e">
        <f>VLOOKUP($Z144,'oddspedia-matches'!$A:$AD,AE$2,0)</f>
        <v>#N/A</v>
      </c>
      <c r="AF144" t="e">
        <f>VLOOKUP($Z144,'oddspedia-matches'!$A:$AD,AF$2,0)</f>
        <v>#N/A</v>
      </c>
      <c r="AG144" t="e">
        <f>VLOOKUP($Z144,'oddspedia-matches'!$A:$AD,AG$2,0)</f>
        <v>#N/A</v>
      </c>
      <c r="AH144" t="e">
        <f>VLOOKUP($Z144,'oddspedia-matches'!$A:$AD,AH$2,0)</f>
        <v>#N/A</v>
      </c>
      <c r="AI144" t="e">
        <f>VLOOKUP($Z144,'oddspedia-matches'!$A:$AD,AI$2,0)</f>
        <v>#N/A</v>
      </c>
      <c r="AJ144" t="e">
        <f>VLOOKUP($Z144,'oddspedia-matches'!$A:$AD,AJ$2,0)</f>
        <v>#N/A</v>
      </c>
      <c r="AK144" t="e">
        <f>VLOOKUP($Z144,'oddspedia-matches'!$A:$AD,AK$2,0)</f>
        <v>#N/A</v>
      </c>
      <c r="AL144" t="e">
        <f>VLOOKUP($Z144,'oddspedia-matches'!$A:$AD,AL$2,0)</f>
        <v>#N/A</v>
      </c>
      <c r="AM144" t="e">
        <f>VLOOKUP($Z144,'oddspedia-matches'!$A:$AD,AM$2,0)</f>
        <v>#N/A</v>
      </c>
      <c r="AN144" t="e">
        <f>VLOOKUP($Z144,'oddspedia-matches'!$A:$AD,AN$2,0)</f>
        <v>#N/A</v>
      </c>
      <c r="AO144" t="e">
        <f>VLOOKUP($Z144,'oddspedia-matches'!$A:$AD,AO$2,0)</f>
        <v>#N/A</v>
      </c>
      <c r="AP144" t="e">
        <f>VLOOKUP($Z144,'oddspedia-matches'!$A:$AD,AP$2,0)</f>
        <v>#N/A</v>
      </c>
      <c r="AQ144" t="e">
        <f>VLOOKUP($Z144,'oddspedia-matches'!$A:$AD,AQ$2,0)</f>
        <v>#N/A</v>
      </c>
    </row>
    <row r="145" spans="2:43" x14ac:dyDescent="0.2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>
        <f>VLOOKUP(E145,'Transform table'!A:B,2,0)</f>
        <v>0</v>
      </c>
      <c r="Y145" t="str">
        <f>VLOOKUP(F145,'Transform table'!A:B,2,0)</f>
        <v>Altona Magic</v>
      </c>
      <c r="Z145" t="str">
        <f t="shared" si="2"/>
        <v>25/07/20260Altona Magic</v>
      </c>
      <c r="AA145" t="e">
        <f>VLOOKUP($Z145,'oddspedia-matches'!$A:$AD,AA$2,0)</f>
        <v>#N/A</v>
      </c>
      <c r="AB145" t="e">
        <f>VLOOKUP($Z145,'oddspedia-matches'!$A:$AD,AB$2,0)</f>
        <v>#N/A</v>
      </c>
      <c r="AC145" t="e">
        <f>VLOOKUP($Z145,'oddspedia-matches'!$A:$AD,AC$2,0)</f>
        <v>#N/A</v>
      </c>
      <c r="AD145" t="e">
        <f>VLOOKUP($Z145,'oddspedia-matches'!$A:$AD,AD$2,0)</f>
        <v>#N/A</v>
      </c>
      <c r="AE145" t="e">
        <f>VLOOKUP($Z145,'oddspedia-matches'!$A:$AD,AE$2,0)</f>
        <v>#N/A</v>
      </c>
      <c r="AF145" t="e">
        <f>VLOOKUP($Z145,'oddspedia-matches'!$A:$AD,AF$2,0)</f>
        <v>#N/A</v>
      </c>
      <c r="AG145" t="e">
        <f>VLOOKUP($Z145,'oddspedia-matches'!$A:$AD,AG$2,0)</f>
        <v>#N/A</v>
      </c>
      <c r="AH145" t="e">
        <f>VLOOKUP($Z145,'oddspedia-matches'!$A:$AD,AH$2,0)</f>
        <v>#N/A</v>
      </c>
      <c r="AI145" t="e">
        <f>VLOOKUP($Z145,'oddspedia-matches'!$A:$AD,AI$2,0)</f>
        <v>#N/A</v>
      </c>
      <c r="AJ145" t="e">
        <f>VLOOKUP($Z145,'oddspedia-matches'!$A:$AD,AJ$2,0)</f>
        <v>#N/A</v>
      </c>
      <c r="AK145" t="e">
        <f>VLOOKUP($Z145,'oddspedia-matches'!$A:$AD,AK$2,0)</f>
        <v>#N/A</v>
      </c>
      <c r="AL145" t="e">
        <f>VLOOKUP($Z145,'oddspedia-matches'!$A:$AD,AL$2,0)</f>
        <v>#N/A</v>
      </c>
      <c r="AM145" t="e">
        <f>VLOOKUP($Z145,'oddspedia-matches'!$A:$AD,AM$2,0)</f>
        <v>#N/A</v>
      </c>
      <c r="AN145" t="e">
        <f>VLOOKUP($Z145,'oddspedia-matches'!$A:$AD,AN$2,0)</f>
        <v>#N/A</v>
      </c>
      <c r="AO145" t="e">
        <f>VLOOKUP($Z145,'oddspedia-matches'!$A:$AD,AO$2,0)</f>
        <v>#N/A</v>
      </c>
      <c r="AP145" t="e">
        <f>VLOOKUP($Z145,'oddspedia-matches'!$A:$AD,AP$2,0)</f>
        <v>#N/A</v>
      </c>
      <c r="AQ145" t="e">
        <f>VLOOKUP($Z145,'oddspedia-matches'!$A:$AD,AQ$2,0)</f>
        <v>#N/A</v>
      </c>
    </row>
    <row r="146" spans="2:43" x14ac:dyDescent="0.2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tr">
        <f>VLOOKUP(E146,'Transform table'!A:B,2,0)</f>
        <v>Perth Glory</v>
      </c>
      <c r="Y146" t="str">
        <f>VLOOKUP(F146,'Transform table'!A:B,2,0)</f>
        <v>Dianella White Eagles</v>
      </c>
      <c r="Z146" t="str">
        <f t="shared" si="2"/>
        <v>25/07/2026Perth GloryDianella White Eagles</v>
      </c>
      <c r="AA146" t="e">
        <f>VLOOKUP($Z146,'oddspedia-matches'!$A:$AD,AA$2,0)</f>
        <v>#N/A</v>
      </c>
      <c r="AB146" t="e">
        <f>VLOOKUP($Z146,'oddspedia-matches'!$A:$AD,AB$2,0)</f>
        <v>#N/A</v>
      </c>
      <c r="AC146" t="e">
        <f>VLOOKUP($Z146,'oddspedia-matches'!$A:$AD,AC$2,0)</f>
        <v>#N/A</v>
      </c>
      <c r="AD146" t="e">
        <f>VLOOKUP($Z146,'oddspedia-matches'!$A:$AD,AD$2,0)</f>
        <v>#N/A</v>
      </c>
      <c r="AE146" t="e">
        <f>VLOOKUP($Z146,'oddspedia-matches'!$A:$AD,AE$2,0)</f>
        <v>#N/A</v>
      </c>
      <c r="AF146" t="e">
        <f>VLOOKUP($Z146,'oddspedia-matches'!$A:$AD,AF$2,0)</f>
        <v>#N/A</v>
      </c>
      <c r="AG146" t="e">
        <f>VLOOKUP($Z146,'oddspedia-matches'!$A:$AD,AG$2,0)</f>
        <v>#N/A</v>
      </c>
      <c r="AH146" t="e">
        <f>VLOOKUP($Z146,'oddspedia-matches'!$A:$AD,AH$2,0)</f>
        <v>#N/A</v>
      </c>
      <c r="AI146" t="e">
        <f>VLOOKUP($Z146,'oddspedia-matches'!$A:$AD,AI$2,0)</f>
        <v>#N/A</v>
      </c>
      <c r="AJ146" t="e">
        <f>VLOOKUP($Z146,'oddspedia-matches'!$A:$AD,AJ$2,0)</f>
        <v>#N/A</v>
      </c>
      <c r="AK146" t="e">
        <f>VLOOKUP($Z146,'oddspedia-matches'!$A:$AD,AK$2,0)</f>
        <v>#N/A</v>
      </c>
      <c r="AL146" t="e">
        <f>VLOOKUP($Z146,'oddspedia-matches'!$A:$AD,AL$2,0)</f>
        <v>#N/A</v>
      </c>
      <c r="AM146" t="e">
        <f>VLOOKUP($Z146,'oddspedia-matches'!$A:$AD,AM$2,0)</f>
        <v>#N/A</v>
      </c>
      <c r="AN146" t="e">
        <f>VLOOKUP($Z146,'oddspedia-matches'!$A:$AD,AN$2,0)</f>
        <v>#N/A</v>
      </c>
      <c r="AO146" t="e">
        <f>VLOOKUP($Z146,'oddspedia-matches'!$A:$AD,AO$2,0)</f>
        <v>#N/A</v>
      </c>
      <c r="AP146" t="e">
        <f>VLOOKUP($Z146,'oddspedia-matches'!$A:$AD,AP$2,0)</f>
        <v>#N/A</v>
      </c>
      <c r="AQ146" t="e">
        <f>VLOOKUP($Z146,'oddspedia-matches'!$A:$AD,AQ$2,0)</f>
        <v>#N/A</v>
      </c>
    </row>
    <row r="147" spans="2:43" x14ac:dyDescent="0.2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>
        <f>VLOOKUP(E147,'Transform table'!A:B,2,0)</f>
        <v>0</v>
      </c>
      <c r="Y147" t="str">
        <f>VLOOKUP(F147,'Transform table'!A:B,2,0)</f>
        <v>Balcatta</v>
      </c>
      <c r="Z147" t="str">
        <f t="shared" si="2"/>
        <v>25/07/20260Balcatta</v>
      </c>
      <c r="AA147" t="e">
        <f>VLOOKUP($Z147,'oddspedia-matches'!$A:$AD,AA$2,0)</f>
        <v>#N/A</v>
      </c>
      <c r="AB147" t="e">
        <f>VLOOKUP($Z147,'oddspedia-matches'!$A:$AD,AB$2,0)</f>
        <v>#N/A</v>
      </c>
      <c r="AC147" t="e">
        <f>VLOOKUP($Z147,'oddspedia-matches'!$A:$AD,AC$2,0)</f>
        <v>#N/A</v>
      </c>
      <c r="AD147" t="e">
        <f>VLOOKUP($Z147,'oddspedia-matches'!$A:$AD,AD$2,0)</f>
        <v>#N/A</v>
      </c>
      <c r="AE147" t="e">
        <f>VLOOKUP($Z147,'oddspedia-matches'!$A:$AD,AE$2,0)</f>
        <v>#N/A</v>
      </c>
      <c r="AF147" t="e">
        <f>VLOOKUP($Z147,'oddspedia-matches'!$A:$AD,AF$2,0)</f>
        <v>#N/A</v>
      </c>
      <c r="AG147" t="e">
        <f>VLOOKUP($Z147,'oddspedia-matches'!$A:$AD,AG$2,0)</f>
        <v>#N/A</v>
      </c>
      <c r="AH147" t="e">
        <f>VLOOKUP($Z147,'oddspedia-matches'!$A:$AD,AH$2,0)</f>
        <v>#N/A</v>
      </c>
      <c r="AI147" t="e">
        <f>VLOOKUP($Z147,'oddspedia-matches'!$A:$AD,AI$2,0)</f>
        <v>#N/A</v>
      </c>
      <c r="AJ147" t="e">
        <f>VLOOKUP($Z147,'oddspedia-matches'!$A:$AD,AJ$2,0)</f>
        <v>#N/A</v>
      </c>
      <c r="AK147" t="e">
        <f>VLOOKUP($Z147,'oddspedia-matches'!$A:$AD,AK$2,0)</f>
        <v>#N/A</v>
      </c>
      <c r="AL147" t="e">
        <f>VLOOKUP($Z147,'oddspedia-matches'!$A:$AD,AL$2,0)</f>
        <v>#N/A</v>
      </c>
      <c r="AM147" t="e">
        <f>VLOOKUP($Z147,'oddspedia-matches'!$A:$AD,AM$2,0)</f>
        <v>#N/A</v>
      </c>
      <c r="AN147" t="e">
        <f>VLOOKUP($Z147,'oddspedia-matches'!$A:$AD,AN$2,0)</f>
        <v>#N/A</v>
      </c>
      <c r="AO147" t="e">
        <f>VLOOKUP($Z147,'oddspedia-matches'!$A:$AD,AO$2,0)</f>
        <v>#N/A</v>
      </c>
      <c r="AP147" t="e">
        <f>VLOOKUP($Z147,'oddspedia-matches'!$A:$AD,AP$2,0)</f>
        <v>#N/A</v>
      </c>
      <c r="AQ147" t="e">
        <f>VLOOKUP($Z147,'oddspedia-matches'!$A:$AD,AQ$2,0)</f>
        <v>#N/A</v>
      </c>
    </row>
    <row r="148" spans="2:43" x14ac:dyDescent="0.2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>
        <f>VLOOKUP(E148,'Transform table'!A:B,2,0)</f>
        <v>0</v>
      </c>
      <c r="Y148" t="str">
        <f>VLOOKUP(F148,'Transform table'!A:B,2,0)</f>
        <v>Bayswater City</v>
      </c>
      <c r="Z148" t="str">
        <f t="shared" si="2"/>
        <v>25/07/20260Bayswater City</v>
      </c>
      <c r="AA148" t="e">
        <f>VLOOKUP($Z148,'oddspedia-matches'!$A:$AD,AA$2,0)</f>
        <v>#N/A</v>
      </c>
      <c r="AB148" t="e">
        <f>VLOOKUP($Z148,'oddspedia-matches'!$A:$AD,AB$2,0)</f>
        <v>#N/A</v>
      </c>
      <c r="AC148" t="e">
        <f>VLOOKUP($Z148,'oddspedia-matches'!$A:$AD,AC$2,0)</f>
        <v>#N/A</v>
      </c>
      <c r="AD148" t="e">
        <f>VLOOKUP($Z148,'oddspedia-matches'!$A:$AD,AD$2,0)</f>
        <v>#N/A</v>
      </c>
      <c r="AE148" t="e">
        <f>VLOOKUP($Z148,'oddspedia-matches'!$A:$AD,AE$2,0)</f>
        <v>#N/A</v>
      </c>
      <c r="AF148" t="e">
        <f>VLOOKUP($Z148,'oddspedia-matches'!$A:$AD,AF$2,0)</f>
        <v>#N/A</v>
      </c>
      <c r="AG148" t="e">
        <f>VLOOKUP($Z148,'oddspedia-matches'!$A:$AD,AG$2,0)</f>
        <v>#N/A</v>
      </c>
      <c r="AH148" t="e">
        <f>VLOOKUP($Z148,'oddspedia-matches'!$A:$AD,AH$2,0)</f>
        <v>#N/A</v>
      </c>
      <c r="AI148" t="e">
        <f>VLOOKUP($Z148,'oddspedia-matches'!$A:$AD,AI$2,0)</f>
        <v>#N/A</v>
      </c>
      <c r="AJ148" t="e">
        <f>VLOOKUP($Z148,'oddspedia-matches'!$A:$AD,AJ$2,0)</f>
        <v>#N/A</v>
      </c>
      <c r="AK148" t="e">
        <f>VLOOKUP($Z148,'oddspedia-matches'!$A:$AD,AK$2,0)</f>
        <v>#N/A</v>
      </c>
      <c r="AL148" t="e">
        <f>VLOOKUP($Z148,'oddspedia-matches'!$A:$AD,AL$2,0)</f>
        <v>#N/A</v>
      </c>
      <c r="AM148" t="e">
        <f>VLOOKUP($Z148,'oddspedia-matches'!$A:$AD,AM$2,0)</f>
        <v>#N/A</v>
      </c>
      <c r="AN148" t="e">
        <f>VLOOKUP($Z148,'oddspedia-matches'!$A:$AD,AN$2,0)</f>
        <v>#N/A</v>
      </c>
      <c r="AO148" t="e">
        <f>VLOOKUP($Z148,'oddspedia-matches'!$A:$AD,AO$2,0)</f>
        <v>#N/A</v>
      </c>
      <c r="AP148" t="e">
        <f>VLOOKUP($Z148,'oddspedia-matches'!$A:$AD,AP$2,0)</f>
        <v>#N/A</v>
      </c>
      <c r="AQ148" t="e">
        <f>VLOOKUP($Z148,'oddspedia-matches'!$A:$AD,AQ$2,0)</f>
        <v>#N/A</v>
      </c>
    </row>
    <row r="149" spans="2:43" x14ac:dyDescent="0.2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>
        <f>VLOOKUP(E149,'Transform table'!A:B,2,0)</f>
        <v>0</v>
      </c>
      <c r="Y149" t="str">
        <f>VLOOKUP(F149,'Transform table'!A:B,2,0)</f>
        <v>Armadale</v>
      </c>
      <c r="Z149" t="str">
        <f t="shared" si="2"/>
        <v>25/07/20260Armadale</v>
      </c>
      <c r="AA149" t="e">
        <f>VLOOKUP($Z149,'oddspedia-matches'!$A:$AD,AA$2,0)</f>
        <v>#N/A</v>
      </c>
      <c r="AB149" t="e">
        <f>VLOOKUP($Z149,'oddspedia-matches'!$A:$AD,AB$2,0)</f>
        <v>#N/A</v>
      </c>
      <c r="AC149" t="e">
        <f>VLOOKUP($Z149,'oddspedia-matches'!$A:$AD,AC$2,0)</f>
        <v>#N/A</v>
      </c>
      <c r="AD149" t="e">
        <f>VLOOKUP($Z149,'oddspedia-matches'!$A:$AD,AD$2,0)</f>
        <v>#N/A</v>
      </c>
      <c r="AE149" t="e">
        <f>VLOOKUP($Z149,'oddspedia-matches'!$A:$AD,AE$2,0)</f>
        <v>#N/A</v>
      </c>
      <c r="AF149" t="e">
        <f>VLOOKUP($Z149,'oddspedia-matches'!$A:$AD,AF$2,0)</f>
        <v>#N/A</v>
      </c>
      <c r="AG149" t="e">
        <f>VLOOKUP($Z149,'oddspedia-matches'!$A:$AD,AG$2,0)</f>
        <v>#N/A</v>
      </c>
      <c r="AH149" t="e">
        <f>VLOOKUP($Z149,'oddspedia-matches'!$A:$AD,AH$2,0)</f>
        <v>#N/A</v>
      </c>
      <c r="AI149" t="e">
        <f>VLOOKUP($Z149,'oddspedia-matches'!$A:$AD,AI$2,0)</f>
        <v>#N/A</v>
      </c>
      <c r="AJ149" t="e">
        <f>VLOOKUP($Z149,'oddspedia-matches'!$A:$AD,AJ$2,0)</f>
        <v>#N/A</v>
      </c>
      <c r="AK149" t="e">
        <f>VLOOKUP($Z149,'oddspedia-matches'!$A:$AD,AK$2,0)</f>
        <v>#N/A</v>
      </c>
      <c r="AL149" t="e">
        <f>VLOOKUP($Z149,'oddspedia-matches'!$A:$AD,AL$2,0)</f>
        <v>#N/A</v>
      </c>
      <c r="AM149" t="e">
        <f>VLOOKUP($Z149,'oddspedia-matches'!$A:$AD,AM$2,0)</f>
        <v>#N/A</v>
      </c>
      <c r="AN149" t="e">
        <f>VLOOKUP($Z149,'oddspedia-matches'!$A:$AD,AN$2,0)</f>
        <v>#N/A</v>
      </c>
      <c r="AO149" t="e">
        <f>VLOOKUP($Z149,'oddspedia-matches'!$A:$AD,AO$2,0)</f>
        <v>#N/A</v>
      </c>
      <c r="AP149" t="e">
        <f>VLOOKUP($Z149,'oddspedia-matches'!$A:$AD,AP$2,0)</f>
        <v>#N/A</v>
      </c>
      <c r="AQ149" t="e">
        <f>VLOOKUP($Z149,'oddspedia-matches'!$A:$AD,AQ$2,0)</f>
        <v>#N/A</v>
      </c>
    </row>
    <row r="150" spans="2:43" x14ac:dyDescent="0.2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tr">
        <f>VLOOKUP(E150,'Transform table'!A:B,2,0)</f>
        <v>Western Sydney Wanderers</v>
      </c>
      <c r="Y150" t="str">
        <f>VLOOKUP(F150,'Transform table'!A:B,2,0)</f>
        <v>Olympic Kingsway SC</v>
      </c>
      <c r="Z150" t="str">
        <f t="shared" si="2"/>
        <v>25/07/2026Western Sydney WanderersOlympic Kingsway SC</v>
      </c>
      <c r="AA150" t="e">
        <f>VLOOKUP($Z150,'oddspedia-matches'!$A:$AD,AA$2,0)</f>
        <v>#N/A</v>
      </c>
      <c r="AB150" t="e">
        <f>VLOOKUP($Z150,'oddspedia-matches'!$A:$AD,AB$2,0)</f>
        <v>#N/A</v>
      </c>
      <c r="AC150" t="e">
        <f>VLOOKUP($Z150,'oddspedia-matches'!$A:$AD,AC$2,0)</f>
        <v>#N/A</v>
      </c>
      <c r="AD150" t="e">
        <f>VLOOKUP($Z150,'oddspedia-matches'!$A:$AD,AD$2,0)</f>
        <v>#N/A</v>
      </c>
      <c r="AE150" t="e">
        <f>VLOOKUP($Z150,'oddspedia-matches'!$A:$AD,AE$2,0)</f>
        <v>#N/A</v>
      </c>
      <c r="AF150" t="e">
        <f>VLOOKUP($Z150,'oddspedia-matches'!$A:$AD,AF$2,0)</f>
        <v>#N/A</v>
      </c>
      <c r="AG150" t="e">
        <f>VLOOKUP($Z150,'oddspedia-matches'!$A:$AD,AG$2,0)</f>
        <v>#N/A</v>
      </c>
      <c r="AH150" t="e">
        <f>VLOOKUP($Z150,'oddspedia-matches'!$A:$AD,AH$2,0)</f>
        <v>#N/A</v>
      </c>
      <c r="AI150" t="e">
        <f>VLOOKUP($Z150,'oddspedia-matches'!$A:$AD,AI$2,0)</f>
        <v>#N/A</v>
      </c>
      <c r="AJ150" t="e">
        <f>VLOOKUP($Z150,'oddspedia-matches'!$A:$AD,AJ$2,0)</f>
        <v>#N/A</v>
      </c>
      <c r="AK150" t="e">
        <f>VLOOKUP($Z150,'oddspedia-matches'!$A:$AD,AK$2,0)</f>
        <v>#N/A</v>
      </c>
      <c r="AL150" t="e">
        <f>VLOOKUP($Z150,'oddspedia-matches'!$A:$AD,AL$2,0)</f>
        <v>#N/A</v>
      </c>
      <c r="AM150" t="e">
        <f>VLOOKUP($Z150,'oddspedia-matches'!$A:$AD,AM$2,0)</f>
        <v>#N/A</v>
      </c>
      <c r="AN150" t="e">
        <f>VLOOKUP($Z150,'oddspedia-matches'!$A:$AD,AN$2,0)</f>
        <v>#N/A</v>
      </c>
      <c r="AO150" t="e">
        <f>VLOOKUP($Z150,'oddspedia-matches'!$A:$AD,AO$2,0)</f>
        <v>#N/A</v>
      </c>
      <c r="AP150" t="e">
        <f>VLOOKUP($Z150,'oddspedia-matches'!$A:$AD,AP$2,0)</f>
        <v>#N/A</v>
      </c>
      <c r="AQ150" t="e">
        <f>VLOOKUP($Z150,'oddspedia-matches'!$A:$AD,AQ$2,0)</f>
        <v>#N/A</v>
      </c>
    </row>
    <row r="151" spans="2:43" x14ac:dyDescent="0.2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>
        <f>VLOOKUP(E151,'Transform table'!A:B,2,0)</f>
        <v>0</v>
      </c>
      <c r="Y151" t="str">
        <f>VLOOKUP(F151,'Transform table'!A:B,2,0)</f>
        <v>Western Sydney Wanderers U21</v>
      </c>
      <c r="Z151" t="str">
        <f t="shared" si="2"/>
        <v>25/07/20260Western Sydney Wanderers U21</v>
      </c>
      <c r="AA151" t="e">
        <f>VLOOKUP($Z151,'oddspedia-matches'!$A:$AD,AA$2,0)</f>
        <v>#N/A</v>
      </c>
      <c r="AB151" t="e">
        <f>VLOOKUP($Z151,'oddspedia-matches'!$A:$AD,AB$2,0)</f>
        <v>#N/A</v>
      </c>
      <c r="AC151" t="e">
        <f>VLOOKUP($Z151,'oddspedia-matches'!$A:$AD,AC$2,0)</f>
        <v>#N/A</v>
      </c>
      <c r="AD151" t="e">
        <f>VLOOKUP($Z151,'oddspedia-matches'!$A:$AD,AD$2,0)</f>
        <v>#N/A</v>
      </c>
      <c r="AE151" t="e">
        <f>VLOOKUP($Z151,'oddspedia-matches'!$A:$AD,AE$2,0)</f>
        <v>#N/A</v>
      </c>
      <c r="AF151" t="e">
        <f>VLOOKUP($Z151,'oddspedia-matches'!$A:$AD,AF$2,0)</f>
        <v>#N/A</v>
      </c>
      <c r="AG151" t="e">
        <f>VLOOKUP($Z151,'oddspedia-matches'!$A:$AD,AG$2,0)</f>
        <v>#N/A</v>
      </c>
      <c r="AH151" t="e">
        <f>VLOOKUP($Z151,'oddspedia-matches'!$A:$AD,AH$2,0)</f>
        <v>#N/A</v>
      </c>
      <c r="AI151" t="e">
        <f>VLOOKUP($Z151,'oddspedia-matches'!$A:$AD,AI$2,0)</f>
        <v>#N/A</v>
      </c>
      <c r="AJ151" t="e">
        <f>VLOOKUP($Z151,'oddspedia-matches'!$A:$AD,AJ$2,0)</f>
        <v>#N/A</v>
      </c>
      <c r="AK151" t="e">
        <f>VLOOKUP($Z151,'oddspedia-matches'!$A:$AD,AK$2,0)</f>
        <v>#N/A</v>
      </c>
      <c r="AL151" t="e">
        <f>VLOOKUP($Z151,'oddspedia-matches'!$A:$AD,AL$2,0)</f>
        <v>#N/A</v>
      </c>
      <c r="AM151" t="e">
        <f>VLOOKUP($Z151,'oddspedia-matches'!$A:$AD,AM$2,0)</f>
        <v>#N/A</v>
      </c>
      <c r="AN151" t="e">
        <f>VLOOKUP($Z151,'oddspedia-matches'!$A:$AD,AN$2,0)</f>
        <v>#N/A</v>
      </c>
      <c r="AO151" t="e">
        <f>VLOOKUP($Z151,'oddspedia-matches'!$A:$AD,AO$2,0)</f>
        <v>#N/A</v>
      </c>
      <c r="AP151" t="e">
        <f>VLOOKUP($Z151,'oddspedia-matches'!$A:$AD,AP$2,0)</f>
        <v>#N/A</v>
      </c>
      <c r="AQ151" t="e">
        <f>VLOOKUP($Z151,'oddspedia-matches'!$A:$AD,AQ$2,0)</f>
        <v>#N/A</v>
      </c>
    </row>
    <row r="152" spans="2:43" x14ac:dyDescent="0.2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>
        <f>VLOOKUP(E152,'Transform table'!A:B,2,0)</f>
        <v>0</v>
      </c>
      <c r="Y152" t="str">
        <f>VLOOKUP(F152,'Transform table'!A:B,2,0)</f>
        <v>Tuggeranong United</v>
      </c>
      <c r="Z152" t="str">
        <f t="shared" si="2"/>
        <v>25/07/20260Tuggeranong United</v>
      </c>
      <c r="AA152" t="e">
        <f>VLOOKUP($Z152,'oddspedia-matches'!$A:$AD,AA$2,0)</f>
        <v>#N/A</v>
      </c>
      <c r="AB152" t="e">
        <f>VLOOKUP($Z152,'oddspedia-matches'!$A:$AD,AB$2,0)</f>
        <v>#N/A</v>
      </c>
      <c r="AC152" t="e">
        <f>VLOOKUP($Z152,'oddspedia-matches'!$A:$AD,AC$2,0)</f>
        <v>#N/A</v>
      </c>
      <c r="AD152" t="e">
        <f>VLOOKUP($Z152,'oddspedia-matches'!$A:$AD,AD$2,0)</f>
        <v>#N/A</v>
      </c>
      <c r="AE152" t="e">
        <f>VLOOKUP($Z152,'oddspedia-matches'!$A:$AD,AE$2,0)</f>
        <v>#N/A</v>
      </c>
      <c r="AF152" t="e">
        <f>VLOOKUP($Z152,'oddspedia-matches'!$A:$AD,AF$2,0)</f>
        <v>#N/A</v>
      </c>
      <c r="AG152" t="e">
        <f>VLOOKUP($Z152,'oddspedia-matches'!$A:$AD,AG$2,0)</f>
        <v>#N/A</v>
      </c>
      <c r="AH152" t="e">
        <f>VLOOKUP($Z152,'oddspedia-matches'!$A:$AD,AH$2,0)</f>
        <v>#N/A</v>
      </c>
      <c r="AI152" t="e">
        <f>VLOOKUP($Z152,'oddspedia-matches'!$A:$AD,AI$2,0)</f>
        <v>#N/A</v>
      </c>
      <c r="AJ152" t="e">
        <f>VLOOKUP($Z152,'oddspedia-matches'!$A:$AD,AJ$2,0)</f>
        <v>#N/A</v>
      </c>
      <c r="AK152" t="e">
        <f>VLOOKUP($Z152,'oddspedia-matches'!$A:$AD,AK$2,0)</f>
        <v>#N/A</v>
      </c>
      <c r="AL152" t="e">
        <f>VLOOKUP($Z152,'oddspedia-matches'!$A:$AD,AL$2,0)</f>
        <v>#N/A</v>
      </c>
      <c r="AM152" t="e">
        <f>VLOOKUP($Z152,'oddspedia-matches'!$A:$AD,AM$2,0)</f>
        <v>#N/A</v>
      </c>
      <c r="AN152" t="e">
        <f>VLOOKUP($Z152,'oddspedia-matches'!$A:$AD,AN$2,0)</f>
        <v>#N/A</v>
      </c>
      <c r="AO152" t="e">
        <f>VLOOKUP($Z152,'oddspedia-matches'!$A:$AD,AO$2,0)</f>
        <v>#N/A</v>
      </c>
      <c r="AP152" t="e">
        <f>VLOOKUP($Z152,'oddspedia-matches'!$A:$AD,AP$2,0)</f>
        <v>#N/A</v>
      </c>
      <c r="AQ152" t="e">
        <f>VLOOKUP($Z152,'oddspedia-matches'!$A:$AD,AQ$2,0)</f>
        <v>#N/A</v>
      </c>
    </row>
    <row r="153" spans="2:43" x14ac:dyDescent="0.2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>
        <f>VLOOKUP(E153,'Transform table'!A:B,2,0)</f>
        <v>0</v>
      </c>
      <c r="Y153" t="str">
        <f>VLOOKUP(F153,'Transform table'!A:B,2,0)</f>
        <v>UNSW</v>
      </c>
      <c r="Z153" t="str">
        <f t="shared" si="2"/>
        <v>25/07/20260UNSW</v>
      </c>
      <c r="AA153" t="e">
        <f>VLOOKUP($Z153,'oddspedia-matches'!$A:$AD,AA$2,0)</f>
        <v>#N/A</v>
      </c>
      <c r="AB153" t="e">
        <f>VLOOKUP($Z153,'oddspedia-matches'!$A:$AD,AB$2,0)</f>
        <v>#N/A</v>
      </c>
      <c r="AC153" t="e">
        <f>VLOOKUP($Z153,'oddspedia-matches'!$A:$AD,AC$2,0)</f>
        <v>#N/A</v>
      </c>
      <c r="AD153" t="e">
        <f>VLOOKUP($Z153,'oddspedia-matches'!$A:$AD,AD$2,0)</f>
        <v>#N/A</v>
      </c>
      <c r="AE153" t="e">
        <f>VLOOKUP($Z153,'oddspedia-matches'!$A:$AD,AE$2,0)</f>
        <v>#N/A</v>
      </c>
      <c r="AF153" t="e">
        <f>VLOOKUP($Z153,'oddspedia-matches'!$A:$AD,AF$2,0)</f>
        <v>#N/A</v>
      </c>
      <c r="AG153" t="e">
        <f>VLOOKUP($Z153,'oddspedia-matches'!$A:$AD,AG$2,0)</f>
        <v>#N/A</v>
      </c>
      <c r="AH153" t="e">
        <f>VLOOKUP($Z153,'oddspedia-matches'!$A:$AD,AH$2,0)</f>
        <v>#N/A</v>
      </c>
      <c r="AI153" t="e">
        <f>VLOOKUP($Z153,'oddspedia-matches'!$A:$AD,AI$2,0)</f>
        <v>#N/A</v>
      </c>
      <c r="AJ153" t="e">
        <f>VLOOKUP($Z153,'oddspedia-matches'!$A:$AD,AJ$2,0)</f>
        <v>#N/A</v>
      </c>
      <c r="AK153" t="e">
        <f>VLOOKUP($Z153,'oddspedia-matches'!$A:$AD,AK$2,0)</f>
        <v>#N/A</v>
      </c>
      <c r="AL153" t="e">
        <f>VLOOKUP($Z153,'oddspedia-matches'!$A:$AD,AL$2,0)</f>
        <v>#N/A</v>
      </c>
      <c r="AM153" t="e">
        <f>VLOOKUP($Z153,'oddspedia-matches'!$A:$AD,AM$2,0)</f>
        <v>#N/A</v>
      </c>
      <c r="AN153" t="e">
        <f>VLOOKUP($Z153,'oddspedia-matches'!$A:$AD,AN$2,0)</f>
        <v>#N/A</v>
      </c>
      <c r="AO153" t="e">
        <f>VLOOKUP($Z153,'oddspedia-matches'!$A:$AD,AO$2,0)</f>
        <v>#N/A</v>
      </c>
      <c r="AP153" t="e">
        <f>VLOOKUP($Z153,'oddspedia-matches'!$A:$AD,AP$2,0)</f>
        <v>#N/A</v>
      </c>
      <c r="AQ153" t="e">
        <f>VLOOKUP($Z153,'oddspedia-matches'!$A:$AD,AQ$2,0)</f>
        <v>#N/A</v>
      </c>
    </row>
    <row r="154" spans="2:43" x14ac:dyDescent="0.2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>
        <f>VLOOKUP(E154,'Transform table'!A:B,2,0)</f>
        <v>0</v>
      </c>
      <c r="Y154" t="str">
        <f>VLOOKUP(F154,'Transform table'!A:B,2,0)</f>
        <v>Gold Coast United</v>
      </c>
      <c r="Z154" t="str">
        <f t="shared" si="2"/>
        <v>25/07/20260Gold Coast United</v>
      </c>
      <c r="AA154" t="e">
        <f>VLOOKUP($Z154,'oddspedia-matches'!$A:$AD,AA$2,0)</f>
        <v>#N/A</v>
      </c>
      <c r="AB154" t="e">
        <f>VLOOKUP($Z154,'oddspedia-matches'!$A:$AD,AB$2,0)</f>
        <v>#N/A</v>
      </c>
      <c r="AC154" t="e">
        <f>VLOOKUP($Z154,'oddspedia-matches'!$A:$AD,AC$2,0)</f>
        <v>#N/A</v>
      </c>
      <c r="AD154" t="e">
        <f>VLOOKUP($Z154,'oddspedia-matches'!$A:$AD,AD$2,0)</f>
        <v>#N/A</v>
      </c>
      <c r="AE154" t="e">
        <f>VLOOKUP($Z154,'oddspedia-matches'!$A:$AD,AE$2,0)</f>
        <v>#N/A</v>
      </c>
      <c r="AF154" t="e">
        <f>VLOOKUP($Z154,'oddspedia-matches'!$A:$AD,AF$2,0)</f>
        <v>#N/A</v>
      </c>
      <c r="AG154" t="e">
        <f>VLOOKUP($Z154,'oddspedia-matches'!$A:$AD,AG$2,0)</f>
        <v>#N/A</v>
      </c>
      <c r="AH154" t="e">
        <f>VLOOKUP($Z154,'oddspedia-matches'!$A:$AD,AH$2,0)</f>
        <v>#N/A</v>
      </c>
      <c r="AI154" t="e">
        <f>VLOOKUP($Z154,'oddspedia-matches'!$A:$AD,AI$2,0)</f>
        <v>#N/A</v>
      </c>
      <c r="AJ154" t="e">
        <f>VLOOKUP($Z154,'oddspedia-matches'!$A:$AD,AJ$2,0)</f>
        <v>#N/A</v>
      </c>
      <c r="AK154" t="e">
        <f>VLOOKUP($Z154,'oddspedia-matches'!$A:$AD,AK$2,0)</f>
        <v>#N/A</v>
      </c>
      <c r="AL154" t="e">
        <f>VLOOKUP($Z154,'oddspedia-matches'!$A:$AD,AL$2,0)</f>
        <v>#N/A</v>
      </c>
      <c r="AM154" t="e">
        <f>VLOOKUP($Z154,'oddspedia-matches'!$A:$AD,AM$2,0)</f>
        <v>#N/A</v>
      </c>
      <c r="AN154" t="e">
        <f>VLOOKUP($Z154,'oddspedia-matches'!$A:$AD,AN$2,0)</f>
        <v>#N/A</v>
      </c>
      <c r="AO154" t="e">
        <f>VLOOKUP($Z154,'oddspedia-matches'!$A:$AD,AO$2,0)</f>
        <v>#N/A</v>
      </c>
      <c r="AP154" t="e">
        <f>VLOOKUP($Z154,'oddspedia-matches'!$A:$AD,AP$2,0)</f>
        <v>#N/A</v>
      </c>
      <c r="AQ154" t="e">
        <f>VLOOKUP($Z154,'oddspedia-matches'!$A:$AD,AQ$2,0)</f>
        <v>#N/A</v>
      </c>
    </row>
    <row r="155" spans="2:43" x14ac:dyDescent="0.2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>
        <f>VLOOKUP(E155,'Transform table'!A:B,2,0)</f>
        <v>0</v>
      </c>
      <c r="Y155" t="str">
        <f>VLOOKUP(F155,'Transform table'!A:B,2,0)</f>
        <v>Sydney U21</v>
      </c>
      <c r="Z155" t="str">
        <f t="shared" si="2"/>
        <v>25/07/20260Sydney U21</v>
      </c>
      <c r="AA155" t="e">
        <f>VLOOKUP($Z155,'oddspedia-matches'!$A:$AD,AA$2,0)</f>
        <v>#N/A</v>
      </c>
      <c r="AB155" t="e">
        <f>VLOOKUP($Z155,'oddspedia-matches'!$A:$AD,AB$2,0)</f>
        <v>#N/A</v>
      </c>
      <c r="AC155" t="e">
        <f>VLOOKUP($Z155,'oddspedia-matches'!$A:$AD,AC$2,0)</f>
        <v>#N/A</v>
      </c>
      <c r="AD155" t="e">
        <f>VLOOKUP($Z155,'oddspedia-matches'!$A:$AD,AD$2,0)</f>
        <v>#N/A</v>
      </c>
      <c r="AE155" t="e">
        <f>VLOOKUP($Z155,'oddspedia-matches'!$A:$AD,AE$2,0)</f>
        <v>#N/A</v>
      </c>
      <c r="AF155" t="e">
        <f>VLOOKUP($Z155,'oddspedia-matches'!$A:$AD,AF$2,0)</f>
        <v>#N/A</v>
      </c>
      <c r="AG155" t="e">
        <f>VLOOKUP($Z155,'oddspedia-matches'!$A:$AD,AG$2,0)</f>
        <v>#N/A</v>
      </c>
      <c r="AH155" t="e">
        <f>VLOOKUP($Z155,'oddspedia-matches'!$A:$AD,AH$2,0)</f>
        <v>#N/A</v>
      </c>
      <c r="AI155" t="e">
        <f>VLOOKUP($Z155,'oddspedia-matches'!$A:$AD,AI$2,0)</f>
        <v>#N/A</v>
      </c>
      <c r="AJ155" t="e">
        <f>VLOOKUP($Z155,'oddspedia-matches'!$A:$AD,AJ$2,0)</f>
        <v>#N/A</v>
      </c>
      <c r="AK155" t="e">
        <f>VLOOKUP($Z155,'oddspedia-matches'!$A:$AD,AK$2,0)</f>
        <v>#N/A</v>
      </c>
      <c r="AL155" t="e">
        <f>VLOOKUP($Z155,'oddspedia-matches'!$A:$AD,AL$2,0)</f>
        <v>#N/A</v>
      </c>
      <c r="AM155" t="e">
        <f>VLOOKUP($Z155,'oddspedia-matches'!$A:$AD,AM$2,0)</f>
        <v>#N/A</v>
      </c>
      <c r="AN155" t="e">
        <f>VLOOKUP($Z155,'oddspedia-matches'!$A:$AD,AN$2,0)</f>
        <v>#N/A</v>
      </c>
      <c r="AO155" t="e">
        <f>VLOOKUP($Z155,'oddspedia-matches'!$A:$AD,AO$2,0)</f>
        <v>#N/A</v>
      </c>
      <c r="AP155" t="e">
        <f>VLOOKUP($Z155,'oddspedia-matches'!$A:$AD,AP$2,0)</f>
        <v>#N/A</v>
      </c>
      <c r="AQ155" t="e">
        <f>VLOOKUP($Z155,'oddspedia-matches'!$A:$AD,AQ$2,0)</f>
        <v>#N/A</v>
      </c>
    </row>
    <row r="156" spans="2:43" x14ac:dyDescent="0.2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>
        <f>VLOOKUP(E156,'Transform table'!A:B,2,0)</f>
        <v>0</v>
      </c>
      <c r="Y156" t="str">
        <f>VLOOKUP(F156,'Transform table'!A:B,2,0)</f>
        <v>Sydney United 58</v>
      </c>
      <c r="Z156" t="str">
        <f t="shared" si="2"/>
        <v>25/07/20260Sydney United 58</v>
      </c>
      <c r="AA156" t="e">
        <f>VLOOKUP($Z156,'oddspedia-matches'!$A:$AD,AA$2,0)</f>
        <v>#N/A</v>
      </c>
      <c r="AB156" t="e">
        <f>VLOOKUP($Z156,'oddspedia-matches'!$A:$AD,AB$2,0)</f>
        <v>#N/A</v>
      </c>
      <c r="AC156" t="e">
        <f>VLOOKUP($Z156,'oddspedia-matches'!$A:$AD,AC$2,0)</f>
        <v>#N/A</v>
      </c>
      <c r="AD156" t="e">
        <f>VLOOKUP($Z156,'oddspedia-matches'!$A:$AD,AD$2,0)</f>
        <v>#N/A</v>
      </c>
      <c r="AE156" t="e">
        <f>VLOOKUP($Z156,'oddspedia-matches'!$A:$AD,AE$2,0)</f>
        <v>#N/A</v>
      </c>
      <c r="AF156" t="e">
        <f>VLOOKUP($Z156,'oddspedia-matches'!$A:$AD,AF$2,0)</f>
        <v>#N/A</v>
      </c>
      <c r="AG156" t="e">
        <f>VLOOKUP($Z156,'oddspedia-matches'!$A:$AD,AG$2,0)</f>
        <v>#N/A</v>
      </c>
      <c r="AH156" t="e">
        <f>VLOOKUP($Z156,'oddspedia-matches'!$A:$AD,AH$2,0)</f>
        <v>#N/A</v>
      </c>
      <c r="AI156" t="e">
        <f>VLOOKUP($Z156,'oddspedia-matches'!$A:$AD,AI$2,0)</f>
        <v>#N/A</v>
      </c>
      <c r="AJ156" t="e">
        <f>VLOOKUP($Z156,'oddspedia-matches'!$A:$AD,AJ$2,0)</f>
        <v>#N/A</v>
      </c>
      <c r="AK156" t="e">
        <f>VLOOKUP($Z156,'oddspedia-matches'!$A:$AD,AK$2,0)</f>
        <v>#N/A</v>
      </c>
      <c r="AL156" t="e">
        <f>VLOOKUP($Z156,'oddspedia-matches'!$A:$AD,AL$2,0)</f>
        <v>#N/A</v>
      </c>
      <c r="AM156" t="e">
        <f>VLOOKUP($Z156,'oddspedia-matches'!$A:$AD,AM$2,0)</f>
        <v>#N/A</v>
      </c>
      <c r="AN156" t="e">
        <f>VLOOKUP($Z156,'oddspedia-matches'!$A:$AD,AN$2,0)</f>
        <v>#N/A</v>
      </c>
      <c r="AO156" t="e">
        <f>VLOOKUP($Z156,'oddspedia-matches'!$A:$AD,AO$2,0)</f>
        <v>#N/A</v>
      </c>
      <c r="AP156" t="e">
        <f>VLOOKUP($Z156,'oddspedia-matches'!$A:$AD,AP$2,0)</f>
        <v>#N/A</v>
      </c>
      <c r="AQ156" t="e">
        <f>VLOOKUP($Z156,'oddspedia-matches'!$A:$AD,AQ$2,0)</f>
        <v>#N/A</v>
      </c>
    </row>
    <row r="157" spans="2:43" x14ac:dyDescent="0.2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tr">
        <f>VLOOKUP(E157,'Transform table'!A:B,2,0)</f>
        <v>Qingdao Jonoon</v>
      </c>
      <c r="Y157" t="str">
        <f>VLOOKUP(F157,'Transform table'!A:B,2,0)</f>
        <v>Tianjin Teda</v>
      </c>
      <c r="Z157" t="str">
        <f t="shared" si="2"/>
        <v>25/07/2026Qingdao JonoonTianjin Teda</v>
      </c>
      <c r="AA157" t="str">
        <f>VLOOKUP($Z157,'oddspedia-matches'!$A:$AD,AA$2,0)</f>
        <v>0 - 2</v>
      </c>
      <c r="AB157" t="str">
        <f>VLOOKUP($Z157,'oddspedia-matches'!$A:$AD,AB$2,0)</f>
        <v>Red</v>
      </c>
      <c r="AC157" t="str">
        <f>VLOOKUP($Z157,'oddspedia-matches'!$A:$AD,AC$2,0)</f>
        <v>Red</v>
      </c>
      <c r="AD157" t="str">
        <f>VLOOKUP($Z157,'oddspedia-matches'!$A:$AD,AD$2,0)</f>
        <v>Green</v>
      </c>
      <c r="AE157" t="str">
        <f>VLOOKUP($Z157,'oddspedia-matches'!$A:$AD,AE$2,0)</f>
        <v>Red</v>
      </c>
      <c r="AF157" t="str">
        <f>VLOOKUP($Z157,'oddspedia-matches'!$A:$AD,AF$2,0)</f>
        <v>Green</v>
      </c>
      <c r="AG157" t="str">
        <f>VLOOKUP($Z157,'oddspedia-matches'!$A:$AD,AG$2,0)</f>
        <v>Green</v>
      </c>
      <c r="AH157" t="str">
        <f>VLOOKUP($Z157,'oddspedia-matches'!$A:$AD,AH$2,0)</f>
        <v>Red</v>
      </c>
      <c r="AI157" t="str">
        <f>VLOOKUP($Z157,'oddspedia-matches'!$A:$AD,AI$2,0)</f>
        <v>Red</v>
      </c>
      <c r="AJ157" t="str">
        <f>VLOOKUP($Z157,'oddspedia-matches'!$A:$AD,AJ$2,0)</f>
        <v>Green</v>
      </c>
      <c r="AK157" t="str">
        <f>VLOOKUP($Z157,'oddspedia-matches'!$A:$AD,AK$2,0)</f>
        <v>Green</v>
      </c>
      <c r="AL157" t="str">
        <f>VLOOKUP($Z157,'oddspedia-matches'!$A:$AD,AL$2,0)</f>
        <v>Green</v>
      </c>
      <c r="AM157" t="str">
        <f>VLOOKUP($Z157,'oddspedia-matches'!$A:$AD,AM$2,0)</f>
        <v>Red</v>
      </c>
      <c r="AN157" t="str">
        <f>VLOOKUP($Z157,'oddspedia-matches'!$A:$AD,AN$2,0)</f>
        <v>Green</v>
      </c>
      <c r="AO157" t="str">
        <f>VLOOKUP($Z157,'oddspedia-matches'!$A:$AD,AO$2,0)</f>
        <v>Green</v>
      </c>
      <c r="AP157" t="str">
        <f>VLOOKUP($Z157,'oddspedia-matches'!$A:$AD,AP$2,0)</f>
        <v>Red</v>
      </c>
      <c r="AQ157" t="str">
        <f>VLOOKUP($Z157,'oddspedia-matches'!$A:$AD,AQ$2,0)</f>
        <v>Green</v>
      </c>
    </row>
    <row r="158" spans="2:43" x14ac:dyDescent="0.2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tr">
        <f>VLOOKUP(E158,'Transform table'!A:B,2,0)</f>
        <v>Dalian Kewei</v>
      </c>
      <c r="Y158" t="str">
        <f>VLOOKUP(F158,'Transform table'!A:B,2,0)</f>
        <v>Dalian Yingbo Reserves</v>
      </c>
      <c r="Z158" t="str">
        <f t="shared" si="2"/>
        <v>25/07/2026Dalian KeweiDalian Yingbo Reserves</v>
      </c>
      <c r="AA158" t="str">
        <f>VLOOKUP($Z158,'oddspedia-matches'!$A:$AD,AA$2,0)</f>
        <v>2 - 0</v>
      </c>
      <c r="AB158" t="str">
        <f>VLOOKUP($Z158,'oddspedia-matches'!$A:$AD,AB$2,0)</f>
        <v>Green</v>
      </c>
      <c r="AC158" t="str">
        <f>VLOOKUP($Z158,'oddspedia-matches'!$A:$AD,AC$2,0)</f>
        <v>Red</v>
      </c>
      <c r="AD158" t="str">
        <f>VLOOKUP($Z158,'oddspedia-matches'!$A:$AD,AD$2,0)</f>
        <v>Red</v>
      </c>
      <c r="AE158" t="str">
        <f>VLOOKUP($Z158,'oddspedia-matches'!$A:$AD,AE$2,0)</f>
        <v>Green</v>
      </c>
      <c r="AF158" t="str">
        <f>VLOOKUP($Z158,'oddspedia-matches'!$A:$AD,AF$2,0)</f>
        <v>Red</v>
      </c>
      <c r="AG158" t="str">
        <f>VLOOKUP($Z158,'oddspedia-matches'!$A:$AD,AG$2,0)</f>
        <v>Green</v>
      </c>
      <c r="AH158" t="str">
        <f>VLOOKUP($Z158,'oddspedia-matches'!$A:$AD,AH$2,0)</f>
        <v>Green</v>
      </c>
      <c r="AI158" t="str">
        <f>VLOOKUP($Z158,'oddspedia-matches'!$A:$AD,AI$2,0)</f>
        <v>Red</v>
      </c>
      <c r="AJ158" t="str">
        <f>VLOOKUP($Z158,'oddspedia-matches'!$A:$AD,AJ$2,0)</f>
        <v>Red</v>
      </c>
      <c r="AK158" t="str">
        <f>VLOOKUP($Z158,'oddspedia-matches'!$A:$AD,AK$2,0)</f>
        <v>Green</v>
      </c>
      <c r="AL158" t="str">
        <f>VLOOKUP($Z158,'oddspedia-matches'!$A:$AD,AL$2,0)</f>
        <v>Green</v>
      </c>
      <c r="AM158" t="str">
        <f>VLOOKUP($Z158,'oddspedia-matches'!$A:$AD,AM$2,0)</f>
        <v>Red</v>
      </c>
      <c r="AN158" t="str">
        <f>VLOOKUP($Z158,'oddspedia-matches'!$A:$AD,AN$2,0)</f>
        <v>Green</v>
      </c>
      <c r="AO158" t="str">
        <f>VLOOKUP($Z158,'oddspedia-matches'!$A:$AD,AO$2,0)</f>
        <v>Green</v>
      </c>
      <c r="AP158" t="str">
        <f>VLOOKUP($Z158,'oddspedia-matches'!$A:$AD,AP$2,0)</f>
        <v>Red</v>
      </c>
      <c r="AQ158" t="str">
        <f>VLOOKUP($Z158,'oddspedia-matches'!$A:$AD,AQ$2,0)</f>
        <v>Green</v>
      </c>
    </row>
    <row r="159" spans="2:43" x14ac:dyDescent="0.2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tr">
        <f>VLOOKUP(E159,'Transform table'!A:B,2,0)</f>
        <v>Metz</v>
      </c>
      <c r="Y159" t="str">
        <f>VLOOKUP(F159,'Transform table'!A:B,2,0)</f>
        <v>West Adelaide</v>
      </c>
      <c r="Z159" t="str">
        <f t="shared" si="2"/>
        <v>25/07/2026MetzWest Adelaide</v>
      </c>
      <c r="AA159" t="e">
        <f>VLOOKUP($Z159,'oddspedia-matches'!$A:$AD,AA$2,0)</f>
        <v>#N/A</v>
      </c>
      <c r="AB159" t="e">
        <f>VLOOKUP($Z159,'oddspedia-matches'!$A:$AD,AB$2,0)</f>
        <v>#N/A</v>
      </c>
      <c r="AC159" t="e">
        <f>VLOOKUP($Z159,'oddspedia-matches'!$A:$AD,AC$2,0)</f>
        <v>#N/A</v>
      </c>
      <c r="AD159" t="e">
        <f>VLOOKUP($Z159,'oddspedia-matches'!$A:$AD,AD$2,0)</f>
        <v>#N/A</v>
      </c>
      <c r="AE159" t="e">
        <f>VLOOKUP($Z159,'oddspedia-matches'!$A:$AD,AE$2,0)</f>
        <v>#N/A</v>
      </c>
      <c r="AF159" t="e">
        <f>VLOOKUP($Z159,'oddspedia-matches'!$A:$AD,AF$2,0)</f>
        <v>#N/A</v>
      </c>
      <c r="AG159" t="e">
        <f>VLOOKUP($Z159,'oddspedia-matches'!$A:$AD,AG$2,0)</f>
        <v>#N/A</v>
      </c>
      <c r="AH159" t="e">
        <f>VLOOKUP($Z159,'oddspedia-matches'!$A:$AD,AH$2,0)</f>
        <v>#N/A</v>
      </c>
      <c r="AI159" t="e">
        <f>VLOOKUP($Z159,'oddspedia-matches'!$A:$AD,AI$2,0)</f>
        <v>#N/A</v>
      </c>
      <c r="AJ159" t="e">
        <f>VLOOKUP($Z159,'oddspedia-matches'!$A:$AD,AJ$2,0)</f>
        <v>#N/A</v>
      </c>
      <c r="AK159" t="e">
        <f>VLOOKUP($Z159,'oddspedia-matches'!$A:$AD,AK$2,0)</f>
        <v>#N/A</v>
      </c>
      <c r="AL159" t="e">
        <f>VLOOKUP($Z159,'oddspedia-matches'!$A:$AD,AL$2,0)</f>
        <v>#N/A</v>
      </c>
      <c r="AM159" t="e">
        <f>VLOOKUP($Z159,'oddspedia-matches'!$A:$AD,AM$2,0)</f>
        <v>#N/A</v>
      </c>
      <c r="AN159" t="e">
        <f>VLOOKUP($Z159,'oddspedia-matches'!$A:$AD,AN$2,0)</f>
        <v>#N/A</v>
      </c>
      <c r="AO159" t="e">
        <f>VLOOKUP($Z159,'oddspedia-matches'!$A:$AD,AO$2,0)</f>
        <v>#N/A</v>
      </c>
      <c r="AP159" t="e">
        <f>VLOOKUP($Z159,'oddspedia-matches'!$A:$AD,AP$2,0)</f>
        <v>#N/A</v>
      </c>
      <c r="AQ159" t="e">
        <f>VLOOKUP($Z159,'oddspedia-matches'!$A:$AD,AQ$2,0)</f>
        <v>#N/A</v>
      </c>
    </row>
    <row r="160" spans="2:43" x14ac:dyDescent="0.2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tr">
        <f>VLOOKUP(E160,'Transform table'!A:B,2,0)</f>
        <v>Sangju Sangmu</v>
      </c>
      <c r="Y160" t="str">
        <f>VLOOKUP(F160,'Transform table'!A:B,2,0)</f>
        <v>Daejeon Citizen</v>
      </c>
      <c r="Z160" t="str">
        <f t="shared" si="2"/>
        <v>25/07/2026Sangju SangmuDaejeon Citizen</v>
      </c>
      <c r="AA160" t="str">
        <f>VLOOKUP($Z160,'oddspedia-matches'!$A:$AD,AA$2,0)</f>
        <v>3 - 2</v>
      </c>
      <c r="AB160" t="str">
        <f>VLOOKUP($Z160,'oddspedia-matches'!$A:$AD,AB$2,0)</f>
        <v>Green</v>
      </c>
      <c r="AC160" t="str">
        <f>VLOOKUP($Z160,'oddspedia-matches'!$A:$AD,AC$2,0)</f>
        <v>Red</v>
      </c>
      <c r="AD160" t="str">
        <f>VLOOKUP($Z160,'oddspedia-matches'!$A:$AD,AD$2,0)</f>
        <v>Red</v>
      </c>
      <c r="AE160" t="str">
        <f>VLOOKUP($Z160,'oddspedia-matches'!$A:$AD,AE$2,0)</f>
        <v>Green</v>
      </c>
      <c r="AF160" t="str">
        <f>VLOOKUP($Z160,'oddspedia-matches'!$A:$AD,AF$2,0)</f>
        <v>Red</v>
      </c>
      <c r="AG160" t="str">
        <f>VLOOKUP($Z160,'oddspedia-matches'!$A:$AD,AG$2,0)</f>
        <v>Green</v>
      </c>
      <c r="AH160" t="str">
        <f>VLOOKUP($Z160,'oddspedia-matches'!$A:$AD,AH$2,0)</f>
        <v>Green</v>
      </c>
      <c r="AI160" t="str">
        <f>VLOOKUP($Z160,'oddspedia-matches'!$A:$AD,AI$2,0)</f>
        <v>Red</v>
      </c>
      <c r="AJ160" t="str">
        <f>VLOOKUP($Z160,'oddspedia-matches'!$A:$AD,AJ$2,0)</f>
        <v>Red</v>
      </c>
      <c r="AK160" t="str">
        <f>VLOOKUP($Z160,'oddspedia-matches'!$A:$AD,AK$2,0)</f>
        <v>Green</v>
      </c>
      <c r="AL160" t="str">
        <f>VLOOKUP($Z160,'oddspedia-matches'!$A:$AD,AL$2,0)</f>
        <v>Green</v>
      </c>
      <c r="AM160" t="str">
        <f>VLOOKUP($Z160,'oddspedia-matches'!$A:$AD,AM$2,0)</f>
        <v>Green</v>
      </c>
      <c r="AN160" t="str">
        <f>VLOOKUP($Z160,'oddspedia-matches'!$A:$AD,AN$2,0)</f>
        <v>Red</v>
      </c>
      <c r="AO160" t="str">
        <f>VLOOKUP($Z160,'oddspedia-matches'!$A:$AD,AO$2,0)</f>
        <v>Red</v>
      </c>
      <c r="AP160" t="str">
        <f>VLOOKUP($Z160,'oddspedia-matches'!$A:$AD,AP$2,0)</f>
        <v>Green</v>
      </c>
      <c r="AQ160" t="str">
        <f>VLOOKUP($Z160,'oddspedia-matches'!$A:$AD,AQ$2,0)</f>
        <v>Red</v>
      </c>
    </row>
    <row r="161" spans="2:43" x14ac:dyDescent="0.2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tr">
        <f>VLOOKUP(E161,'Transform table'!A:B,2,0)</f>
        <v>Pohang Steelers</v>
      </c>
      <c r="Y161" t="str">
        <f>VLOOKUP(F161,'Transform table'!A:B,2,0)</f>
        <v>Jeonbuk Hyundai Motors</v>
      </c>
      <c r="Z161" t="str">
        <f t="shared" si="2"/>
        <v>25/07/2026Pohang SteelersJeonbuk Hyundai Motors</v>
      </c>
      <c r="AA161" t="str">
        <f>VLOOKUP($Z161,'oddspedia-matches'!$A:$AD,AA$2,0)</f>
        <v>0 - 2</v>
      </c>
      <c r="AB161" t="str">
        <f>VLOOKUP($Z161,'oddspedia-matches'!$A:$AD,AB$2,0)</f>
        <v>Red</v>
      </c>
      <c r="AC161" t="str">
        <f>VLOOKUP($Z161,'oddspedia-matches'!$A:$AD,AC$2,0)</f>
        <v>Red</v>
      </c>
      <c r="AD161" t="str">
        <f>VLOOKUP($Z161,'oddspedia-matches'!$A:$AD,AD$2,0)</f>
        <v>Green</v>
      </c>
      <c r="AE161" t="str">
        <f>VLOOKUP($Z161,'oddspedia-matches'!$A:$AD,AE$2,0)</f>
        <v>Red</v>
      </c>
      <c r="AF161" t="str">
        <f>VLOOKUP($Z161,'oddspedia-matches'!$A:$AD,AF$2,0)</f>
        <v>Green</v>
      </c>
      <c r="AG161" t="str">
        <f>VLOOKUP($Z161,'oddspedia-matches'!$A:$AD,AG$2,0)</f>
        <v>Green</v>
      </c>
      <c r="AH161" t="str">
        <f>VLOOKUP($Z161,'oddspedia-matches'!$A:$AD,AH$2,0)</f>
        <v>Red</v>
      </c>
      <c r="AI161" t="str">
        <f>VLOOKUP($Z161,'oddspedia-matches'!$A:$AD,AI$2,0)</f>
        <v>Red</v>
      </c>
      <c r="AJ161" t="str">
        <f>VLOOKUP($Z161,'oddspedia-matches'!$A:$AD,AJ$2,0)</f>
        <v>Green</v>
      </c>
      <c r="AK161" t="str">
        <f>VLOOKUP($Z161,'oddspedia-matches'!$A:$AD,AK$2,0)</f>
        <v>Green</v>
      </c>
      <c r="AL161" t="str">
        <f>VLOOKUP($Z161,'oddspedia-matches'!$A:$AD,AL$2,0)</f>
        <v>Green</v>
      </c>
      <c r="AM161" t="str">
        <f>VLOOKUP($Z161,'oddspedia-matches'!$A:$AD,AM$2,0)</f>
        <v>Red</v>
      </c>
      <c r="AN161" t="str">
        <f>VLOOKUP($Z161,'oddspedia-matches'!$A:$AD,AN$2,0)</f>
        <v>Green</v>
      </c>
      <c r="AO161" t="str">
        <f>VLOOKUP($Z161,'oddspedia-matches'!$A:$AD,AO$2,0)</f>
        <v>Green</v>
      </c>
      <c r="AP161" t="str">
        <f>VLOOKUP($Z161,'oddspedia-matches'!$A:$AD,AP$2,0)</f>
        <v>Red</v>
      </c>
      <c r="AQ161" t="str">
        <f>VLOOKUP($Z161,'oddspedia-matches'!$A:$AD,AQ$2,0)</f>
        <v>Green</v>
      </c>
    </row>
    <row r="162" spans="2:43" x14ac:dyDescent="0.2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tr">
        <f>VLOOKUP(E162,'Transform table'!A:B,2,0)</f>
        <v>Sangju Sangmu</v>
      </c>
      <c r="Y162" t="str">
        <f>VLOOKUP(F162,'Transform table'!A:B,2,0)</f>
        <v>Suwon Samsung Bluewings</v>
      </c>
      <c r="Z162" t="str">
        <f t="shared" si="2"/>
        <v>25/07/2026Sangju SangmuSuwon Samsung Bluewings</v>
      </c>
      <c r="AA162" t="e">
        <f>VLOOKUP($Z162,'oddspedia-matches'!$A:$AD,AA$2,0)</f>
        <v>#N/A</v>
      </c>
      <c r="AB162" t="e">
        <f>VLOOKUP($Z162,'oddspedia-matches'!$A:$AD,AB$2,0)</f>
        <v>#N/A</v>
      </c>
      <c r="AC162" t="e">
        <f>VLOOKUP($Z162,'oddspedia-matches'!$A:$AD,AC$2,0)</f>
        <v>#N/A</v>
      </c>
      <c r="AD162" t="e">
        <f>VLOOKUP($Z162,'oddspedia-matches'!$A:$AD,AD$2,0)</f>
        <v>#N/A</v>
      </c>
      <c r="AE162" t="e">
        <f>VLOOKUP($Z162,'oddspedia-matches'!$A:$AD,AE$2,0)</f>
        <v>#N/A</v>
      </c>
      <c r="AF162" t="e">
        <f>VLOOKUP($Z162,'oddspedia-matches'!$A:$AD,AF$2,0)</f>
        <v>#N/A</v>
      </c>
      <c r="AG162" t="e">
        <f>VLOOKUP($Z162,'oddspedia-matches'!$A:$AD,AG$2,0)</f>
        <v>#N/A</v>
      </c>
      <c r="AH162" t="e">
        <f>VLOOKUP($Z162,'oddspedia-matches'!$A:$AD,AH$2,0)</f>
        <v>#N/A</v>
      </c>
      <c r="AI162" t="e">
        <f>VLOOKUP($Z162,'oddspedia-matches'!$A:$AD,AI$2,0)</f>
        <v>#N/A</v>
      </c>
      <c r="AJ162" t="e">
        <f>VLOOKUP($Z162,'oddspedia-matches'!$A:$AD,AJ$2,0)</f>
        <v>#N/A</v>
      </c>
      <c r="AK162" t="e">
        <f>VLOOKUP($Z162,'oddspedia-matches'!$A:$AD,AK$2,0)</f>
        <v>#N/A</v>
      </c>
      <c r="AL162" t="e">
        <f>VLOOKUP($Z162,'oddspedia-matches'!$A:$AD,AL$2,0)</f>
        <v>#N/A</v>
      </c>
      <c r="AM162" t="e">
        <f>VLOOKUP($Z162,'oddspedia-matches'!$A:$AD,AM$2,0)</f>
        <v>#N/A</v>
      </c>
      <c r="AN162" t="e">
        <f>VLOOKUP($Z162,'oddspedia-matches'!$A:$AD,AN$2,0)</f>
        <v>#N/A</v>
      </c>
      <c r="AO162" t="e">
        <f>VLOOKUP($Z162,'oddspedia-matches'!$A:$AD,AO$2,0)</f>
        <v>#N/A</v>
      </c>
      <c r="AP162" t="e">
        <f>VLOOKUP($Z162,'oddspedia-matches'!$A:$AD,AP$2,0)</f>
        <v>#N/A</v>
      </c>
      <c r="AQ162" t="e">
        <f>VLOOKUP($Z162,'oddspedia-matches'!$A:$AD,AQ$2,0)</f>
        <v>#N/A</v>
      </c>
    </row>
    <row r="163" spans="2:43" x14ac:dyDescent="0.2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tr">
        <f>VLOOKUP(E163,'Transform table'!A:B,2,0)</f>
        <v>Gangwon</v>
      </c>
      <c r="Y163" t="str">
        <f>VLOOKUP(F163,'Transform table'!A:B,2,0)</f>
        <v>Suwon FC</v>
      </c>
      <c r="Z163" t="str">
        <f t="shared" si="2"/>
        <v>25/07/2026GangwonSuwon FC</v>
      </c>
      <c r="AA163" t="e">
        <f>VLOOKUP($Z163,'oddspedia-matches'!$A:$AD,AA$2,0)</f>
        <v>#N/A</v>
      </c>
      <c r="AB163" t="e">
        <f>VLOOKUP($Z163,'oddspedia-matches'!$A:$AD,AB$2,0)</f>
        <v>#N/A</v>
      </c>
      <c r="AC163" t="e">
        <f>VLOOKUP($Z163,'oddspedia-matches'!$A:$AD,AC$2,0)</f>
        <v>#N/A</v>
      </c>
      <c r="AD163" t="e">
        <f>VLOOKUP($Z163,'oddspedia-matches'!$A:$AD,AD$2,0)</f>
        <v>#N/A</v>
      </c>
      <c r="AE163" t="e">
        <f>VLOOKUP($Z163,'oddspedia-matches'!$A:$AD,AE$2,0)</f>
        <v>#N/A</v>
      </c>
      <c r="AF163" t="e">
        <f>VLOOKUP($Z163,'oddspedia-matches'!$A:$AD,AF$2,0)</f>
        <v>#N/A</v>
      </c>
      <c r="AG163" t="e">
        <f>VLOOKUP($Z163,'oddspedia-matches'!$A:$AD,AG$2,0)</f>
        <v>#N/A</v>
      </c>
      <c r="AH163" t="e">
        <f>VLOOKUP($Z163,'oddspedia-matches'!$A:$AD,AH$2,0)</f>
        <v>#N/A</v>
      </c>
      <c r="AI163" t="e">
        <f>VLOOKUP($Z163,'oddspedia-matches'!$A:$AD,AI$2,0)</f>
        <v>#N/A</v>
      </c>
      <c r="AJ163" t="e">
        <f>VLOOKUP($Z163,'oddspedia-matches'!$A:$AD,AJ$2,0)</f>
        <v>#N/A</v>
      </c>
      <c r="AK163" t="e">
        <f>VLOOKUP($Z163,'oddspedia-matches'!$A:$AD,AK$2,0)</f>
        <v>#N/A</v>
      </c>
      <c r="AL163" t="e">
        <f>VLOOKUP($Z163,'oddspedia-matches'!$A:$AD,AL$2,0)</f>
        <v>#N/A</v>
      </c>
      <c r="AM163" t="e">
        <f>VLOOKUP($Z163,'oddspedia-matches'!$A:$AD,AM$2,0)</f>
        <v>#N/A</v>
      </c>
      <c r="AN163" t="e">
        <f>VLOOKUP($Z163,'oddspedia-matches'!$A:$AD,AN$2,0)</f>
        <v>#N/A</v>
      </c>
      <c r="AO163" t="e">
        <f>VLOOKUP($Z163,'oddspedia-matches'!$A:$AD,AO$2,0)</f>
        <v>#N/A</v>
      </c>
      <c r="AP163" t="e">
        <f>VLOOKUP($Z163,'oddspedia-matches'!$A:$AD,AP$2,0)</f>
        <v>#N/A</v>
      </c>
      <c r="AQ163" t="e">
        <f>VLOOKUP($Z163,'oddspedia-matches'!$A:$AD,AQ$2,0)</f>
        <v>#N/A</v>
      </c>
    </row>
    <row r="164" spans="2:43" x14ac:dyDescent="0.2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tr">
        <f>VLOOKUP(E164,'Transform table'!A:B,2,0)</f>
        <v>Anyang</v>
      </c>
      <c r="Y164" t="str">
        <f>VLOOKUP(F164,'Transform table'!A:B,2,0)</f>
        <v>Ansan Police</v>
      </c>
      <c r="Z164" t="str">
        <f t="shared" si="2"/>
        <v>25/07/2026AnyangAnsan Police</v>
      </c>
      <c r="AA164" t="e">
        <f>VLOOKUP($Z164,'oddspedia-matches'!$A:$AD,AA$2,0)</f>
        <v>#N/A</v>
      </c>
      <c r="AB164" t="e">
        <f>VLOOKUP($Z164,'oddspedia-matches'!$A:$AD,AB$2,0)</f>
        <v>#N/A</v>
      </c>
      <c r="AC164" t="e">
        <f>VLOOKUP($Z164,'oddspedia-matches'!$A:$AD,AC$2,0)</f>
        <v>#N/A</v>
      </c>
      <c r="AD164" t="e">
        <f>VLOOKUP($Z164,'oddspedia-matches'!$A:$AD,AD$2,0)</f>
        <v>#N/A</v>
      </c>
      <c r="AE164" t="e">
        <f>VLOOKUP($Z164,'oddspedia-matches'!$A:$AD,AE$2,0)</f>
        <v>#N/A</v>
      </c>
      <c r="AF164" t="e">
        <f>VLOOKUP($Z164,'oddspedia-matches'!$A:$AD,AF$2,0)</f>
        <v>#N/A</v>
      </c>
      <c r="AG164" t="e">
        <f>VLOOKUP($Z164,'oddspedia-matches'!$A:$AD,AG$2,0)</f>
        <v>#N/A</v>
      </c>
      <c r="AH164" t="e">
        <f>VLOOKUP($Z164,'oddspedia-matches'!$A:$AD,AH$2,0)</f>
        <v>#N/A</v>
      </c>
      <c r="AI164" t="e">
        <f>VLOOKUP($Z164,'oddspedia-matches'!$A:$AD,AI$2,0)</f>
        <v>#N/A</v>
      </c>
      <c r="AJ164" t="e">
        <f>VLOOKUP($Z164,'oddspedia-matches'!$A:$AD,AJ$2,0)</f>
        <v>#N/A</v>
      </c>
      <c r="AK164" t="e">
        <f>VLOOKUP($Z164,'oddspedia-matches'!$A:$AD,AK$2,0)</f>
        <v>#N/A</v>
      </c>
      <c r="AL164" t="e">
        <f>VLOOKUP($Z164,'oddspedia-matches'!$A:$AD,AL$2,0)</f>
        <v>#N/A</v>
      </c>
      <c r="AM164" t="e">
        <f>VLOOKUP($Z164,'oddspedia-matches'!$A:$AD,AM$2,0)</f>
        <v>#N/A</v>
      </c>
      <c r="AN164" t="e">
        <f>VLOOKUP($Z164,'oddspedia-matches'!$A:$AD,AN$2,0)</f>
        <v>#N/A</v>
      </c>
      <c r="AO164" t="e">
        <f>VLOOKUP($Z164,'oddspedia-matches'!$A:$AD,AO$2,0)</f>
        <v>#N/A</v>
      </c>
      <c r="AP164" t="e">
        <f>VLOOKUP($Z164,'oddspedia-matches'!$A:$AD,AP$2,0)</f>
        <v>#N/A</v>
      </c>
      <c r="AQ164" t="e">
        <f>VLOOKUP($Z164,'oddspedia-matches'!$A:$AD,AQ$2,0)</f>
        <v>#N/A</v>
      </c>
    </row>
    <row r="165" spans="2:43" x14ac:dyDescent="0.2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tr">
        <f>VLOOKUP(E165,'Transform table'!A:B,2,0)</f>
        <v>Daejeon Citizen</v>
      </c>
      <c r="Y165" t="str">
        <f>VLOOKUP(F165,'Transform table'!A:B,2,0)</f>
        <v>Gyeongnam</v>
      </c>
      <c r="Z165" t="str">
        <f t="shared" si="2"/>
        <v>25/07/2026Daejeon CitizenGyeongnam</v>
      </c>
      <c r="AA165" t="e">
        <f>VLOOKUP($Z165,'oddspedia-matches'!$A:$AD,AA$2,0)</f>
        <v>#N/A</v>
      </c>
      <c r="AB165" t="e">
        <f>VLOOKUP($Z165,'oddspedia-matches'!$A:$AD,AB$2,0)</f>
        <v>#N/A</v>
      </c>
      <c r="AC165" t="e">
        <f>VLOOKUP($Z165,'oddspedia-matches'!$A:$AD,AC$2,0)</f>
        <v>#N/A</v>
      </c>
      <c r="AD165" t="e">
        <f>VLOOKUP($Z165,'oddspedia-matches'!$A:$AD,AD$2,0)</f>
        <v>#N/A</v>
      </c>
      <c r="AE165" t="e">
        <f>VLOOKUP($Z165,'oddspedia-matches'!$A:$AD,AE$2,0)</f>
        <v>#N/A</v>
      </c>
      <c r="AF165" t="e">
        <f>VLOOKUP($Z165,'oddspedia-matches'!$A:$AD,AF$2,0)</f>
        <v>#N/A</v>
      </c>
      <c r="AG165" t="e">
        <f>VLOOKUP($Z165,'oddspedia-matches'!$A:$AD,AG$2,0)</f>
        <v>#N/A</v>
      </c>
      <c r="AH165" t="e">
        <f>VLOOKUP($Z165,'oddspedia-matches'!$A:$AD,AH$2,0)</f>
        <v>#N/A</v>
      </c>
      <c r="AI165" t="e">
        <f>VLOOKUP($Z165,'oddspedia-matches'!$A:$AD,AI$2,0)</f>
        <v>#N/A</v>
      </c>
      <c r="AJ165" t="e">
        <f>VLOOKUP($Z165,'oddspedia-matches'!$A:$AD,AJ$2,0)</f>
        <v>#N/A</v>
      </c>
      <c r="AK165" t="e">
        <f>VLOOKUP($Z165,'oddspedia-matches'!$A:$AD,AK$2,0)</f>
        <v>#N/A</v>
      </c>
      <c r="AL165" t="e">
        <f>VLOOKUP($Z165,'oddspedia-matches'!$A:$AD,AL$2,0)</f>
        <v>#N/A</v>
      </c>
      <c r="AM165" t="e">
        <f>VLOOKUP($Z165,'oddspedia-matches'!$A:$AD,AM$2,0)</f>
        <v>#N/A</v>
      </c>
      <c r="AN165" t="e">
        <f>VLOOKUP($Z165,'oddspedia-matches'!$A:$AD,AN$2,0)</f>
        <v>#N/A</v>
      </c>
      <c r="AO165" t="e">
        <f>VLOOKUP($Z165,'oddspedia-matches'!$A:$AD,AO$2,0)</f>
        <v>#N/A</v>
      </c>
      <c r="AP165" t="e">
        <f>VLOOKUP($Z165,'oddspedia-matches'!$A:$AD,AP$2,0)</f>
        <v>#N/A</v>
      </c>
      <c r="AQ165" t="e">
        <f>VLOOKUP($Z165,'oddspedia-matches'!$A:$AD,AQ$2,0)</f>
        <v>#N/A</v>
      </c>
    </row>
    <row r="166" spans="2:43" x14ac:dyDescent="0.2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tr">
        <f>VLOOKUP(E166,'Transform table'!A:B,2,0)</f>
        <v>Chengdu Qianbao</v>
      </c>
      <c r="Y166" t="str">
        <f>VLOOKUP(F166,'Transform table'!A:B,2,0)</f>
        <v>Nanjing City</v>
      </c>
      <c r="Z166" t="str">
        <f t="shared" si="2"/>
        <v>25/07/2026Chengdu QianbaoNanjing City</v>
      </c>
      <c r="AA166" t="e">
        <f>VLOOKUP($Z166,'oddspedia-matches'!$A:$AD,AA$2,0)</f>
        <v>#N/A</v>
      </c>
      <c r="AB166" t="e">
        <f>VLOOKUP($Z166,'oddspedia-matches'!$A:$AD,AB$2,0)</f>
        <v>#N/A</v>
      </c>
      <c r="AC166" t="e">
        <f>VLOOKUP($Z166,'oddspedia-matches'!$A:$AD,AC$2,0)</f>
        <v>#N/A</v>
      </c>
      <c r="AD166" t="e">
        <f>VLOOKUP($Z166,'oddspedia-matches'!$A:$AD,AD$2,0)</f>
        <v>#N/A</v>
      </c>
      <c r="AE166" t="e">
        <f>VLOOKUP($Z166,'oddspedia-matches'!$A:$AD,AE$2,0)</f>
        <v>#N/A</v>
      </c>
      <c r="AF166" t="e">
        <f>VLOOKUP($Z166,'oddspedia-matches'!$A:$AD,AF$2,0)</f>
        <v>#N/A</v>
      </c>
      <c r="AG166" t="e">
        <f>VLOOKUP($Z166,'oddspedia-matches'!$A:$AD,AG$2,0)</f>
        <v>#N/A</v>
      </c>
      <c r="AH166" t="e">
        <f>VLOOKUP($Z166,'oddspedia-matches'!$A:$AD,AH$2,0)</f>
        <v>#N/A</v>
      </c>
      <c r="AI166" t="e">
        <f>VLOOKUP($Z166,'oddspedia-matches'!$A:$AD,AI$2,0)</f>
        <v>#N/A</v>
      </c>
      <c r="AJ166" t="e">
        <f>VLOOKUP($Z166,'oddspedia-matches'!$A:$AD,AJ$2,0)</f>
        <v>#N/A</v>
      </c>
      <c r="AK166" t="e">
        <f>VLOOKUP($Z166,'oddspedia-matches'!$A:$AD,AK$2,0)</f>
        <v>#N/A</v>
      </c>
      <c r="AL166" t="e">
        <f>VLOOKUP($Z166,'oddspedia-matches'!$A:$AD,AL$2,0)</f>
        <v>#N/A</v>
      </c>
      <c r="AM166" t="e">
        <f>VLOOKUP($Z166,'oddspedia-matches'!$A:$AD,AM$2,0)</f>
        <v>#N/A</v>
      </c>
      <c r="AN166" t="e">
        <f>VLOOKUP($Z166,'oddspedia-matches'!$A:$AD,AN$2,0)</f>
        <v>#N/A</v>
      </c>
      <c r="AO166" t="e">
        <f>VLOOKUP($Z166,'oddspedia-matches'!$A:$AD,AO$2,0)</f>
        <v>#N/A</v>
      </c>
      <c r="AP166" t="e">
        <f>VLOOKUP($Z166,'oddspedia-matches'!$A:$AD,AP$2,0)</f>
        <v>#N/A</v>
      </c>
      <c r="AQ166" t="e">
        <f>VLOOKUP($Z166,'oddspedia-matches'!$A:$AD,AQ$2,0)</f>
        <v>#N/A</v>
      </c>
    </row>
    <row r="167" spans="2:43" x14ac:dyDescent="0.2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>
        <f>VLOOKUP(E167,'Transform table'!A:B,2,0)</f>
        <v>0</v>
      </c>
      <c r="Y167" t="str">
        <f>VLOOKUP(F167,'Transform table'!A:B,2,0)</f>
        <v>Guandong GZ-Power FC</v>
      </c>
      <c r="Z167" t="str">
        <f t="shared" si="2"/>
        <v>25/07/20260Guandong GZ-Power FC</v>
      </c>
      <c r="AA167" t="e">
        <f>VLOOKUP($Z167,'oddspedia-matches'!$A:$AD,AA$2,0)</f>
        <v>#N/A</v>
      </c>
      <c r="AB167" t="e">
        <f>VLOOKUP($Z167,'oddspedia-matches'!$A:$AD,AB$2,0)</f>
        <v>#N/A</v>
      </c>
      <c r="AC167" t="e">
        <f>VLOOKUP($Z167,'oddspedia-matches'!$A:$AD,AC$2,0)</f>
        <v>#N/A</v>
      </c>
      <c r="AD167" t="e">
        <f>VLOOKUP($Z167,'oddspedia-matches'!$A:$AD,AD$2,0)</f>
        <v>#N/A</v>
      </c>
      <c r="AE167" t="e">
        <f>VLOOKUP($Z167,'oddspedia-matches'!$A:$AD,AE$2,0)</f>
        <v>#N/A</v>
      </c>
      <c r="AF167" t="e">
        <f>VLOOKUP($Z167,'oddspedia-matches'!$A:$AD,AF$2,0)</f>
        <v>#N/A</v>
      </c>
      <c r="AG167" t="e">
        <f>VLOOKUP($Z167,'oddspedia-matches'!$A:$AD,AG$2,0)</f>
        <v>#N/A</v>
      </c>
      <c r="AH167" t="e">
        <f>VLOOKUP($Z167,'oddspedia-matches'!$A:$AD,AH$2,0)</f>
        <v>#N/A</v>
      </c>
      <c r="AI167" t="e">
        <f>VLOOKUP($Z167,'oddspedia-matches'!$A:$AD,AI$2,0)</f>
        <v>#N/A</v>
      </c>
      <c r="AJ167" t="e">
        <f>VLOOKUP($Z167,'oddspedia-matches'!$A:$AD,AJ$2,0)</f>
        <v>#N/A</v>
      </c>
      <c r="AK167" t="e">
        <f>VLOOKUP($Z167,'oddspedia-matches'!$A:$AD,AK$2,0)</f>
        <v>#N/A</v>
      </c>
      <c r="AL167" t="e">
        <f>VLOOKUP($Z167,'oddspedia-matches'!$A:$AD,AL$2,0)</f>
        <v>#N/A</v>
      </c>
      <c r="AM167" t="e">
        <f>VLOOKUP($Z167,'oddspedia-matches'!$A:$AD,AM$2,0)</f>
        <v>#N/A</v>
      </c>
      <c r="AN167" t="e">
        <f>VLOOKUP($Z167,'oddspedia-matches'!$A:$AD,AN$2,0)</f>
        <v>#N/A</v>
      </c>
      <c r="AO167" t="e">
        <f>VLOOKUP($Z167,'oddspedia-matches'!$A:$AD,AO$2,0)</f>
        <v>#N/A</v>
      </c>
      <c r="AP167" t="e">
        <f>VLOOKUP($Z167,'oddspedia-matches'!$A:$AD,AP$2,0)</f>
        <v>#N/A</v>
      </c>
      <c r="AQ167" t="e">
        <f>VLOOKUP($Z167,'oddspedia-matches'!$A:$AD,AQ$2,0)</f>
        <v>#N/A</v>
      </c>
    </row>
    <row r="168" spans="2:43" x14ac:dyDescent="0.2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tr">
        <f>VLOOKUP(E168,'Transform table'!A:B,2,0)</f>
        <v>Shaanxi Union FC</v>
      </c>
      <c r="Y168" t="str">
        <f>VLOOKUP(F168,'Transform table'!A:B,2,0)</f>
        <v>Shenzhen Juniors</v>
      </c>
      <c r="Z168" t="str">
        <f t="shared" si="2"/>
        <v>25/07/2026Shaanxi Union FCShenzhen Juniors</v>
      </c>
      <c r="AA168" t="str">
        <f>VLOOKUP($Z168,'oddspedia-matches'!$A:$AD,AA$2,0)</f>
        <v>3 - 0</v>
      </c>
      <c r="AB168" t="str">
        <f>VLOOKUP($Z168,'oddspedia-matches'!$A:$AD,AB$2,0)</f>
        <v>Green</v>
      </c>
      <c r="AC168" t="str">
        <f>VLOOKUP($Z168,'oddspedia-matches'!$A:$AD,AC$2,0)</f>
        <v>Red</v>
      </c>
      <c r="AD168" t="str">
        <f>VLOOKUP($Z168,'oddspedia-matches'!$A:$AD,AD$2,0)</f>
        <v>Red</v>
      </c>
      <c r="AE168" t="str">
        <f>VLOOKUP($Z168,'oddspedia-matches'!$A:$AD,AE$2,0)</f>
        <v>Green</v>
      </c>
      <c r="AF168" t="str">
        <f>VLOOKUP($Z168,'oddspedia-matches'!$A:$AD,AF$2,0)</f>
        <v>Red</v>
      </c>
      <c r="AG168" t="str">
        <f>VLOOKUP($Z168,'oddspedia-matches'!$A:$AD,AG$2,0)</f>
        <v>Green</v>
      </c>
      <c r="AH168" t="str">
        <f>VLOOKUP($Z168,'oddspedia-matches'!$A:$AD,AH$2,0)</f>
        <v>Green</v>
      </c>
      <c r="AI168" t="str">
        <f>VLOOKUP($Z168,'oddspedia-matches'!$A:$AD,AI$2,0)</f>
        <v>Red</v>
      </c>
      <c r="AJ168" t="str">
        <f>VLOOKUP($Z168,'oddspedia-matches'!$A:$AD,AJ$2,0)</f>
        <v>Red</v>
      </c>
      <c r="AK168" t="str">
        <f>VLOOKUP($Z168,'oddspedia-matches'!$A:$AD,AK$2,0)</f>
        <v>Green</v>
      </c>
      <c r="AL168" t="str">
        <f>VLOOKUP($Z168,'oddspedia-matches'!$A:$AD,AL$2,0)</f>
        <v>Green</v>
      </c>
      <c r="AM168" t="str">
        <f>VLOOKUP($Z168,'oddspedia-matches'!$A:$AD,AM$2,0)</f>
        <v>Green</v>
      </c>
      <c r="AN168" t="str">
        <f>VLOOKUP($Z168,'oddspedia-matches'!$A:$AD,AN$2,0)</f>
        <v>Red</v>
      </c>
      <c r="AO168" t="str">
        <f>VLOOKUP($Z168,'oddspedia-matches'!$A:$AD,AO$2,0)</f>
        <v>Green</v>
      </c>
      <c r="AP168" t="str">
        <f>VLOOKUP($Z168,'oddspedia-matches'!$A:$AD,AP$2,0)</f>
        <v>Red</v>
      </c>
      <c r="AQ168" t="str">
        <f>VLOOKUP($Z168,'oddspedia-matches'!$A:$AD,AQ$2,0)</f>
        <v>Green</v>
      </c>
    </row>
    <row r="169" spans="2:43" x14ac:dyDescent="0.2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>
        <f>VLOOKUP(E169,'Transform table'!A:B,2,0)</f>
        <v>0</v>
      </c>
      <c r="Y169" t="str">
        <f>VLOOKUP(F169,'Transform table'!A:B,2,0)</f>
        <v>Yichun Grand Tiger</v>
      </c>
      <c r="Z169" t="str">
        <f t="shared" si="2"/>
        <v>25/07/20260Yichun Grand Tiger</v>
      </c>
      <c r="AA169" t="e">
        <f>VLOOKUP($Z169,'oddspedia-matches'!$A:$AD,AA$2,0)</f>
        <v>#N/A</v>
      </c>
      <c r="AB169" t="e">
        <f>VLOOKUP($Z169,'oddspedia-matches'!$A:$AD,AB$2,0)</f>
        <v>#N/A</v>
      </c>
      <c r="AC169" t="e">
        <f>VLOOKUP($Z169,'oddspedia-matches'!$A:$AD,AC$2,0)</f>
        <v>#N/A</v>
      </c>
      <c r="AD169" t="e">
        <f>VLOOKUP($Z169,'oddspedia-matches'!$A:$AD,AD$2,0)</f>
        <v>#N/A</v>
      </c>
      <c r="AE169" t="e">
        <f>VLOOKUP($Z169,'oddspedia-matches'!$A:$AD,AE$2,0)</f>
        <v>#N/A</v>
      </c>
      <c r="AF169" t="e">
        <f>VLOOKUP($Z169,'oddspedia-matches'!$A:$AD,AF$2,0)</f>
        <v>#N/A</v>
      </c>
      <c r="AG169" t="e">
        <f>VLOOKUP($Z169,'oddspedia-matches'!$A:$AD,AG$2,0)</f>
        <v>#N/A</v>
      </c>
      <c r="AH169" t="e">
        <f>VLOOKUP($Z169,'oddspedia-matches'!$A:$AD,AH$2,0)</f>
        <v>#N/A</v>
      </c>
      <c r="AI169" t="e">
        <f>VLOOKUP($Z169,'oddspedia-matches'!$A:$AD,AI$2,0)</f>
        <v>#N/A</v>
      </c>
      <c r="AJ169" t="e">
        <f>VLOOKUP($Z169,'oddspedia-matches'!$A:$AD,AJ$2,0)</f>
        <v>#N/A</v>
      </c>
      <c r="AK169" t="e">
        <f>VLOOKUP($Z169,'oddspedia-matches'!$A:$AD,AK$2,0)</f>
        <v>#N/A</v>
      </c>
      <c r="AL169" t="e">
        <f>VLOOKUP($Z169,'oddspedia-matches'!$A:$AD,AL$2,0)</f>
        <v>#N/A</v>
      </c>
      <c r="AM169" t="e">
        <f>VLOOKUP($Z169,'oddspedia-matches'!$A:$AD,AM$2,0)</f>
        <v>#N/A</v>
      </c>
      <c r="AN169" t="e">
        <f>VLOOKUP($Z169,'oddspedia-matches'!$A:$AD,AN$2,0)</f>
        <v>#N/A</v>
      </c>
      <c r="AO169" t="e">
        <f>VLOOKUP($Z169,'oddspedia-matches'!$A:$AD,AO$2,0)</f>
        <v>#N/A</v>
      </c>
      <c r="AP169" t="e">
        <f>VLOOKUP($Z169,'oddspedia-matches'!$A:$AD,AP$2,0)</f>
        <v>#N/A</v>
      </c>
      <c r="AQ169" t="e">
        <f>VLOOKUP($Z169,'oddspedia-matches'!$A:$AD,AQ$2,0)</f>
        <v>#N/A</v>
      </c>
    </row>
    <row r="170" spans="2:43" x14ac:dyDescent="0.2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>
        <f>VLOOKUP(E170,'Transform table'!A:B,2,0)</f>
        <v>0</v>
      </c>
      <c r="Y170" t="str">
        <f>VLOOKUP(F170,'Transform table'!A:B,2,0)</f>
        <v>Changchun Xidu</v>
      </c>
      <c r="Z170" t="str">
        <f t="shared" si="2"/>
        <v>25/07/20260Changchun Xidu</v>
      </c>
      <c r="AA170" t="e">
        <f>VLOOKUP($Z170,'oddspedia-matches'!$A:$AD,AA$2,0)</f>
        <v>#N/A</v>
      </c>
      <c r="AB170" t="e">
        <f>VLOOKUP($Z170,'oddspedia-matches'!$A:$AD,AB$2,0)</f>
        <v>#N/A</v>
      </c>
      <c r="AC170" t="e">
        <f>VLOOKUP($Z170,'oddspedia-matches'!$A:$AD,AC$2,0)</f>
        <v>#N/A</v>
      </c>
      <c r="AD170" t="e">
        <f>VLOOKUP($Z170,'oddspedia-matches'!$A:$AD,AD$2,0)</f>
        <v>#N/A</v>
      </c>
      <c r="AE170" t="e">
        <f>VLOOKUP($Z170,'oddspedia-matches'!$A:$AD,AE$2,0)</f>
        <v>#N/A</v>
      </c>
      <c r="AF170" t="e">
        <f>VLOOKUP($Z170,'oddspedia-matches'!$A:$AD,AF$2,0)</f>
        <v>#N/A</v>
      </c>
      <c r="AG170" t="e">
        <f>VLOOKUP($Z170,'oddspedia-matches'!$A:$AD,AG$2,0)</f>
        <v>#N/A</v>
      </c>
      <c r="AH170" t="e">
        <f>VLOOKUP($Z170,'oddspedia-matches'!$A:$AD,AH$2,0)</f>
        <v>#N/A</v>
      </c>
      <c r="AI170" t="e">
        <f>VLOOKUP($Z170,'oddspedia-matches'!$A:$AD,AI$2,0)</f>
        <v>#N/A</v>
      </c>
      <c r="AJ170" t="e">
        <f>VLOOKUP($Z170,'oddspedia-matches'!$A:$AD,AJ$2,0)</f>
        <v>#N/A</v>
      </c>
      <c r="AK170" t="e">
        <f>VLOOKUP($Z170,'oddspedia-matches'!$A:$AD,AK$2,0)</f>
        <v>#N/A</v>
      </c>
      <c r="AL170" t="e">
        <f>VLOOKUP($Z170,'oddspedia-matches'!$A:$AD,AL$2,0)</f>
        <v>#N/A</v>
      </c>
      <c r="AM170" t="e">
        <f>VLOOKUP($Z170,'oddspedia-matches'!$A:$AD,AM$2,0)</f>
        <v>#N/A</v>
      </c>
      <c r="AN170" t="e">
        <f>VLOOKUP($Z170,'oddspedia-matches'!$A:$AD,AN$2,0)</f>
        <v>#N/A</v>
      </c>
      <c r="AO170" t="e">
        <f>VLOOKUP($Z170,'oddspedia-matches'!$A:$AD,AO$2,0)</f>
        <v>#N/A</v>
      </c>
      <c r="AP170" t="e">
        <f>VLOOKUP($Z170,'oddspedia-matches'!$A:$AD,AP$2,0)</f>
        <v>#N/A</v>
      </c>
      <c r="AQ170" t="e">
        <f>VLOOKUP($Z170,'oddspedia-matches'!$A:$AD,AQ$2,0)</f>
        <v>#N/A</v>
      </c>
    </row>
    <row r="171" spans="2:43" x14ac:dyDescent="0.2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>
        <f>VLOOKUP(E171,'Transform table'!A:B,2,0)</f>
        <v>0</v>
      </c>
      <c r="Y171" t="str">
        <f>VLOOKUP(F171,'Transform table'!A:B,2,0)</f>
        <v>Rigas Futbola Skola II</v>
      </c>
      <c r="Z171" t="str">
        <f t="shared" si="2"/>
        <v>25/07/20260Rigas Futbola Skola II</v>
      </c>
      <c r="AA171" t="e">
        <f>VLOOKUP($Z171,'oddspedia-matches'!$A:$AD,AA$2,0)</f>
        <v>#N/A</v>
      </c>
      <c r="AB171" t="e">
        <f>VLOOKUP($Z171,'oddspedia-matches'!$A:$AD,AB$2,0)</f>
        <v>#N/A</v>
      </c>
      <c r="AC171" t="e">
        <f>VLOOKUP($Z171,'oddspedia-matches'!$A:$AD,AC$2,0)</f>
        <v>#N/A</v>
      </c>
      <c r="AD171" t="e">
        <f>VLOOKUP($Z171,'oddspedia-matches'!$A:$AD,AD$2,0)</f>
        <v>#N/A</v>
      </c>
      <c r="AE171" t="e">
        <f>VLOOKUP($Z171,'oddspedia-matches'!$A:$AD,AE$2,0)</f>
        <v>#N/A</v>
      </c>
      <c r="AF171" t="e">
        <f>VLOOKUP($Z171,'oddspedia-matches'!$A:$AD,AF$2,0)</f>
        <v>#N/A</v>
      </c>
      <c r="AG171" t="e">
        <f>VLOOKUP($Z171,'oddspedia-matches'!$A:$AD,AG$2,0)</f>
        <v>#N/A</v>
      </c>
      <c r="AH171" t="e">
        <f>VLOOKUP($Z171,'oddspedia-matches'!$A:$AD,AH$2,0)</f>
        <v>#N/A</v>
      </c>
      <c r="AI171" t="e">
        <f>VLOOKUP($Z171,'oddspedia-matches'!$A:$AD,AI$2,0)</f>
        <v>#N/A</v>
      </c>
      <c r="AJ171" t="e">
        <f>VLOOKUP($Z171,'oddspedia-matches'!$A:$AD,AJ$2,0)</f>
        <v>#N/A</v>
      </c>
      <c r="AK171" t="e">
        <f>VLOOKUP($Z171,'oddspedia-matches'!$A:$AD,AK$2,0)</f>
        <v>#N/A</v>
      </c>
      <c r="AL171" t="e">
        <f>VLOOKUP($Z171,'oddspedia-matches'!$A:$AD,AL$2,0)</f>
        <v>#N/A</v>
      </c>
      <c r="AM171" t="e">
        <f>VLOOKUP($Z171,'oddspedia-matches'!$A:$AD,AM$2,0)</f>
        <v>#N/A</v>
      </c>
      <c r="AN171" t="e">
        <f>VLOOKUP($Z171,'oddspedia-matches'!$A:$AD,AN$2,0)</f>
        <v>#N/A</v>
      </c>
      <c r="AO171" t="e">
        <f>VLOOKUP($Z171,'oddspedia-matches'!$A:$AD,AO$2,0)</f>
        <v>#N/A</v>
      </c>
      <c r="AP171" t="e">
        <f>VLOOKUP($Z171,'oddspedia-matches'!$A:$AD,AP$2,0)</f>
        <v>#N/A</v>
      </c>
      <c r="AQ171" t="e">
        <f>VLOOKUP($Z171,'oddspedia-matches'!$A:$AD,AQ$2,0)</f>
        <v>#N/A</v>
      </c>
    </row>
    <row r="172" spans="2:43" x14ac:dyDescent="0.2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>
        <f>VLOOKUP(E172,'Transform table'!A:B,2,0)</f>
        <v>0</v>
      </c>
      <c r="Y172" t="str">
        <f>VLOOKUP(F172,'Transform table'!A:B,2,0)</f>
        <v>Wuxi Wugou</v>
      </c>
      <c r="Z172" t="str">
        <f t="shared" si="2"/>
        <v>25/07/20260Wuxi Wugou</v>
      </c>
      <c r="AA172" t="e">
        <f>VLOOKUP($Z172,'oddspedia-matches'!$A:$AD,AA$2,0)</f>
        <v>#N/A</v>
      </c>
      <c r="AB172" t="e">
        <f>VLOOKUP($Z172,'oddspedia-matches'!$A:$AD,AB$2,0)</f>
        <v>#N/A</v>
      </c>
      <c r="AC172" t="e">
        <f>VLOOKUP($Z172,'oddspedia-matches'!$A:$AD,AC$2,0)</f>
        <v>#N/A</v>
      </c>
      <c r="AD172" t="e">
        <f>VLOOKUP($Z172,'oddspedia-matches'!$A:$AD,AD$2,0)</f>
        <v>#N/A</v>
      </c>
      <c r="AE172" t="e">
        <f>VLOOKUP($Z172,'oddspedia-matches'!$A:$AD,AE$2,0)</f>
        <v>#N/A</v>
      </c>
      <c r="AF172" t="e">
        <f>VLOOKUP($Z172,'oddspedia-matches'!$A:$AD,AF$2,0)</f>
        <v>#N/A</v>
      </c>
      <c r="AG172" t="e">
        <f>VLOOKUP($Z172,'oddspedia-matches'!$A:$AD,AG$2,0)</f>
        <v>#N/A</v>
      </c>
      <c r="AH172" t="e">
        <f>VLOOKUP($Z172,'oddspedia-matches'!$A:$AD,AH$2,0)</f>
        <v>#N/A</v>
      </c>
      <c r="AI172" t="e">
        <f>VLOOKUP($Z172,'oddspedia-matches'!$A:$AD,AI$2,0)</f>
        <v>#N/A</v>
      </c>
      <c r="AJ172" t="e">
        <f>VLOOKUP($Z172,'oddspedia-matches'!$A:$AD,AJ$2,0)</f>
        <v>#N/A</v>
      </c>
      <c r="AK172" t="e">
        <f>VLOOKUP($Z172,'oddspedia-matches'!$A:$AD,AK$2,0)</f>
        <v>#N/A</v>
      </c>
      <c r="AL172" t="e">
        <f>VLOOKUP($Z172,'oddspedia-matches'!$A:$AD,AL$2,0)</f>
        <v>#N/A</v>
      </c>
      <c r="AM172" t="e">
        <f>VLOOKUP($Z172,'oddspedia-matches'!$A:$AD,AM$2,0)</f>
        <v>#N/A</v>
      </c>
      <c r="AN172" t="e">
        <f>VLOOKUP($Z172,'oddspedia-matches'!$A:$AD,AN$2,0)</f>
        <v>#N/A</v>
      </c>
      <c r="AO172" t="e">
        <f>VLOOKUP($Z172,'oddspedia-matches'!$A:$AD,AO$2,0)</f>
        <v>#N/A</v>
      </c>
      <c r="AP172" t="e">
        <f>VLOOKUP($Z172,'oddspedia-matches'!$A:$AD,AP$2,0)</f>
        <v>#N/A</v>
      </c>
      <c r="AQ172" t="e">
        <f>VLOOKUP($Z172,'oddspedia-matches'!$A:$AD,AQ$2,0)</f>
        <v>#N/A</v>
      </c>
    </row>
    <row r="173" spans="2:43" x14ac:dyDescent="0.2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>
        <f>VLOOKUP(E173,'Transform table'!A:B,2,0)</f>
        <v>0</v>
      </c>
      <c r="Y173" t="str">
        <f>VLOOKUP(F173,'Transform table'!A:B,2,0)</f>
        <v>Nantong Zhiyun</v>
      </c>
      <c r="Z173" t="str">
        <f t="shared" si="2"/>
        <v>25/07/20260Nantong Zhiyun</v>
      </c>
      <c r="AA173" t="e">
        <f>VLOOKUP($Z173,'oddspedia-matches'!$A:$AD,AA$2,0)</f>
        <v>#N/A</v>
      </c>
      <c r="AB173" t="e">
        <f>VLOOKUP($Z173,'oddspedia-matches'!$A:$AD,AB$2,0)</f>
        <v>#N/A</v>
      </c>
      <c r="AC173" t="e">
        <f>VLOOKUP($Z173,'oddspedia-matches'!$A:$AD,AC$2,0)</f>
        <v>#N/A</v>
      </c>
      <c r="AD173" t="e">
        <f>VLOOKUP($Z173,'oddspedia-matches'!$A:$AD,AD$2,0)</f>
        <v>#N/A</v>
      </c>
      <c r="AE173" t="e">
        <f>VLOOKUP($Z173,'oddspedia-matches'!$A:$AD,AE$2,0)</f>
        <v>#N/A</v>
      </c>
      <c r="AF173" t="e">
        <f>VLOOKUP($Z173,'oddspedia-matches'!$A:$AD,AF$2,0)</f>
        <v>#N/A</v>
      </c>
      <c r="AG173" t="e">
        <f>VLOOKUP($Z173,'oddspedia-matches'!$A:$AD,AG$2,0)</f>
        <v>#N/A</v>
      </c>
      <c r="AH173" t="e">
        <f>VLOOKUP($Z173,'oddspedia-matches'!$A:$AD,AH$2,0)</f>
        <v>#N/A</v>
      </c>
      <c r="AI173" t="e">
        <f>VLOOKUP($Z173,'oddspedia-matches'!$A:$AD,AI$2,0)</f>
        <v>#N/A</v>
      </c>
      <c r="AJ173" t="e">
        <f>VLOOKUP($Z173,'oddspedia-matches'!$A:$AD,AJ$2,0)</f>
        <v>#N/A</v>
      </c>
      <c r="AK173" t="e">
        <f>VLOOKUP($Z173,'oddspedia-matches'!$A:$AD,AK$2,0)</f>
        <v>#N/A</v>
      </c>
      <c r="AL173" t="e">
        <f>VLOOKUP($Z173,'oddspedia-matches'!$A:$AD,AL$2,0)</f>
        <v>#N/A</v>
      </c>
      <c r="AM173" t="e">
        <f>VLOOKUP($Z173,'oddspedia-matches'!$A:$AD,AM$2,0)</f>
        <v>#N/A</v>
      </c>
      <c r="AN173" t="e">
        <f>VLOOKUP($Z173,'oddspedia-matches'!$A:$AD,AN$2,0)</f>
        <v>#N/A</v>
      </c>
      <c r="AO173" t="e">
        <f>VLOOKUP($Z173,'oddspedia-matches'!$A:$AD,AO$2,0)</f>
        <v>#N/A</v>
      </c>
      <c r="AP173" t="e">
        <f>VLOOKUP($Z173,'oddspedia-matches'!$A:$AD,AP$2,0)</f>
        <v>#N/A</v>
      </c>
      <c r="AQ173" t="e">
        <f>VLOOKUP($Z173,'oddspedia-matches'!$A:$AD,AQ$2,0)</f>
        <v>#N/A</v>
      </c>
    </row>
    <row r="174" spans="2:43" x14ac:dyDescent="0.2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>
        <f>VLOOKUP(E174,'Transform table'!A:B,2,0)</f>
        <v>0</v>
      </c>
      <c r="Y174" t="str">
        <f>VLOOKUP(F174,'Transform table'!A:B,2,0)</f>
        <v>Ganzhou Ruishi</v>
      </c>
      <c r="Z174" t="str">
        <f t="shared" si="2"/>
        <v>25/07/20260Ganzhou Ruishi</v>
      </c>
      <c r="AA174" t="e">
        <f>VLOOKUP($Z174,'oddspedia-matches'!$A:$AD,AA$2,0)</f>
        <v>#N/A</v>
      </c>
      <c r="AB174" t="e">
        <f>VLOOKUP($Z174,'oddspedia-matches'!$A:$AD,AB$2,0)</f>
        <v>#N/A</v>
      </c>
      <c r="AC174" t="e">
        <f>VLOOKUP($Z174,'oddspedia-matches'!$A:$AD,AC$2,0)</f>
        <v>#N/A</v>
      </c>
      <c r="AD174" t="e">
        <f>VLOOKUP($Z174,'oddspedia-matches'!$A:$AD,AD$2,0)</f>
        <v>#N/A</v>
      </c>
      <c r="AE174" t="e">
        <f>VLOOKUP($Z174,'oddspedia-matches'!$A:$AD,AE$2,0)</f>
        <v>#N/A</v>
      </c>
      <c r="AF174" t="e">
        <f>VLOOKUP($Z174,'oddspedia-matches'!$A:$AD,AF$2,0)</f>
        <v>#N/A</v>
      </c>
      <c r="AG174" t="e">
        <f>VLOOKUP($Z174,'oddspedia-matches'!$A:$AD,AG$2,0)</f>
        <v>#N/A</v>
      </c>
      <c r="AH174" t="e">
        <f>VLOOKUP($Z174,'oddspedia-matches'!$A:$AD,AH$2,0)</f>
        <v>#N/A</v>
      </c>
      <c r="AI174" t="e">
        <f>VLOOKUP($Z174,'oddspedia-matches'!$A:$AD,AI$2,0)</f>
        <v>#N/A</v>
      </c>
      <c r="AJ174" t="e">
        <f>VLOOKUP($Z174,'oddspedia-matches'!$A:$AD,AJ$2,0)</f>
        <v>#N/A</v>
      </c>
      <c r="AK174" t="e">
        <f>VLOOKUP($Z174,'oddspedia-matches'!$A:$AD,AK$2,0)</f>
        <v>#N/A</v>
      </c>
      <c r="AL174" t="e">
        <f>VLOOKUP($Z174,'oddspedia-matches'!$A:$AD,AL$2,0)</f>
        <v>#N/A</v>
      </c>
      <c r="AM174" t="e">
        <f>VLOOKUP($Z174,'oddspedia-matches'!$A:$AD,AM$2,0)</f>
        <v>#N/A</v>
      </c>
      <c r="AN174" t="e">
        <f>VLOOKUP($Z174,'oddspedia-matches'!$A:$AD,AN$2,0)</f>
        <v>#N/A</v>
      </c>
      <c r="AO174" t="e">
        <f>VLOOKUP($Z174,'oddspedia-matches'!$A:$AD,AO$2,0)</f>
        <v>#N/A</v>
      </c>
      <c r="AP174" t="e">
        <f>VLOOKUP($Z174,'oddspedia-matches'!$A:$AD,AP$2,0)</f>
        <v>#N/A</v>
      </c>
      <c r="AQ174" t="e">
        <f>VLOOKUP($Z174,'oddspedia-matches'!$A:$AD,AQ$2,0)</f>
        <v>#N/A</v>
      </c>
    </row>
    <row r="175" spans="2:43" x14ac:dyDescent="0.2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>
        <f>VLOOKUP(E175,'Transform table'!A:B,2,0)</f>
        <v>0</v>
      </c>
      <c r="Y175" t="str">
        <f>VLOOKUP(F175,'Transform table'!A:B,2,0)</f>
        <v>Shenzhen 2028</v>
      </c>
      <c r="Z175" t="str">
        <f t="shared" si="2"/>
        <v>25/07/20260Shenzhen 2028</v>
      </c>
      <c r="AA175" t="e">
        <f>VLOOKUP($Z175,'oddspedia-matches'!$A:$AD,AA$2,0)</f>
        <v>#N/A</v>
      </c>
      <c r="AB175" t="e">
        <f>VLOOKUP($Z175,'oddspedia-matches'!$A:$AD,AB$2,0)</f>
        <v>#N/A</v>
      </c>
      <c r="AC175" t="e">
        <f>VLOOKUP($Z175,'oddspedia-matches'!$A:$AD,AC$2,0)</f>
        <v>#N/A</v>
      </c>
      <c r="AD175" t="e">
        <f>VLOOKUP($Z175,'oddspedia-matches'!$A:$AD,AD$2,0)</f>
        <v>#N/A</v>
      </c>
      <c r="AE175" t="e">
        <f>VLOOKUP($Z175,'oddspedia-matches'!$A:$AD,AE$2,0)</f>
        <v>#N/A</v>
      </c>
      <c r="AF175" t="e">
        <f>VLOOKUP($Z175,'oddspedia-matches'!$A:$AD,AF$2,0)</f>
        <v>#N/A</v>
      </c>
      <c r="AG175" t="e">
        <f>VLOOKUP($Z175,'oddspedia-matches'!$A:$AD,AG$2,0)</f>
        <v>#N/A</v>
      </c>
      <c r="AH175" t="e">
        <f>VLOOKUP($Z175,'oddspedia-matches'!$A:$AD,AH$2,0)</f>
        <v>#N/A</v>
      </c>
      <c r="AI175" t="e">
        <f>VLOOKUP($Z175,'oddspedia-matches'!$A:$AD,AI$2,0)</f>
        <v>#N/A</v>
      </c>
      <c r="AJ175" t="e">
        <f>VLOOKUP($Z175,'oddspedia-matches'!$A:$AD,AJ$2,0)</f>
        <v>#N/A</v>
      </c>
      <c r="AK175" t="e">
        <f>VLOOKUP($Z175,'oddspedia-matches'!$A:$AD,AK$2,0)</f>
        <v>#N/A</v>
      </c>
      <c r="AL175" t="e">
        <f>VLOOKUP($Z175,'oddspedia-matches'!$A:$AD,AL$2,0)</f>
        <v>#N/A</v>
      </c>
      <c r="AM175" t="e">
        <f>VLOOKUP($Z175,'oddspedia-matches'!$A:$AD,AM$2,0)</f>
        <v>#N/A</v>
      </c>
      <c r="AN175" t="e">
        <f>VLOOKUP($Z175,'oddspedia-matches'!$A:$AD,AN$2,0)</f>
        <v>#N/A</v>
      </c>
      <c r="AO175" t="e">
        <f>VLOOKUP($Z175,'oddspedia-matches'!$A:$AD,AO$2,0)</f>
        <v>#N/A</v>
      </c>
      <c r="AP175" t="e">
        <f>VLOOKUP($Z175,'oddspedia-matches'!$A:$AD,AP$2,0)</f>
        <v>#N/A</v>
      </c>
      <c r="AQ175" t="e">
        <f>VLOOKUP($Z175,'oddspedia-matches'!$A:$AD,AQ$2,0)</f>
        <v>#N/A</v>
      </c>
    </row>
    <row r="176" spans="2:43" x14ac:dyDescent="0.2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>
        <f>VLOOKUP(E176,'Transform table'!A:B,2,0)</f>
        <v>0</v>
      </c>
      <c r="Y176" t="str">
        <f>VLOOKUP(F176,'Transform table'!A:B,2,0)</f>
        <v>Shanghai Segenda</v>
      </c>
      <c r="Z176" t="str">
        <f t="shared" si="2"/>
        <v>25/07/20260Shanghai Segenda</v>
      </c>
      <c r="AA176" t="e">
        <f>VLOOKUP($Z176,'oddspedia-matches'!$A:$AD,AA$2,0)</f>
        <v>#N/A</v>
      </c>
      <c r="AB176" t="e">
        <f>VLOOKUP($Z176,'oddspedia-matches'!$A:$AD,AB$2,0)</f>
        <v>#N/A</v>
      </c>
      <c r="AC176" t="e">
        <f>VLOOKUP($Z176,'oddspedia-matches'!$A:$AD,AC$2,0)</f>
        <v>#N/A</v>
      </c>
      <c r="AD176" t="e">
        <f>VLOOKUP($Z176,'oddspedia-matches'!$A:$AD,AD$2,0)</f>
        <v>#N/A</v>
      </c>
      <c r="AE176" t="e">
        <f>VLOOKUP($Z176,'oddspedia-matches'!$A:$AD,AE$2,0)</f>
        <v>#N/A</v>
      </c>
      <c r="AF176" t="e">
        <f>VLOOKUP($Z176,'oddspedia-matches'!$A:$AD,AF$2,0)</f>
        <v>#N/A</v>
      </c>
      <c r="AG176" t="e">
        <f>VLOOKUP($Z176,'oddspedia-matches'!$A:$AD,AG$2,0)</f>
        <v>#N/A</v>
      </c>
      <c r="AH176" t="e">
        <f>VLOOKUP($Z176,'oddspedia-matches'!$A:$AD,AH$2,0)</f>
        <v>#N/A</v>
      </c>
      <c r="AI176" t="e">
        <f>VLOOKUP($Z176,'oddspedia-matches'!$A:$AD,AI$2,0)</f>
        <v>#N/A</v>
      </c>
      <c r="AJ176" t="e">
        <f>VLOOKUP($Z176,'oddspedia-matches'!$A:$AD,AJ$2,0)</f>
        <v>#N/A</v>
      </c>
      <c r="AK176" t="e">
        <f>VLOOKUP($Z176,'oddspedia-matches'!$A:$AD,AK$2,0)</f>
        <v>#N/A</v>
      </c>
      <c r="AL176" t="e">
        <f>VLOOKUP($Z176,'oddspedia-matches'!$A:$AD,AL$2,0)</f>
        <v>#N/A</v>
      </c>
      <c r="AM176" t="e">
        <f>VLOOKUP($Z176,'oddspedia-matches'!$A:$AD,AM$2,0)</f>
        <v>#N/A</v>
      </c>
      <c r="AN176" t="e">
        <f>VLOOKUP($Z176,'oddspedia-matches'!$A:$AD,AN$2,0)</f>
        <v>#N/A</v>
      </c>
      <c r="AO176" t="e">
        <f>VLOOKUP($Z176,'oddspedia-matches'!$A:$AD,AO$2,0)</f>
        <v>#N/A</v>
      </c>
      <c r="AP176" t="e">
        <f>VLOOKUP($Z176,'oddspedia-matches'!$A:$AD,AP$2,0)</f>
        <v>#N/A</v>
      </c>
      <c r="AQ176" t="e">
        <f>VLOOKUP($Z176,'oddspedia-matches'!$A:$AD,AQ$2,0)</f>
        <v>#N/A</v>
      </c>
    </row>
    <row r="177" spans="2:43" x14ac:dyDescent="0.2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>
        <f>VLOOKUP(E177,'Transform table'!A:B,2,0)</f>
        <v>0</v>
      </c>
      <c r="Y177" t="str">
        <f>VLOOKUP(F177,'Transform table'!A:B,2,0)</f>
        <v>Qingdao Kangtine</v>
      </c>
      <c r="Z177" t="str">
        <f t="shared" si="2"/>
        <v>25/07/20260Qingdao Kangtine</v>
      </c>
      <c r="AA177" t="e">
        <f>VLOOKUP($Z177,'oddspedia-matches'!$A:$AD,AA$2,0)</f>
        <v>#N/A</v>
      </c>
      <c r="AB177" t="e">
        <f>VLOOKUP($Z177,'oddspedia-matches'!$A:$AD,AB$2,0)</f>
        <v>#N/A</v>
      </c>
      <c r="AC177" t="e">
        <f>VLOOKUP($Z177,'oddspedia-matches'!$A:$AD,AC$2,0)</f>
        <v>#N/A</v>
      </c>
      <c r="AD177" t="e">
        <f>VLOOKUP($Z177,'oddspedia-matches'!$A:$AD,AD$2,0)</f>
        <v>#N/A</v>
      </c>
      <c r="AE177" t="e">
        <f>VLOOKUP($Z177,'oddspedia-matches'!$A:$AD,AE$2,0)</f>
        <v>#N/A</v>
      </c>
      <c r="AF177" t="e">
        <f>VLOOKUP($Z177,'oddspedia-matches'!$A:$AD,AF$2,0)</f>
        <v>#N/A</v>
      </c>
      <c r="AG177" t="e">
        <f>VLOOKUP($Z177,'oddspedia-matches'!$A:$AD,AG$2,0)</f>
        <v>#N/A</v>
      </c>
      <c r="AH177" t="e">
        <f>VLOOKUP($Z177,'oddspedia-matches'!$A:$AD,AH$2,0)</f>
        <v>#N/A</v>
      </c>
      <c r="AI177" t="e">
        <f>VLOOKUP($Z177,'oddspedia-matches'!$A:$AD,AI$2,0)</f>
        <v>#N/A</v>
      </c>
      <c r="AJ177" t="e">
        <f>VLOOKUP($Z177,'oddspedia-matches'!$A:$AD,AJ$2,0)</f>
        <v>#N/A</v>
      </c>
      <c r="AK177" t="e">
        <f>VLOOKUP($Z177,'oddspedia-matches'!$A:$AD,AK$2,0)</f>
        <v>#N/A</v>
      </c>
      <c r="AL177" t="e">
        <f>VLOOKUP($Z177,'oddspedia-matches'!$A:$AD,AL$2,0)</f>
        <v>#N/A</v>
      </c>
      <c r="AM177" t="e">
        <f>VLOOKUP($Z177,'oddspedia-matches'!$A:$AD,AM$2,0)</f>
        <v>#N/A</v>
      </c>
      <c r="AN177" t="e">
        <f>VLOOKUP($Z177,'oddspedia-matches'!$A:$AD,AN$2,0)</f>
        <v>#N/A</v>
      </c>
      <c r="AO177" t="e">
        <f>VLOOKUP($Z177,'oddspedia-matches'!$A:$AD,AO$2,0)</f>
        <v>#N/A</v>
      </c>
      <c r="AP177" t="e">
        <f>VLOOKUP($Z177,'oddspedia-matches'!$A:$AD,AP$2,0)</f>
        <v>#N/A</v>
      </c>
      <c r="AQ177" t="e">
        <f>VLOOKUP($Z177,'oddspedia-matches'!$A:$AD,AQ$2,0)</f>
        <v>#N/A</v>
      </c>
    </row>
    <row r="178" spans="2:43" x14ac:dyDescent="0.2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tr">
        <f>VLOOKUP(E178,'Transform table'!A:B,2,0)</f>
        <v>Shanghai Port</v>
      </c>
      <c r="Y178" t="str">
        <f>VLOOKUP(F178,'Transform table'!A:B,2,0)</f>
        <v>Shanghai Greenland Shenhua</v>
      </c>
      <c r="Z178" t="str">
        <f t="shared" si="2"/>
        <v>25/07/2026Shanghai PortShanghai Greenland Shenhua</v>
      </c>
      <c r="AA178" t="str">
        <f>VLOOKUP($Z178,'oddspedia-matches'!$A:$AD,AA$2,0)</f>
        <v>2 - 0</v>
      </c>
      <c r="AB178" t="str">
        <f>VLOOKUP($Z178,'oddspedia-matches'!$A:$AD,AB$2,0)</f>
        <v>Green</v>
      </c>
      <c r="AC178" t="str">
        <f>VLOOKUP($Z178,'oddspedia-matches'!$A:$AD,AC$2,0)</f>
        <v>Red</v>
      </c>
      <c r="AD178" t="str">
        <f>VLOOKUP($Z178,'oddspedia-matches'!$A:$AD,AD$2,0)</f>
        <v>Red</v>
      </c>
      <c r="AE178" t="str">
        <f>VLOOKUP($Z178,'oddspedia-matches'!$A:$AD,AE$2,0)</f>
        <v>Green</v>
      </c>
      <c r="AF178" t="str">
        <f>VLOOKUP($Z178,'oddspedia-matches'!$A:$AD,AF$2,0)</f>
        <v>Red</v>
      </c>
      <c r="AG178" t="str">
        <f>VLOOKUP($Z178,'oddspedia-matches'!$A:$AD,AG$2,0)</f>
        <v>Green</v>
      </c>
      <c r="AH178" t="str">
        <f>VLOOKUP($Z178,'oddspedia-matches'!$A:$AD,AH$2,0)</f>
        <v>Green</v>
      </c>
      <c r="AI178" t="str">
        <f>VLOOKUP($Z178,'oddspedia-matches'!$A:$AD,AI$2,0)</f>
        <v>Red</v>
      </c>
      <c r="AJ178" t="str">
        <f>VLOOKUP($Z178,'oddspedia-matches'!$A:$AD,AJ$2,0)</f>
        <v>Red</v>
      </c>
      <c r="AK178" t="str">
        <f>VLOOKUP($Z178,'oddspedia-matches'!$A:$AD,AK$2,0)</f>
        <v>Green</v>
      </c>
      <c r="AL178" t="str">
        <f>VLOOKUP($Z178,'oddspedia-matches'!$A:$AD,AL$2,0)</f>
        <v>Green</v>
      </c>
      <c r="AM178" t="str">
        <f>VLOOKUP($Z178,'oddspedia-matches'!$A:$AD,AM$2,0)</f>
        <v>Red</v>
      </c>
      <c r="AN178" t="str">
        <f>VLOOKUP($Z178,'oddspedia-matches'!$A:$AD,AN$2,0)</f>
        <v>Green</v>
      </c>
      <c r="AO178" t="str">
        <f>VLOOKUP($Z178,'oddspedia-matches'!$A:$AD,AO$2,0)</f>
        <v>Green</v>
      </c>
      <c r="AP178" t="str">
        <f>VLOOKUP($Z178,'oddspedia-matches'!$A:$AD,AP$2,0)</f>
        <v>Red</v>
      </c>
      <c r="AQ178" t="str">
        <f>VLOOKUP($Z178,'oddspedia-matches'!$A:$AD,AQ$2,0)</f>
        <v>Green</v>
      </c>
    </row>
    <row r="179" spans="2:43" x14ac:dyDescent="0.2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>
        <f>VLOOKUP(E179,'Transform table'!A:B,2,0)</f>
        <v>0</v>
      </c>
      <c r="Y179" t="str">
        <f>VLOOKUP(F179,'Transform table'!A:B,2,0)</f>
        <v>Irtysh Pavlodar</v>
      </c>
      <c r="Z179" t="str">
        <f t="shared" si="2"/>
        <v>25/07/20260Irtysh Pavlodar</v>
      </c>
      <c r="AA179" t="e">
        <f>VLOOKUP($Z179,'oddspedia-matches'!$A:$AD,AA$2,0)</f>
        <v>#N/A</v>
      </c>
      <c r="AB179" t="e">
        <f>VLOOKUP($Z179,'oddspedia-matches'!$A:$AD,AB$2,0)</f>
        <v>#N/A</v>
      </c>
      <c r="AC179" t="e">
        <f>VLOOKUP($Z179,'oddspedia-matches'!$A:$AD,AC$2,0)</f>
        <v>#N/A</v>
      </c>
      <c r="AD179" t="e">
        <f>VLOOKUP($Z179,'oddspedia-matches'!$A:$AD,AD$2,0)</f>
        <v>#N/A</v>
      </c>
      <c r="AE179" t="e">
        <f>VLOOKUP($Z179,'oddspedia-matches'!$A:$AD,AE$2,0)</f>
        <v>#N/A</v>
      </c>
      <c r="AF179" t="e">
        <f>VLOOKUP($Z179,'oddspedia-matches'!$A:$AD,AF$2,0)</f>
        <v>#N/A</v>
      </c>
      <c r="AG179" t="e">
        <f>VLOOKUP($Z179,'oddspedia-matches'!$A:$AD,AG$2,0)</f>
        <v>#N/A</v>
      </c>
      <c r="AH179" t="e">
        <f>VLOOKUP($Z179,'oddspedia-matches'!$A:$AD,AH$2,0)</f>
        <v>#N/A</v>
      </c>
      <c r="AI179" t="e">
        <f>VLOOKUP($Z179,'oddspedia-matches'!$A:$AD,AI$2,0)</f>
        <v>#N/A</v>
      </c>
      <c r="AJ179" t="e">
        <f>VLOOKUP($Z179,'oddspedia-matches'!$A:$AD,AJ$2,0)</f>
        <v>#N/A</v>
      </c>
      <c r="AK179" t="e">
        <f>VLOOKUP($Z179,'oddspedia-matches'!$A:$AD,AK$2,0)</f>
        <v>#N/A</v>
      </c>
      <c r="AL179" t="e">
        <f>VLOOKUP($Z179,'oddspedia-matches'!$A:$AD,AL$2,0)</f>
        <v>#N/A</v>
      </c>
      <c r="AM179" t="e">
        <f>VLOOKUP($Z179,'oddspedia-matches'!$A:$AD,AM$2,0)</f>
        <v>#N/A</v>
      </c>
      <c r="AN179" t="e">
        <f>VLOOKUP($Z179,'oddspedia-matches'!$A:$AD,AN$2,0)</f>
        <v>#N/A</v>
      </c>
      <c r="AO179" t="e">
        <f>VLOOKUP($Z179,'oddspedia-matches'!$A:$AD,AO$2,0)</f>
        <v>#N/A</v>
      </c>
      <c r="AP179" t="e">
        <f>VLOOKUP($Z179,'oddspedia-matches'!$A:$AD,AP$2,0)</f>
        <v>#N/A</v>
      </c>
      <c r="AQ179" t="e">
        <f>VLOOKUP($Z179,'oddspedia-matches'!$A:$AD,AQ$2,0)</f>
        <v>#N/A</v>
      </c>
    </row>
    <row r="180" spans="2:43" x14ac:dyDescent="0.2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tr">
        <f>VLOOKUP(E180,'Transform table'!A:B,2,0)</f>
        <v>Wuhan Three Towns</v>
      </c>
      <c r="Y180" t="str">
        <f>VLOOKUP(F180,'Transform table'!A:B,2,0)</f>
        <v>Chongqing Tonglianglong</v>
      </c>
      <c r="Z180" t="str">
        <f t="shared" si="2"/>
        <v>25/07/2026Wuhan Three TownsChongqing Tonglianglong</v>
      </c>
      <c r="AA180" t="str">
        <f>VLOOKUP($Z180,'oddspedia-matches'!$A:$AD,AA$2,0)</f>
        <v>1 - 0</v>
      </c>
      <c r="AB180" t="str">
        <f>VLOOKUP($Z180,'oddspedia-matches'!$A:$AD,AB$2,0)</f>
        <v>Green</v>
      </c>
      <c r="AC180" t="str">
        <f>VLOOKUP($Z180,'oddspedia-matches'!$A:$AD,AC$2,0)</f>
        <v>Red</v>
      </c>
      <c r="AD180" t="str">
        <f>VLOOKUP($Z180,'oddspedia-matches'!$A:$AD,AD$2,0)</f>
        <v>Red</v>
      </c>
      <c r="AE180" t="str">
        <f>VLOOKUP($Z180,'oddspedia-matches'!$A:$AD,AE$2,0)</f>
        <v>Green</v>
      </c>
      <c r="AF180" t="str">
        <f>VLOOKUP($Z180,'oddspedia-matches'!$A:$AD,AF$2,0)</f>
        <v>Red</v>
      </c>
      <c r="AG180" t="str">
        <f>VLOOKUP($Z180,'oddspedia-matches'!$A:$AD,AG$2,0)</f>
        <v>Green</v>
      </c>
      <c r="AH180" t="str">
        <f>VLOOKUP($Z180,'oddspedia-matches'!$A:$AD,AH$2,0)</f>
        <v>Green</v>
      </c>
      <c r="AI180" t="str">
        <f>VLOOKUP($Z180,'oddspedia-matches'!$A:$AD,AI$2,0)</f>
        <v>Red</v>
      </c>
      <c r="AJ180" t="str">
        <f>VLOOKUP($Z180,'oddspedia-matches'!$A:$AD,AJ$2,0)</f>
        <v>Red</v>
      </c>
      <c r="AK180" t="str">
        <f>VLOOKUP($Z180,'oddspedia-matches'!$A:$AD,AK$2,0)</f>
        <v>Green</v>
      </c>
      <c r="AL180" t="str">
        <f>VLOOKUP($Z180,'oddspedia-matches'!$A:$AD,AL$2,0)</f>
        <v>Red</v>
      </c>
      <c r="AM180" t="str">
        <f>VLOOKUP($Z180,'oddspedia-matches'!$A:$AD,AM$2,0)</f>
        <v>Red</v>
      </c>
      <c r="AN180" t="str">
        <f>VLOOKUP($Z180,'oddspedia-matches'!$A:$AD,AN$2,0)</f>
        <v>Green</v>
      </c>
      <c r="AO180" t="str">
        <f>VLOOKUP($Z180,'oddspedia-matches'!$A:$AD,AO$2,0)</f>
        <v>Green</v>
      </c>
      <c r="AP180" t="str">
        <f>VLOOKUP($Z180,'oddspedia-matches'!$A:$AD,AP$2,0)</f>
        <v>Red</v>
      </c>
      <c r="AQ180" t="str">
        <f>VLOOKUP($Z180,'oddspedia-matches'!$A:$AD,AQ$2,0)</f>
        <v>Green</v>
      </c>
    </row>
    <row r="181" spans="2:43" x14ac:dyDescent="0.2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tr">
        <f>VLOOKUP(E181,'Transform table'!A:B,2,0)</f>
        <v>Hardrock</v>
      </c>
      <c r="Y181" t="str">
        <f>VLOOKUP(F181,'Transform table'!A:B,2,0)</f>
        <v>Kapylan Pallo</v>
      </c>
      <c r="Z181" t="str">
        <f t="shared" si="2"/>
        <v>25/07/2026HardrockKapylan Pallo</v>
      </c>
      <c r="AA181" t="e">
        <f>VLOOKUP($Z181,'oddspedia-matches'!$A:$AD,AA$2,0)</f>
        <v>#N/A</v>
      </c>
      <c r="AB181" t="e">
        <f>VLOOKUP($Z181,'oddspedia-matches'!$A:$AD,AB$2,0)</f>
        <v>#N/A</v>
      </c>
      <c r="AC181" t="e">
        <f>VLOOKUP($Z181,'oddspedia-matches'!$A:$AD,AC$2,0)</f>
        <v>#N/A</v>
      </c>
      <c r="AD181" t="e">
        <f>VLOOKUP($Z181,'oddspedia-matches'!$A:$AD,AD$2,0)</f>
        <v>#N/A</v>
      </c>
      <c r="AE181" t="e">
        <f>VLOOKUP($Z181,'oddspedia-matches'!$A:$AD,AE$2,0)</f>
        <v>#N/A</v>
      </c>
      <c r="AF181" t="e">
        <f>VLOOKUP($Z181,'oddspedia-matches'!$A:$AD,AF$2,0)</f>
        <v>#N/A</v>
      </c>
      <c r="AG181" t="e">
        <f>VLOOKUP($Z181,'oddspedia-matches'!$A:$AD,AG$2,0)</f>
        <v>#N/A</v>
      </c>
      <c r="AH181" t="e">
        <f>VLOOKUP($Z181,'oddspedia-matches'!$A:$AD,AH$2,0)</f>
        <v>#N/A</v>
      </c>
      <c r="AI181" t="e">
        <f>VLOOKUP($Z181,'oddspedia-matches'!$A:$AD,AI$2,0)</f>
        <v>#N/A</v>
      </c>
      <c r="AJ181" t="e">
        <f>VLOOKUP($Z181,'oddspedia-matches'!$A:$AD,AJ$2,0)</f>
        <v>#N/A</v>
      </c>
      <c r="AK181" t="e">
        <f>VLOOKUP($Z181,'oddspedia-matches'!$A:$AD,AK$2,0)</f>
        <v>#N/A</v>
      </c>
      <c r="AL181" t="e">
        <f>VLOOKUP($Z181,'oddspedia-matches'!$A:$AD,AL$2,0)</f>
        <v>#N/A</v>
      </c>
      <c r="AM181" t="e">
        <f>VLOOKUP($Z181,'oddspedia-matches'!$A:$AD,AM$2,0)</f>
        <v>#N/A</v>
      </c>
      <c r="AN181" t="e">
        <f>VLOOKUP($Z181,'oddspedia-matches'!$A:$AD,AN$2,0)</f>
        <v>#N/A</v>
      </c>
      <c r="AO181" t="e">
        <f>VLOOKUP($Z181,'oddspedia-matches'!$A:$AD,AO$2,0)</f>
        <v>#N/A</v>
      </c>
      <c r="AP181" t="e">
        <f>VLOOKUP($Z181,'oddspedia-matches'!$A:$AD,AP$2,0)</f>
        <v>#N/A</v>
      </c>
      <c r="AQ181" t="e">
        <f>VLOOKUP($Z181,'oddspedia-matches'!$A:$AD,AQ$2,0)</f>
        <v>#N/A</v>
      </c>
    </row>
    <row r="182" spans="2:43" x14ac:dyDescent="0.2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>
        <f>VLOOKUP(E182,'Transform table'!A:B,2,0)</f>
        <v>0</v>
      </c>
      <c r="Y182" t="str">
        <f>VLOOKUP(F182,'Transform table'!A:B,2,0)</f>
        <v>Hegelmann Litauen II</v>
      </c>
      <c r="Z182" t="str">
        <f t="shared" si="2"/>
        <v>25/07/20260Hegelmann Litauen II</v>
      </c>
      <c r="AA182" t="e">
        <f>VLOOKUP($Z182,'oddspedia-matches'!$A:$AD,AA$2,0)</f>
        <v>#N/A</v>
      </c>
      <c r="AB182" t="e">
        <f>VLOOKUP($Z182,'oddspedia-matches'!$A:$AD,AB$2,0)</f>
        <v>#N/A</v>
      </c>
      <c r="AC182" t="e">
        <f>VLOOKUP($Z182,'oddspedia-matches'!$A:$AD,AC$2,0)</f>
        <v>#N/A</v>
      </c>
      <c r="AD182" t="e">
        <f>VLOOKUP($Z182,'oddspedia-matches'!$A:$AD,AD$2,0)</f>
        <v>#N/A</v>
      </c>
      <c r="AE182" t="e">
        <f>VLOOKUP($Z182,'oddspedia-matches'!$A:$AD,AE$2,0)</f>
        <v>#N/A</v>
      </c>
      <c r="AF182" t="e">
        <f>VLOOKUP($Z182,'oddspedia-matches'!$A:$AD,AF$2,0)</f>
        <v>#N/A</v>
      </c>
      <c r="AG182" t="e">
        <f>VLOOKUP($Z182,'oddspedia-matches'!$A:$AD,AG$2,0)</f>
        <v>#N/A</v>
      </c>
      <c r="AH182" t="e">
        <f>VLOOKUP($Z182,'oddspedia-matches'!$A:$AD,AH$2,0)</f>
        <v>#N/A</v>
      </c>
      <c r="AI182" t="e">
        <f>VLOOKUP($Z182,'oddspedia-matches'!$A:$AD,AI$2,0)</f>
        <v>#N/A</v>
      </c>
      <c r="AJ182" t="e">
        <f>VLOOKUP($Z182,'oddspedia-matches'!$A:$AD,AJ$2,0)</f>
        <v>#N/A</v>
      </c>
      <c r="AK182" t="e">
        <f>VLOOKUP($Z182,'oddspedia-matches'!$A:$AD,AK$2,0)</f>
        <v>#N/A</v>
      </c>
      <c r="AL182" t="e">
        <f>VLOOKUP($Z182,'oddspedia-matches'!$A:$AD,AL$2,0)</f>
        <v>#N/A</v>
      </c>
      <c r="AM182" t="e">
        <f>VLOOKUP($Z182,'oddspedia-matches'!$A:$AD,AM$2,0)</f>
        <v>#N/A</v>
      </c>
      <c r="AN182" t="e">
        <f>VLOOKUP($Z182,'oddspedia-matches'!$A:$AD,AN$2,0)</f>
        <v>#N/A</v>
      </c>
      <c r="AO182" t="e">
        <f>VLOOKUP($Z182,'oddspedia-matches'!$A:$AD,AO$2,0)</f>
        <v>#N/A</v>
      </c>
      <c r="AP182" t="e">
        <f>VLOOKUP($Z182,'oddspedia-matches'!$A:$AD,AP$2,0)</f>
        <v>#N/A</v>
      </c>
      <c r="AQ182" t="e">
        <f>VLOOKUP($Z182,'oddspedia-matches'!$A:$AD,AQ$2,0)</f>
        <v>#N/A</v>
      </c>
    </row>
    <row r="183" spans="2:43" x14ac:dyDescent="0.2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tr">
        <f>VLOOKUP(E183,'Transform table'!A:B,2,0)</f>
        <v>Zira IK</v>
      </c>
      <c r="Y183" t="str">
        <f>VLOOKUP(F183,'Transform table'!A:B,2,0)</f>
        <v>FK Kyzylzhar</v>
      </c>
      <c r="Z183" t="str">
        <f t="shared" si="2"/>
        <v>25/07/2026Zira IKFK Kyzylzhar</v>
      </c>
      <c r="AA183" t="e">
        <f>VLOOKUP($Z183,'oddspedia-matches'!$A:$AD,AA$2,0)</f>
        <v>#N/A</v>
      </c>
      <c r="AB183" t="e">
        <f>VLOOKUP($Z183,'oddspedia-matches'!$A:$AD,AB$2,0)</f>
        <v>#N/A</v>
      </c>
      <c r="AC183" t="e">
        <f>VLOOKUP($Z183,'oddspedia-matches'!$A:$AD,AC$2,0)</f>
        <v>#N/A</v>
      </c>
      <c r="AD183" t="e">
        <f>VLOOKUP($Z183,'oddspedia-matches'!$A:$AD,AD$2,0)</f>
        <v>#N/A</v>
      </c>
      <c r="AE183" t="e">
        <f>VLOOKUP($Z183,'oddspedia-matches'!$A:$AD,AE$2,0)</f>
        <v>#N/A</v>
      </c>
      <c r="AF183" t="e">
        <f>VLOOKUP($Z183,'oddspedia-matches'!$A:$AD,AF$2,0)</f>
        <v>#N/A</v>
      </c>
      <c r="AG183" t="e">
        <f>VLOOKUP($Z183,'oddspedia-matches'!$A:$AD,AG$2,0)</f>
        <v>#N/A</v>
      </c>
      <c r="AH183" t="e">
        <f>VLOOKUP($Z183,'oddspedia-matches'!$A:$AD,AH$2,0)</f>
        <v>#N/A</v>
      </c>
      <c r="AI183" t="e">
        <f>VLOOKUP($Z183,'oddspedia-matches'!$A:$AD,AI$2,0)</f>
        <v>#N/A</v>
      </c>
      <c r="AJ183" t="e">
        <f>VLOOKUP($Z183,'oddspedia-matches'!$A:$AD,AJ$2,0)</f>
        <v>#N/A</v>
      </c>
      <c r="AK183" t="e">
        <f>VLOOKUP($Z183,'oddspedia-matches'!$A:$AD,AK$2,0)</f>
        <v>#N/A</v>
      </c>
      <c r="AL183" t="e">
        <f>VLOOKUP($Z183,'oddspedia-matches'!$A:$AD,AL$2,0)</f>
        <v>#N/A</v>
      </c>
      <c r="AM183" t="e">
        <f>VLOOKUP($Z183,'oddspedia-matches'!$A:$AD,AM$2,0)</f>
        <v>#N/A</v>
      </c>
      <c r="AN183" t="e">
        <f>VLOOKUP($Z183,'oddspedia-matches'!$A:$AD,AN$2,0)</f>
        <v>#N/A</v>
      </c>
      <c r="AO183" t="e">
        <f>VLOOKUP($Z183,'oddspedia-matches'!$A:$AD,AO$2,0)</f>
        <v>#N/A</v>
      </c>
      <c r="AP183" t="e">
        <f>VLOOKUP($Z183,'oddspedia-matches'!$A:$AD,AP$2,0)</f>
        <v>#N/A</v>
      </c>
      <c r="AQ183" t="e">
        <f>VLOOKUP($Z183,'oddspedia-matches'!$A:$AD,AQ$2,0)</f>
        <v>#N/A</v>
      </c>
    </row>
    <row r="184" spans="2:43" x14ac:dyDescent="0.2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tr">
        <f>VLOOKUP(E184,'Transform table'!A:B,2,0)</f>
        <v>JaPS II</v>
      </c>
      <c r="Y184" t="str">
        <f>VLOOKUP(F184,'Transform table'!A:B,2,0)</f>
        <v>Klubi 04</v>
      </c>
      <c r="Z184" t="str">
        <f t="shared" si="2"/>
        <v>25/07/2026JaPS IIKlubi 04</v>
      </c>
      <c r="AA184" t="e">
        <f>VLOOKUP($Z184,'oddspedia-matches'!$A:$AD,AA$2,0)</f>
        <v>#N/A</v>
      </c>
      <c r="AB184" t="e">
        <f>VLOOKUP($Z184,'oddspedia-matches'!$A:$AD,AB$2,0)</f>
        <v>#N/A</v>
      </c>
      <c r="AC184" t="e">
        <f>VLOOKUP($Z184,'oddspedia-matches'!$A:$AD,AC$2,0)</f>
        <v>#N/A</v>
      </c>
      <c r="AD184" t="e">
        <f>VLOOKUP($Z184,'oddspedia-matches'!$A:$AD,AD$2,0)</f>
        <v>#N/A</v>
      </c>
      <c r="AE184" t="e">
        <f>VLOOKUP($Z184,'oddspedia-matches'!$A:$AD,AE$2,0)</f>
        <v>#N/A</v>
      </c>
      <c r="AF184" t="e">
        <f>VLOOKUP($Z184,'oddspedia-matches'!$A:$AD,AF$2,0)</f>
        <v>#N/A</v>
      </c>
      <c r="AG184" t="e">
        <f>VLOOKUP($Z184,'oddspedia-matches'!$A:$AD,AG$2,0)</f>
        <v>#N/A</v>
      </c>
      <c r="AH184" t="e">
        <f>VLOOKUP($Z184,'oddspedia-matches'!$A:$AD,AH$2,0)</f>
        <v>#N/A</v>
      </c>
      <c r="AI184" t="e">
        <f>VLOOKUP($Z184,'oddspedia-matches'!$A:$AD,AI$2,0)</f>
        <v>#N/A</v>
      </c>
      <c r="AJ184" t="e">
        <f>VLOOKUP($Z184,'oddspedia-matches'!$A:$AD,AJ$2,0)</f>
        <v>#N/A</v>
      </c>
      <c r="AK184" t="e">
        <f>VLOOKUP($Z184,'oddspedia-matches'!$A:$AD,AK$2,0)</f>
        <v>#N/A</v>
      </c>
      <c r="AL184" t="e">
        <f>VLOOKUP($Z184,'oddspedia-matches'!$A:$AD,AL$2,0)</f>
        <v>#N/A</v>
      </c>
      <c r="AM184" t="e">
        <f>VLOOKUP($Z184,'oddspedia-matches'!$A:$AD,AM$2,0)</f>
        <v>#N/A</v>
      </c>
      <c r="AN184" t="e">
        <f>VLOOKUP($Z184,'oddspedia-matches'!$A:$AD,AN$2,0)</f>
        <v>#N/A</v>
      </c>
      <c r="AO184" t="e">
        <f>VLOOKUP($Z184,'oddspedia-matches'!$A:$AD,AO$2,0)</f>
        <v>#N/A</v>
      </c>
      <c r="AP184" t="e">
        <f>VLOOKUP($Z184,'oddspedia-matches'!$A:$AD,AP$2,0)</f>
        <v>#N/A</v>
      </c>
      <c r="AQ184" t="e">
        <f>VLOOKUP($Z184,'oddspedia-matches'!$A:$AD,AQ$2,0)</f>
        <v>#N/A</v>
      </c>
    </row>
    <row r="185" spans="2:43" x14ac:dyDescent="0.2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tr">
        <f>VLOOKUP(E185,'Transform table'!A:B,2,0)</f>
        <v>MFC Zhytomyr</v>
      </c>
      <c r="Y185" t="str">
        <f>VLOOKUP(F185,'Transform table'!A:B,2,0)</f>
        <v>KTP</v>
      </c>
      <c r="Z185" t="str">
        <f t="shared" si="2"/>
        <v>25/07/2026MFC ZhytomyrKTP</v>
      </c>
      <c r="AA185" t="e">
        <f>VLOOKUP($Z185,'oddspedia-matches'!$A:$AD,AA$2,0)</f>
        <v>#N/A</v>
      </c>
      <c r="AB185" t="e">
        <f>VLOOKUP($Z185,'oddspedia-matches'!$A:$AD,AB$2,0)</f>
        <v>#N/A</v>
      </c>
      <c r="AC185" t="e">
        <f>VLOOKUP($Z185,'oddspedia-matches'!$A:$AD,AC$2,0)</f>
        <v>#N/A</v>
      </c>
      <c r="AD185" t="e">
        <f>VLOOKUP($Z185,'oddspedia-matches'!$A:$AD,AD$2,0)</f>
        <v>#N/A</v>
      </c>
      <c r="AE185" t="e">
        <f>VLOOKUP($Z185,'oddspedia-matches'!$A:$AD,AE$2,0)</f>
        <v>#N/A</v>
      </c>
      <c r="AF185" t="e">
        <f>VLOOKUP($Z185,'oddspedia-matches'!$A:$AD,AF$2,0)</f>
        <v>#N/A</v>
      </c>
      <c r="AG185" t="e">
        <f>VLOOKUP($Z185,'oddspedia-matches'!$A:$AD,AG$2,0)</f>
        <v>#N/A</v>
      </c>
      <c r="AH185" t="e">
        <f>VLOOKUP($Z185,'oddspedia-matches'!$A:$AD,AH$2,0)</f>
        <v>#N/A</v>
      </c>
      <c r="AI185" t="e">
        <f>VLOOKUP($Z185,'oddspedia-matches'!$A:$AD,AI$2,0)</f>
        <v>#N/A</v>
      </c>
      <c r="AJ185" t="e">
        <f>VLOOKUP($Z185,'oddspedia-matches'!$A:$AD,AJ$2,0)</f>
        <v>#N/A</v>
      </c>
      <c r="AK185" t="e">
        <f>VLOOKUP($Z185,'oddspedia-matches'!$A:$AD,AK$2,0)</f>
        <v>#N/A</v>
      </c>
      <c r="AL185" t="e">
        <f>VLOOKUP($Z185,'oddspedia-matches'!$A:$AD,AL$2,0)</f>
        <v>#N/A</v>
      </c>
      <c r="AM185" t="e">
        <f>VLOOKUP($Z185,'oddspedia-matches'!$A:$AD,AM$2,0)</f>
        <v>#N/A</v>
      </c>
      <c r="AN185" t="e">
        <f>VLOOKUP($Z185,'oddspedia-matches'!$A:$AD,AN$2,0)</f>
        <v>#N/A</v>
      </c>
      <c r="AO185" t="e">
        <f>VLOOKUP($Z185,'oddspedia-matches'!$A:$AD,AO$2,0)</f>
        <v>#N/A</v>
      </c>
      <c r="AP185" t="e">
        <f>VLOOKUP($Z185,'oddspedia-matches'!$A:$AD,AP$2,0)</f>
        <v>#N/A</v>
      </c>
      <c r="AQ185" t="e">
        <f>VLOOKUP($Z185,'oddspedia-matches'!$A:$AD,AQ$2,0)</f>
        <v>#N/A</v>
      </c>
    </row>
    <row r="186" spans="2:43" x14ac:dyDescent="0.2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tr">
        <f>VLOOKUP(E186,'Transform table'!A:B,2,0)</f>
        <v>SJK-j Apollo</v>
      </c>
      <c r="Y186" t="str">
        <f>VLOOKUP(F186,'Transform table'!A:B,2,0)</f>
        <v>EIF</v>
      </c>
      <c r="Z186" t="str">
        <f t="shared" si="2"/>
        <v>25/07/2026SJK-j ApolloEIF</v>
      </c>
      <c r="AA186" t="e">
        <f>VLOOKUP($Z186,'oddspedia-matches'!$A:$AD,AA$2,0)</f>
        <v>#N/A</v>
      </c>
      <c r="AB186" t="e">
        <f>VLOOKUP($Z186,'oddspedia-matches'!$A:$AD,AB$2,0)</f>
        <v>#N/A</v>
      </c>
      <c r="AC186" t="e">
        <f>VLOOKUP($Z186,'oddspedia-matches'!$A:$AD,AC$2,0)</f>
        <v>#N/A</v>
      </c>
      <c r="AD186" t="e">
        <f>VLOOKUP($Z186,'oddspedia-matches'!$A:$AD,AD$2,0)</f>
        <v>#N/A</v>
      </c>
      <c r="AE186" t="e">
        <f>VLOOKUP($Z186,'oddspedia-matches'!$A:$AD,AE$2,0)</f>
        <v>#N/A</v>
      </c>
      <c r="AF186" t="e">
        <f>VLOOKUP($Z186,'oddspedia-matches'!$A:$AD,AF$2,0)</f>
        <v>#N/A</v>
      </c>
      <c r="AG186" t="e">
        <f>VLOOKUP($Z186,'oddspedia-matches'!$A:$AD,AG$2,0)</f>
        <v>#N/A</v>
      </c>
      <c r="AH186" t="e">
        <f>VLOOKUP($Z186,'oddspedia-matches'!$A:$AD,AH$2,0)</f>
        <v>#N/A</v>
      </c>
      <c r="AI186" t="e">
        <f>VLOOKUP($Z186,'oddspedia-matches'!$A:$AD,AI$2,0)</f>
        <v>#N/A</v>
      </c>
      <c r="AJ186" t="e">
        <f>VLOOKUP($Z186,'oddspedia-matches'!$A:$AD,AJ$2,0)</f>
        <v>#N/A</v>
      </c>
      <c r="AK186" t="e">
        <f>VLOOKUP($Z186,'oddspedia-matches'!$A:$AD,AK$2,0)</f>
        <v>#N/A</v>
      </c>
      <c r="AL186" t="e">
        <f>VLOOKUP($Z186,'oddspedia-matches'!$A:$AD,AL$2,0)</f>
        <v>#N/A</v>
      </c>
      <c r="AM186" t="e">
        <f>VLOOKUP($Z186,'oddspedia-matches'!$A:$AD,AM$2,0)</f>
        <v>#N/A</v>
      </c>
      <c r="AN186" t="e">
        <f>VLOOKUP($Z186,'oddspedia-matches'!$A:$AD,AN$2,0)</f>
        <v>#N/A</v>
      </c>
      <c r="AO186" t="e">
        <f>VLOOKUP($Z186,'oddspedia-matches'!$A:$AD,AO$2,0)</f>
        <v>#N/A</v>
      </c>
      <c r="AP186" t="e">
        <f>VLOOKUP($Z186,'oddspedia-matches'!$A:$AD,AP$2,0)</f>
        <v>#N/A</v>
      </c>
      <c r="AQ186" t="e">
        <f>VLOOKUP($Z186,'oddspedia-matches'!$A:$AD,AQ$2,0)</f>
        <v>#N/A</v>
      </c>
    </row>
    <row r="187" spans="2:43" x14ac:dyDescent="0.2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>
        <f>VLOOKUP(E187,'Transform table'!A:B,2,0)</f>
        <v>0</v>
      </c>
      <c r="Y187" t="str">
        <f>VLOOKUP(F187,'Transform table'!A:B,2,0)</f>
        <v>SK Super Nova II</v>
      </c>
      <c r="Z187" t="str">
        <f t="shared" si="2"/>
        <v>25/07/20260SK Super Nova II</v>
      </c>
      <c r="AA187" t="e">
        <f>VLOOKUP($Z187,'oddspedia-matches'!$A:$AD,AA$2,0)</f>
        <v>#N/A</v>
      </c>
      <c r="AB187" t="e">
        <f>VLOOKUP($Z187,'oddspedia-matches'!$A:$AD,AB$2,0)</f>
        <v>#N/A</v>
      </c>
      <c r="AC187" t="e">
        <f>VLOOKUP($Z187,'oddspedia-matches'!$A:$AD,AC$2,0)</f>
        <v>#N/A</v>
      </c>
      <c r="AD187" t="e">
        <f>VLOOKUP($Z187,'oddspedia-matches'!$A:$AD,AD$2,0)</f>
        <v>#N/A</v>
      </c>
      <c r="AE187" t="e">
        <f>VLOOKUP($Z187,'oddspedia-matches'!$A:$AD,AE$2,0)</f>
        <v>#N/A</v>
      </c>
      <c r="AF187" t="e">
        <f>VLOOKUP($Z187,'oddspedia-matches'!$A:$AD,AF$2,0)</f>
        <v>#N/A</v>
      </c>
      <c r="AG187" t="e">
        <f>VLOOKUP($Z187,'oddspedia-matches'!$A:$AD,AG$2,0)</f>
        <v>#N/A</v>
      </c>
      <c r="AH187" t="e">
        <f>VLOOKUP($Z187,'oddspedia-matches'!$A:$AD,AH$2,0)</f>
        <v>#N/A</v>
      </c>
      <c r="AI187" t="e">
        <f>VLOOKUP($Z187,'oddspedia-matches'!$A:$AD,AI$2,0)</f>
        <v>#N/A</v>
      </c>
      <c r="AJ187" t="e">
        <f>VLOOKUP($Z187,'oddspedia-matches'!$A:$AD,AJ$2,0)</f>
        <v>#N/A</v>
      </c>
      <c r="AK187" t="e">
        <f>VLOOKUP($Z187,'oddspedia-matches'!$A:$AD,AK$2,0)</f>
        <v>#N/A</v>
      </c>
      <c r="AL187" t="e">
        <f>VLOOKUP($Z187,'oddspedia-matches'!$A:$AD,AL$2,0)</f>
        <v>#N/A</v>
      </c>
      <c r="AM187" t="e">
        <f>VLOOKUP($Z187,'oddspedia-matches'!$A:$AD,AM$2,0)</f>
        <v>#N/A</v>
      </c>
      <c r="AN187" t="e">
        <f>VLOOKUP($Z187,'oddspedia-matches'!$A:$AD,AN$2,0)</f>
        <v>#N/A</v>
      </c>
      <c r="AO187" t="e">
        <f>VLOOKUP($Z187,'oddspedia-matches'!$A:$AD,AO$2,0)</f>
        <v>#N/A</v>
      </c>
      <c r="AP187" t="e">
        <f>VLOOKUP($Z187,'oddspedia-matches'!$A:$AD,AP$2,0)</f>
        <v>#N/A</v>
      </c>
      <c r="AQ187" t="e">
        <f>VLOOKUP($Z187,'oddspedia-matches'!$A:$AD,AQ$2,0)</f>
        <v>#N/A</v>
      </c>
    </row>
    <row r="188" spans="2:43" x14ac:dyDescent="0.2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tr">
        <f>VLOOKUP(E188,'Transform table'!A:B,2,0)</f>
        <v>Dagenham &amp; Redbridge</v>
      </c>
      <c r="Y188" t="str">
        <f>VLOOKUP(F188,'Transform table'!A:B,2,0)</f>
        <v>Djurgardens IF</v>
      </c>
      <c r="Z188" t="str">
        <f t="shared" si="2"/>
        <v>25/07/2026Dagenham &amp; RedbridgeDjurgardens IF</v>
      </c>
      <c r="AA188" t="e">
        <f>VLOOKUP($Z188,'oddspedia-matches'!$A:$AD,AA$2,0)</f>
        <v>#N/A</v>
      </c>
      <c r="AB188" t="e">
        <f>VLOOKUP($Z188,'oddspedia-matches'!$A:$AD,AB$2,0)</f>
        <v>#N/A</v>
      </c>
      <c r="AC188" t="e">
        <f>VLOOKUP($Z188,'oddspedia-matches'!$A:$AD,AC$2,0)</f>
        <v>#N/A</v>
      </c>
      <c r="AD188" t="e">
        <f>VLOOKUP($Z188,'oddspedia-matches'!$A:$AD,AD$2,0)</f>
        <v>#N/A</v>
      </c>
      <c r="AE188" t="e">
        <f>VLOOKUP($Z188,'oddspedia-matches'!$A:$AD,AE$2,0)</f>
        <v>#N/A</v>
      </c>
      <c r="AF188" t="e">
        <f>VLOOKUP($Z188,'oddspedia-matches'!$A:$AD,AF$2,0)</f>
        <v>#N/A</v>
      </c>
      <c r="AG188" t="e">
        <f>VLOOKUP($Z188,'oddspedia-matches'!$A:$AD,AG$2,0)</f>
        <v>#N/A</v>
      </c>
      <c r="AH188" t="e">
        <f>VLOOKUP($Z188,'oddspedia-matches'!$A:$AD,AH$2,0)</f>
        <v>#N/A</v>
      </c>
      <c r="AI188" t="e">
        <f>VLOOKUP($Z188,'oddspedia-matches'!$A:$AD,AI$2,0)</f>
        <v>#N/A</v>
      </c>
      <c r="AJ188" t="e">
        <f>VLOOKUP($Z188,'oddspedia-matches'!$A:$AD,AJ$2,0)</f>
        <v>#N/A</v>
      </c>
      <c r="AK188" t="e">
        <f>VLOOKUP($Z188,'oddspedia-matches'!$A:$AD,AK$2,0)</f>
        <v>#N/A</v>
      </c>
      <c r="AL188" t="e">
        <f>VLOOKUP($Z188,'oddspedia-matches'!$A:$AD,AL$2,0)</f>
        <v>#N/A</v>
      </c>
      <c r="AM188" t="e">
        <f>VLOOKUP($Z188,'oddspedia-matches'!$A:$AD,AM$2,0)</f>
        <v>#N/A</v>
      </c>
      <c r="AN188" t="e">
        <f>VLOOKUP($Z188,'oddspedia-matches'!$A:$AD,AN$2,0)</f>
        <v>#N/A</v>
      </c>
      <c r="AO188" t="e">
        <f>VLOOKUP($Z188,'oddspedia-matches'!$A:$AD,AO$2,0)</f>
        <v>#N/A</v>
      </c>
      <c r="AP188" t="e">
        <f>VLOOKUP($Z188,'oddspedia-matches'!$A:$AD,AP$2,0)</f>
        <v>#N/A</v>
      </c>
      <c r="AQ188" t="e">
        <f>VLOOKUP($Z188,'oddspedia-matches'!$A:$AD,AQ$2,0)</f>
        <v>#N/A</v>
      </c>
    </row>
    <row r="189" spans="2:43" x14ac:dyDescent="0.2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>
        <f>VLOOKUP(E189,'Transform table'!A:B,2,0)</f>
        <v>0</v>
      </c>
      <c r="Y189" t="str">
        <f>VLOOKUP(F189,'Transform table'!A:B,2,0)</f>
        <v>IK Brage</v>
      </c>
      <c r="Z189" t="str">
        <f t="shared" si="2"/>
        <v>25/07/20260IK Brage</v>
      </c>
      <c r="AA189" t="e">
        <f>VLOOKUP($Z189,'oddspedia-matches'!$A:$AD,AA$2,0)</f>
        <v>#N/A</v>
      </c>
      <c r="AB189" t="e">
        <f>VLOOKUP($Z189,'oddspedia-matches'!$A:$AD,AB$2,0)</f>
        <v>#N/A</v>
      </c>
      <c r="AC189" t="e">
        <f>VLOOKUP($Z189,'oddspedia-matches'!$A:$AD,AC$2,0)</f>
        <v>#N/A</v>
      </c>
      <c r="AD189" t="e">
        <f>VLOOKUP($Z189,'oddspedia-matches'!$A:$AD,AD$2,0)</f>
        <v>#N/A</v>
      </c>
      <c r="AE189" t="e">
        <f>VLOOKUP($Z189,'oddspedia-matches'!$A:$AD,AE$2,0)</f>
        <v>#N/A</v>
      </c>
      <c r="AF189" t="e">
        <f>VLOOKUP($Z189,'oddspedia-matches'!$A:$AD,AF$2,0)</f>
        <v>#N/A</v>
      </c>
      <c r="AG189" t="e">
        <f>VLOOKUP($Z189,'oddspedia-matches'!$A:$AD,AG$2,0)</f>
        <v>#N/A</v>
      </c>
      <c r="AH189" t="e">
        <f>VLOOKUP($Z189,'oddspedia-matches'!$A:$AD,AH$2,0)</f>
        <v>#N/A</v>
      </c>
      <c r="AI189" t="e">
        <f>VLOOKUP($Z189,'oddspedia-matches'!$A:$AD,AI$2,0)</f>
        <v>#N/A</v>
      </c>
      <c r="AJ189" t="e">
        <f>VLOOKUP($Z189,'oddspedia-matches'!$A:$AD,AJ$2,0)</f>
        <v>#N/A</v>
      </c>
      <c r="AK189" t="e">
        <f>VLOOKUP($Z189,'oddspedia-matches'!$A:$AD,AK$2,0)</f>
        <v>#N/A</v>
      </c>
      <c r="AL189" t="e">
        <f>VLOOKUP($Z189,'oddspedia-matches'!$A:$AD,AL$2,0)</f>
        <v>#N/A</v>
      </c>
      <c r="AM189" t="e">
        <f>VLOOKUP($Z189,'oddspedia-matches'!$A:$AD,AM$2,0)</f>
        <v>#N/A</v>
      </c>
      <c r="AN189" t="e">
        <f>VLOOKUP($Z189,'oddspedia-matches'!$A:$AD,AN$2,0)</f>
        <v>#N/A</v>
      </c>
      <c r="AO189" t="e">
        <f>VLOOKUP($Z189,'oddspedia-matches'!$A:$AD,AO$2,0)</f>
        <v>#N/A</v>
      </c>
      <c r="AP189" t="e">
        <f>VLOOKUP($Z189,'oddspedia-matches'!$A:$AD,AP$2,0)</f>
        <v>#N/A</v>
      </c>
      <c r="AQ189" t="e">
        <f>VLOOKUP($Z189,'oddspedia-matches'!$A:$AD,AQ$2,0)</f>
        <v>#N/A</v>
      </c>
    </row>
    <row r="190" spans="2:43" x14ac:dyDescent="0.2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tr">
        <f>VLOOKUP(E190,'Transform table'!A:B,2,0)</f>
        <v>IFK Mariehamn</v>
      </c>
      <c r="Y190" t="str">
        <f>VLOOKUP(F190,'Transform table'!A:B,2,0)</f>
        <v>AC Oulu</v>
      </c>
      <c r="Z190" t="str">
        <f t="shared" si="2"/>
        <v>25/07/2026IFK MariehamnAC Oulu</v>
      </c>
      <c r="AA190" t="str">
        <f>VLOOKUP($Z190,'oddspedia-matches'!$A:$AD,AA$2,0)</f>
        <v>1 - 1</v>
      </c>
      <c r="AB190" t="str">
        <f>VLOOKUP($Z190,'oddspedia-matches'!$A:$AD,AB$2,0)</f>
        <v>Red</v>
      </c>
      <c r="AC190" t="str">
        <f>VLOOKUP($Z190,'oddspedia-matches'!$A:$AD,AC$2,0)</f>
        <v>Green</v>
      </c>
      <c r="AD190" t="str">
        <f>VLOOKUP($Z190,'oddspedia-matches'!$A:$AD,AD$2,0)</f>
        <v>Red</v>
      </c>
      <c r="AE190" t="str">
        <f>VLOOKUP($Z190,'oddspedia-matches'!$A:$AD,AE$2,0)</f>
        <v>Green</v>
      </c>
      <c r="AF190" t="str">
        <f>VLOOKUP($Z190,'oddspedia-matches'!$A:$AD,AF$2,0)</f>
        <v>Green</v>
      </c>
      <c r="AG190" t="str">
        <f>VLOOKUP($Z190,'oddspedia-matches'!$A:$AD,AG$2,0)</f>
        <v>Red</v>
      </c>
      <c r="AH190" t="str">
        <f>VLOOKUP($Z190,'oddspedia-matches'!$A:$AD,AH$2,0)</f>
        <v>Green</v>
      </c>
      <c r="AI190" t="str">
        <f>VLOOKUP($Z190,'oddspedia-matches'!$A:$AD,AI$2,0)</f>
        <v>Red</v>
      </c>
      <c r="AJ190" t="str">
        <f>VLOOKUP($Z190,'oddspedia-matches'!$A:$AD,AJ$2,0)</f>
        <v>Red</v>
      </c>
      <c r="AK190" t="str">
        <f>VLOOKUP($Z190,'oddspedia-matches'!$A:$AD,AK$2,0)</f>
        <v>Green</v>
      </c>
      <c r="AL190" t="str">
        <f>VLOOKUP($Z190,'oddspedia-matches'!$A:$AD,AL$2,0)</f>
        <v>Green</v>
      </c>
      <c r="AM190" t="str">
        <f>VLOOKUP($Z190,'oddspedia-matches'!$A:$AD,AM$2,0)</f>
        <v>Red</v>
      </c>
      <c r="AN190" t="str">
        <f>VLOOKUP($Z190,'oddspedia-matches'!$A:$AD,AN$2,0)</f>
        <v>Green</v>
      </c>
      <c r="AO190" t="str">
        <f>VLOOKUP($Z190,'oddspedia-matches'!$A:$AD,AO$2,0)</f>
        <v>Green</v>
      </c>
      <c r="AP190" t="str">
        <f>VLOOKUP($Z190,'oddspedia-matches'!$A:$AD,AP$2,0)</f>
        <v>Green</v>
      </c>
      <c r="AQ190" t="str">
        <f>VLOOKUP($Z190,'oddspedia-matches'!$A:$AD,AQ$2,0)</f>
        <v>Red</v>
      </c>
    </row>
    <row r="191" spans="2:43" x14ac:dyDescent="0.2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tr">
        <f>VLOOKUP(E191,'Transform table'!A:B,2,0)</f>
        <v>Kuopio PS</v>
      </c>
      <c r="Y191" t="str">
        <f>VLOOKUP(F191,'Transform table'!A:B,2,0)</f>
        <v>Vaasa PS</v>
      </c>
      <c r="Z191" t="str">
        <f t="shared" si="2"/>
        <v>25/07/2026Kuopio PSVaasa PS</v>
      </c>
      <c r="AA191" t="str">
        <f>VLOOKUP($Z191,'oddspedia-matches'!$A:$AD,AA$2,0)</f>
        <v>3 - 1</v>
      </c>
      <c r="AB191" t="str">
        <f>VLOOKUP($Z191,'oddspedia-matches'!$A:$AD,AB$2,0)</f>
        <v>Green</v>
      </c>
      <c r="AC191" t="str">
        <f>VLOOKUP($Z191,'oddspedia-matches'!$A:$AD,AC$2,0)</f>
        <v>Red</v>
      </c>
      <c r="AD191" t="str">
        <f>VLOOKUP($Z191,'oddspedia-matches'!$A:$AD,AD$2,0)</f>
        <v>Red</v>
      </c>
      <c r="AE191" t="str">
        <f>VLOOKUP($Z191,'oddspedia-matches'!$A:$AD,AE$2,0)</f>
        <v>Green</v>
      </c>
      <c r="AF191" t="str">
        <f>VLOOKUP($Z191,'oddspedia-matches'!$A:$AD,AF$2,0)</f>
        <v>Red</v>
      </c>
      <c r="AG191" t="str">
        <f>VLOOKUP($Z191,'oddspedia-matches'!$A:$AD,AG$2,0)</f>
        <v>Green</v>
      </c>
      <c r="AH191" t="str">
        <f>VLOOKUP($Z191,'oddspedia-matches'!$A:$AD,AH$2,0)</f>
        <v>Green</v>
      </c>
      <c r="AI191" t="str">
        <f>VLOOKUP($Z191,'oddspedia-matches'!$A:$AD,AI$2,0)</f>
        <v>Red</v>
      </c>
      <c r="AJ191" t="str">
        <f>VLOOKUP($Z191,'oddspedia-matches'!$A:$AD,AJ$2,0)</f>
        <v>Red</v>
      </c>
      <c r="AK191" t="str">
        <f>VLOOKUP($Z191,'oddspedia-matches'!$A:$AD,AK$2,0)</f>
        <v>Green</v>
      </c>
      <c r="AL191" t="str">
        <f>VLOOKUP($Z191,'oddspedia-matches'!$A:$AD,AL$2,0)</f>
        <v>Green</v>
      </c>
      <c r="AM191" t="str">
        <f>VLOOKUP($Z191,'oddspedia-matches'!$A:$AD,AM$2,0)</f>
        <v>Green</v>
      </c>
      <c r="AN191" t="str">
        <f>VLOOKUP($Z191,'oddspedia-matches'!$A:$AD,AN$2,0)</f>
        <v>Red</v>
      </c>
      <c r="AO191" t="str">
        <f>VLOOKUP($Z191,'oddspedia-matches'!$A:$AD,AO$2,0)</f>
        <v>Red</v>
      </c>
      <c r="AP191" t="str">
        <f>VLOOKUP($Z191,'oddspedia-matches'!$A:$AD,AP$2,0)</f>
        <v>Green</v>
      </c>
      <c r="AQ191" t="str">
        <f>VLOOKUP($Z191,'oddspedia-matches'!$A:$AD,AQ$2,0)</f>
        <v>Red</v>
      </c>
    </row>
    <row r="192" spans="2:43" x14ac:dyDescent="0.2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tr">
        <f>VLOOKUP(E192,'Transform table'!A:B,2,0)</f>
        <v>Afturelding</v>
      </c>
      <c r="Y192" t="str">
        <f>VLOOKUP(F192,'Transform table'!A:B,2,0)</f>
        <v>Grotta Seltjarnarnes</v>
      </c>
      <c r="Z192" t="str">
        <f t="shared" si="2"/>
        <v>25/07/2026AftureldingGrotta Seltjarnarnes</v>
      </c>
      <c r="AA192" t="str">
        <f>VLOOKUP($Z192,'oddspedia-matches'!$A:$AD,AA$2,0)</f>
        <v xml:space="preserve"> - </v>
      </c>
      <c r="AB192" t="str">
        <f>VLOOKUP($Z192,'oddspedia-matches'!$A:$AD,AB$2,0)</f>
        <v>Red</v>
      </c>
      <c r="AC192" t="str">
        <f>VLOOKUP($Z192,'oddspedia-matches'!$A:$AD,AC$2,0)</f>
        <v>Green</v>
      </c>
      <c r="AD192" t="str">
        <f>VLOOKUP($Z192,'oddspedia-matches'!$A:$AD,AD$2,0)</f>
        <v>Red</v>
      </c>
      <c r="AE192" t="str">
        <f>VLOOKUP($Z192,'oddspedia-matches'!$A:$AD,AE$2,0)</f>
        <v>Green</v>
      </c>
      <c r="AF192" t="str">
        <f>VLOOKUP($Z192,'oddspedia-matches'!$A:$AD,AF$2,0)</f>
        <v>Green</v>
      </c>
      <c r="AG192" t="str">
        <f>VLOOKUP($Z192,'oddspedia-matches'!$A:$AD,AG$2,0)</f>
        <v>Red</v>
      </c>
      <c r="AH192" t="str">
        <f>VLOOKUP($Z192,'oddspedia-matches'!$A:$AD,AH$2,0)</f>
        <v>Red</v>
      </c>
      <c r="AI192" t="str">
        <f>VLOOKUP($Z192,'oddspedia-matches'!$A:$AD,AI$2,0)</f>
        <v>Green</v>
      </c>
      <c r="AJ192" t="str">
        <f>VLOOKUP($Z192,'oddspedia-matches'!$A:$AD,AJ$2,0)</f>
        <v>Red</v>
      </c>
      <c r="AK192" t="str">
        <f>VLOOKUP($Z192,'oddspedia-matches'!$A:$AD,AK$2,0)</f>
        <v>Red</v>
      </c>
      <c r="AL192" t="str">
        <f>VLOOKUP($Z192,'oddspedia-matches'!$A:$AD,AL$2,0)</f>
        <v>Red</v>
      </c>
      <c r="AM192" t="str">
        <f>VLOOKUP($Z192,'oddspedia-matches'!$A:$AD,AM$2,0)</f>
        <v>Red</v>
      </c>
      <c r="AN192" t="str">
        <f>VLOOKUP($Z192,'oddspedia-matches'!$A:$AD,AN$2,0)</f>
        <v>Green</v>
      </c>
      <c r="AO192" t="str">
        <f>VLOOKUP($Z192,'oddspedia-matches'!$A:$AD,AO$2,0)</f>
        <v>Green</v>
      </c>
      <c r="AP192" t="str">
        <f>VLOOKUP($Z192,'oddspedia-matches'!$A:$AD,AP$2,0)</f>
        <v>Red</v>
      </c>
      <c r="AQ192" t="str">
        <f>VLOOKUP($Z192,'oddspedia-matches'!$A:$AD,AQ$2,0)</f>
        <v>Green</v>
      </c>
    </row>
    <row r="193" spans="2:43" x14ac:dyDescent="0.2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>
        <f>VLOOKUP(E193,'Transform table'!A:B,2,0)</f>
        <v>0</v>
      </c>
      <c r="Y193" t="str">
        <f>VLOOKUP(F193,'Transform table'!A:B,2,0)</f>
        <v>Fylkir</v>
      </c>
      <c r="Z193" t="str">
        <f t="shared" si="2"/>
        <v>25/07/20260Fylkir</v>
      </c>
      <c r="AA193" t="e">
        <f>VLOOKUP($Z193,'oddspedia-matches'!$A:$AD,AA$2,0)</f>
        <v>#N/A</v>
      </c>
      <c r="AB193" t="e">
        <f>VLOOKUP($Z193,'oddspedia-matches'!$A:$AD,AB$2,0)</f>
        <v>#N/A</v>
      </c>
      <c r="AC193" t="e">
        <f>VLOOKUP($Z193,'oddspedia-matches'!$A:$AD,AC$2,0)</f>
        <v>#N/A</v>
      </c>
      <c r="AD193" t="e">
        <f>VLOOKUP($Z193,'oddspedia-matches'!$A:$AD,AD$2,0)</f>
        <v>#N/A</v>
      </c>
      <c r="AE193" t="e">
        <f>VLOOKUP($Z193,'oddspedia-matches'!$A:$AD,AE$2,0)</f>
        <v>#N/A</v>
      </c>
      <c r="AF193" t="e">
        <f>VLOOKUP($Z193,'oddspedia-matches'!$A:$AD,AF$2,0)</f>
        <v>#N/A</v>
      </c>
      <c r="AG193" t="e">
        <f>VLOOKUP($Z193,'oddspedia-matches'!$A:$AD,AG$2,0)</f>
        <v>#N/A</v>
      </c>
      <c r="AH193" t="e">
        <f>VLOOKUP($Z193,'oddspedia-matches'!$A:$AD,AH$2,0)</f>
        <v>#N/A</v>
      </c>
      <c r="AI193" t="e">
        <f>VLOOKUP($Z193,'oddspedia-matches'!$A:$AD,AI$2,0)</f>
        <v>#N/A</v>
      </c>
      <c r="AJ193" t="e">
        <f>VLOOKUP($Z193,'oddspedia-matches'!$A:$AD,AJ$2,0)</f>
        <v>#N/A</v>
      </c>
      <c r="AK193" t="e">
        <f>VLOOKUP($Z193,'oddspedia-matches'!$A:$AD,AK$2,0)</f>
        <v>#N/A</v>
      </c>
      <c r="AL193" t="e">
        <f>VLOOKUP($Z193,'oddspedia-matches'!$A:$AD,AL$2,0)</f>
        <v>#N/A</v>
      </c>
      <c r="AM193" t="e">
        <f>VLOOKUP($Z193,'oddspedia-matches'!$A:$AD,AM$2,0)</f>
        <v>#N/A</v>
      </c>
      <c r="AN193" t="e">
        <f>VLOOKUP($Z193,'oddspedia-matches'!$A:$AD,AN$2,0)</f>
        <v>#N/A</v>
      </c>
      <c r="AO193" t="e">
        <f>VLOOKUP($Z193,'oddspedia-matches'!$A:$AD,AO$2,0)</f>
        <v>#N/A</v>
      </c>
      <c r="AP193" t="e">
        <f>VLOOKUP($Z193,'oddspedia-matches'!$A:$AD,AP$2,0)</f>
        <v>#N/A</v>
      </c>
      <c r="AQ193" t="e">
        <f>VLOOKUP($Z193,'oddspedia-matches'!$A:$AD,AQ$2,0)</f>
        <v>#N/A</v>
      </c>
    </row>
    <row r="194" spans="2:43" x14ac:dyDescent="0.2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>
        <f>VLOOKUP(E194,'Transform table'!A:B,2,0)</f>
        <v>0</v>
      </c>
      <c r="Y194" t="str">
        <f>VLOOKUP(F194,'Transform table'!A:B,2,0)</f>
        <v>Throttur Vogar</v>
      </c>
      <c r="Z194" t="str">
        <f t="shared" si="2"/>
        <v>25/07/20260Throttur Vogar</v>
      </c>
      <c r="AA194" t="e">
        <f>VLOOKUP($Z194,'oddspedia-matches'!$A:$AD,AA$2,0)</f>
        <v>#N/A</v>
      </c>
      <c r="AB194" t="e">
        <f>VLOOKUP($Z194,'oddspedia-matches'!$A:$AD,AB$2,0)</f>
        <v>#N/A</v>
      </c>
      <c r="AC194" t="e">
        <f>VLOOKUP($Z194,'oddspedia-matches'!$A:$AD,AC$2,0)</f>
        <v>#N/A</v>
      </c>
      <c r="AD194" t="e">
        <f>VLOOKUP($Z194,'oddspedia-matches'!$A:$AD,AD$2,0)</f>
        <v>#N/A</v>
      </c>
      <c r="AE194" t="e">
        <f>VLOOKUP($Z194,'oddspedia-matches'!$A:$AD,AE$2,0)</f>
        <v>#N/A</v>
      </c>
      <c r="AF194" t="e">
        <f>VLOOKUP($Z194,'oddspedia-matches'!$A:$AD,AF$2,0)</f>
        <v>#N/A</v>
      </c>
      <c r="AG194" t="e">
        <f>VLOOKUP($Z194,'oddspedia-matches'!$A:$AD,AG$2,0)</f>
        <v>#N/A</v>
      </c>
      <c r="AH194" t="e">
        <f>VLOOKUP($Z194,'oddspedia-matches'!$A:$AD,AH$2,0)</f>
        <v>#N/A</v>
      </c>
      <c r="AI194" t="e">
        <f>VLOOKUP($Z194,'oddspedia-matches'!$A:$AD,AI$2,0)</f>
        <v>#N/A</v>
      </c>
      <c r="AJ194" t="e">
        <f>VLOOKUP($Z194,'oddspedia-matches'!$A:$AD,AJ$2,0)</f>
        <v>#N/A</v>
      </c>
      <c r="AK194" t="e">
        <f>VLOOKUP($Z194,'oddspedia-matches'!$A:$AD,AK$2,0)</f>
        <v>#N/A</v>
      </c>
      <c r="AL194" t="e">
        <f>VLOOKUP($Z194,'oddspedia-matches'!$A:$AD,AL$2,0)</f>
        <v>#N/A</v>
      </c>
      <c r="AM194" t="e">
        <f>VLOOKUP($Z194,'oddspedia-matches'!$A:$AD,AM$2,0)</f>
        <v>#N/A</v>
      </c>
      <c r="AN194" t="e">
        <f>VLOOKUP($Z194,'oddspedia-matches'!$A:$AD,AN$2,0)</f>
        <v>#N/A</v>
      </c>
      <c r="AO194" t="e">
        <f>VLOOKUP($Z194,'oddspedia-matches'!$A:$AD,AO$2,0)</f>
        <v>#N/A</v>
      </c>
      <c r="AP194" t="e">
        <f>VLOOKUP($Z194,'oddspedia-matches'!$A:$AD,AP$2,0)</f>
        <v>#N/A</v>
      </c>
      <c r="AQ194" t="e">
        <f>VLOOKUP($Z194,'oddspedia-matches'!$A:$AD,AQ$2,0)</f>
        <v>#N/A</v>
      </c>
    </row>
    <row r="195" spans="2:43" x14ac:dyDescent="0.2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>
        <f>VLOOKUP(E195,'Transform table'!A:B,2,0)</f>
        <v>0</v>
      </c>
      <c r="Y195" t="str">
        <f>VLOOKUP(F195,'Transform table'!A:B,2,0)</f>
        <v>Ventspils</v>
      </c>
      <c r="Z195" t="str">
        <f t="shared" si="2"/>
        <v>25/07/20260Ventspils</v>
      </c>
      <c r="AA195" t="e">
        <f>VLOOKUP($Z195,'oddspedia-matches'!$A:$AD,AA$2,0)</f>
        <v>#N/A</v>
      </c>
      <c r="AB195" t="e">
        <f>VLOOKUP($Z195,'oddspedia-matches'!$A:$AD,AB$2,0)</f>
        <v>#N/A</v>
      </c>
      <c r="AC195" t="e">
        <f>VLOOKUP($Z195,'oddspedia-matches'!$A:$AD,AC$2,0)</f>
        <v>#N/A</v>
      </c>
      <c r="AD195" t="e">
        <f>VLOOKUP($Z195,'oddspedia-matches'!$A:$AD,AD$2,0)</f>
        <v>#N/A</v>
      </c>
      <c r="AE195" t="e">
        <f>VLOOKUP($Z195,'oddspedia-matches'!$A:$AD,AE$2,0)</f>
        <v>#N/A</v>
      </c>
      <c r="AF195" t="e">
        <f>VLOOKUP($Z195,'oddspedia-matches'!$A:$AD,AF$2,0)</f>
        <v>#N/A</v>
      </c>
      <c r="AG195" t="e">
        <f>VLOOKUP($Z195,'oddspedia-matches'!$A:$AD,AG$2,0)</f>
        <v>#N/A</v>
      </c>
      <c r="AH195" t="e">
        <f>VLOOKUP($Z195,'oddspedia-matches'!$A:$AD,AH$2,0)</f>
        <v>#N/A</v>
      </c>
      <c r="AI195" t="e">
        <f>VLOOKUP($Z195,'oddspedia-matches'!$A:$AD,AI$2,0)</f>
        <v>#N/A</v>
      </c>
      <c r="AJ195" t="e">
        <f>VLOOKUP($Z195,'oddspedia-matches'!$A:$AD,AJ$2,0)</f>
        <v>#N/A</v>
      </c>
      <c r="AK195" t="e">
        <f>VLOOKUP($Z195,'oddspedia-matches'!$A:$AD,AK$2,0)</f>
        <v>#N/A</v>
      </c>
      <c r="AL195" t="e">
        <f>VLOOKUP($Z195,'oddspedia-matches'!$A:$AD,AL$2,0)</f>
        <v>#N/A</v>
      </c>
      <c r="AM195" t="e">
        <f>VLOOKUP($Z195,'oddspedia-matches'!$A:$AD,AM$2,0)</f>
        <v>#N/A</v>
      </c>
      <c r="AN195" t="e">
        <f>VLOOKUP($Z195,'oddspedia-matches'!$A:$AD,AN$2,0)</f>
        <v>#N/A</v>
      </c>
      <c r="AO195" t="e">
        <f>VLOOKUP($Z195,'oddspedia-matches'!$A:$AD,AO$2,0)</f>
        <v>#N/A</v>
      </c>
      <c r="AP195" t="e">
        <f>VLOOKUP($Z195,'oddspedia-matches'!$A:$AD,AP$2,0)</f>
        <v>#N/A</v>
      </c>
      <c r="AQ195" t="e">
        <f>VLOOKUP($Z195,'oddspedia-matches'!$A:$AD,AQ$2,0)</f>
        <v>#N/A</v>
      </c>
    </row>
    <row r="196" spans="2:43" x14ac:dyDescent="0.2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tr">
        <f>VLOOKUP(E196,'Transform table'!A:B,2,0)</f>
        <v>Neptunas Klaipeda</v>
      </c>
      <c r="Y196" t="str">
        <f>VLOOKUP(F196,'Transform table'!A:B,2,0)</f>
        <v>FC Siauliai II</v>
      </c>
      <c r="Z196" t="str">
        <f t="shared" ref="Z196:Z259" si="3">C196&amp;X196&amp;Y196</f>
        <v>25/07/2026Neptunas KlaipedaFC Siauliai II</v>
      </c>
      <c r="AA196" t="str">
        <f>VLOOKUP($Z196,'oddspedia-matches'!$A:$AD,AA$2,0)</f>
        <v>2 - 1</v>
      </c>
      <c r="AB196" t="str">
        <f>VLOOKUP($Z196,'oddspedia-matches'!$A:$AD,AB$2,0)</f>
        <v>Green</v>
      </c>
      <c r="AC196" t="str">
        <f>VLOOKUP($Z196,'oddspedia-matches'!$A:$AD,AC$2,0)</f>
        <v>Red</v>
      </c>
      <c r="AD196" t="str">
        <f>VLOOKUP($Z196,'oddspedia-matches'!$A:$AD,AD$2,0)</f>
        <v>Red</v>
      </c>
      <c r="AE196" t="str">
        <f>VLOOKUP($Z196,'oddspedia-matches'!$A:$AD,AE$2,0)</f>
        <v>Green</v>
      </c>
      <c r="AF196" t="str">
        <f>VLOOKUP($Z196,'oddspedia-matches'!$A:$AD,AF$2,0)</f>
        <v>Red</v>
      </c>
      <c r="AG196" t="str">
        <f>VLOOKUP($Z196,'oddspedia-matches'!$A:$AD,AG$2,0)</f>
        <v>Green</v>
      </c>
      <c r="AH196" t="str">
        <f>VLOOKUP($Z196,'oddspedia-matches'!$A:$AD,AH$2,0)</f>
        <v>Red</v>
      </c>
      <c r="AI196" t="str">
        <f>VLOOKUP($Z196,'oddspedia-matches'!$A:$AD,AI$2,0)</f>
        <v>Green</v>
      </c>
      <c r="AJ196" t="str">
        <f>VLOOKUP($Z196,'oddspedia-matches'!$A:$AD,AJ$2,0)</f>
        <v>Red</v>
      </c>
      <c r="AK196" t="str">
        <f>VLOOKUP($Z196,'oddspedia-matches'!$A:$AD,AK$2,0)</f>
        <v>Green</v>
      </c>
      <c r="AL196" t="str">
        <f>VLOOKUP($Z196,'oddspedia-matches'!$A:$AD,AL$2,0)</f>
        <v>Green</v>
      </c>
      <c r="AM196" t="str">
        <f>VLOOKUP($Z196,'oddspedia-matches'!$A:$AD,AM$2,0)</f>
        <v>Green</v>
      </c>
      <c r="AN196" t="str">
        <f>VLOOKUP($Z196,'oddspedia-matches'!$A:$AD,AN$2,0)</f>
        <v>Red</v>
      </c>
      <c r="AO196" t="str">
        <f>VLOOKUP($Z196,'oddspedia-matches'!$A:$AD,AO$2,0)</f>
        <v>Green</v>
      </c>
      <c r="AP196" t="str">
        <f>VLOOKUP($Z196,'oddspedia-matches'!$A:$AD,AP$2,0)</f>
        <v>Green</v>
      </c>
      <c r="AQ196" t="str">
        <f>VLOOKUP($Z196,'oddspedia-matches'!$A:$AD,AQ$2,0)</f>
        <v>Red</v>
      </c>
    </row>
    <row r="197" spans="2:43" x14ac:dyDescent="0.2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tr">
        <f>VLOOKUP(E197,'Transform table'!A:B,2,0)</f>
        <v>Crystal Palace U21</v>
      </c>
      <c r="Y197" t="str">
        <f>VLOOKUP(F197,'Transform table'!A:B,2,0)</f>
        <v>IK Start</v>
      </c>
      <c r="Z197" t="str">
        <f t="shared" si="3"/>
        <v>25/07/2026Crystal Palace U21IK Start</v>
      </c>
      <c r="AA197" t="e">
        <f>VLOOKUP($Z197,'oddspedia-matches'!$A:$AD,AA$2,0)</f>
        <v>#N/A</v>
      </c>
      <c r="AB197" t="e">
        <f>VLOOKUP($Z197,'oddspedia-matches'!$A:$AD,AB$2,0)</f>
        <v>#N/A</v>
      </c>
      <c r="AC197" t="e">
        <f>VLOOKUP($Z197,'oddspedia-matches'!$A:$AD,AC$2,0)</f>
        <v>#N/A</v>
      </c>
      <c r="AD197" t="e">
        <f>VLOOKUP($Z197,'oddspedia-matches'!$A:$AD,AD$2,0)</f>
        <v>#N/A</v>
      </c>
      <c r="AE197" t="e">
        <f>VLOOKUP($Z197,'oddspedia-matches'!$A:$AD,AE$2,0)</f>
        <v>#N/A</v>
      </c>
      <c r="AF197" t="e">
        <f>VLOOKUP($Z197,'oddspedia-matches'!$A:$AD,AF$2,0)</f>
        <v>#N/A</v>
      </c>
      <c r="AG197" t="e">
        <f>VLOOKUP($Z197,'oddspedia-matches'!$A:$AD,AG$2,0)</f>
        <v>#N/A</v>
      </c>
      <c r="AH197" t="e">
        <f>VLOOKUP($Z197,'oddspedia-matches'!$A:$AD,AH$2,0)</f>
        <v>#N/A</v>
      </c>
      <c r="AI197" t="e">
        <f>VLOOKUP($Z197,'oddspedia-matches'!$A:$AD,AI$2,0)</f>
        <v>#N/A</v>
      </c>
      <c r="AJ197" t="e">
        <f>VLOOKUP($Z197,'oddspedia-matches'!$A:$AD,AJ$2,0)</f>
        <v>#N/A</v>
      </c>
      <c r="AK197" t="e">
        <f>VLOOKUP($Z197,'oddspedia-matches'!$A:$AD,AK$2,0)</f>
        <v>#N/A</v>
      </c>
      <c r="AL197" t="e">
        <f>VLOOKUP($Z197,'oddspedia-matches'!$A:$AD,AL$2,0)</f>
        <v>#N/A</v>
      </c>
      <c r="AM197" t="e">
        <f>VLOOKUP($Z197,'oddspedia-matches'!$A:$AD,AM$2,0)</f>
        <v>#N/A</v>
      </c>
      <c r="AN197" t="e">
        <f>VLOOKUP($Z197,'oddspedia-matches'!$A:$AD,AN$2,0)</f>
        <v>#N/A</v>
      </c>
      <c r="AO197" t="e">
        <f>VLOOKUP($Z197,'oddspedia-matches'!$A:$AD,AO$2,0)</f>
        <v>#N/A</v>
      </c>
      <c r="AP197" t="e">
        <f>VLOOKUP($Z197,'oddspedia-matches'!$A:$AD,AP$2,0)</f>
        <v>#N/A</v>
      </c>
      <c r="AQ197" t="e">
        <f>VLOOKUP($Z197,'oddspedia-matches'!$A:$AD,AQ$2,0)</f>
        <v>#N/A</v>
      </c>
    </row>
    <row r="198" spans="2:43" x14ac:dyDescent="0.2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tr">
        <f>VLOOKUP(E198,'Transform table'!A:B,2,0)</f>
        <v>FK Kaspyi Aktau U21</v>
      </c>
      <c r="Y198" t="str">
        <f>VLOOKUP(F198,'Transform table'!A:B,2,0)</f>
        <v>Okzhetpes</v>
      </c>
      <c r="Z198" t="str">
        <f t="shared" si="3"/>
        <v>25/07/2026FK Kaspyi Aktau U21Okzhetpes</v>
      </c>
      <c r="AA198" t="e">
        <f>VLOOKUP($Z198,'oddspedia-matches'!$A:$AD,AA$2,0)</f>
        <v>#N/A</v>
      </c>
      <c r="AB198" t="e">
        <f>VLOOKUP($Z198,'oddspedia-matches'!$A:$AD,AB$2,0)</f>
        <v>#N/A</v>
      </c>
      <c r="AC198" t="e">
        <f>VLOOKUP($Z198,'oddspedia-matches'!$A:$AD,AC$2,0)</f>
        <v>#N/A</v>
      </c>
      <c r="AD198" t="e">
        <f>VLOOKUP($Z198,'oddspedia-matches'!$A:$AD,AD$2,0)</f>
        <v>#N/A</v>
      </c>
      <c r="AE198" t="e">
        <f>VLOOKUP($Z198,'oddspedia-matches'!$A:$AD,AE$2,0)</f>
        <v>#N/A</v>
      </c>
      <c r="AF198" t="e">
        <f>VLOOKUP($Z198,'oddspedia-matches'!$A:$AD,AF$2,0)</f>
        <v>#N/A</v>
      </c>
      <c r="AG198" t="e">
        <f>VLOOKUP($Z198,'oddspedia-matches'!$A:$AD,AG$2,0)</f>
        <v>#N/A</v>
      </c>
      <c r="AH198" t="e">
        <f>VLOOKUP($Z198,'oddspedia-matches'!$A:$AD,AH$2,0)</f>
        <v>#N/A</v>
      </c>
      <c r="AI198" t="e">
        <f>VLOOKUP($Z198,'oddspedia-matches'!$A:$AD,AI$2,0)</f>
        <v>#N/A</v>
      </c>
      <c r="AJ198" t="e">
        <f>VLOOKUP($Z198,'oddspedia-matches'!$A:$AD,AJ$2,0)</f>
        <v>#N/A</v>
      </c>
      <c r="AK198" t="e">
        <f>VLOOKUP($Z198,'oddspedia-matches'!$A:$AD,AK$2,0)</f>
        <v>#N/A</v>
      </c>
      <c r="AL198" t="e">
        <f>VLOOKUP($Z198,'oddspedia-matches'!$A:$AD,AL$2,0)</f>
        <v>#N/A</v>
      </c>
      <c r="AM198" t="e">
        <f>VLOOKUP($Z198,'oddspedia-matches'!$A:$AD,AM$2,0)</f>
        <v>#N/A</v>
      </c>
      <c r="AN198" t="e">
        <f>VLOOKUP($Z198,'oddspedia-matches'!$A:$AD,AN$2,0)</f>
        <v>#N/A</v>
      </c>
      <c r="AO198" t="e">
        <f>VLOOKUP($Z198,'oddspedia-matches'!$A:$AD,AO$2,0)</f>
        <v>#N/A</v>
      </c>
      <c r="AP198" t="e">
        <f>VLOOKUP($Z198,'oddspedia-matches'!$A:$AD,AP$2,0)</f>
        <v>#N/A</v>
      </c>
      <c r="AQ198" t="e">
        <f>VLOOKUP($Z198,'oddspedia-matches'!$A:$AD,AQ$2,0)</f>
        <v>#N/A</v>
      </c>
    </row>
    <row r="199" spans="2:43" x14ac:dyDescent="0.2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>
        <f>VLOOKUP(E199,'Transform table'!A:B,2,0)</f>
        <v>0</v>
      </c>
      <c r="Y199" t="str">
        <f>VLOOKUP(F199,'Transform table'!A:B,2,0)</f>
        <v>Jippo</v>
      </c>
      <c r="Z199" t="str">
        <f t="shared" si="3"/>
        <v>25/07/20260Jippo</v>
      </c>
      <c r="AA199" t="e">
        <f>VLOOKUP($Z199,'oddspedia-matches'!$A:$AD,AA$2,0)</f>
        <v>#N/A</v>
      </c>
      <c r="AB199" t="e">
        <f>VLOOKUP($Z199,'oddspedia-matches'!$A:$AD,AB$2,0)</f>
        <v>#N/A</v>
      </c>
      <c r="AC199" t="e">
        <f>VLOOKUP($Z199,'oddspedia-matches'!$A:$AD,AC$2,0)</f>
        <v>#N/A</v>
      </c>
      <c r="AD199" t="e">
        <f>VLOOKUP($Z199,'oddspedia-matches'!$A:$AD,AD$2,0)</f>
        <v>#N/A</v>
      </c>
      <c r="AE199" t="e">
        <f>VLOOKUP($Z199,'oddspedia-matches'!$A:$AD,AE$2,0)</f>
        <v>#N/A</v>
      </c>
      <c r="AF199" t="e">
        <f>VLOOKUP($Z199,'oddspedia-matches'!$A:$AD,AF$2,0)</f>
        <v>#N/A</v>
      </c>
      <c r="AG199" t="e">
        <f>VLOOKUP($Z199,'oddspedia-matches'!$A:$AD,AG$2,0)</f>
        <v>#N/A</v>
      </c>
      <c r="AH199" t="e">
        <f>VLOOKUP($Z199,'oddspedia-matches'!$A:$AD,AH$2,0)</f>
        <v>#N/A</v>
      </c>
      <c r="AI199" t="e">
        <f>VLOOKUP($Z199,'oddspedia-matches'!$A:$AD,AI$2,0)</f>
        <v>#N/A</v>
      </c>
      <c r="AJ199" t="e">
        <f>VLOOKUP($Z199,'oddspedia-matches'!$A:$AD,AJ$2,0)</f>
        <v>#N/A</v>
      </c>
      <c r="AK199" t="e">
        <f>VLOOKUP($Z199,'oddspedia-matches'!$A:$AD,AK$2,0)</f>
        <v>#N/A</v>
      </c>
      <c r="AL199" t="e">
        <f>VLOOKUP($Z199,'oddspedia-matches'!$A:$AD,AL$2,0)</f>
        <v>#N/A</v>
      </c>
      <c r="AM199" t="e">
        <f>VLOOKUP($Z199,'oddspedia-matches'!$A:$AD,AM$2,0)</f>
        <v>#N/A</v>
      </c>
      <c r="AN199" t="e">
        <f>VLOOKUP($Z199,'oddspedia-matches'!$A:$AD,AN$2,0)</f>
        <v>#N/A</v>
      </c>
      <c r="AO199" t="e">
        <f>VLOOKUP($Z199,'oddspedia-matches'!$A:$AD,AO$2,0)</f>
        <v>#N/A</v>
      </c>
      <c r="AP199" t="e">
        <f>VLOOKUP($Z199,'oddspedia-matches'!$A:$AD,AP$2,0)</f>
        <v>#N/A</v>
      </c>
      <c r="AQ199" t="e">
        <f>VLOOKUP($Z199,'oddspedia-matches'!$A:$AD,AQ$2,0)</f>
        <v>#N/A</v>
      </c>
    </row>
    <row r="200" spans="2:43" x14ac:dyDescent="0.2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>
        <f>VLOOKUP(E200,'Transform table'!A:B,2,0)</f>
        <v>0</v>
      </c>
      <c r="Y200" t="str">
        <f>VLOOKUP(F200,'Transform table'!A:B,2,0)</f>
        <v>Marupes SC</v>
      </c>
      <c r="Z200" t="str">
        <f t="shared" si="3"/>
        <v>25/07/20260Marupes SC</v>
      </c>
      <c r="AA200" t="e">
        <f>VLOOKUP($Z200,'oddspedia-matches'!$A:$AD,AA$2,0)</f>
        <v>#N/A</v>
      </c>
      <c r="AB200" t="e">
        <f>VLOOKUP($Z200,'oddspedia-matches'!$A:$AD,AB$2,0)</f>
        <v>#N/A</v>
      </c>
      <c r="AC200" t="e">
        <f>VLOOKUP($Z200,'oddspedia-matches'!$A:$AD,AC$2,0)</f>
        <v>#N/A</v>
      </c>
      <c r="AD200" t="e">
        <f>VLOOKUP($Z200,'oddspedia-matches'!$A:$AD,AD$2,0)</f>
        <v>#N/A</v>
      </c>
      <c r="AE200" t="e">
        <f>VLOOKUP($Z200,'oddspedia-matches'!$A:$AD,AE$2,0)</f>
        <v>#N/A</v>
      </c>
      <c r="AF200" t="e">
        <f>VLOOKUP($Z200,'oddspedia-matches'!$A:$AD,AF$2,0)</f>
        <v>#N/A</v>
      </c>
      <c r="AG200" t="e">
        <f>VLOOKUP($Z200,'oddspedia-matches'!$A:$AD,AG$2,0)</f>
        <v>#N/A</v>
      </c>
      <c r="AH200" t="e">
        <f>VLOOKUP($Z200,'oddspedia-matches'!$A:$AD,AH$2,0)</f>
        <v>#N/A</v>
      </c>
      <c r="AI200" t="e">
        <f>VLOOKUP($Z200,'oddspedia-matches'!$A:$AD,AI$2,0)</f>
        <v>#N/A</v>
      </c>
      <c r="AJ200" t="e">
        <f>VLOOKUP($Z200,'oddspedia-matches'!$A:$AD,AJ$2,0)</f>
        <v>#N/A</v>
      </c>
      <c r="AK200" t="e">
        <f>VLOOKUP($Z200,'oddspedia-matches'!$A:$AD,AK$2,0)</f>
        <v>#N/A</v>
      </c>
      <c r="AL200" t="e">
        <f>VLOOKUP($Z200,'oddspedia-matches'!$A:$AD,AL$2,0)</f>
        <v>#N/A</v>
      </c>
      <c r="AM200" t="e">
        <f>VLOOKUP($Z200,'oddspedia-matches'!$A:$AD,AM$2,0)</f>
        <v>#N/A</v>
      </c>
      <c r="AN200" t="e">
        <f>VLOOKUP($Z200,'oddspedia-matches'!$A:$AD,AN$2,0)</f>
        <v>#N/A</v>
      </c>
      <c r="AO200" t="e">
        <f>VLOOKUP($Z200,'oddspedia-matches'!$A:$AD,AO$2,0)</f>
        <v>#N/A</v>
      </c>
      <c r="AP200" t="e">
        <f>VLOOKUP($Z200,'oddspedia-matches'!$A:$AD,AP$2,0)</f>
        <v>#N/A</v>
      </c>
      <c r="AQ200" t="e">
        <f>VLOOKUP($Z200,'oddspedia-matches'!$A:$AD,AQ$2,0)</f>
        <v>#N/A</v>
      </c>
    </row>
    <row r="201" spans="2:43" x14ac:dyDescent="0.2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>
        <f>VLOOKUP(E201,'Transform table'!A:B,2,0)</f>
        <v>0</v>
      </c>
      <c r="Y201" t="str">
        <f>VLOOKUP(F201,'Transform table'!A:B,2,0)</f>
        <v>Ekranas</v>
      </c>
      <c r="Z201" t="str">
        <f t="shared" si="3"/>
        <v>25/07/20260Ekranas</v>
      </c>
      <c r="AA201" t="e">
        <f>VLOOKUP($Z201,'oddspedia-matches'!$A:$AD,AA$2,0)</f>
        <v>#N/A</v>
      </c>
      <c r="AB201" t="e">
        <f>VLOOKUP($Z201,'oddspedia-matches'!$A:$AD,AB$2,0)</f>
        <v>#N/A</v>
      </c>
      <c r="AC201" t="e">
        <f>VLOOKUP($Z201,'oddspedia-matches'!$A:$AD,AC$2,0)</f>
        <v>#N/A</v>
      </c>
      <c r="AD201" t="e">
        <f>VLOOKUP($Z201,'oddspedia-matches'!$A:$AD,AD$2,0)</f>
        <v>#N/A</v>
      </c>
      <c r="AE201" t="e">
        <f>VLOOKUP($Z201,'oddspedia-matches'!$A:$AD,AE$2,0)</f>
        <v>#N/A</v>
      </c>
      <c r="AF201" t="e">
        <f>VLOOKUP($Z201,'oddspedia-matches'!$A:$AD,AF$2,0)</f>
        <v>#N/A</v>
      </c>
      <c r="AG201" t="e">
        <f>VLOOKUP($Z201,'oddspedia-matches'!$A:$AD,AG$2,0)</f>
        <v>#N/A</v>
      </c>
      <c r="AH201" t="e">
        <f>VLOOKUP($Z201,'oddspedia-matches'!$A:$AD,AH$2,0)</f>
        <v>#N/A</v>
      </c>
      <c r="AI201" t="e">
        <f>VLOOKUP($Z201,'oddspedia-matches'!$A:$AD,AI$2,0)</f>
        <v>#N/A</v>
      </c>
      <c r="AJ201" t="e">
        <f>VLOOKUP($Z201,'oddspedia-matches'!$A:$AD,AJ$2,0)</f>
        <v>#N/A</v>
      </c>
      <c r="AK201" t="e">
        <f>VLOOKUP($Z201,'oddspedia-matches'!$A:$AD,AK$2,0)</f>
        <v>#N/A</v>
      </c>
      <c r="AL201" t="e">
        <f>VLOOKUP($Z201,'oddspedia-matches'!$A:$AD,AL$2,0)</f>
        <v>#N/A</v>
      </c>
      <c r="AM201" t="e">
        <f>VLOOKUP($Z201,'oddspedia-matches'!$A:$AD,AM$2,0)</f>
        <v>#N/A</v>
      </c>
      <c r="AN201" t="e">
        <f>VLOOKUP($Z201,'oddspedia-matches'!$A:$AD,AN$2,0)</f>
        <v>#N/A</v>
      </c>
      <c r="AO201" t="e">
        <f>VLOOKUP($Z201,'oddspedia-matches'!$A:$AD,AO$2,0)</f>
        <v>#N/A</v>
      </c>
      <c r="AP201" t="e">
        <f>VLOOKUP($Z201,'oddspedia-matches'!$A:$AD,AP$2,0)</f>
        <v>#N/A</v>
      </c>
      <c r="AQ201" t="e">
        <f>VLOOKUP($Z201,'oddspedia-matches'!$A:$AD,AQ$2,0)</f>
        <v>#N/A</v>
      </c>
    </row>
    <row r="202" spans="2:43" x14ac:dyDescent="0.2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tr">
        <f>VLOOKUP(E202,'Transform table'!A:B,2,0)</f>
        <v>Centro Espanol</v>
      </c>
      <c r="Y202" t="str">
        <f>VLOOKUP(F202,'Transform table'!A:B,2,0)</f>
        <v>Liverpool Montevideo</v>
      </c>
      <c r="Z202" t="str">
        <f t="shared" si="3"/>
        <v>25/07/2026Centro EspanolLiverpool Montevideo</v>
      </c>
      <c r="AA202" t="e">
        <f>VLOOKUP($Z202,'oddspedia-matches'!$A:$AD,AA$2,0)</f>
        <v>#N/A</v>
      </c>
      <c r="AB202" t="e">
        <f>VLOOKUP($Z202,'oddspedia-matches'!$A:$AD,AB$2,0)</f>
        <v>#N/A</v>
      </c>
      <c r="AC202" t="e">
        <f>VLOOKUP($Z202,'oddspedia-matches'!$A:$AD,AC$2,0)</f>
        <v>#N/A</v>
      </c>
      <c r="AD202" t="e">
        <f>VLOOKUP($Z202,'oddspedia-matches'!$A:$AD,AD$2,0)</f>
        <v>#N/A</v>
      </c>
      <c r="AE202" t="e">
        <f>VLOOKUP($Z202,'oddspedia-matches'!$A:$AD,AE$2,0)</f>
        <v>#N/A</v>
      </c>
      <c r="AF202" t="e">
        <f>VLOOKUP($Z202,'oddspedia-matches'!$A:$AD,AF$2,0)</f>
        <v>#N/A</v>
      </c>
      <c r="AG202" t="e">
        <f>VLOOKUP($Z202,'oddspedia-matches'!$A:$AD,AG$2,0)</f>
        <v>#N/A</v>
      </c>
      <c r="AH202" t="e">
        <f>VLOOKUP($Z202,'oddspedia-matches'!$A:$AD,AH$2,0)</f>
        <v>#N/A</v>
      </c>
      <c r="AI202" t="e">
        <f>VLOOKUP($Z202,'oddspedia-matches'!$A:$AD,AI$2,0)</f>
        <v>#N/A</v>
      </c>
      <c r="AJ202" t="e">
        <f>VLOOKUP($Z202,'oddspedia-matches'!$A:$AD,AJ$2,0)</f>
        <v>#N/A</v>
      </c>
      <c r="AK202" t="e">
        <f>VLOOKUP($Z202,'oddspedia-matches'!$A:$AD,AK$2,0)</f>
        <v>#N/A</v>
      </c>
      <c r="AL202" t="e">
        <f>VLOOKUP($Z202,'oddspedia-matches'!$A:$AD,AL$2,0)</f>
        <v>#N/A</v>
      </c>
      <c r="AM202" t="e">
        <f>VLOOKUP($Z202,'oddspedia-matches'!$A:$AD,AM$2,0)</f>
        <v>#N/A</v>
      </c>
      <c r="AN202" t="e">
        <f>VLOOKUP($Z202,'oddspedia-matches'!$A:$AD,AN$2,0)</f>
        <v>#N/A</v>
      </c>
      <c r="AO202" t="e">
        <f>VLOOKUP($Z202,'oddspedia-matches'!$A:$AD,AO$2,0)</f>
        <v>#N/A</v>
      </c>
      <c r="AP202" t="e">
        <f>VLOOKUP($Z202,'oddspedia-matches'!$A:$AD,AP$2,0)</f>
        <v>#N/A</v>
      </c>
      <c r="AQ202" t="e">
        <f>VLOOKUP($Z202,'oddspedia-matches'!$A:$AD,AQ$2,0)</f>
        <v>#N/A</v>
      </c>
    </row>
    <row r="203" spans="2:43" x14ac:dyDescent="0.2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tr">
        <f>VLOOKUP(E203,'Transform table'!A:B,2,0)</f>
        <v>Kalmar</v>
      </c>
      <c r="Y203" t="str">
        <f>VLOOKUP(F203,'Transform table'!A:B,2,0)</f>
        <v>Mjallby</v>
      </c>
      <c r="Z203" t="str">
        <f t="shared" si="3"/>
        <v>25/07/2026KalmarMjallby</v>
      </c>
      <c r="AA203" t="str">
        <f>VLOOKUP($Z203,'oddspedia-matches'!$A:$AD,AA$2,0)</f>
        <v>2 - 1</v>
      </c>
      <c r="AB203" t="str">
        <f>VLOOKUP($Z203,'oddspedia-matches'!$A:$AD,AB$2,0)</f>
        <v>Green</v>
      </c>
      <c r="AC203" t="str">
        <f>VLOOKUP($Z203,'oddspedia-matches'!$A:$AD,AC$2,0)</f>
        <v>Red</v>
      </c>
      <c r="AD203" t="str">
        <f>VLOOKUP($Z203,'oddspedia-matches'!$A:$AD,AD$2,0)</f>
        <v>Red</v>
      </c>
      <c r="AE203" t="str">
        <f>VLOOKUP($Z203,'oddspedia-matches'!$A:$AD,AE$2,0)</f>
        <v>Green</v>
      </c>
      <c r="AF203" t="str">
        <f>VLOOKUP($Z203,'oddspedia-matches'!$A:$AD,AF$2,0)</f>
        <v>Red</v>
      </c>
      <c r="AG203" t="str">
        <f>VLOOKUP($Z203,'oddspedia-matches'!$A:$AD,AG$2,0)</f>
        <v>Green</v>
      </c>
      <c r="AH203" t="str">
        <f>VLOOKUP($Z203,'oddspedia-matches'!$A:$AD,AH$2,0)</f>
        <v>Red</v>
      </c>
      <c r="AI203" t="str">
        <f>VLOOKUP($Z203,'oddspedia-matches'!$A:$AD,AI$2,0)</f>
        <v>Green</v>
      </c>
      <c r="AJ203" t="str">
        <f>VLOOKUP($Z203,'oddspedia-matches'!$A:$AD,AJ$2,0)</f>
        <v>Red</v>
      </c>
      <c r="AK203" t="str">
        <f>VLOOKUP($Z203,'oddspedia-matches'!$A:$AD,AK$2,0)</f>
        <v>Green</v>
      </c>
      <c r="AL203" t="str">
        <f>VLOOKUP($Z203,'oddspedia-matches'!$A:$AD,AL$2,0)</f>
        <v>Green</v>
      </c>
      <c r="AM203" t="str">
        <f>VLOOKUP($Z203,'oddspedia-matches'!$A:$AD,AM$2,0)</f>
        <v>Green</v>
      </c>
      <c r="AN203" t="str">
        <f>VLOOKUP($Z203,'oddspedia-matches'!$A:$AD,AN$2,0)</f>
        <v>Red</v>
      </c>
      <c r="AO203" t="str">
        <f>VLOOKUP($Z203,'oddspedia-matches'!$A:$AD,AO$2,0)</f>
        <v>Green</v>
      </c>
      <c r="AP203" t="str">
        <f>VLOOKUP($Z203,'oddspedia-matches'!$A:$AD,AP$2,0)</f>
        <v>Green</v>
      </c>
      <c r="AQ203" t="str">
        <f>VLOOKUP($Z203,'oddspedia-matches'!$A:$AD,AQ$2,0)</f>
        <v>Red</v>
      </c>
    </row>
    <row r="204" spans="2:43" x14ac:dyDescent="0.2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tr">
        <f>VLOOKUP(E204,'Transform table'!A:B,2,0)</f>
        <v>Nomme Kalju</v>
      </c>
      <c r="Y204" t="str">
        <f>VLOOKUP(F204,'Transform table'!A:B,2,0)</f>
        <v>Flora Tallinn II</v>
      </c>
      <c r="Z204" t="str">
        <f t="shared" si="3"/>
        <v>25/07/2026Nomme KaljuFlora Tallinn II</v>
      </c>
      <c r="AA204" t="e">
        <f>VLOOKUP($Z204,'oddspedia-matches'!$A:$AD,AA$2,0)</f>
        <v>#N/A</v>
      </c>
      <c r="AB204" t="e">
        <f>VLOOKUP($Z204,'oddspedia-matches'!$A:$AD,AB$2,0)</f>
        <v>#N/A</v>
      </c>
      <c r="AC204" t="e">
        <f>VLOOKUP($Z204,'oddspedia-matches'!$A:$AD,AC$2,0)</f>
        <v>#N/A</v>
      </c>
      <c r="AD204" t="e">
        <f>VLOOKUP($Z204,'oddspedia-matches'!$A:$AD,AD$2,0)</f>
        <v>#N/A</v>
      </c>
      <c r="AE204" t="e">
        <f>VLOOKUP($Z204,'oddspedia-matches'!$A:$AD,AE$2,0)</f>
        <v>#N/A</v>
      </c>
      <c r="AF204" t="e">
        <f>VLOOKUP($Z204,'oddspedia-matches'!$A:$AD,AF$2,0)</f>
        <v>#N/A</v>
      </c>
      <c r="AG204" t="e">
        <f>VLOOKUP($Z204,'oddspedia-matches'!$A:$AD,AG$2,0)</f>
        <v>#N/A</v>
      </c>
      <c r="AH204" t="e">
        <f>VLOOKUP($Z204,'oddspedia-matches'!$A:$AD,AH$2,0)</f>
        <v>#N/A</v>
      </c>
      <c r="AI204" t="e">
        <f>VLOOKUP($Z204,'oddspedia-matches'!$A:$AD,AI$2,0)</f>
        <v>#N/A</v>
      </c>
      <c r="AJ204" t="e">
        <f>VLOOKUP($Z204,'oddspedia-matches'!$A:$AD,AJ$2,0)</f>
        <v>#N/A</v>
      </c>
      <c r="AK204" t="e">
        <f>VLOOKUP($Z204,'oddspedia-matches'!$A:$AD,AK$2,0)</f>
        <v>#N/A</v>
      </c>
      <c r="AL204" t="e">
        <f>VLOOKUP($Z204,'oddspedia-matches'!$A:$AD,AL$2,0)</f>
        <v>#N/A</v>
      </c>
      <c r="AM204" t="e">
        <f>VLOOKUP($Z204,'oddspedia-matches'!$A:$AD,AM$2,0)</f>
        <v>#N/A</v>
      </c>
      <c r="AN204" t="e">
        <f>VLOOKUP($Z204,'oddspedia-matches'!$A:$AD,AN$2,0)</f>
        <v>#N/A</v>
      </c>
      <c r="AO204" t="e">
        <f>VLOOKUP($Z204,'oddspedia-matches'!$A:$AD,AO$2,0)</f>
        <v>#N/A</v>
      </c>
      <c r="AP204" t="e">
        <f>VLOOKUP($Z204,'oddspedia-matches'!$A:$AD,AP$2,0)</f>
        <v>#N/A</v>
      </c>
      <c r="AQ204" t="e">
        <f>VLOOKUP($Z204,'oddspedia-matches'!$A:$AD,AQ$2,0)</f>
        <v>#N/A</v>
      </c>
    </row>
    <row r="205" spans="2:43" x14ac:dyDescent="0.2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tr">
        <f>VLOOKUP(E205,'Transform table'!A:B,2,0)</f>
        <v>Gillingham</v>
      </c>
      <c r="Y205" t="str">
        <f>VLOOKUP(F205,'Transform table'!A:B,2,0)</f>
        <v>Waterford United</v>
      </c>
      <c r="Z205" t="str">
        <f t="shared" si="3"/>
        <v>25/07/2026GillinghamWaterford United</v>
      </c>
      <c r="AA205" t="e">
        <f>VLOOKUP($Z205,'oddspedia-matches'!$A:$AD,AA$2,0)</f>
        <v>#N/A</v>
      </c>
      <c r="AB205" t="e">
        <f>VLOOKUP($Z205,'oddspedia-matches'!$A:$AD,AB$2,0)</f>
        <v>#N/A</v>
      </c>
      <c r="AC205" t="e">
        <f>VLOOKUP($Z205,'oddspedia-matches'!$A:$AD,AC$2,0)</f>
        <v>#N/A</v>
      </c>
      <c r="AD205" t="e">
        <f>VLOOKUP($Z205,'oddspedia-matches'!$A:$AD,AD$2,0)</f>
        <v>#N/A</v>
      </c>
      <c r="AE205" t="e">
        <f>VLOOKUP($Z205,'oddspedia-matches'!$A:$AD,AE$2,0)</f>
        <v>#N/A</v>
      </c>
      <c r="AF205" t="e">
        <f>VLOOKUP($Z205,'oddspedia-matches'!$A:$AD,AF$2,0)</f>
        <v>#N/A</v>
      </c>
      <c r="AG205" t="e">
        <f>VLOOKUP($Z205,'oddspedia-matches'!$A:$AD,AG$2,0)</f>
        <v>#N/A</v>
      </c>
      <c r="AH205" t="e">
        <f>VLOOKUP($Z205,'oddspedia-matches'!$A:$AD,AH$2,0)</f>
        <v>#N/A</v>
      </c>
      <c r="AI205" t="e">
        <f>VLOOKUP($Z205,'oddspedia-matches'!$A:$AD,AI$2,0)</f>
        <v>#N/A</v>
      </c>
      <c r="AJ205" t="e">
        <f>VLOOKUP($Z205,'oddspedia-matches'!$A:$AD,AJ$2,0)</f>
        <v>#N/A</v>
      </c>
      <c r="AK205" t="e">
        <f>VLOOKUP($Z205,'oddspedia-matches'!$A:$AD,AK$2,0)</f>
        <v>#N/A</v>
      </c>
      <c r="AL205" t="e">
        <f>VLOOKUP($Z205,'oddspedia-matches'!$A:$AD,AL$2,0)</f>
        <v>#N/A</v>
      </c>
      <c r="AM205" t="e">
        <f>VLOOKUP($Z205,'oddspedia-matches'!$A:$AD,AM$2,0)</f>
        <v>#N/A</v>
      </c>
      <c r="AN205" t="e">
        <f>VLOOKUP($Z205,'oddspedia-matches'!$A:$AD,AN$2,0)</f>
        <v>#N/A</v>
      </c>
      <c r="AO205" t="e">
        <f>VLOOKUP($Z205,'oddspedia-matches'!$A:$AD,AO$2,0)</f>
        <v>#N/A</v>
      </c>
      <c r="AP205" t="e">
        <f>VLOOKUP($Z205,'oddspedia-matches'!$A:$AD,AP$2,0)</f>
        <v>#N/A</v>
      </c>
      <c r="AQ205" t="e">
        <f>VLOOKUP($Z205,'oddspedia-matches'!$A:$AD,AQ$2,0)</f>
        <v>#N/A</v>
      </c>
    </row>
    <row r="206" spans="2:43" x14ac:dyDescent="0.2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>
        <f>VLOOKUP(E206,'Transform table'!A:B,2,0)</f>
        <v>0</v>
      </c>
      <c r="Y206" t="str">
        <f>VLOOKUP(F206,'Transform table'!A:B,2,0)</f>
        <v>Vikingur Olafsvik</v>
      </c>
      <c r="Z206" t="str">
        <f t="shared" si="3"/>
        <v>25/07/20260Vikingur Olafsvik</v>
      </c>
      <c r="AA206" t="e">
        <f>VLOOKUP($Z206,'oddspedia-matches'!$A:$AD,AA$2,0)</f>
        <v>#N/A</v>
      </c>
      <c r="AB206" t="e">
        <f>VLOOKUP($Z206,'oddspedia-matches'!$A:$AD,AB$2,0)</f>
        <v>#N/A</v>
      </c>
      <c r="AC206" t="e">
        <f>VLOOKUP($Z206,'oddspedia-matches'!$A:$AD,AC$2,0)</f>
        <v>#N/A</v>
      </c>
      <c r="AD206" t="e">
        <f>VLOOKUP($Z206,'oddspedia-matches'!$A:$AD,AD$2,0)</f>
        <v>#N/A</v>
      </c>
      <c r="AE206" t="e">
        <f>VLOOKUP($Z206,'oddspedia-matches'!$A:$AD,AE$2,0)</f>
        <v>#N/A</v>
      </c>
      <c r="AF206" t="e">
        <f>VLOOKUP($Z206,'oddspedia-matches'!$A:$AD,AF$2,0)</f>
        <v>#N/A</v>
      </c>
      <c r="AG206" t="e">
        <f>VLOOKUP($Z206,'oddspedia-matches'!$A:$AD,AG$2,0)</f>
        <v>#N/A</v>
      </c>
      <c r="AH206" t="e">
        <f>VLOOKUP($Z206,'oddspedia-matches'!$A:$AD,AH$2,0)</f>
        <v>#N/A</v>
      </c>
      <c r="AI206" t="e">
        <f>VLOOKUP($Z206,'oddspedia-matches'!$A:$AD,AI$2,0)</f>
        <v>#N/A</v>
      </c>
      <c r="AJ206" t="e">
        <f>VLOOKUP($Z206,'oddspedia-matches'!$A:$AD,AJ$2,0)</f>
        <v>#N/A</v>
      </c>
      <c r="AK206" t="e">
        <f>VLOOKUP($Z206,'oddspedia-matches'!$A:$AD,AK$2,0)</f>
        <v>#N/A</v>
      </c>
      <c r="AL206" t="e">
        <f>VLOOKUP($Z206,'oddspedia-matches'!$A:$AD,AL$2,0)</f>
        <v>#N/A</v>
      </c>
      <c r="AM206" t="e">
        <f>VLOOKUP($Z206,'oddspedia-matches'!$A:$AD,AM$2,0)</f>
        <v>#N/A</v>
      </c>
      <c r="AN206" t="e">
        <f>VLOOKUP($Z206,'oddspedia-matches'!$A:$AD,AN$2,0)</f>
        <v>#N/A</v>
      </c>
      <c r="AO206" t="e">
        <f>VLOOKUP($Z206,'oddspedia-matches'!$A:$AD,AO$2,0)</f>
        <v>#N/A</v>
      </c>
      <c r="AP206" t="e">
        <f>VLOOKUP($Z206,'oddspedia-matches'!$A:$AD,AP$2,0)</f>
        <v>#N/A</v>
      </c>
      <c r="AQ206" t="e">
        <f>VLOOKUP($Z206,'oddspedia-matches'!$A:$AD,AQ$2,0)</f>
        <v>#N/A</v>
      </c>
    </row>
    <row r="207" spans="2:43" x14ac:dyDescent="0.2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>
        <f>VLOOKUP(E207,'Transform table'!A:B,2,0)</f>
        <v>0</v>
      </c>
      <c r="Y207" t="str">
        <f>VLOOKUP(F207,'Transform table'!A:B,2,0)</f>
        <v>KFG Gardabaer</v>
      </c>
      <c r="Z207" t="str">
        <f t="shared" si="3"/>
        <v>25/07/20260KFG Gardabaer</v>
      </c>
      <c r="AA207" t="e">
        <f>VLOOKUP($Z207,'oddspedia-matches'!$A:$AD,AA$2,0)</f>
        <v>#N/A</v>
      </c>
      <c r="AB207" t="e">
        <f>VLOOKUP($Z207,'oddspedia-matches'!$A:$AD,AB$2,0)</f>
        <v>#N/A</v>
      </c>
      <c r="AC207" t="e">
        <f>VLOOKUP($Z207,'oddspedia-matches'!$A:$AD,AC$2,0)</f>
        <v>#N/A</v>
      </c>
      <c r="AD207" t="e">
        <f>VLOOKUP($Z207,'oddspedia-matches'!$A:$AD,AD$2,0)</f>
        <v>#N/A</v>
      </c>
      <c r="AE207" t="e">
        <f>VLOOKUP($Z207,'oddspedia-matches'!$A:$AD,AE$2,0)</f>
        <v>#N/A</v>
      </c>
      <c r="AF207" t="e">
        <f>VLOOKUP($Z207,'oddspedia-matches'!$A:$AD,AF$2,0)</f>
        <v>#N/A</v>
      </c>
      <c r="AG207" t="e">
        <f>VLOOKUP($Z207,'oddspedia-matches'!$A:$AD,AG$2,0)</f>
        <v>#N/A</v>
      </c>
      <c r="AH207" t="e">
        <f>VLOOKUP($Z207,'oddspedia-matches'!$A:$AD,AH$2,0)</f>
        <v>#N/A</v>
      </c>
      <c r="AI207" t="e">
        <f>VLOOKUP($Z207,'oddspedia-matches'!$A:$AD,AI$2,0)</f>
        <v>#N/A</v>
      </c>
      <c r="AJ207" t="e">
        <f>VLOOKUP($Z207,'oddspedia-matches'!$A:$AD,AJ$2,0)</f>
        <v>#N/A</v>
      </c>
      <c r="AK207" t="e">
        <f>VLOOKUP($Z207,'oddspedia-matches'!$A:$AD,AK$2,0)</f>
        <v>#N/A</v>
      </c>
      <c r="AL207" t="e">
        <f>VLOOKUP($Z207,'oddspedia-matches'!$A:$AD,AL$2,0)</f>
        <v>#N/A</v>
      </c>
      <c r="AM207" t="e">
        <f>VLOOKUP($Z207,'oddspedia-matches'!$A:$AD,AM$2,0)</f>
        <v>#N/A</v>
      </c>
      <c r="AN207" t="e">
        <f>VLOOKUP($Z207,'oddspedia-matches'!$A:$AD,AN$2,0)</f>
        <v>#N/A</v>
      </c>
      <c r="AO207" t="e">
        <f>VLOOKUP($Z207,'oddspedia-matches'!$A:$AD,AO$2,0)</f>
        <v>#N/A</v>
      </c>
      <c r="AP207" t="e">
        <f>VLOOKUP($Z207,'oddspedia-matches'!$A:$AD,AP$2,0)</f>
        <v>#N/A</v>
      </c>
      <c r="AQ207" t="e">
        <f>VLOOKUP($Z207,'oddspedia-matches'!$A:$AD,AQ$2,0)</f>
        <v>#N/A</v>
      </c>
    </row>
    <row r="208" spans="2:43" x14ac:dyDescent="0.2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tr">
        <f>VLOOKUP(E208,'Transform table'!A:B,2,0)</f>
        <v>Hegelmann Litauen II</v>
      </c>
      <c r="Y208" t="str">
        <f>VLOOKUP(F208,'Transform table'!A:B,2,0)</f>
        <v>FK Suduva Marijampole</v>
      </c>
      <c r="Z208" t="str">
        <f t="shared" si="3"/>
        <v>25/07/2026Hegelmann Litauen IIFK Suduva Marijampole</v>
      </c>
      <c r="AA208" t="e">
        <f>VLOOKUP($Z208,'oddspedia-matches'!$A:$AD,AA$2,0)</f>
        <v>#N/A</v>
      </c>
      <c r="AB208" t="e">
        <f>VLOOKUP($Z208,'oddspedia-matches'!$A:$AD,AB$2,0)</f>
        <v>#N/A</v>
      </c>
      <c r="AC208" t="e">
        <f>VLOOKUP($Z208,'oddspedia-matches'!$A:$AD,AC$2,0)</f>
        <v>#N/A</v>
      </c>
      <c r="AD208" t="e">
        <f>VLOOKUP($Z208,'oddspedia-matches'!$A:$AD,AD$2,0)</f>
        <v>#N/A</v>
      </c>
      <c r="AE208" t="e">
        <f>VLOOKUP($Z208,'oddspedia-matches'!$A:$AD,AE$2,0)</f>
        <v>#N/A</v>
      </c>
      <c r="AF208" t="e">
        <f>VLOOKUP($Z208,'oddspedia-matches'!$A:$AD,AF$2,0)</f>
        <v>#N/A</v>
      </c>
      <c r="AG208" t="e">
        <f>VLOOKUP($Z208,'oddspedia-matches'!$A:$AD,AG$2,0)</f>
        <v>#N/A</v>
      </c>
      <c r="AH208" t="e">
        <f>VLOOKUP($Z208,'oddspedia-matches'!$A:$AD,AH$2,0)</f>
        <v>#N/A</v>
      </c>
      <c r="AI208" t="e">
        <f>VLOOKUP($Z208,'oddspedia-matches'!$A:$AD,AI$2,0)</f>
        <v>#N/A</v>
      </c>
      <c r="AJ208" t="e">
        <f>VLOOKUP($Z208,'oddspedia-matches'!$A:$AD,AJ$2,0)</f>
        <v>#N/A</v>
      </c>
      <c r="AK208" t="e">
        <f>VLOOKUP($Z208,'oddspedia-matches'!$A:$AD,AK$2,0)</f>
        <v>#N/A</v>
      </c>
      <c r="AL208" t="e">
        <f>VLOOKUP($Z208,'oddspedia-matches'!$A:$AD,AL$2,0)</f>
        <v>#N/A</v>
      </c>
      <c r="AM208" t="e">
        <f>VLOOKUP($Z208,'oddspedia-matches'!$A:$AD,AM$2,0)</f>
        <v>#N/A</v>
      </c>
      <c r="AN208" t="e">
        <f>VLOOKUP($Z208,'oddspedia-matches'!$A:$AD,AN$2,0)</f>
        <v>#N/A</v>
      </c>
      <c r="AO208" t="e">
        <f>VLOOKUP($Z208,'oddspedia-matches'!$A:$AD,AO$2,0)</f>
        <v>#N/A</v>
      </c>
      <c r="AP208" t="e">
        <f>VLOOKUP($Z208,'oddspedia-matches'!$A:$AD,AP$2,0)</f>
        <v>#N/A</v>
      </c>
      <c r="AQ208" t="e">
        <f>VLOOKUP($Z208,'oddspedia-matches'!$A:$AD,AQ$2,0)</f>
        <v>#N/A</v>
      </c>
    </row>
    <row r="209" spans="2:43" x14ac:dyDescent="0.2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>
        <f>VLOOKUP(E209,'Transform table'!A:B,2,0)</f>
        <v>0</v>
      </c>
      <c r="Y209" t="str">
        <f>VLOOKUP(F209,'Transform table'!A:B,2,0)</f>
        <v>Garliava Kaunas</v>
      </c>
      <c r="Z209" t="str">
        <f t="shared" si="3"/>
        <v>25/07/20260Garliava Kaunas</v>
      </c>
      <c r="AA209" t="e">
        <f>VLOOKUP($Z209,'oddspedia-matches'!$A:$AD,AA$2,0)</f>
        <v>#N/A</v>
      </c>
      <c r="AB209" t="e">
        <f>VLOOKUP($Z209,'oddspedia-matches'!$A:$AD,AB$2,0)</f>
        <v>#N/A</v>
      </c>
      <c r="AC209" t="e">
        <f>VLOOKUP($Z209,'oddspedia-matches'!$A:$AD,AC$2,0)</f>
        <v>#N/A</v>
      </c>
      <c r="AD209" t="e">
        <f>VLOOKUP($Z209,'oddspedia-matches'!$A:$AD,AD$2,0)</f>
        <v>#N/A</v>
      </c>
      <c r="AE209" t="e">
        <f>VLOOKUP($Z209,'oddspedia-matches'!$A:$AD,AE$2,0)</f>
        <v>#N/A</v>
      </c>
      <c r="AF209" t="e">
        <f>VLOOKUP($Z209,'oddspedia-matches'!$A:$AD,AF$2,0)</f>
        <v>#N/A</v>
      </c>
      <c r="AG209" t="e">
        <f>VLOOKUP($Z209,'oddspedia-matches'!$A:$AD,AG$2,0)</f>
        <v>#N/A</v>
      </c>
      <c r="AH209" t="e">
        <f>VLOOKUP($Z209,'oddspedia-matches'!$A:$AD,AH$2,0)</f>
        <v>#N/A</v>
      </c>
      <c r="AI209" t="e">
        <f>VLOOKUP($Z209,'oddspedia-matches'!$A:$AD,AI$2,0)</f>
        <v>#N/A</v>
      </c>
      <c r="AJ209" t="e">
        <f>VLOOKUP($Z209,'oddspedia-matches'!$A:$AD,AJ$2,0)</f>
        <v>#N/A</v>
      </c>
      <c r="AK209" t="e">
        <f>VLOOKUP($Z209,'oddspedia-matches'!$A:$AD,AK$2,0)</f>
        <v>#N/A</v>
      </c>
      <c r="AL209" t="e">
        <f>VLOOKUP($Z209,'oddspedia-matches'!$A:$AD,AL$2,0)</f>
        <v>#N/A</v>
      </c>
      <c r="AM209" t="e">
        <f>VLOOKUP($Z209,'oddspedia-matches'!$A:$AD,AM$2,0)</f>
        <v>#N/A</v>
      </c>
      <c r="AN209" t="e">
        <f>VLOOKUP($Z209,'oddspedia-matches'!$A:$AD,AN$2,0)</f>
        <v>#N/A</v>
      </c>
      <c r="AO209" t="e">
        <f>VLOOKUP($Z209,'oddspedia-matches'!$A:$AD,AO$2,0)</f>
        <v>#N/A</v>
      </c>
      <c r="AP209" t="e">
        <f>VLOOKUP($Z209,'oddspedia-matches'!$A:$AD,AP$2,0)</f>
        <v>#N/A</v>
      </c>
      <c r="AQ209" t="e">
        <f>VLOOKUP($Z209,'oddspedia-matches'!$A:$AD,AQ$2,0)</f>
        <v>#N/A</v>
      </c>
    </row>
    <row r="210" spans="2:43" x14ac:dyDescent="0.2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tr">
        <f>VLOOKUP(E210,'Transform table'!A:B,2,0)</f>
        <v>Stuttgart</v>
      </c>
      <c r="Y210" t="str">
        <f>VLOOKUP(F210,'Transform table'!A:B,2,0)</f>
        <v>Lyn</v>
      </c>
      <c r="Z210" t="str">
        <f t="shared" si="3"/>
        <v>25/07/2026StuttgartLyn</v>
      </c>
      <c r="AA210" t="e">
        <f>VLOOKUP($Z210,'oddspedia-matches'!$A:$AD,AA$2,0)</f>
        <v>#N/A</v>
      </c>
      <c r="AB210" t="e">
        <f>VLOOKUP($Z210,'oddspedia-matches'!$A:$AD,AB$2,0)</f>
        <v>#N/A</v>
      </c>
      <c r="AC210" t="e">
        <f>VLOOKUP($Z210,'oddspedia-matches'!$A:$AD,AC$2,0)</f>
        <v>#N/A</v>
      </c>
      <c r="AD210" t="e">
        <f>VLOOKUP($Z210,'oddspedia-matches'!$A:$AD,AD$2,0)</f>
        <v>#N/A</v>
      </c>
      <c r="AE210" t="e">
        <f>VLOOKUP($Z210,'oddspedia-matches'!$A:$AD,AE$2,0)</f>
        <v>#N/A</v>
      </c>
      <c r="AF210" t="e">
        <f>VLOOKUP($Z210,'oddspedia-matches'!$A:$AD,AF$2,0)</f>
        <v>#N/A</v>
      </c>
      <c r="AG210" t="e">
        <f>VLOOKUP($Z210,'oddspedia-matches'!$A:$AD,AG$2,0)</f>
        <v>#N/A</v>
      </c>
      <c r="AH210" t="e">
        <f>VLOOKUP($Z210,'oddspedia-matches'!$A:$AD,AH$2,0)</f>
        <v>#N/A</v>
      </c>
      <c r="AI210" t="e">
        <f>VLOOKUP($Z210,'oddspedia-matches'!$A:$AD,AI$2,0)</f>
        <v>#N/A</v>
      </c>
      <c r="AJ210" t="e">
        <f>VLOOKUP($Z210,'oddspedia-matches'!$A:$AD,AJ$2,0)</f>
        <v>#N/A</v>
      </c>
      <c r="AK210" t="e">
        <f>VLOOKUP($Z210,'oddspedia-matches'!$A:$AD,AK$2,0)</f>
        <v>#N/A</v>
      </c>
      <c r="AL210" t="e">
        <f>VLOOKUP($Z210,'oddspedia-matches'!$A:$AD,AL$2,0)</f>
        <v>#N/A</v>
      </c>
      <c r="AM210" t="e">
        <f>VLOOKUP($Z210,'oddspedia-matches'!$A:$AD,AM$2,0)</f>
        <v>#N/A</v>
      </c>
      <c r="AN210" t="e">
        <f>VLOOKUP($Z210,'oddspedia-matches'!$A:$AD,AN$2,0)</f>
        <v>#N/A</v>
      </c>
      <c r="AO210" t="e">
        <f>VLOOKUP($Z210,'oddspedia-matches'!$A:$AD,AO$2,0)</f>
        <v>#N/A</v>
      </c>
      <c r="AP210" t="e">
        <f>VLOOKUP($Z210,'oddspedia-matches'!$A:$AD,AP$2,0)</f>
        <v>#N/A</v>
      </c>
      <c r="AQ210" t="e">
        <f>VLOOKUP($Z210,'oddspedia-matches'!$A:$AD,AQ$2,0)</f>
        <v>#N/A</v>
      </c>
    </row>
    <row r="211" spans="2:43" x14ac:dyDescent="0.2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>
        <f>VLOOKUP(E211,'Transform table'!A:B,2,0)</f>
        <v>0</v>
      </c>
      <c r="Y211" t="str">
        <f>VLOOKUP(F211,'Transform table'!A:B,2,0)</f>
        <v>Union San Felipe</v>
      </c>
      <c r="Z211" t="str">
        <f t="shared" si="3"/>
        <v>25/07/20260Union San Felipe</v>
      </c>
      <c r="AA211" t="e">
        <f>VLOOKUP($Z211,'oddspedia-matches'!$A:$AD,AA$2,0)</f>
        <v>#N/A</v>
      </c>
      <c r="AB211" t="e">
        <f>VLOOKUP($Z211,'oddspedia-matches'!$A:$AD,AB$2,0)</f>
        <v>#N/A</v>
      </c>
      <c r="AC211" t="e">
        <f>VLOOKUP($Z211,'oddspedia-matches'!$A:$AD,AC$2,0)</f>
        <v>#N/A</v>
      </c>
      <c r="AD211" t="e">
        <f>VLOOKUP($Z211,'oddspedia-matches'!$A:$AD,AD$2,0)</f>
        <v>#N/A</v>
      </c>
      <c r="AE211" t="e">
        <f>VLOOKUP($Z211,'oddspedia-matches'!$A:$AD,AE$2,0)</f>
        <v>#N/A</v>
      </c>
      <c r="AF211" t="e">
        <f>VLOOKUP($Z211,'oddspedia-matches'!$A:$AD,AF$2,0)</f>
        <v>#N/A</v>
      </c>
      <c r="AG211" t="e">
        <f>VLOOKUP($Z211,'oddspedia-matches'!$A:$AD,AG$2,0)</f>
        <v>#N/A</v>
      </c>
      <c r="AH211" t="e">
        <f>VLOOKUP($Z211,'oddspedia-matches'!$A:$AD,AH$2,0)</f>
        <v>#N/A</v>
      </c>
      <c r="AI211" t="e">
        <f>VLOOKUP($Z211,'oddspedia-matches'!$A:$AD,AI$2,0)</f>
        <v>#N/A</v>
      </c>
      <c r="AJ211" t="e">
        <f>VLOOKUP($Z211,'oddspedia-matches'!$A:$AD,AJ$2,0)</f>
        <v>#N/A</v>
      </c>
      <c r="AK211" t="e">
        <f>VLOOKUP($Z211,'oddspedia-matches'!$A:$AD,AK$2,0)</f>
        <v>#N/A</v>
      </c>
      <c r="AL211" t="e">
        <f>VLOOKUP($Z211,'oddspedia-matches'!$A:$AD,AL$2,0)</f>
        <v>#N/A</v>
      </c>
      <c r="AM211" t="e">
        <f>VLOOKUP($Z211,'oddspedia-matches'!$A:$AD,AM$2,0)</f>
        <v>#N/A</v>
      </c>
      <c r="AN211" t="e">
        <f>VLOOKUP($Z211,'oddspedia-matches'!$A:$AD,AN$2,0)</f>
        <v>#N/A</v>
      </c>
      <c r="AO211" t="e">
        <f>VLOOKUP($Z211,'oddspedia-matches'!$A:$AD,AO$2,0)</f>
        <v>#N/A</v>
      </c>
      <c r="AP211" t="e">
        <f>VLOOKUP($Z211,'oddspedia-matches'!$A:$AD,AP$2,0)</f>
        <v>#N/A</v>
      </c>
      <c r="AQ211" t="e">
        <f>VLOOKUP($Z211,'oddspedia-matches'!$A:$AD,AQ$2,0)</f>
        <v>#N/A</v>
      </c>
    </row>
    <row r="212" spans="2:43" x14ac:dyDescent="0.2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>
        <f>VLOOKUP(E212,'Transform table'!A:B,2,0)</f>
        <v>0</v>
      </c>
      <c r="Y212" t="str">
        <f>VLOOKUP(F212,'Transform table'!A:B,2,0)</f>
        <v>Selfoss</v>
      </c>
      <c r="Z212" t="str">
        <f t="shared" si="3"/>
        <v>25/07/20260Selfoss</v>
      </c>
      <c r="AA212" t="e">
        <f>VLOOKUP($Z212,'oddspedia-matches'!$A:$AD,AA$2,0)</f>
        <v>#N/A</v>
      </c>
      <c r="AB212" t="e">
        <f>VLOOKUP($Z212,'oddspedia-matches'!$A:$AD,AB$2,0)</f>
        <v>#N/A</v>
      </c>
      <c r="AC212" t="e">
        <f>VLOOKUP($Z212,'oddspedia-matches'!$A:$AD,AC$2,0)</f>
        <v>#N/A</v>
      </c>
      <c r="AD212" t="e">
        <f>VLOOKUP($Z212,'oddspedia-matches'!$A:$AD,AD$2,0)</f>
        <v>#N/A</v>
      </c>
      <c r="AE212" t="e">
        <f>VLOOKUP($Z212,'oddspedia-matches'!$A:$AD,AE$2,0)</f>
        <v>#N/A</v>
      </c>
      <c r="AF212" t="e">
        <f>VLOOKUP($Z212,'oddspedia-matches'!$A:$AD,AF$2,0)</f>
        <v>#N/A</v>
      </c>
      <c r="AG212" t="e">
        <f>VLOOKUP($Z212,'oddspedia-matches'!$A:$AD,AG$2,0)</f>
        <v>#N/A</v>
      </c>
      <c r="AH212" t="e">
        <f>VLOOKUP($Z212,'oddspedia-matches'!$A:$AD,AH$2,0)</f>
        <v>#N/A</v>
      </c>
      <c r="AI212" t="e">
        <f>VLOOKUP($Z212,'oddspedia-matches'!$A:$AD,AI$2,0)</f>
        <v>#N/A</v>
      </c>
      <c r="AJ212" t="e">
        <f>VLOOKUP($Z212,'oddspedia-matches'!$A:$AD,AJ$2,0)</f>
        <v>#N/A</v>
      </c>
      <c r="AK212" t="e">
        <f>VLOOKUP($Z212,'oddspedia-matches'!$A:$AD,AK$2,0)</f>
        <v>#N/A</v>
      </c>
      <c r="AL212" t="e">
        <f>VLOOKUP($Z212,'oddspedia-matches'!$A:$AD,AL$2,0)</f>
        <v>#N/A</v>
      </c>
      <c r="AM212" t="e">
        <f>VLOOKUP($Z212,'oddspedia-matches'!$A:$AD,AM$2,0)</f>
        <v>#N/A</v>
      </c>
      <c r="AN212" t="e">
        <f>VLOOKUP($Z212,'oddspedia-matches'!$A:$AD,AN$2,0)</f>
        <v>#N/A</v>
      </c>
      <c r="AO212" t="e">
        <f>VLOOKUP($Z212,'oddspedia-matches'!$A:$AD,AO$2,0)</f>
        <v>#N/A</v>
      </c>
      <c r="AP212" t="e">
        <f>VLOOKUP($Z212,'oddspedia-matches'!$A:$AD,AP$2,0)</f>
        <v>#N/A</v>
      </c>
      <c r="AQ212" t="e">
        <f>VLOOKUP($Z212,'oddspedia-matches'!$A:$AD,AQ$2,0)</f>
        <v>#N/A</v>
      </c>
    </row>
    <row r="213" spans="2:43" x14ac:dyDescent="0.2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>
        <f>VLOOKUP(E213,'Transform table'!A:B,2,0)</f>
        <v>0</v>
      </c>
      <c r="Y213" t="str">
        <f>VLOOKUP(F213,'Transform table'!A:B,2,0)</f>
        <v>Club Atletico Tigre</v>
      </c>
      <c r="Z213" t="str">
        <f t="shared" si="3"/>
        <v>25/07/20260Club Atletico Tigre</v>
      </c>
      <c r="AA213" t="e">
        <f>VLOOKUP($Z213,'oddspedia-matches'!$A:$AD,AA$2,0)</f>
        <v>#N/A</v>
      </c>
      <c r="AB213" t="e">
        <f>VLOOKUP($Z213,'oddspedia-matches'!$A:$AD,AB$2,0)</f>
        <v>#N/A</v>
      </c>
      <c r="AC213" t="e">
        <f>VLOOKUP($Z213,'oddspedia-matches'!$A:$AD,AC$2,0)</f>
        <v>#N/A</v>
      </c>
      <c r="AD213" t="e">
        <f>VLOOKUP($Z213,'oddspedia-matches'!$A:$AD,AD$2,0)</f>
        <v>#N/A</v>
      </c>
      <c r="AE213" t="e">
        <f>VLOOKUP($Z213,'oddspedia-matches'!$A:$AD,AE$2,0)</f>
        <v>#N/A</v>
      </c>
      <c r="AF213" t="e">
        <f>VLOOKUP($Z213,'oddspedia-matches'!$A:$AD,AF$2,0)</f>
        <v>#N/A</v>
      </c>
      <c r="AG213" t="e">
        <f>VLOOKUP($Z213,'oddspedia-matches'!$A:$AD,AG$2,0)</f>
        <v>#N/A</v>
      </c>
      <c r="AH213" t="e">
        <f>VLOOKUP($Z213,'oddspedia-matches'!$A:$AD,AH$2,0)</f>
        <v>#N/A</v>
      </c>
      <c r="AI213" t="e">
        <f>VLOOKUP($Z213,'oddspedia-matches'!$A:$AD,AI$2,0)</f>
        <v>#N/A</v>
      </c>
      <c r="AJ213" t="e">
        <f>VLOOKUP($Z213,'oddspedia-matches'!$A:$AD,AJ$2,0)</f>
        <v>#N/A</v>
      </c>
      <c r="AK213" t="e">
        <f>VLOOKUP($Z213,'oddspedia-matches'!$A:$AD,AK$2,0)</f>
        <v>#N/A</v>
      </c>
      <c r="AL213" t="e">
        <f>VLOOKUP($Z213,'oddspedia-matches'!$A:$AD,AL$2,0)</f>
        <v>#N/A</v>
      </c>
      <c r="AM213" t="e">
        <f>VLOOKUP($Z213,'oddspedia-matches'!$A:$AD,AM$2,0)</f>
        <v>#N/A</v>
      </c>
      <c r="AN213" t="e">
        <f>VLOOKUP($Z213,'oddspedia-matches'!$A:$AD,AN$2,0)</f>
        <v>#N/A</v>
      </c>
      <c r="AO213" t="e">
        <f>VLOOKUP($Z213,'oddspedia-matches'!$A:$AD,AO$2,0)</f>
        <v>#N/A</v>
      </c>
      <c r="AP213" t="e">
        <f>VLOOKUP($Z213,'oddspedia-matches'!$A:$AD,AP$2,0)</f>
        <v>#N/A</v>
      </c>
      <c r="AQ213" t="e">
        <f>VLOOKUP($Z213,'oddspedia-matches'!$A:$AD,AQ$2,0)</f>
        <v>#N/A</v>
      </c>
    </row>
    <row r="214" spans="2:43" x14ac:dyDescent="0.2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>
        <f>VLOOKUP(E214,'Transform table'!A:B,2,0)</f>
        <v>0</v>
      </c>
      <c r="Y214" t="str">
        <f>VLOOKUP(F214,'Transform table'!A:B,2,0)</f>
        <v>Ciudad de Bolivar</v>
      </c>
      <c r="Z214" t="str">
        <f t="shared" si="3"/>
        <v>25/07/20260Ciudad de Bolivar</v>
      </c>
      <c r="AA214" t="e">
        <f>VLOOKUP($Z214,'oddspedia-matches'!$A:$AD,AA$2,0)</f>
        <v>#N/A</v>
      </c>
      <c r="AB214" t="e">
        <f>VLOOKUP($Z214,'oddspedia-matches'!$A:$AD,AB$2,0)</f>
        <v>#N/A</v>
      </c>
      <c r="AC214" t="e">
        <f>VLOOKUP($Z214,'oddspedia-matches'!$A:$AD,AC$2,0)</f>
        <v>#N/A</v>
      </c>
      <c r="AD214" t="e">
        <f>VLOOKUP($Z214,'oddspedia-matches'!$A:$AD,AD$2,0)</f>
        <v>#N/A</v>
      </c>
      <c r="AE214" t="e">
        <f>VLOOKUP($Z214,'oddspedia-matches'!$A:$AD,AE$2,0)</f>
        <v>#N/A</v>
      </c>
      <c r="AF214" t="e">
        <f>VLOOKUP($Z214,'oddspedia-matches'!$A:$AD,AF$2,0)</f>
        <v>#N/A</v>
      </c>
      <c r="AG214" t="e">
        <f>VLOOKUP($Z214,'oddspedia-matches'!$A:$AD,AG$2,0)</f>
        <v>#N/A</v>
      </c>
      <c r="AH214" t="e">
        <f>VLOOKUP($Z214,'oddspedia-matches'!$A:$AD,AH$2,0)</f>
        <v>#N/A</v>
      </c>
      <c r="AI214" t="e">
        <f>VLOOKUP($Z214,'oddspedia-matches'!$A:$AD,AI$2,0)</f>
        <v>#N/A</v>
      </c>
      <c r="AJ214" t="e">
        <f>VLOOKUP($Z214,'oddspedia-matches'!$A:$AD,AJ$2,0)</f>
        <v>#N/A</v>
      </c>
      <c r="AK214" t="e">
        <f>VLOOKUP($Z214,'oddspedia-matches'!$A:$AD,AK$2,0)</f>
        <v>#N/A</v>
      </c>
      <c r="AL214" t="e">
        <f>VLOOKUP($Z214,'oddspedia-matches'!$A:$AD,AL$2,0)</f>
        <v>#N/A</v>
      </c>
      <c r="AM214" t="e">
        <f>VLOOKUP($Z214,'oddspedia-matches'!$A:$AD,AM$2,0)</f>
        <v>#N/A</v>
      </c>
      <c r="AN214" t="e">
        <f>VLOOKUP($Z214,'oddspedia-matches'!$A:$AD,AN$2,0)</f>
        <v>#N/A</v>
      </c>
      <c r="AO214" t="e">
        <f>VLOOKUP($Z214,'oddspedia-matches'!$A:$AD,AO$2,0)</f>
        <v>#N/A</v>
      </c>
      <c r="AP214" t="e">
        <f>VLOOKUP($Z214,'oddspedia-matches'!$A:$AD,AP$2,0)</f>
        <v>#N/A</v>
      </c>
      <c r="AQ214" t="e">
        <f>VLOOKUP($Z214,'oddspedia-matches'!$A:$AD,AQ$2,0)</f>
        <v>#N/A</v>
      </c>
    </row>
    <row r="215" spans="2:43" x14ac:dyDescent="0.2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>
        <f>VLOOKUP(E215,'Transform table'!A:B,2,0)</f>
        <v>0</v>
      </c>
      <c r="Y215">
        <f>VLOOKUP(F215,'Transform table'!A:B,2,0)</f>
        <v>0</v>
      </c>
      <c r="Z215" t="str">
        <f t="shared" si="3"/>
        <v>25/07/202600</v>
      </c>
      <c r="AA215" t="e">
        <f>VLOOKUP($Z215,'oddspedia-matches'!$A:$AD,AA$2,0)</f>
        <v>#N/A</v>
      </c>
      <c r="AB215" t="e">
        <f>VLOOKUP($Z215,'oddspedia-matches'!$A:$AD,AB$2,0)</f>
        <v>#N/A</v>
      </c>
      <c r="AC215" t="e">
        <f>VLOOKUP($Z215,'oddspedia-matches'!$A:$AD,AC$2,0)</f>
        <v>#N/A</v>
      </c>
      <c r="AD215" t="e">
        <f>VLOOKUP($Z215,'oddspedia-matches'!$A:$AD,AD$2,0)</f>
        <v>#N/A</v>
      </c>
      <c r="AE215" t="e">
        <f>VLOOKUP($Z215,'oddspedia-matches'!$A:$AD,AE$2,0)</f>
        <v>#N/A</v>
      </c>
      <c r="AF215" t="e">
        <f>VLOOKUP($Z215,'oddspedia-matches'!$A:$AD,AF$2,0)</f>
        <v>#N/A</v>
      </c>
      <c r="AG215" t="e">
        <f>VLOOKUP($Z215,'oddspedia-matches'!$A:$AD,AG$2,0)</f>
        <v>#N/A</v>
      </c>
      <c r="AH215" t="e">
        <f>VLOOKUP($Z215,'oddspedia-matches'!$A:$AD,AH$2,0)</f>
        <v>#N/A</v>
      </c>
      <c r="AI215" t="e">
        <f>VLOOKUP($Z215,'oddspedia-matches'!$A:$AD,AI$2,0)</f>
        <v>#N/A</v>
      </c>
      <c r="AJ215" t="e">
        <f>VLOOKUP($Z215,'oddspedia-matches'!$A:$AD,AJ$2,0)</f>
        <v>#N/A</v>
      </c>
      <c r="AK215" t="e">
        <f>VLOOKUP($Z215,'oddspedia-matches'!$A:$AD,AK$2,0)</f>
        <v>#N/A</v>
      </c>
      <c r="AL215" t="e">
        <f>VLOOKUP($Z215,'oddspedia-matches'!$A:$AD,AL$2,0)</f>
        <v>#N/A</v>
      </c>
      <c r="AM215" t="e">
        <f>VLOOKUP($Z215,'oddspedia-matches'!$A:$AD,AM$2,0)</f>
        <v>#N/A</v>
      </c>
      <c r="AN215" t="e">
        <f>VLOOKUP($Z215,'oddspedia-matches'!$A:$AD,AN$2,0)</f>
        <v>#N/A</v>
      </c>
      <c r="AO215" t="e">
        <f>VLOOKUP($Z215,'oddspedia-matches'!$A:$AD,AO$2,0)</f>
        <v>#N/A</v>
      </c>
      <c r="AP215" t="e">
        <f>VLOOKUP($Z215,'oddspedia-matches'!$A:$AD,AP$2,0)</f>
        <v>#N/A</v>
      </c>
      <c r="AQ215" t="e">
        <f>VLOOKUP($Z215,'oddspedia-matches'!$A:$AD,AQ$2,0)</f>
        <v>#N/A</v>
      </c>
    </row>
    <row r="216" spans="2:43" x14ac:dyDescent="0.2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tr">
        <f>VLOOKUP(E216,'Transform table'!A:B,2,0)</f>
        <v>CA Atlas</v>
      </c>
      <c r="Y216" t="str">
        <f>VLOOKUP(F216,'Transform table'!A:B,2,0)</f>
        <v>Deportivo Espanol</v>
      </c>
      <c r="Z216" t="str">
        <f t="shared" si="3"/>
        <v>25/07/2026CA AtlasDeportivo Espanol</v>
      </c>
      <c r="AA216" t="str">
        <f>VLOOKUP($Z216,'oddspedia-matches'!$A:$AD,AA$2,0)</f>
        <v>0 - 1</v>
      </c>
      <c r="AB216" t="str">
        <f>VLOOKUP($Z216,'oddspedia-matches'!$A:$AD,AB$2,0)</f>
        <v>Red</v>
      </c>
      <c r="AC216" t="str">
        <f>VLOOKUP($Z216,'oddspedia-matches'!$A:$AD,AC$2,0)</f>
        <v>Red</v>
      </c>
      <c r="AD216" t="str">
        <f>VLOOKUP($Z216,'oddspedia-matches'!$A:$AD,AD$2,0)</f>
        <v>Green</v>
      </c>
      <c r="AE216" t="str">
        <f>VLOOKUP($Z216,'oddspedia-matches'!$A:$AD,AE$2,0)</f>
        <v>Red</v>
      </c>
      <c r="AF216" t="str">
        <f>VLOOKUP($Z216,'oddspedia-matches'!$A:$AD,AF$2,0)</f>
        <v>Green</v>
      </c>
      <c r="AG216" t="str">
        <f>VLOOKUP($Z216,'oddspedia-matches'!$A:$AD,AG$2,0)</f>
        <v>Green</v>
      </c>
      <c r="AH216" t="str">
        <f>VLOOKUP($Z216,'oddspedia-matches'!$A:$AD,AH$2,0)</f>
        <v>Red</v>
      </c>
      <c r="AI216" t="str">
        <f>VLOOKUP($Z216,'oddspedia-matches'!$A:$AD,AI$2,0)</f>
        <v>Green</v>
      </c>
      <c r="AJ216" t="str">
        <f>VLOOKUP($Z216,'oddspedia-matches'!$A:$AD,AJ$2,0)</f>
        <v>Red</v>
      </c>
      <c r="AK216" t="str">
        <f>VLOOKUP($Z216,'oddspedia-matches'!$A:$AD,AK$2,0)</f>
        <v>Red</v>
      </c>
      <c r="AL216" t="str">
        <f>VLOOKUP($Z216,'oddspedia-matches'!$A:$AD,AL$2,0)</f>
        <v>Red</v>
      </c>
      <c r="AM216" t="str">
        <f>VLOOKUP($Z216,'oddspedia-matches'!$A:$AD,AM$2,0)</f>
        <v>Red</v>
      </c>
      <c r="AN216" t="str">
        <f>VLOOKUP($Z216,'oddspedia-matches'!$A:$AD,AN$2,0)</f>
        <v>Green</v>
      </c>
      <c r="AO216" t="str">
        <f>VLOOKUP($Z216,'oddspedia-matches'!$A:$AD,AO$2,0)</f>
        <v>Green</v>
      </c>
      <c r="AP216" t="str">
        <f>VLOOKUP($Z216,'oddspedia-matches'!$A:$AD,AP$2,0)</f>
        <v>Red</v>
      </c>
      <c r="AQ216" t="str">
        <f>VLOOKUP($Z216,'oddspedia-matches'!$A:$AD,AQ$2,0)</f>
        <v>Green</v>
      </c>
    </row>
    <row r="217" spans="2:43" x14ac:dyDescent="0.2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>
        <f>VLOOKUP(E217,'Transform table'!A:B,2,0)</f>
        <v>0</v>
      </c>
      <c r="Y217">
        <f>VLOOKUP(F217,'Transform table'!A:B,2,0)</f>
        <v>0</v>
      </c>
      <c r="Z217" t="str">
        <f t="shared" si="3"/>
        <v>25/07/202600</v>
      </c>
      <c r="AA217" t="e">
        <f>VLOOKUP($Z217,'oddspedia-matches'!$A:$AD,AA$2,0)</f>
        <v>#N/A</v>
      </c>
      <c r="AB217" t="e">
        <f>VLOOKUP($Z217,'oddspedia-matches'!$A:$AD,AB$2,0)</f>
        <v>#N/A</v>
      </c>
      <c r="AC217" t="e">
        <f>VLOOKUP($Z217,'oddspedia-matches'!$A:$AD,AC$2,0)</f>
        <v>#N/A</v>
      </c>
      <c r="AD217" t="e">
        <f>VLOOKUP($Z217,'oddspedia-matches'!$A:$AD,AD$2,0)</f>
        <v>#N/A</v>
      </c>
      <c r="AE217" t="e">
        <f>VLOOKUP($Z217,'oddspedia-matches'!$A:$AD,AE$2,0)</f>
        <v>#N/A</v>
      </c>
      <c r="AF217" t="e">
        <f>VLOOKUP($Z217,'oddspedia-matches'!$A:$AD,AF$2,0)</f>
        <v>#N/A</v>
      </c>
      <c r="AG217" t="e">
        <f>VLOOKUP($Z217,'oddspedia-matches'!$A:$AD,AG$2,0)</f>
        <v>#N/A</v>
      </c>
      <c r="AH217" t="e">
        <f>VLOOKUP($Z217,'oddspedia-matches'!$A:$AD,AH$2,0)</f>
        <v>#N/A</v>
      </c>
      <c r="AI217" t="e">
        <f>VLOOKUP($Z217,'oddspedia-matches'!$A:$AD,AI$2,0)</f>
        <v>#N/A</v>
      </c>
      <c r="AJ217" t="e">
        <f>VLOOKUP($Z217,'oddspedia-matches'!$A:$AD,AJ$2,0)</f>
        <v>#N/A</v>
      </c>
      <c r="AK217" t="e">
        <f>VLOOKUP($Z217,'oddspedia-matches'!$A:$AD,AK$2,0)</f>
        <v>#N/A</v>
      </c>
      <c r="AL217" t="e">
        <f>VLOOKUP($Z217,'oddspedia-matches'!$A:$AD,AL$2,0)</f>
        <v>#N/A</v>
      </c>
      <c r="AM217" t="e">
        <f>VLOOKUP($Z217,'oddspedia-matches'!$A:$AD,AM$2,0)</f>
        <v>#N/A</v>
      </c>
      <c r="AN217" t="e">
        <f>VLOOKUP($Z217,'oddspedia-matches'!$A:$AD,AN$2,0)</f>
        <v>#N/A</v>
      </c>
      <c r="AO217" t="e">
        <f>VLOOKUP($Z217,'oddspedia-matches'!$A:$AD,AO$2,0)</f>
        <v>#N/A</v>
      </c>
      <c r="AP217" t="e">
        <f>VLOOKUP($Z217,'oddspedia-matches'!$A:$AD,AP$2,0)</f>
        <v>#N/A</v>
      </c>
      <c r="AQ217" t="e">
        <f>VLOOKUP($Z217,'oddspedia-matches'!$A:$AD,AQ$2,0)</f>
        <v>#N/A</v>
      </c>
    </row>
    <row r="218" spans="2:43" x14ac:dyDescent="0.2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tr">
        <f>VLOOKUP(E218,'Transform table'!A:B,2,0)</f>
        <v>Berazategui</v>
      </c>
      <c r="Y218" t="str">
        <f>VLOOKUP(F218,'Transform table'!A:B,2,0)</f>
        <v>Club Mercedes</v>
      </c>
      <c r="Z218" t="str">
        <f t="shared" si="3"/>
        <v>25/07/2026BerazateguiClub Mercedes</v>
      </c>
      <c r="AA218" t="str">
        <f>VLOOKUP($Z218,'oddspedia-matches'!$A:$AD,AA$2,0)</f>
        <v>0 - 1</v>
      </c>
      <c r="AB218" t="str">
        <f>VLOOKUP($Z218,'oddspedia-matches'!$A:$AD,AB$2,0)</f>
        <v>Red</v>
      </c>
      <c r="AC218" t="str">
        <f>VLOOKUP($Z218,'oddspedia-matches'!$A:$AD,AC$2,0)</f>
        <v>Red</v>
      </c>
      <c r="AD218" t="str">
        <f>VLOOKUP($Z218,'oddspedia-matches'!$A:$AD,AD$2,0)</f>
        <v>Green</v>
      </c>
      <c r="AE218" t="str">
        <f>VLOOKUP($Z218,'oddspedia-matches'!$A:$AD,AE$2,0)</f>
        <v>Red</v>
      </c>
      <c r="AF218" t="str">
        <f>VLOOKUP($Z218,'oddspedia-matches'!$A:$AD,AF$2,0)</f>
        <v>Green</v>
      </c>
      <c r="AG218" t="str">
        <f>VLOOKUP($Z218,'oddspedia-matches'!$A:$AD,AG$2,0)</f>
        <v>Green</v>
      </c>
      <c r="AH218" t="str">
        <f>VLOOKUP($Z218,'oddspedia-matches'!$A:$AD,AH$2,0)</f>
        <v>Red</v>
      </c>
      <c r="AI218" t="str">
        <f>VLOOKUP($Z218,'oddspedia-matches'!$A:$AD,AI$2,0)</f>
        <v>Red</v>
      </c>
      <c r="AJ218" t="str">
        <f>VLOOKUP($Z218,'oddspedia-matches'!$A:$AD,AJ$2,0)</f>
        <v>Green</v>
      </c>
      <c r="AK218" t="str">
        <f>VLOOKUP($Z218,'oddspedia-matches'!$A:$AD,AK$2,0)</f>
        <v>Green</v>
      </c>
      <c r="AL218" t="str">
        <f>VLOOKUP($Z218,'oddspedia-matches'!$A:$AD,AL$2,0)</f>
        <v>Red</v>
      </c>
      <c r="AM218" t="str">
        <f>VLOOKUP($Z218,'oddspedia-matches'!$A:$AD,AM$2,0)</f>
        <v>Red</v>
      </c>
      <c r="AN218" t="str">
        <f>VLOOKUP($Z218,'oddspedia-matches'!$A:$AD,AN$2,0)</f>
        <v>Green</v>
      </c>
      <c r="AO218" t="str">
        <f>VLOOKUP($Z218,'oddspedia-matches'!$A:$AD,AO$2,0)</f>
        <v>Green</v>
      </c>
      <c r="AP218" t="str">
        <f>VLOOKUP($Z218,'oddspedia-matches'!$A:$AD,AP$2,0)</f>
        <v>Red</v>
      </c>
      <c r="AQ218" t="str">
        <f>VLOOKUP($Z218,'oddspedia-matches'!$A:$AD,AQ$2,0)</f>
        <v>Green</v>
      </c>
    </row>
    <row r="219" spans="2:43" x14ac:dyDescent="0.2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tr">
        <f>VLOOKUP(E219,'Transform table'!A:B,2,0)</f>
        <v>Cannes</v>
      </c>
      <c r="Y219" t="str">
        <f>VLOOKUP(F219,'Transform table'!A:B,2,0)</f>
        <v>Deportivo Muniz</v>
      </c>
      <c r="Z219" t="str">
        <f t="shared" si="3"/>
        <v>25/07/2026CannesDeportivo Muniz</v>
      </c>
      <c r="AA219" t="e">
        <f>VLOOKUP($Z219,'oddspedia-matches'!$A:$AD,AA$2,0)</f>
        <v>#N/A</v>
      </c>
      <c r="AB219" t="e">
        <f>VLOOKUP($Z219,'oddspedia-matches'!$A:$AD,AB$2,0)</f>
        <v>#N/A</v>
      </c>
      <c r="AC219" t="e">
        <f>VLOOKUP($Z219,'oddspedia-matches'!$A:$AD,AC$2,0)</f>
        <v>#N/A</v>
      </c>
      <c r="AD219" t="e">
        <f>VLOOKUP($Z219,'oddspedia-matches'!$A:$AD,AD$2,0)</f>
        <v>#N/A</v>
      </c>
      <c r="AE219" t="e">
        <f>VLOOKUP($Z219,'oddspedia-matches'!$A:$AD,AE$2,0)</f>
        <v>#N/A</v>
      </c>
      <c r="AF219" t="e">
        <f>VLOOKUP($Z219,'oddspedia-matches'!$A:$AD,AF$2,0)</f>
        <v>#N/A</v>
      </c>
      <c r="AG219" t="e">
        <f>VLOOKUP($Z219,'oddspedia-matches'!$A:$AD,AG$2,0)</f>
        <v>#N/A</v>
      </c>
      <c r="AH219" t="e">
        <f>VLOOKUP($Z219,'oddspedia-matches'!$A:$AD,AH$2,0)</f>
        <v>#N/A</v>
      </c>
      <c r="AI219" t="e">
        <f>VLOOKUP($Z219,'oddspedia-matches'!$A:$AD,AI$2,0)</f>
        <v>#N/A</v>
      </c>
      <c r="AJ219" t="e">
        <f>VLOOKUP($Z219,'oddspedia-matches'!$A:$AD,AJ$2,0)</f>
        <v>#N/A</v>
      </c>
      <c r="AK219" t="e">
        <f>VLOOKUP($Z219,'oddspedia-matches'!$A:$AD,AK$2,0)</f>
        <v>#N/A</v>
      </c>
      <c r="AL219" t="e">
        <f>VLOOKUP($Z219,'oddspedia-matches'!$A:$AD,AL$2,0)</f>
        <v>#N/A</v>
      </c>
      <c r="AM219" t="e">
        <f>VLOOKUP($Z219,'oddspedia-matches'!$A:$AD,AM$2,0)</f>
        <v>#N/A</v>
      </c>
      <c r="AN219" t="e">
        <f>VLOOKUP($Z219,'oddspedia-matches'!$A:$AD,AN$2,0)</f>
        <v>#N/A</v>
      </c>
      <c r="AO219" t="e">
        <f>VLOOKUP($Z219,'oddspedia-matches'!$A:$AD,AO$2,0)</f>
        <v>#N/A</v>
      </c>
      <c r="AP219" t="e">
        <f>VLOOKUP($Z219,'oddspedia-matches'!$A:$AD,AP$2,0)</f>
        <v>#N/A</v>
      </c>
      <c r="AQ219" t="e">
        <f>VLOOKUP($Z219,'oddspedia-matches'!$A:$AD,AQ$2,0)</f>
        <v>#N/A</v>
      </c>
    </row>
    <row r="220" spans="2:43" x14ac:dyDescent="0.2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>
        <f>VLOOKUP(E220,'Transform table'!A:B,2,0)</f>
        <v>0</v>
      </c>
      <c r="Y220" t="str">
        <f>VLOOKUP(F220,'Transform table'!A:B,2,0)</f>
        <v>Deportivo Paraguayo</v>
      </c>
      <c r="Z220" t="str">
        <f t="shared" si="3"/>
        <v>25/07/20260Deportivo Paraguayo</v>
      </c>
      <c r="AA220" t="e">
        <f>VLOOKUP($Z220,'oddspedia-matches'!$A:$AD,AA$2,0)</f>
        <v>#N/A</v>
      </c>
      <c r="AB220" t="e">
        <f>VLOOKUP($Z220,'oddspedia-matches'!$A:$AD,AB$2,0)</f>
        <v>#N/A</v>
      </c>
      <c r="AC220" t="e">
        <f>VLOOKUP($Z220,'oddspedia-matches'!$A:$AD,AC$2,0)</f>
        <v>#N/A</v>
      </c>
      <c r="AD220" t="e">
        <f>VLOOKUP($Z220,'oddspedia-matches'!$A:$AD,AD$2,0)</f>
        <v>#N/A</v>
      </c>
      <c r="AE220" t="e">
        <f>VLOOKUP($Z220,'oddspedia-matches'!$A:$AD,AE$2,0)</f>
        <v>#N/A</v>
      </c>
      <c r="AF220" t="e">
        <f>VLOOKUP($Z220,'oddspedia-matches'!$A:$AD,AF$2,0)</f>
        <v>#N/A</v>
      </c>
      <c r="AG220" t="e">
        <f>VLOOKUP($Z220,'oddspedia-matches'!$A:$AD,AG$2,0)</f>
        <v>#N/A</v>
      </c>
      <c r="AH220" t="e">
        <f>VLOOKUP($Z220,'oddspedia-matches'!$A:$AD,AH$2,0)</f>
        <v>#N/A</v>
      </c>
      <c r="AI220" t="e">
        <f>VLOOKUP($Z220,'oddspedia-matches'!$A:$AD,AI$2,0)</f>
        <v>#N/A</v>
      </c>
      <c r="AJ220" t="e">
        <f>VLOOKUP($Z220,'oddspedia-matches'!$A:$AD,AJ$2,0)</f>
        <v>#N/A</v>
      </c>
      <c r="AK220" t="e">
        <f>VLOOKUP($Z220,'oddspedia-matches'!$A:$AD,AK$2,0)</f>
        <v>#N/A</v>
      </c>
      <c r="AL220" t="e">
        <f>VLOOKUP($Z220,'oddspedia-matches'!$A:$AD,AL$2,0)</f>
        <v>#N/A</v>
      </c>
      <c r="AM220" t="e">
        <f>VLOOKUP($Z220,'oddspedia-matches'!$A:$AD,AM$2,0)</f>
        <v>#N/A</v>
      </c>
      <c r="AN220" t="e">
        <f>VLOOKUP($Z220,'oddspedia-matches'!$A:$AD,AN$2,0)</f>
        <v>#N/A</v>
      </c>
      <c r="AO220" t="e">
        <f>VLOOKUP($Z220,'oddspedia-matches'!$A:$AD,AO$2,0)</f>
        <v>#N/A</v>
      </c>
      <c r="AP220" t="e">
        <f>VLOOKUP($Z220,'oddspedia-matches'!$A:$AD,AP$2,0)</f>
        <v>#N/A</v>
      </c>
      <c r="AQ220" t="e">
        <f>VLOOKUP($Z220,'oddspedia-matches'!$A:$AD,AQ$2,0)</f>
        <v>#N/A</v>
      </c>
    </row>
    <row r="221" spans="2:43" x14ac:dyDescent="0.2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tr">
        <f>VLOOKUP(E221,'Transform table'!A:B,2,0)</f>
        <v>Fenerbahce</v>
      </c>
      <c r="Y221">
        <f>VLOOKUP(F221,'Transform table'!A:B,2,0)</f>
        <v>0</v>
      </c>
      <c r="Z221" t="str">
        <f t="shared" si="3"/>
        <v>25/07/2026Fenerbahce0</v>
      </c>
      <c r="AA221" t="e">
        <f>VLOOKUP($Z221,'oddspedia-matches'!$A:$AD,AA$2,0)</f>
        <v>#N/A</v>
      </c>
      <c r="AB221" t="e">
        <f>VLOOKUP($Z221,'oddspedia-matches'!$A:$AD,AB$2,0)</f>
        <v>#N/A</v>
      </c>
      <c r="AC221" t="e">
        <f>VLOOKUP($Z221,'oddspedia-matches'!$A:$AD,AC$2,0)</f>
        <v>#N/A</v>
      </c>
      <c r="AD221" t="e">
        <f>VLOOKUP($Z221,'oddspedia-matches'!$A:$AD,AD$2,0)</f>
        <v>#N/A</v>
      </c>
      <c r="AE221" t="e">
        <f>VLOOKUP($Z221,'oddspedia-matches'!$A:$AD,AE$2,0)</f>
        <v>#N/A</v>
      </c>
      <c r="AF221" t="e">
        <f>VLOOKUP($Z221,'oddspedia-matches'!$A:$AD,AF$2,0)</f>
        <v>#N/A</v>
      </c>
      <c r="AG221" t="e">
        <f>VLOOKUP($Z221,'oddspedia-matches'!$A:$AD,AG$2,0)</f>
        <v>#N/A</v>
      </c>
      <c r="AH221" t="e">
        <f>VLOOKUP($Z221,'oddspedia-matches'!$A:$AD,AH$2,0)</f>
        <v>#N/A</v>
      </c>
      <c r="AI221" t="e">
        <f>VLOOKUP($Z221,'oddspedia-matches'!$A:$AD,AI$2,0)</f>
        <v>#N/A</v>
      </c>
      <c r="AJ221" t="e">
        <f>VLOOKUP($Z221,'oddspedia-matches'!$A:$AD,AJ$2,0)</f>
        <v>#N/A</v>
      </c>
      <c r="AK221" t="e">
        <f>VLOOKUP($Z221,'oddspedia-matches'!$A:$AD,AK$2,0)</f>
        <v>#N/A</v>
      </c>
      <c r="AL221" t="e">
        <f>VLOOKUP($Z221,'oddspedia-matches'!$A:$AD,AL$2,0)</f>
        <v>#N/A</v>
      </c>
      <c r="AM221" t="e">
        <f>VLOOKUP($Z221,'oddspedia-matches'!$A:$AD,AM$2,0)</f>
        <v>#N/A</v>
      </c>
      <c r="AN221" t="e">
        <f>VLOOKUP($Z221,'oddspedia-matches'!$A:$AD,AN$2,0)</f>
        <v>#N/A</v>
      </c>
      <c r="AO221" t="e">
        <f>VLOOKUP($Z221,'oddspedia-matches'!$A:$AD,AO$2,0)</f>
        <v>#N/A</v>
      </c>
      <c r="AP221" t="e">
        <f>VLOOKUP($Z221,'oddspedia-matches'!$A:$AD,AP$2,0)</f>
        <v>#N/A</v>
      </c>
      <c r="AQ221" t="e">
        <f>VLOOKUP($Z221,'oddspedia-matches'!$A:$AD,AQ$2,0)</f>
        <v>#N/A</v>
      </c>
    </row>
    <row r="222" spans="2:43" x14ac:dyDescent="0.2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>
        <f>VLOOKUP(E222,'Transform table'!A:B,2,0)</f>
        <v>0</v>
      </c>
      <c r="Y222">
        <f>VLOOKUP(F222,'Transform table'!A:B,2,0)</f>
        <v>0</v>
      </c>
      <c r="Z222" t="str">
        <f t="shared" si="3"/>
        <v>25/07/202600</v>
      </c>
      <c r="AA222" t="e">
        <f>VLOOKUP($Z222,'oddspedia-matches'!$A:$AD,AA$2,0)</f>
        <v>#N/A</v>
      </c>
      <c r="AB222" t="e">
        <f>VLOOKUP($Z222,'oddspedia-matches'!$A:$AD,AB$2,0)</f>
        <v>#N/A</v>
      </c>
      <c r="AC222" t="e">
        <f>VLOOKUP($Z222,'oddspedia-matches'!$A:$AD,AC$2,0)</f>
        <v>#N/A</v>
      </c>
      <c r="AD222" t="e">
        <f>VLOOKUP($Z222,'oddspedia-matches'!$A:$AD,AD$2,0)</f>
        <v>#N/A</v>
      </c>
      <c r="AE222" t="e">
        <f>VLOOKUP($Z222,'oddspedia-matches'!$A:$AD,AE$2,0)</f>
        <v>#N/A</v>
      </c>
      <c r="AF222" t="e">
        <f>VLOOKUP($Z222,'oddspedia-matches'!$A:$AD,AF$2,0)</f>
        <v>#N/A</v>
      </c>
      <c r="AG222" t="e">
        <f>VLOOKUP($Z222,'oddspedia-matches'!$A:$AD,AG$2,0)</f>
        <v>#N/A</v>
      </c>
      <c r="AH222" t="e">
        <f>VLOOKUP($Z222,'oddspedia-matches'!$A:$AD,AH$2,0)</f>
        <v>#N/A</v>
      </c>
      <c r="AI222" t="e">
        <f>VLOOKUP($Z222,'oddspedia-matches'!$A:$AD,AI$2,0)</f>
        <v>#N/A</v>
      </c>
      <c r="AJ222" t="e">
        <f>VLOOKUP($Z222,'oddspedia-matches'!$A:$AD,AJ$2,0)</f>
        <v>#N/A</v>
      </c>
      <c r="AK222" t="e">
        <f>VLOOKUP($Z222,'oddspedia-matches'!$A:$AD,AK$2,0)</f>
        <v>#N/A</v>
      </c>
      <c r="AL222" t="e">
        <f>VLOOKUP($Z222,'oddspedia-matches'!$A:$AD,AL$2,0)</f>
        <v>#N/A</v>
      </c>
      <c r="AM222" t="e">
        <f>VLOOKUP($Z222,'oddspedia-matches'!$A:$AD,AM$2,0)</f>
        <v>#N/A</v>
      </c>
      <c r="AN222" t="e">
        <f>VLOOKUP($Z222,'oddspedia-matches'!$A:$AD,AN$2,0)</f>
        <v>#N/A</v>
      </c>
      <c r="AO222" t="e">
        <f>VLOOKUP($Z222,'oddspedia-matches'!$A:$AD,AO$2,0)</f>
        <v>#N/A</v>
      </c>
      <c r="AP222" t="e">
        <f>VLOOKUP($Z222,'oddspedia-matches'!$A:$AD,AP$2,0)</f>
        <v>#N/A</v>
      </c>
      <c r="AQ222" t="e">
        <f>VLOOKUP($Z222,'oddspedia-matches'!$A:$AD,AQ$2,0)</f>
        <v>#N/A</v>
      </c>
    </row>
    <row r="223" spans="2:43" x14ac:dyDescent="0.2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str">
        <f>VLOOKUP(E223,'Transform table'!A:B,2,0)</f>
        <v>Juventud Unida San Miguel</v>
      </c>
      <c r="Y223">
        <f>VLOOKUP(F223,'Transform table'!A:B,2,0)</f>
        <v>0</v>
      </c>
      <c r="Z223" t="str">
        <f t="shared" si="3"/>
        <v>25/07/2026Juventud Unida San Miguel0</v>
      </c>
      <c r="AA223" t="e">
        <f>VLOOKUP($Z223,'oddspedia-matches'!$A:$AD,AA$2,0)</f>
        <v>#N/A</v>
      </c>
      <c r="AB223" t="e">
        <f>VLOOKUP($Z223,'oddspedia-matches'!$A:$AD,AB$2,0)</f>
        <v>#N/A</v>
      </c>
      <c r="AC223" t="e">
        <f>VLOOKUP($Z223,'oddspedia-matches'!$A:$AD,AC$2,0)</f>
        <v>#N/A</v>
      </c>
      <c r="AD223" t="e">
        <f>VLOOKUP($Z223,'oddspedia-matches'!$A:$AD,AD$2,0)</f>
        <v>#N/A</v>
      </c>
      <c r="AE223" t="e">
        <f>VLOOKUP($Z223,'oddspedia-matches'!$A:$AD,AE$2,0)</f>
        <v>#N/A</v>
      </c>
      <c r="AF223" t="e">
        <f>VLOOKUP($Z223,'oddspedia-matches'!$A:$AD,AF$2,0)</f>
        <v>#N/A</v>
      </c>
      <c r="AG223" t="e">
        <f>VLOOKUP($Z223,'oddspedia-matches'!$A:$AD,AG$2,0)</f>
        <v>#N/A</v>
      </c>
      <c r="AH223" t="e">
        <f>VLOOKUP($Z223,'oddspedia-matches'!$A:$AD,AH$2,0)</f>
        <v>#N/A</v>
      </c>
      <c r="AI223" t="e">
        <f>VLOOKUP($Z223,'oddspedia-matches'!$A:$AD,AI$2,0)</f>
        <v>#N/A</v>
      </c>
      <c r="AJ223" t="e">
        <f>VLOOKUP($Z223,'oddspedia-matches'!$A:$AD,AJ$2,0)</f>
        <v>#N/A</v>
      </c>
      <c r="AK223" t="e">
        <f>VLOOKUP($Z223,'oddspedia-matches'!$A:$AD,AK$2,0)</f>
        <v>#N/A</v>
      </c>
      <c r="AL223" t="e">
        <f>VLOOKUP($Z223,'oddspedia-matches'!$A:$AD,AL$2,0)</f>
        <v>#N/A</v>
      </c>
      <c r="AM223" t="e">
        <f>VLOOKUP($Z223,'oddspedia-matches'!$A:$AD,AM$2,0)</f>
        <v>#N/A</v>
      </c>
      <c r="AN223" t="e">
        <f>VLOOKUP($Z223,'oddspedia-matches'!$A:$AD,AN$2,0)</f>
        <v>#N/A</v>
      </c>
      <c r="AO223" t="e">
        <f>VLOOKUP($Z223,'oddspedia-matches'!$A:$AD,AO$2,0)</f>
        <v>#N/A</v>
      </c>
      <c r="AP223" t="e">
        <f>VLOOKUP($Z223,'oddspedia-matches'!$A:$AD,AP$2,0)</f>
        <v>#N/A</v>
      </c>
      <c r="AQ223" t="e">
        <f>VLOOKUP($Z223,'oddspedia-matches'!$A:$AD,AQ$2,0)</f>
        <v>#N/A</v>
      </c>
    </row>
    <row r="224" spans="2:43" x14ac:dyDescent="0.2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tr">
        <f>VLOOKUP(E224,'Transform table'!A:B,2,0)</f>
        <v>Leones de Rosario</v>
      </c>
      <c r="Y224" t="str">
        <f>VLOOKUP(F224,'Transform table'!A:B,2,0)</f>
        <v>Central Cordoba de Rosario</v>
      </c>
      <c r="Z224" t="str">
        <f t="shared" si="3"/>
        <v>25/07/2026Leones de RosarioCentral Cordoba de Rosario</v>
      </c>
      <c r="AA224" t="str">
        <f>VLOOKUP($Z224,'oddspedia-matches'!$A:$AD,AA$2,0)</f>
        <v>0 - 2</v>
      </c>
      <c r="AB224" t="str">
        <f>VLOOKUP($Z224,'oddspedia-matches'!$A:$AD,AB$2,0)</f>
        <v>Red</v>
      </c>
      <c r="AC224" t="str">
        <f>VLOOKUP($Z224,'oddspedia-matches'!$A:$AD,AC$2,0)</f>
        <v>Red</v>
      </c>
      <c r="AD224" t="str">
        <f>VLOOKUP($Z224,'oddspedia-matches'!$A:$AD,AD$2,0)</f>
        <v>Green</v>
      </c>
      <c r="AE224" t="str">
        <f>VLOOKUP($Z224,'oddspedia-matches'!$A:$AD,AE$2,0)</f>
        <v>Red</v>
      </c>
      <c r="AF224" t="str">
        <f>VLOOKUP($Z224,'oddspedia-matches'!$A:$AD,AF$2,0)</f>
        <v>Green</v>
      </c>
      <c r="AG224" t="str">
        <f>VLOOKUP($Z224,'oddspedia-matches'!$A:$AD,AG$2,0)</f>
        <v>Green</v>
      </c>
      <c r="AH224" t="str">
        <f>VLOOKUP($Z224,'oddspedia-matches'!$A:$AD,AH$2,0)</f>
        <v>Red</v>
      </c>
      <c r="AI224" t="str">
        <f>VLOOKUP($Z224,'oddspedia-matches'!$A:$AD,AI$2,0)</f>
        <v>Red</v>
      </c>
      <c r="AJ224" t="str">
        <f>VLOOKUP($Z224,'oddspedia-matches'!$A:$AD,AJ$2,0)</f>
        <v>Green</v>
      </c>
      <c r="AK224" t="str">
        <f>VLOOKUP($Z224,'oddspedia-matches'!$A:$AD,AK$2,0)</f>
        <v>Green</v>
      </c>
      <c r="AL224" t="str">
        <f>VLOOKUP($Z224,'oddspedia-matches'!$A:$AD,AL$2,0)</f>
        <v>Green</v>
      </c>
      <c r="AM224" t="str">
        <f>VLOOKUP($Z224,'oddspedia-matches'!$A:$AD,AM$2,0)</f>
        <v>Red</v>
      </c>
      <c r="AN224" t="str">
        <f>VLOOKUP($Z224,'oddspedia-matches'!$A:$AD,AN$2,0)</f>
        <v>Green</v>
      </c>
      <c r="AO224" t="str">
        <f>VLOOKUP($Z224,'oddspedia-matches'!$A:$AD,AO$2,0)</f>
        <v>Green</v>
      </c>
      <c r="AP224" t="str">
        <f>VLOOKUP($Z224,'oddspedia-matches'!$A:$AD,AP$2,0)</f>
        <v>Red</v>
      </c>
      <c r="AQ224" t="str">
        <f>VLOOKUP($Z224,'oddspedia-matches'!$A:$AD,AQ$2,0)</f>
        <v>Green</v>
      </c>
    </row>
    <row r="225" spans="2:43" x14ac:dyDescent="0.2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tr">
        <f>VLOOKUP(E225,'Transform table'!A:B,2,0)</f>
        <v>Lugano</v>
      </c>
      <c r="Y225" t="str">
        <f>VLOOKUP(F225,'Transform table'!A:B,2,0)</f>
        <v>Centro Espanol</v>
      </c>
      <c r="Z225" t="str">
        <f t="shared" si="3"/>
        <v>25/07/2026LuganoCentro Espanol</v>
      </c>
      <c r="AA225" t="e">
        <f>VLOOKUP($Z225,'oddspedia-matches'!$A:$AD,AA$2,0)</f>
        <v>#N/A</v>
      </c>
      <c r="AB225" t="e">
        <f>VLOOKUP($Z225,'oddspedia-matches'!$A:$AD,AB$2,0)</f>
        <v>#N/A</v>
      </c>
      <c r="AC225" t="e">
        <f>VLOOKUP($Z225,'oddspedia-matches'!$A:$AD,AC$2,0)</f>
        <v>#N/A</v>
      </c>
      <c r="AD225" t="e">
        <f>VLOOKUP($Z225,'oddspedia-matches'!$A:$AD,AD$2,0)</f>
        <v>#N/A</v>
      </c>
      <c r="AE225" t="e">
        <f>VLOOKUP($Z225,'oddspedia-matches'!$A:$AD,AE$2,0)</f>
        <v>#N/A</v>
      </c>
      <c r="AF225" t="e">
        <f>VLOOKUP($Z225,'oddspedia-matches'!$A:$AD,AF$2,0)</f>
        <v>#N/A</v>
      </c>
      <c r="AG225" t="e">
        <f>VLOOKUP($Z225,'oddspedia-matches'!$A:$AD,AG$2,0)</f>
        <v>#N/A</v>
      </c>
      <c r="AH225" t="e">
        <f>VLOOKUP($Z225,'oddspedia-matches'!$A:$AD,AH$2,0)</f>
        <v>#N/A</v>
      </c>
      <c r="AI225" t="e">
        <f>VLOOKUP($Z225,'oddspedia-matches'!$A:$AD,AI$2,0)</f>
        <v>#N/A</v>
      </c>
      <c r="AJ225" t="e">
        <f>VLOOKUP($Z225,'oddspedia-matches'!$A:$AD,AJ$2,0)</f>
        <v>#N/A</v>
      </c>
      <c r="AK225" t="e">
        <f>VLOOKUP($Z225,'oddspedia-matches'!$A:$AD,AK$2,0)</f>
        <v>#N/A</v>
      </c>
      <c r="AL225" t="e">
        <f>VLOOKUP($Z225,'oddspedia-matches'!$A:$AD,AL$2,0)</f>
        <v>#N/A</v>
      </c>
      <c r="AM225" t="e">
        <f>VLOOKUP($Z225,'oddspedia-matches'!$A:$AD,AM$2,0)</f>
        <v>#N/A</v>
      </c>
      <c r="AN225" t="e">
        <f>VLOOKUP($Z225,'oddspedia-matches'!$A:$AD,AN$2,0)</f>
        <v>#N/A</v>
      </c>
      <c r="AO225" t="e">
        <f>VLOOKUP($Z225,'oddspedia-matches'!$A:$AD,AO$2,0)</f>
        <v>#N/A</v>
      </c>
      <c r="AP225" t="e">
        <f>VLOOKUP($Z225,'oddspedia-matches'!$A:$AD,AP$2,0)</f>
        <v>#N/A</v>
      </c>
      <c r="AQ225" t="e">
        <f>VLOOKUP($Z225,'oddspedia-matches'!$A:$AD,AQ$2,0)</f>
        <v>#N/A</v>
      </c>
    </row>
    <row r="226" spans="2:43" x14ac:dyDescent="0.2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>
        <f>VLOOKUP(E226,'Transform table'!A:B,2,0)</f>
        <v>0</v>
      </c>
      <c r="Y226">
        <f>VLOOKUP(F226,'Transform table'!A:B,2,0)</f>
        <v>0</v>
      </c>
      <c r="Z226" t="str">
        <f t="shared" si="3"/>
        <v>25/07/202600</v>
      </c>
      <c r="AA226" t="e">
        <f>VLOOKUP($Z226,'oddspedia-matches'!$A:$AD,AA$2,0)</f>
        <v>#N/A</v>
      </c>
      <c r="AB226" t="e">
        <f>VLOOKUP($Z226,'oddspedia-matches'!$A:$AD,AB$2,0)</f>
        <v>#N/A</v>
      </c>
      <c r="AC226" t="e">
        <f>VLOOKUP($Z226,'oddspedia-matches'!$A:$AD,AC$2,0)</f>
        <v>#N/A</v>
      </c>
      <c r="AD226" t="e">
        <f>VLOOKUP($Z226,'oddspedia-matches'!$A:$AD,AD$2,0)</f>
        <v>#N/A</v>
      </c>
      <c r="AE226" t="e">
        <f>VLOOKUP($Z226,'oddspedia-matches'!$A:$AD,AE$2,0)</f>
        <v>#N/A</v>
      </c>
      <c r="AF226" t="e">
        <f>VLOOKUP($Z226,'oddspedia-matches'!$A:$AD,AF$2,0)</f>
        <v>#N/A</v>
      </c>
      <c r="AG226" t="e">
        <f>VLOOKUP($Z226,'oddspedia-matches'!$A:$AD,AG$2,0)</f>
        <v>#N/A</v>
      </c>
      <c r="AH226" t="e">
        <f>VLOOKUP($Z226,'oddspedia-matches'!$A:$AD,AH$2,0)</f>
        <v>#N/A</v>
      </c>
      <c r="AI226" t="e">
        <f>VLOOKUP($Z226,'oddspedia-matches'!$A:$AD,AI$2,0)</f>
        <v>#N/A</v>
      </c>
      <c r="AJ226" t="e">
        <f>VLOOKUP($Z226,'oddspedia-matches'!$A:$AD,AJ$2,0)</f>
        <v>#N/A</v>
      </c>
      <c r="AK226" t="e">
        <f>VLOOKUP($Z226,'oddspedia-matches'!$A:$AD,AK$2,0)</f>
        <v>#N/A</v>
      </c>
      <c r="AL226" t="e">
        <f>VLOOKUP($Z226,'oddspedia-matches'!$A:$AD,AL$2,0)</f>
        <v>#N/A</v>
      </c>
      <c r="AM226" t="e">
        <f>VLOOKUP($Z226,'oddspedia-matches'!$A:$AD,AM$2,0)</f>
        <v>#N/A</v>
      </c>
      <c r="AN226" t="e">
        <f>VLOOKUP($Z226,'oddspedia-matches'!$A:$AD,AN$2,0)</f>
        <v>#N/A</v>
      </c>
      <c r="AO226" t="e">
        <f>VLOOKUP($Z226,'oddspedia-matches'!$A:$AD,AO$2,0)</f>
        <v>#N/A</v>
      </c>
      <c r="AP226" t="e">
        <f>VLOOKUP($Z226,'oddspedia-matches'!$A:$AD,AP$2,0)</f>
        <v>#N/A</v>
      </c>
      <c r="AQ226" t="e">
        <f>VLOOKUP($Z226,'oddspedia-matches'!$A:$AD,AQ$2,0)</f>
        <v>#N/A</v>
      </c>
    </row>
    <row r="227" spans="2:43" x14ac:dyDescent="0.2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str">
        <f>VLOOKUP(E227,'Transform table'!A:B,2,0)</f>
        <v>Sacachispas</v>
      </c>
      <c r="Y227">
        <f>VLOOKUP(F227,'Transform table'!A:B,2,0)</f>
        <v>0</v>
      </c>
      <c r="Z227" t="str">
        <f t="shared" si="3"/>
        <v>25/07/2026Sacachispas0</v>
      </c>
      <c r="AA227" t="e">
        <f>VLOOKUP($Z227,'oddspedia-matches'!$A:$AD,AA$2,0)</f>
        <v>#N/A</v>
      </c>
      <c r="AB227" t="e">
        <f>VLOOKUP($Z227,'oddspedia-matches'!$A:$AD,AB$2,0)</f>
        <v>#N/A</v>
      </c>
      <c r="AC227" t="e">
        <f>VLOOKUP($Z227,'oddspedia-matches'!$A:$AD,AC$2,0)</f>
        <v>#N/A</v>
      </c>
      <c r="AD227" t="e">
        <f>VLOOKUP($Z227,'oddspedia-matches'!$A:$AD,AD$2,0)</f>
        <v>#N/A</v>
      </c>
      <c r="AE227" t="e">
        <f>VLOOKUP($Z227,'oddspedia-matches'!$A:$AD,AE$2,0)</f>
        <v>#N/A</v>
      </c>
      <c r="AF227" t="e">
        <f>VLOOKUP($Z227,'oddspedia-matches'!$A:$AD,AF$2,0)</f>
        <v>#N/A</v>
      </c>
      <c r="AG227" t="e">
        <f>VLOOKUP($Z227,'oddspedia-matches'!$A:$AD,AG$2,0)</f>
        <v>#N/A</v>
      </c>
      <c r="AH227" t="e">
        <f>VLOOKUP($Z227,'oddspedia-matches'!$A:$AD,AH$2,0)</f>
        <v>#N/A</v>
      </c>
      <c r="AI227" t="e">
        <f>VLOOKUP($Z227,'oddspedia-matches'!$A:$AD,AI$2,0)</f>
        <v>#N/A</v>
      </c>
      <c r="AJ227" t="e">
        <f>VLOOKUP($Z227,'oddspedia-matches'!$A:$AD,AJ$2,0)</f>
        <v>#N/A</v>
      </c>
      <c r="AK227" t="e">
        <f>VLOOKUP($Z227,'oddspedia-matches'!$A:$AD,AK$2,0)</f>
        <v>#N/A</v>
      </c>
      <c r="AL227" t="e">
        <f>VLOOKUP($Z227,'oddspedia-matches'!$A:$AD,AL$2,0)</f>
        <v>#N/A</v>
      </c>
      <c r="AM227" t="e">
        <f>VLOOKUP($Z227,'oddspedia-matches'!$A:$AD,AM$2,0)</f>
        <v>#N/A</v>
      </c>
      <c r="AN227" t="e">
        <f>VLOOKUP($Z227,'oddspedia-matches'!$A:$AD,AN$2,0)</f>
        <v>#N/A</v>
      </c>
      <c r="AO227" t="e">
        <f>VLOOKUP($Z227,'oddspedia-matches'!$A:$AD,AO$2,0)</f>
        <v>#N/A</v>
      </c>
      <c r="AP227" t="e">
        <f>VLOOKUP($Z227,'oddspedia-matches'!$A:$AD,AP$2,0)</f>
        <v>#N/A</v>
      </c>
      <c r="AQ227" t="e">
        <f>VLOOKUP($Z227,'oddspedia-matches'!$A:$AD,AQ$2,0)</f>
        <v>#N/A</v>
      </c>
    </row>
    <row r="228" spans="2:43" x14ac:dyDescent="0.2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>
        <f>VLOOKUP(E228,'Transform table'!A:B,2,0)</f>
        <v>0</v>
      </c>
      <c r="Y228">
        <f>VLOOKUP(F228,'Transform table'!A:B,2,0)</f>
        <v>0</v>
      </c>
      <c r="Z228" t="str">
        <f t="shared" si="3"/>
        <v>25/07/202600</v>
      </c>
      <c r="AA228" t="e">
        <f>VLOOKUP($Z228,'oddspedia-matches'!$A:$AD,AA$2,0)</f>
        <v>#N/A</v>
      </c>
      <c r="AB228" t="e">
        <f>VLOOKUP($Z228,'oddspedia-matches'!$A:$AD,AB$2,0)</f>
        <v>#N/A</v>
      </c>
      <c r="AC228" t="e">
        <f>VLOOKUP($Z228,'oddspedia-matches'!$A:$AD,AC$2,0)</f>
        <v>#N/A</v>
      </c>
      <c r="AD228" t="e">
        <f>VLOOKUP($Z228,'oddspedia-matches'!$A:$AD,AD$2,0)</f>
        <v>#N/A</v>
      </c>
      <c r="AE228" t="e">
        <f>VLOOKUP($Z228,'oddspedia-matches'!$A:$AD,AE$2,0)</f>
        <v>#N/A</v>
      </c>
      <c r="AF228" t="e">
        <f>VLOOKUP($Z228,'oddspedia-matches'!$A:$AD,AF$2,0)</f>
        <v>#N/A</v>
      </c>
      <c r="AG228" t="e">
        <f>VLOOKUP($Z228,'oddspedia-matches'!$A:$AD,AG$2,0)</f>
        <v>#N/A</v>
      </c>
      <c r="AH228" t="e">
        <f>VLOOKUP($Z228,'oddspedia-matches'!$A:$AD,AH$2,0)</f>
        <v>#N/A</v>
      </c>
      <c r="AI228" t="e">
        <f>VLOOKUP($Z228,'oddspedia-matches'!$A:$AD,AI$2,0)</f>
        <v>#N/A</v>
      </c>
      <c r="AJ228" t="e">
        <f>VLOOKUP($Z228,'oddspedia-matches'!$A:$AD,AJ$2,0)</f>
        <v>#N/A</v>
      </c>
      <c r="AK228" t="e">
        <f>VLOOKUP($Z228,'oddspedia-matches'!$A:$AD,AK$2,0)</f>
        <v>#N/A</v>
      </c>
      <c r="AL228" t="e">
        <f>VLOOKUP($Z228,'oddspedia-matches'!$A:$AD,AL$2,0)</f>
        <v>#N/A</v>
      </c>
      <c r="AM228" t="e">
        <f>VLOOKUP($Z228,'oddspedia-matches'!$A:$AD,AM$2,0)</f>
        <v>#N/A</v>
      </c>
      <c r="AN228" t="e">
        <f>VLOOKUP($Z228,'oddspedia-matches'!$A:$AD,AN$2,0)</f>
        <v>#N/A</v>
      </c>
      <c r="AO228" t="e">
        <f>VLOOKUP($Z228,'oddspedia-matches'!$A:$AD,AO$2,0)</f>
        <v>#N/A</v>
      </c>
      <c r="AP228" t="e">
        <f>VLOOKUP($Z228,'oddspedia-matches'!$A:$AD,AP$2,0)</f>
        <v>#N/A</v>
      </c>
      <c r="AQ228" t="e">
        <f>VLOOKUP($Z228,'oddspedia-matches'!$A:$AD,AQ$2,0)</f>
        <v>#N/A</v>
      </c>
    </row>
    <row r="229" spans="2:43" x14ac:dyDescent="0.2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tr">
        <f>VLOOKUP(E229,'Transform table'!A:B,2,0)</f>
        <v>Hapoel Beer Sheva</v>
      </c>
      <c r="Y229" t="str">
        <f>VLOOKUP(F229,'Transform table'!A:B,2,0)</f>
        <v>Bryne</v>
      </c>
      <c r="Z229" t="str">
        <f t="shared" si="3"/>
        <v>25/07/2026Hapoel Beer ShevaBryne</v>
      </c>
      <c r="AA229" t="e">
        <f>VLOOKUP($Z229,'oddspedia-matches'!$A:$AD,AA$2,0)</f>
        <v>#N/A</v>
      </c>
      <c r="AB229" t="e">
        <f>VLOOKUP($Z229,'oddspedia-matches'!$A:$AD,AB$2,0)</f>
        <v>#N/A</v>
      </c>
      <c r="AC229" t="e">
        <f>VLOOKUP($Z229,'oddspedia-matches'!$A:$AD,AC$2,0)</f>
        <v>#N/A</v>
      </c>
      <c r="AD229" t="e">
        <f>VLOOKUP($Z229,'oddspedia-matches'!$A:$AD,AD$2,0)</f>
        <v>#N/A</v>
      </c>
      <c r="AE229" t="e">
        <f>VLOOKUP($Z229,'oddspedia-matches'!$A:$AD,AE$2,0)</f>
        <v>#N/A</v>
      </c>
      <c r="AF229" t="e">
        <f>VLOOKUP($Z229,'oddspedia-matches'!$A:$AD,AF$2,0)</f>
        <v>#N/A</v>
      </c>
      <c r="AG229" t="e">
        <f>VLOOKUP($Z229,'oddspedia-matches'!$A:$AD,AG$2,0)</f>
        <v>#N/A</v>
      </c>
      <c r="AH229" t="e">
        <f>VLOOKUP($Z229,'oddspedia-matches'!$A:$AD,AH$2,0)</f>
        <v>#N/A</v>
      </c>
      <c r="AI229" t="e">
        <f>VLOOKUP($Z229,'oddspedia-matches'!$A:$AD,AI$2,0)</f>
        <v>#N/A</v>
      </c>
      <c r="AJ229" t="e">
        <f>VLOOKUP($Z229,'oddspedia-matches'!$A:$AD,AJ$2,0)</f>
        <v>#N/A</v>
      </c>
      <c r="AK229" t="e">
        <f>VLOOKUP($Z229,'oddspedia-matches'!$A:$AD,AK$2,0)</f>
        <v>#N/A</v>
      </c>
      <c r="AL229" t="e">
        <f>VLOOKUP($Z229,'oddspedia-matches'!$A:$AD,AL$2,0)</f>
        <v>#N/A</v>
      </c>
      <c r="AM229" t="e">
        <f>VLOOKUP($Z229,'oddspedia-matches'!$A:$AD,AM$2,0)</f>
        <v>#N/A</v>
      </c>
      <c r="AN229" t="e">
        <f>VLOOKUP($Z229,'oddspedia-matches'!$A:$AD,AN$2,0)</f>
        <v>#N/A</v>
      </c>
      <c r="AO229" t="e">
        <f>VLOOKUP($Z229,'oddspedia-matches'!$A:$AD,AO$2,0)</f>
        <v>#N/A</v>
      </c>
      <c r="AP229" t="e">
        <f>VLOOKUP($Z229,'oddspedia-matches'!$A:$AD,AP$2,0)</f>
        <v>#N/A</v>
      </c>
      <c r="AQ229" t="e">
        <f>VLOOKUP($Z229,'oddspedia-matches'!$A:$AD,AQ$2,0)</f>
        <v>#N/A</v>
      </c>
    </row>
    <row r="230" spans="2:43" x14ac:dyDescent="0.2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tr">
        <f>VLOOKUP(E230,'Transform table'!A:B,2,0)</f>
        <v>Sporting Cristal</v>
      </c>
      <c r="Y230" t="str">
        <f>VLOOKUP(F230,'Transform table'!A:B,2,0)</f>
        <v>Atletico Grau</v>
      </c>
      <c r="Z230" t="str">
        <f t="shared" si="3"/>
        <v>25/07/2026Sporting CristalAtletico Grau</v>
      </c>
      <c r="AA230" t="e">
        <f>VLOOKUP($Z230,'oddspedia-matches'!$A:$AD,AA$2,0)</f>
        <v>#N/A</v>
      </c>
      <c r="AB230" t="e">
        <f>VLOOKUP($Z230,'oddspedia-matches'!$A:$AD,AB$2,0)</f>
        <v>#N/A</v>
      </c>
      <c r="AC230" t="e">
        <f>VLOOKUP($Z230,'oddspedia-matches'!$A:$AD,AC$2,0)</f>
        <v>#N/A</v>
      </c>
      <c r="AD230" t="e">
        <f>VLOOKUP($Z230,'oddspedia-matches'!$A:$AD,AD$2,0)</f>
        <v>#N/A</v>
      </c>
      <c r="AE230" t="e">
        <f>VLOOKUP($Z230,'oddspedia-matches'!$A:$AD,AE$2,0)</f>
        <v>#N/A</v>
      </c>
      <c r="AF230" t="e">
        <f>VLOOKUP($Z230,'oddspedia-matches'!$A:$AD,AF$2,0)</f>
        <v>#N/A</v>
      </c>
      <c r="AG230" t="e">
        <f>VLOOKUP($Z230,'oddspedia-matches'!$A:$AD,AG$2,0)</f>
        <v>#N/A</v>
      </c>
      <c r="AH230" t="e">
        <f>VLOOKUP($Z230,'oddspedia-matches'!$A:$AD,AH$2,0)</f>
        <v>#N/A</v>
      </c>
      <c r="AI230" t="e">
        <f>VLOOKUP($Z230,'oddspedia-matches'!$A:$AD,AI$2,0)</f>
        <v>#N/A</v>
      </c>
      <c r="AJ230" t="e">
        <f>VLOOKUP($Z230,'oddspedia-matches'!$A:$AD,AJ$2,0)</f>
        <v>#N/A</v>
      </c>
      <c r="AK230" t="e">
        <f>VLOOKUP($Z230,'oddspedia-matches'!$A:$AD,AK$2,0)</f>
        <v>#N/A</v>
      </c>
      <c r="AL230" t="e">
        <f>VLOOKUP($Z230,'oddspedia-matches'!$A:$AD,AL$2,0)</f>
        <v>#N/A</v>
      </c>
      <c r="AM230" t="e">
        <f>VLOOKUP($Z230,'oddspedia-matches'!$A:$AD,AM$2,0)</f>
        <v>#N/A</v>
      </c>
      <c r="AN230" t="e">
        <f>VLOOKUP($Z230,'oddspedia-matches'!$A:$AD,AN$2,0)</f>
        <v>#N/A</v>
      </c>
      <c r="AO230" t="e">
        <f>VLOOKUP($Z230,'oddspedia-matches'!$A:$AD,AO$2,0)</f>
        <v>#N/A</v>
      </c>
      <c r="AP230" t="e">
        <f>VLOOKUP($Z230,'oddspedia-matches'!$A:$AD,AP$2,0)</f>
        <v>#N/A</v>
      </c>
      <c r="AQ230" t="e">
        <f>VLOOKUP($Z230,'oddspedia-matches'!$A:$AD,AQ$2,0)</f>
        <v>#N/A</v>
      </c>
    </row>
    <row r="231" spans="2:43" x14ac:dyDescent="0.2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tr">
        <f>VLOOKUP(E231,'Transform table'!A:B,2,0)</f>
        <v>Defensor Sporting</v>
      </c>
      <c r="Y231" t="str">
        <f>VLOOKUP(F231,'Transform table'!A:B,2,0)</f>
        <v>Cerro</v>
      </c>
      <c r="Z231" t="str">
        <f t="shared" si="3"/>
        <v>25/07/2026Defensor SportingCerro</v>
      </c>
      <c r="AA231" t="e">
        <f>VLOOKUP($Z231,'oddspedia-matches'!$A:$AD,AA$2,0)</f>
        <v>#N/A</v>
      </c>
      <c r="AB231" t="e">
        <f>VLOOKUP($Z231,'oddspedia-matches'!$A:$AD,AB$2,0)</f>
        <v>#N/A</v>
      </c>
      <c r="AC231" t="e">
        <f>VLOOKUP($Z231,'oddspedia-matches'!$A:$AD,AC$2,0)</f>
        <v>#N/A</v>
      </c>
      <c r="AD231" t="e">
        <f>VLOOKUP($Z231,'oddspedia-matches'!$A:$AD,AD$2,0)</f>
        <v>#N/A</v>
      </c>
      <c r="AE231" t="e">
        <f>VLOOKUP($Z231,'oddspedia-matches'!$A:$AD,AE$2,0)</f>
        <v>#N/A</v>
      </c>
      <c r="AF231" t="e">
        <f>VLOOKUP($Z231,'oddspedia-matches'!$A:$AD,AF$2,0)</f>
        <v>#N/A</v>
      </c>
      <c r="AG231" t="e">
        <f>VLOOKUP($Z231,'oddspedia-matches'!$A:$AD,AG$2,0)</f>
        <v>#N/A</v>
      </c>
      <c r="AH231" t="e">
        <f>VLOOKUP($Z231,'oddspedia-matches'!$A:$AD,AH$2,0)</f>
        <v>#N/A</v>
      </c>
      <c r="AI231" t="e">
        <f>VLOOKUP($Z231,'oddspedia-matches'!$A:$AD,AI$2,0)</f>
        <v>#N/A</v>
      </c>
      <c r="AJ231" t="e">
        <f>VLOOKUP($Z231,'oddspedia-matches'!$A:$AD,AJ$2,0)</f>
        <v>#N/A</v>
      </c>
      <c r="AK231" t="e">
        <f>VLOOKUP($Z231,'oddspedia-matches'!$A:$AD,AK$2,0)</f>
        <v>#N/A</v>
      </c>
      <c r="AL231" t="e">
        <f>VLOOKUP($Z231,'oddspedia-matches'!$A:$AD,AL$2,0)</f>
        <v>#N/A</v>
      </c>
      <c r="AM231" t="e">
        <f>VLOOKUP($Z231,'oddspedia-matches'!$A:$AD,AM$2,0)</f>
        <v>#N/A</v>
      </c>
      <c r="AN231" t="e">
        <f>VLOOKUP($Z231,'oddspedia-matches'!$A:$AD,AN$2,0)</f>
        <v>#N/A</v>
      </c>
      <c r="AO231" t="e">
        <f>VLOOKUP($Z231,'oddspedia-matches'!$A:$AD,AO$2,0)</f>
        <v>#N/A</v>
      </c>
      <c r="AP231" t="e">
        <f>VLOOKUP($Z231,'oddspedia-matches'!$A:$AD,AP$2,0)</f>
        <v>#N/A</v>
      </c>
      <c r="AQ231" t="e">
        <f>VLOOKUP($Z231,'oddspedia-matches'!$A:$AD,AQ$2,0)</f>
        <v>#N/A</v>
      </c>
    </row>
    <row r="232" spans="2:43" x14ac:dyDescent="0.2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tr">
        <f>VLOOKUP(E232,'Transform table'!A:B,2,0)</f>
        <v>Loughgall FC</v>
      </c>
      <c r="Y232" t="str">
        <f>VLOOKUP(F232,'Transform table'!A:B,2,0)</f>
        <v>Wexford Youths</v>
      </c>
      <c r="Z232" t="str">
        <f t="shared" si="3"/>
        <v>25/07/2026Loughgall FCWexford Youths</v>
      </c>
      <c r="AA232" t="e">
        <f>VLOOKUP($Z232,'oddspedia-matches'!$A:$AD,AA$2,0)</f>
        <v>#N/A</v>
      </c>
      <c r="AB232" t="e">
        <f>VLOOKUP($Z232,'oddspedia-matches'!$A:$AD,AB$2,0)</f>
        <v>#N/A</v>
      </c>
      <c r="AC232" t="e">
        <f>VLOOKUP($Z232,'oddspedia-matches'!$A:$AD,AC$2,0)</f>
        <v>#N/A</v>
      </c>
      <c r="AD232" t="e">
        <f>VLOOKUP($Z232,'oddspedia-matches'!$A:$AD,AD$2,0)</f>
        <v>#N/A</v>
      </c>
      <c r="AE232" t="e">
        <f>VLOOKUP($Z232,'oddspedia-matches'!$A:$AD,AE$2,0)</f>
        <v>#N/A</v>
      </c>
      <c r="AF232" t="e">
        <f>VLOOKUP($Z232,'oddspedia-matches'!$A:$AD,AF$2,0)</f>
        <v>#N/A</v>
      </c>
      <c r="AG232" t="e">
        <f>VLOOKUP($Z232,'oddspedia-matches'!$A:$AD,AG$2,0)</f>
        <v>#N/A</v>
      </c>
      <c r="AH232" t="e">
        <f>VLOOKUP($Z232,'oddspedia-matches'!$A:$AD,AH$2,0)</f>
        <v>#N/A</v>
      </c>
      <c r="AI232" t="e">
        <f>VLOOKUP($Z232,'oddspedia-matches'!$A:$AD,AI$2,0)</f>
        <v>#N/A</v>
      </c>
      <c r="AJ232" t="e">
        <f>VLOOKUP($Z232,'oddspedia-matches'!$A:$AD,AJ$2,0)</f>
        <v>#N/A</v>
      </c>
      <c r="AK232" t="e">
        <f>VLOOKUP($Z232,'oddspedia-matches'!$A:$AD,AK$2,0)</f>
        <v>#N/A</v>
      </c>
      <c r="AL232" t="e">
        <f>VLOOKUP($Z232,'oddspedia-matches'!$A:$AD,AL$2,0)</f>
        <v>#N/A</v>
      </c>
      <c r="AM232" t="e">
        <f>VLOOKUP($Z232,'oddspedia-matches'!$A:$AD,AM$2,0)</f>
        <v>#N/A</v>
      </c>
      <c r="AN232" t="e">
        <f>VLOOKUP($Z232,'oddspedia-matches'!$A:$AD,AN$2,0)</f>
        <v>#N/A</v>
      </c>
      <c r="AO232" t="e">
        <f>VLOOKUP($Z232,'oddspedia-matches'!$A:$AD,AO$2,0)</f>
        <v>#N/A</v>
      </c>
      <c r="AP232" t="e">
        <f>VLOOKUP($Z232,'oddspedia-matches'!$A:$AD,AP$2,0)</f>
        <v>#N/A</v>
      </c>
      <c r="AQ232" t="e">
        <f>VLOOKUP($Z232,'oddspedia-matches'!$A:$AD,AQ$2,0)</f>
        <v>#N/A</v>
      </c>
    </row>
    <row r="233" spans="2:43" x14ac:dyDescent="0.2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tr">
        <f>VLOOKUP(E233,'Transform table'!A:B,2,0)</f>
        <v>Shelbourne</v>
      </c>
      <c r="Y233" t="str">
        <f>VLOOKUP(F233,'Transform table'!A:B,2,0)</f>
        <v>Drogheda United</v>
      </c>
      <c r="Z233" t="str">
        <f t="shared" si="3"/>
        <v>25/07/2026ShelbourneDrogheda United</v>
      </c>
      <c r="AA233" t="e">
        <f>VLOOKUP($Z233,'oddspedia-matches'!$A:$AD,AA$2,0)</f>
        <v>#N/A</v>
      </c>
      <c r="AB233" t="e">
        <f>VLOOKUP($Z233,'oddspedia-matches'!$A:$AD,AB$2,0)</f>
        <v>#N/A</v>
      </c>
      <c r="AC233" t="e">
        <f>VLOOKUP($Z233,'oddspedia-matches'!$A:$AD,AC$2,0)</f>
        <v>#N/A</v>
      </c>
      <c r="AD233" t="e">
        <f>VLOOKUP($Z233,'oddspedia-matches'!$A:$AD,AD$2,0)</f>
        <v>#N/A</v>
      </c>
      <c r="AE233" t="e">
        <f>VLOOKUP($Z233,'oddspedia-matches'!$A:$AD,AE$2,0)</f>
        <v>#N/A</v>
      </c>
      <c r="AF233" t="e">
        <f>VLOOKUP($Z233,'oddspedia-matches'!$A:$AD,AF$2,0)</f>
        <v>#N/A</v>
      </c>
      <c r="AG233" t="e">
        <f>VLOOKUP($Z233,'oddspedia-matches'!$A:$AD,AG$2,0)</f>
        <v>#N/A</v>
      </c>
      <c r="AH233" t="e">
        <f>VLOOKUP($Z233,'oddspedia-matches'!$A:$AD,AH$2,0)</f>
        <v>#N/A</v>
      </c>
      <c r="AI233" t="e">
        <f>VLOOKUP($Z233,'oddspedia-matches'!$A:$AD,AI$2,0)</f>
        <v>#N/A</v>
      </c>
      <c r="AJ233" t="e">
        <f>VLOOKUP($Z233,'oddspedia-matches'!$A:$AD,AJ$2,0)</f>
        <v>#N/A</v>
      </c>
      <c r="AK233" t="e">
        <f>VLOOKUP($Z233,'oddspedia-matches'!$A:$AD,AK$2,0)</f>
        <v>#N/A</v>
      </c>
      <c r="AL233" t="e">
        <f>VLOOKUP($Z233,'oddspedia-matches'!$A:$AD,AL$2,0)</f>
        <v>#N/A</v>
      </c>
      <c r="AM233" t="e">
        <f>VLOOKUP($Z233,'oddspedia-matches'!$A:$AD,AM$2,0)</f>
        <v>#N/A</v>
      </c>
      <c r="AN233" t="e">
        <f>VLOOKUP($Z233,'oddspedia-matches'!$A:$AD,AN$2,0)</f>
        <v>#N/A</v>
      </c>
      <c r="AO233" t="e">
        <f>VLOOKUP($Z233,'oddspedia-matches'!$A:$AD,AO$2,0)</f>
        <v>#N/A</v>
      </c>
      <c r="AP233" t="e">
        <f>VLOOKUP($Z233,'oddspedia-matches'!$A:$AD,AP$2,0)</f>
        <v>#N/A</v>
      </c>
      <c r="AQ233" t="e">
        <f>VLOOKUP($Z233,'oddspedia-matches'!$A:$AD,AQ$2,0)</f>
        <v>#N/A</v>
      </c>
    </row>
    <row r="234" spans="2:43" x14ac:dyDescent="0.2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tr">
        <f>VLOOKUP(E234,'Transform table'!A:B,2,0)</f>
        <v>Atletico Argentino</v>
      </c>
      <c r="Y234">
        <f>VLOOKUP(F234,'Transform table'!A:B,2,0)</f>
        <v>0</v>
      </c>
      <c r="Z234" t="str">
        <f t="shared" si="3"/>
        <v>25/07/2026Atletico Argentino0</v>
      </c>
      <c r="AA234" t="e">
        <f>VLOOKUP($Z234,'oddspedia-matches'!$A:$AD,AA$2,0)</f>
        <v>#N/A</v>
      </c>
      <c r="AB234" t="e">
        <f>VLOOKUP($Z234,'oddspedia-matches'!$A:$AD,AB$2,0)</f>
        <v>#N/A</v>
      </c>
      <c r="AC234" t="e">
        <f>VLOOKUP($Z234,'oddspedia-matches'!$A:$AD,AC$2,0)</f>
        <v>#N/A</v>
      </c>
      <c r="AD234" t="e">
        <f>VLOOKUP($Z234,'oddspedia-matches'!$A:$AD,AD$2,0)</f>
        <v>#N/A</v>
      </c>
      <c r="AE234" t="e">
        <f>VLOOKUP($Z234,'oddspedia-matches'!$A:$AD,AE$2,0)</f>
        <v>#N/A</v>
      </c>
      <c r="AF234" t="e">
        <f>VLOOKUP($Z234,'oddspedia-matches'!$A:$AD,AF$2,0)</f>
        <v>#N/A</v>
      </c>
      <c r="AG234" t="e">
        <f>VLOOKUP($Z234,'oddspedia-matches'!$A:$AD,AG$2,0)</f>
        <v>#N/A</v>
      </c>
      <c r="AH234" t="e">
        <f>VLOOKUP($Z234,'oddspedia-matches'!$A:$AD,AH$2,0)</f>
        <v>#N/A</v>
      </c>
      <c r="AI234" t="e">
        <f>VLOOKUP($Z234,'oddspedia-matches'!$A:$AD,AI$2,0)</f>
        <v>#N/A</v>
      </c>
      <c r="AJ234" t="e">
        <f>VLOOKUP($Z234,'oddspedia-matches'!$A:$AD,AJ$2,0)</f>
        <v>#N/A</v>
      </c>
      <c r="AK234" t="e">
        <f>VLOOKUP($Z234,'oddspedia-matches'!$A:$AD,AK$2,0)</f>
        <v>#N/A</v>
      </c>
      <c r="AL234" t="e">
        <f>VLOOKUP($Z234,'oddspedia-matches'!$A:$AD,AL$2,0)</f>
        <v>#N/A</v>
      </c>
      <c r="AM234" t="e">
        <f>VLOOKUP($Z234,'oddspedia-matches'!$A:$AD,AM$2,0)</f>
        <v>#N/A</v>
      </c>
      <c r="AN234" t="e">
        <f>VLOOKUP($Z234,'oddspedia-matches'!$A:$AD,AN$2,0)</f>
        <v>#N/A</v>
      </c>
      <c r="AO234" t="e">
        <f>VLOOKUP($Z234,'oddspedia-matches'!$A:$AD,AO$2,0)</f>
        <v>#N/A</v>
      </c>
      <c r="AP234" t="e">
        <f>VLOOKUP($Z234,'oddspedia-matches'!$A:$AD,AP$2,0)</f>
        <v>#N/A</v>
      </c>
      <c r="AQ234" t="e">
        <f>VLOOKUP($Z234,'oddspedia-matches'!$A:$AD,AQ$2,0)</f>
        <v>#N/A</v>
      </c>
    </row>
    <row r="235" spans="2:43" x14ac:dyDescent="0.2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>
        <f>VLOOKUP(E235,'Transform table'!A:B,2,0)</f>
        <v>0</v>
      </c>
      <c r="Y235" t="str">
        <f>VLOOKUP(F235,'Transform table'!A:B,2,0)</f>
        <v>SA Bulo Bulo</v>
      </c>
      <c r="Z235" t="str">
        <f t="shared" si="3"/>
        <v>25/07/20260SA Bulo Bulo</v>
      </c>
      <c r="AA235" t="e">
        <f>VLOOKUP($Z235,'oddspedia-matches'!$A:$AD,AA$2,0)</f>
        <v>#N/A</v>
      </c>
      <c r="AB235" t="e">
        <f>VLOOKUP($Z235,'oddspedia-matches'!$A:$AD,AB$2,0)</f>
        <v>#N/A</v>
      </c>
      <c r="AC235" t="e">
        <f>VLOOKUP($Z235,'oddspedia-matches'!$A:$AD,AC$2,0)</f>
        <v>#N/A</v>
      </c>
      <c r="AD235" t="e">
        <f>VLOOKUP($Z235,'oddspedia-matches'!$A:$AD,AD$2,0)</f>
        <v>#N/A</v>
      </c>
      <c r="AE235" t="e">
        <f>VLOOKUP($Z235,'oddspedia-matches'!$A:$AD,AE$2,0)</f>
        <v>#N/A</v>
      </c>
      <c r="AF235" t="e">
        <f>VLOOKUP($Z235,'oddspedia-matches'!$A:$AD,AF$2,0)</f>
        <v>#N/A</v>
      </c>
      <c r="AG235" t="e">
        <f>VLOOKUP($Z235,'oddspedia-matches'!$A:$AD,AG$2,0)</f>
        <v>#N/A</v>
      </c>
      <c r="AH235" t="e">
        <f>VLOOKUP($Z235,'oddspedia-matches'!$A:$AD,AH$2,0)</f>
        <v>#N/A</v>
      </c>
      <c r="AI235" t="e">
        <f>VLOOKUP($Z235,'oddspedia-matches'!$A:$AD,AI$2,0)</f>
        <v>#N/A</v>
      </c>
      <c r="AJ235" t="e">
        <f>VLOOKUP($Z235,'oddspedia-matches'!$A:$AD,AJ$2,0)</f>
        <v>#N/A</v>
      </c>
      <c r="AK235" t="e">
        <f>VLOOKUP($Z235,'oddspedia-matches'!$A:$AD,AK$2,0)</f>
        <v>#N/A</v>
      </c>
      <c r="AL235" t="e">
        <f>VLOOKUP($Z235,'oddspedia-matches'!$A:$AD,AL$2,0)</f>
        <v>#N/A</v>
      </c>
      <c r="AM235" t="e">
        <f>VLOOKUP($Z235,'oddspedia-matches'!$A:$AD,AM$2,0)</f>
        <v>#N/A</v>
      </c>
      <c r="AN235" t="e">
        <f>VLOOKUP($Z235,'oddspedia-matches'!$A:$AD,AN$2,0)</f>
        <v>#N/A</v>
      </c>
      <c r="AO235" t="e">
        <f>VLOOKUP($Z235,'oddspedia-matches'!$A:$AD,AO$2,0)</f>
        <v>#N/A</v>
      </c>
      <c r="AP235" t="e">
        <f>VLOOKUP($Z235,'oddspedia-matches'!$A:$AD,AP$2,0)</f>
        <v>#N/A</v>
      </c>
      <c r="AQ235" t="e">
        <f>VLOOKUP($Z235,'oddspedia-matches'!$A:$AD,AQ$2,0)</f>
        <v>#N/A</v>
      </c>
    </row>
    <row r="236" spans="2:43" x14ac:dyDescent="0.2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>
        <f>VLOOKUP(E236,'Transform table'!A:B,2,0)</f>
        <v>0</v>
      </c>
      <c r="Y236" t="str">
        <f>VLOOKUP(F236,'Transform table'!A:B,2,0)</f>
        <v>Nacional AM</v>
      </c>
      <c r="Z236" t="str">
        <f t="shared" si="3"/>
        <v>25/07/20260Nacional AM</v>
      </c>
      <c r="AA236" t="e">
        <f>VLOOKUP($Z236,'oddspedia-matches'!$A:$AD,AA$2,0)</f>
        <v>#N/A</v>
      </c>
      <c r="AB236" t="e">
        <f>VLOOKUP($Z236,'oddspedia-matches'!$A:$AD,AB$2,0)</f>
        <v>#N/A</v>
      </c>
      <c r="AC236" t="e">
        <f>VLOOKUP($Z236,'oddspedia-matches'!$A:$AD,AC$2,0)</f>
        <v>#N/A</v>
      </c>
      <c r="AD236" t="e">
        <f>VLOOKUP($Z236,'oddspedia-matches'!$A:$AD,AD$2,0)</f>
        <v>#N/A</v>
      </c>
      <c r="AE236" t="e">
        <f>VLOOKUP($Z236,'oddspedia-matches'!$A:$AD,AE$2,0)</f>
        <v>#N/A</v>
      </c>
      <c r="AF236" t="e">
        <f>VLOOKUP($Z236,'oddspedia-matches'!$A:$AD,AF$2,0)</f>
        <v>#N/A</v>
      </c>
      <c r="AG236" t="e">
        <f>VLOOKUP($Z236,'oddspedia-matches'!$A:$AD,AG$2,0)</f>
        <v>#N/A</v>
      </c>
      <c r="AH236" t="e">
        <f>VLOOKUP($Z236,'oddspedia-matches'!$A:$AD,AH$2,0)</f>
        <v>#N/A</v>
      </c>
      <c r="AI236" t="e">
        <f>VLOOKUP($Z236,'oddspedia-matches'!$A:$AD,AI$2,0)</f>
        <v>#N/A</v>
      </c>
      <c r="AJ236" t="e">
        <f>VLOOKUP($Z236,'oddspedia-matches'!$A:$AD,AJ$2,0)</f>
        <v>#N/A</v>
      </c>
      <c r="AK236" t="e">
        <f>VLOOKUP($Z236,'oddspedia-matches'!$A:$AD,AK$2,0)</f>
        <v>#N/A</v>
      </c>
      <c r="AL236" t="e">
        <f>VLOOKUP($Z236,'oddspedia-matches'!$A:$AD,AL$2,0)</f>
        <v>#N/A</v>
      </c>
      <c r="AM236" t="e">
        <f>VLOOKUP($Z236,'oddspedia-matches'!$A:$AD,AM$2,0)</f>
        <v>#N/A</v>
      </c>
      <c r="AN236" t="e">
        <f>VLOOKUP($Z236,'oddspedia-matches'!$A:$AD,AN$2,0)</f>
        <v>#N/A</v>
      </c>
      <c r="AO236" t="e">
        <f>VLOOKUP($Z236,'oddspedia-matches'!$A:$AD,AO$2,0)</f>
        <v>#N/A</v>
      </c>
      <c r="AP236" t="e">
        <f>VLOOKUP($Z236,'oddspedia-matches'!$A:$AD,AP$2,0)</f>
        <v>#N/A</v>
      </c>
      <c r="AQ236" t="e">
        <f>VLOOKUP($Z236,'oddspedia-matches'!$A:$AD,AQ$2,0)</f>
        <v>#N/A</v>
      </c>
    </row>
    <row r="237" spans="2:43" x14ac:dyDescent="0.2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tr">
        <f>VLOOKUP(E237,'Transform table'!A:B,2,0)</f>
        <v>Portuguesa RJ</v>
      </c>
      <c r="Y237" t="str">
        <f>VLOOKUP(F237,'Transform table'!A:B,2,0)</f>
        <v>Uberlandia MG</v>
      </c>
      <c r="Z237" t="str">
        <f t="shared" si="3"/>
        <v>25/07/2026Portuguesa RJUberlandia MG</v>
      </c>
      <c r="AA237" t="e">
        <f>VLOOKUP($Z237,'oddspedia-matches'!$A:$AD,AA$2,0)</f>
        <v>#N/A</v>
      </c>
      <c r="AB237" t="e">
        <f>VLOOKUP($Z237,'oddspedia-matches'!$A:$AD,AB$2,0)</f>
        <v>#N/A</v>
      </c>
      <c r="AC237" t="e">
        <f>VLOOKUP($Z237,'oddspedia-matches'!$A:$AD,AC$2,0)</f>
        <v>#N/A</v>
      </c>
      <c r="AD237" t="e">
        <f>VLOOKUP($Z237,'oddspedia-matches'!$A:$AD,AD$2,0)</f>
        <v>#N/A</v>
      </c>
      <c r="AE237" t="e">
        <f>VLOOKUP($Z237,'oddspedia-matches'!$A:$AD,AE$2,0)</f>
        <v>#N/A</v>
      </c>
      <c r="AF237" t="e">
        <f>VLOOKUP($Z237,'oddspedia-matches'!$A:$AD,AF$2,0)</f>
        <v>#N/A</v>
      </c>
      <c r="AG237" t="e">
        <f>VLOOKUP($Z237,'oddspedia-matches'!$A:$AD,AG$2,0)</f>
        <v>#N/A</v>
      </c>
      <c r="AH237" t="e">
        <f>VLOOKUP($Z237,'oddspedia-matches'!$A:$AD,AH$2,0)</f>
        <v>#N/A</v>
      </c>
      <c r="AI237" t="e">
        <f>VLOOKUP($Z237,'oddspedia-matches'!$A:$AD,AI$2,0)</f>
        <v>#N/A</v>
      </c>
      <c r="AJ237" t="e">
        <f>VLOOKUP($Z237,'oddspedia-matches'!$A:$AD,AJ$2,0)</f>
        <v>#N/A</v>
      </c>
      <c r="AK237" t="e">
        <f>VLOOKUP($Z237,'oddspedia-matches'!$A:$AD,AK$2,0)</f>
        <v>#N/A</v>
      </c>
      <c r="AL237" t="e">
        <f>VLOOKUP($Z237,'oddspedia-matches'!$A:$AD,AL$2,0)</f>
        <v>#N/A</v>
      </c>
      <c r="AM237" t="e">
        <f>VLOOKUP($Z237,'oddspedia-matches'!$A:$AD,AM$2,0)</f>
        <v>#N/A</v>
      </c>
      <c r="AN237" t="e">
        <f>VLOOKUP($Z237,'oddspedia-matches'!$A:$AD,AN$2,0)</f>
        <v>#N/A</v>
      </c>
      <c r="AO237" t="e">
        <f>VLOOKUP($Z237,'oddspedia-matches'!$A:$AD,AO$2,0)</f>
        <v>#N/A</v>
      </c>
      <c r="AP237" t="e">
        <f>VLOOKUP($Z237,'oddspedia-matches'!$A:$AD,AP$2,0)</f>
        <v>#N/A</v>
      </c>
      <c r="AQ237" t="e">
        <f>VLOOKUP($Z237,'oddspedia-matches'!$A:$AD,AQ$2,0)</f>
        <v>#N/A</v>
      </c>
    </row>
    <row r="238" spans="2:43" x14ac:dyDescent="0.2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>
        <f>VLOOKUP(E238,'Transform table'!A:B,2,0)</f>
        <v>0</v>
      </c>
      <c r="Y238" t="str">
        <f>VLOOKUP(F238,'Transform table'!A:B,2,0)</f>
        <v>Universidad de Concepcion</v>
      </c>
      <c r="Z238" t="str">
        <f t="shared" si="3"/>
        <v>25/07/20260Universidad de Concepcion</v>
      </c>
      <c r="AA238" t="e">
        <f>VLOOKUP($Z238,'oddspedia-matches'!$A:$AD,AA$2,0)</f>
        <v>#N/A</v>
      </c>
      <c r="AB238" t="e">
        <f>VLOOKUP($Z238,'oddspedia-matches'!$A:$AD,AB$2,0)</f>
        <v>#N/A</v>
      </c>
      <c r="AC238" t="e">
        <f>VLOOKUP($Z238,'oddspedia-matches'!$A:$AD,AC$2,0)</f>
        <v>#N/A</v>
      </c>
      <c r="AD238" t="e">
        <f>VLOOKUP($Z238,'oddspedia-matches'!$A:$AD,AD$2,0)</f>
        <v>#N/A</v>
      </c>
      <c r="AE238" t="e">
        <f>VLOOKUP($Z238,'oddspedia-matches'!$A:$AD,AE$2,0)</f>
        <v>#N/A</v>
      </c>
      <c r="AF238" t="e">
        <f>VLOOKUP($Z238,'oddspedia-matches'!$A:$AD,AF$2,0)</f>
        <v>#N/A</v>
      </c>
      <c r="AG238" t="e">
        <f>VLOOKUP($Z238,'oddspedia-matches'!$A:$AD,AG$2,0)</f>
        <v>#N/A</v>
      </c>
      <c r="AH238" t="e">
        <f>VLOOKUP($Z238,'oddspedia-matches'!$A:$AD,AH$2,0)</f>
        <v>#N/A</v>
      </c>
      <c r="AI238" t="e">
        <f>VLOOKUP($Z238,'oddspedia-matches'!$A:$AD,AI$2,0)</f>
        <v>#N/A</v>
      </c>
      <c r="AJ238" t="e">
        <f>VLOOKUP($Z238,'oddspedia-matches'!$A:$AD,AJ$2,0)</f>
        <v>#N/A</v>
      </c>
      <c r="AK238" t="e">
        <f>VLOOKUP($Z238,'oddspedia-matches'!$A:$AD,AK$2,0)</f>
        <v>#N/A</v>
      </c>
      <c r="AL238" t="e">
        <f>VLOOKUP($Z238,'oddspedia-matches'!$A:$AD,AL$2,0)</f>
        <v>#N/A</v>
      </c>
      <c r="AM238" t="e">
        <f>VLOOKUP($Z238,'oddspedia-matches'!$A:$AD,AM$2,0)</f>
        <v>#N/A</v>
      </c>
      <c r="AN238" t="e">
        <f>VLOOKUP($Z238,'oddspedia-matches'!$A:$AD,AN$2,0)</f>
        <v>#N/A</v>
      </c>
      <c r="AO238" t="e">
        <f>VLOOKUP($Z238,'oddspedia-matches'!$A:$AD,AO$2,0)</f>
        <v>#N/A</v>
      </c>
      <c r="AP238" t="e">
        <f>VLOOKUP($Z238,'oddspedia-matches'!$A:$AD,AP$2,0)</f>
        <v>#N/A</v>
      </c>
      <c r="AQ238" t="e">
        <f>VLOOKUP($Z238,'oddspedia-matches'!$A:$AD,AQ$2,0)</f>
        <v>#N/A</v>
      </c>
    </row>
    <row r="239" spans="2:43" x14ac:dyDescent="0.2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>
        <f>VLOOKUP(E239,'Transform table'!A:B,2,0)</f>
        <v>0</v>
      </c>
      <c r="Y239" t="str">
        <f>VLOOKUP(F239,'Transform table'!A:B,2,0)</f>
        <v>San Luis Quillota</v>
      </c>
      <c r="Z239" t="str">
        <f t="shared" si="3"/>
        <v>25/07/20260San Luis Quillota</v>
      </c>
      <c r="AA239" t="e">
        <f>VLOOKUP($Z239,'oddspedia-matches'!$A:$AD,AA$2,0)</f>
        <v>#N/A</v>
      </c>
      <c r="AB239" t="e">
        <f>VLOOKUP($Z239,'oddspedia-matches'!$A:$AD,AB$2,0)</f>
        <v>#N/A</v>
      </c>
      <c r="AC239" t="e">
        <f>VLOOKUP($Z239,'oddspedia-matches'!$A:$AD,AC$2,0)</f>
        <v>#N/A</v>
      </c>
      <c r="AD239" t="e">
        <f>VLOOKUP($Z239,'oddspedia-matches'!$A:$AD,AD$2,0)</f>
        <v>#N/A</v>
      </c>
      <c r="AE239" t="e">
        <f>VLOOKUP($Z239,'oddspedia-matches'!$A:$AD,AE$2,0)</f>
        <v>#N/A</v>
      </c>
      <c r="AF239" t="e">
        <f>VLOOKUP($Z239,'oddspedia-matches'!$A:$AD,AF$2,0)</f>
        <v>#N/A</v>
      </c>
      <c r="AG239" t="e">
        <f>VLOOKUP($Z239,'oddspedia-matches'!$A:$AD,AG$2,0)</f>
        <v>#N/A</v>
      </c>
      <c r="AH239" t="e">
        <f>VLOOKUP($Z239,'oddspedia-matches'!$A:$AD,AH$2,0)</f>
        <v>#N/A</v>
      </c>
      <c r="AI239" t="e">
        <f>VLOOKUP($Z239,'oddspedia-matches'!$A:$AD,AI$2,0)</f>
        <v>#N/A</v>
      </c>
      <c r="AJ239" t="e">
        <f>VLOOKUP($Z239,'oddspedia-matches'!$A:$AD,AJ$2,0)</f>
        <v>#N/A</v>
      </c>
      <c r="AK239" t="e">
        <f>VLOOKUP($Z239,'oddspedia-matches'!$A:$AD,AK$2,0)</f>
        <v>#N/A</v>
      </c>
      <c r="AL239" t="e">
        <f>VLOOKUP($Z239,'oddspedia-matches'!$A:$AD,AL$2,0)</f>
        <v>#N/A</v>
      </c>
      <c r="AM239" t="e">
        <f>VLOOKUP($Z239,'oddspedia-matches'!$A:$AD,AM$2,0)</f>
        <v>#N/A</v>
      </c>
      <c r="AN239" t="e">
        <f>VLOOKUP($Z239,'oddspedia-matches'!$A:$AD,AN$2,0)</f>
        <v>#N/A</v>
      </c>
      <c r="AO239" t="e">
        <f>VLOOKUP($Z239,'oddspedia-matches'!$A:$AD,AO$2,0)</f>
        <v>#N/A</v>
      </c>
      <c r="AP239" t="e">
        <f>VLOOKUP($Z239,'oddspedia-matches'!$A:$AD,AP$2,0)</f>
        <v>#N/A</v>
      </c>
      <c r="AQ239" t="e">
        <f>VLOOKUP($Z239,'oddspedia-matches'!$A:$AD,AQ$2,0)</f>
        <v>#N/A</v>
      </c>
    </row>
    <row r="240" spans="2:43" x14ac:dyDescent="0.2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>
        <f>VLOOKUP(E240,'Transform table'!A:B,2,0)</f>
        <v>0</v>
      </c>
      <c r="Y240" t="str">
        <f>VLOOKUP(F240,'Transform table'!A:B,2,0)</f>
        <v>Sportivo San Lorenzo</v>
      </c>
      <c r="Z240" t="str">
        <f t="shared" si="3"/>
        <v>25/07/20260Sportivo San Lorenzo</v>
      </c>
      <c r="AA240" t="e">
        <f>VLOOKUP($Z240,'oddspedia-matches'!$A:$AD,AA$2,0)</f>
        <v>#N/A</v>
      </c>
      <c r="AB240" t="e">
        <f>VLOOKUP($Z240,'oddspedia-matches'!$A:$AD,AB$2,0)</f>
        <v>#N/A</v>
      </c>
      <c r="AC240" t="e">
        <f>VLOOKUP($Z240,'oddspedia-matches'!$A:$AD,AC$2,0)</f>
        <v>#N/A</v>
      </c>
      <c r="AD240" t="e">
        <f>VLOOKUP($Z240,'oddspedia-matches'!$A:$AD,AD$2,0)</f>
        <v>#N/A</v>
      </c>
      <c r="AE240" t="e">
        <f>VLOOKUP($Z240,'oddspedia-matches'!$A:$AD,AE$2,0)</f>
        <v>#N/A</v>
      </c>
      <c r="AF240" t="e">
        <f>VLOOKUP($Z240,'oddspedia-matches'!$A:$AD,AF$2,0)</f>
        <v>#N/A</v>
      </c>
      <c r="AG240" t="e">
        <f>VLOOKUP($Z240,'oddspedia-matches'!$A:$AD,AG$2,0)</f>
        <v>#N/A</v>
      </c>
      <c r="AH240" t="e">
        <f>VLOOKUP($Z240,'oddspedia-matches'!$A:$AD,AH$2,0)</f>
        <v>#N/A</v>
      </c>
      <c r="AI240" t="e">
        <f>VLOOKUP($Z240,'oddspedia-matches'!$A:$AD,AI$2,0)</f>
        <v>#N/A</v>
      </c>
      <c r="AJ240" t="e">
        <f>VLOOKUP($Z240,'oddspedia-matches'!$A:$AD,AJ$2,0)</f>
        <v>#N/A</v>
      </c>
      <c r="AK240" t="e">
        <f>VLOOKUP($Z240,'oddspedia-matches'!$A:$AD,AK$2,0)</f>
        <v>#N/A</v>
      </c>
      <c r="AL240" t="e">
        <f>VLOOKUP($Z240,'oddspedia-matches'!$A:$AD,AL$2,0)</f>
        <v>#N/A</v>
      </c>
      <c r="AM240" t="e">
        <f>VLOOKUP($Z240,'oddspedia-matches'!$A:$AD,AM$2,0)</f>
        <v>#N/A</v>
      </c>
      <c r="AN240" t="e">
        <f>VLOOKUP($Z240,'oddspedia-matches'!$A:$AD,AN$2,0)</f>
        <v>#N/A</v>
      </c>
      <c r="AO240" t="e">
        <f>VLOOKUP($Z240,'oddspedia-matches'!$A:$AD,AO$2,0)</f>
        <v>#N/A</v>
      </c>
      <c r="AP240" t="e">
        <f>VLOOKUP($Z240,'oddspedia-matches'!$A:$AD,AP$2,0)</f>
        <v>#N/A</v>
      </c>
      <c r="AQ240" t="e">
        <f>VLOOKUP($Z240,'oddspedia-matches'!$A:$AD,AQ$2,0)</f>
        <v>#N/A</v>
      </c>
    </row>
    <row r="241" spans="2:43" x14ac:dyDescent="0.2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tr">
        <f>VLOOKUP(E241,'Transform table'!A:B,2,0)</f>
        <v>Newell's Old Boys Women</v>
      </c>
      <c r="Y241" t="str">
        <f>VLOOKUP(F241,'Transform table'!A:B,2,0)</f>
        <v>Talleres de Cordoba</v>
      </c>
      <c r="Z241" t="str">
        <f t="shared" si="3"/>
        <v>25/07/2026Newell's Old Boys WomenTalleres de Cordoba</v>
      </c>
      <c r="AA241" t="e">
        <f>VLOOKUP($Z241,'oddspedia-matches'!$A:$AD,AA$2,0)</f>
        <v>#N/A</v>
      </c>
      <c r="AB241" t="e">
        <f>VLOOKUP($Z241,'oddspedia-matches'!$A:$AD,AB$2,0)</f>
        <v>#N/A</v>
      </c>
      <c r="AC241" t="e">
        <f>VLOOKUP($Z241,'oddspedia-matches'!$A:$AD,AC$2,0)</f>
        <v>#N/A</v>
      </c>
      <c r="AD241" t="e">
        <f>VLOOKUP($Z241,'oddspedia-matches'!$A:$AD,AD$2,0)</f>
        <v>#N/A</v>
      </c>
      <c r="AE241" t="e">
        <f>VLOOKUP($Z241,'oddspedia-matches'!$A:$AD,AE$2,0)</f>
        <v>#N/A</v>
      </c>
      <c r="AF241" t="e">
        <f>VLOOKUP($Z241,'oddspedia-matches'!$A:$AD,AF$2,0)</f>
        <v>#N/A</v>
      </c>
      <c r="AG241" t="e">
        <f>VLOOKUP($Z241,'oddspedia-matches'!$A:$AD,AG$2,0)</f>
        <v>#N/A</v>
      </c>
      <c r="AH241" t="e">
        <f>VLOOKUP($Z241,'oddspedia-matches'!$A:$AD,AH$2,0)</f>
        <v>#N/A</v>
      </c>
      <c r="AI241" t="e">
        <f>VLOOKUP($Z241,'oddspedia-matches'!$A:$AD,AI$2,0)</f>
        <v>#N/A</v>
      </c>
      <c r="AJ241" t="e">
        <f>VLOOKUP($Z241,'oddspedia-matches'!$A:$AD,AJ$2,0)</f>
        <v>#N/A</v>
      </c>
      <c r="AK241" t="e">
        <f>VLOOKUP($Z241,'oddspedia-matches'!$A:$AD,AK$2,0)</f>
        <v>#N/A</v>
      </c>
      <c r="AL241" t="e">
        <f>VLOOKUP($Z241,'oddspedia-matches'!$A:$AD,AL$2,0)</f>
        <v>#N/A</v>
      </c>
      <c r="AM241" t="e">
        <f>VLOOKUP($Z241,'oddspedia-matches'!$A:$AD,AM$2,0)</f>
        <v>#N/A</v>
      </c>
      <c r="AN241" t="e">
        <f>VLOOKUP($Z241,'oddspedia-matches'!$A:$AD,AN$2,0)</f>
        <v>#N/A</v>
      </c>
      <c r="AO241" t="e">
        <f>VLOOKUP($Z241,'oddspedia-matches'!$A:$AD,AO$2,0)</f>
        <v>#N/A</v>
      </c>
      <c r="AP241" t="e">
        <f>VLOOKUP($Z241,'oddspedia-matches'!$A:$AD,AP$2,0)</f>
        <v>#N/A</v>
      </c>
      <c r="AQ241" t="e">
        <f>VLOOKUP($Z241,'oddspedia-matches'!$A:$AD,AQ$2,0)</f>
        <v>#N/A</v>
      </c>
    </row>
    <row r="242" spans="2:43" x14ac:dyDescent="0.2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tr">
        <f>VLOOKUP(E242,'Transform table'!A:B,2,0)</f>
        <v>Club Atletico Acassuso</v>
      </c>
      <c r="Y242" t="str">
        <f>VLOOKUP(F242,'Transform table'!A:B,2,0)</f>
        <v>Colon de Santa Fe</v>
      </c>
      <c r="Z242" t="str">
        <f t="shared" si="3"/>
        <v>25/07/2026Club Atletico AcassusoColon de Santa Fe</v>
      </c>
      <c r="AA242" t="e">
        <f>VLOOKUP($Z242,'oddspedia-matches'!$A:$AD,AA$2,0)</f>
        <v>#N/A</v>
      </c>
      <c r="AB242" t="e">
        <f>VLOOKUP($Z242,'oddspedia-matches'!$A:$AD,AB$2,0)</f>
        <v>#N/A</v>
      </c>
      <c r="AC242" t="e">
        <f>VLOOKUP($Z242,'oddspedia-matches'!$A:$AD,AC$2,0)</f>
        <v>#N/A</v>
      </c>
      <c r="AD242" t="e">
        <f>VLOOKUP($Z242,'oddspedia-matches'!$A:$AD,AD$2,0)</f>
        <v>#N/A</v>
      </c>
      <c r="AE242" t="e">
        <f>VLOOKUP($Z242,'oddspedia-matches'!$A:$AD,AE$2,0)</f>
        <v>#N/A</v>
      </c>
      <c r="AF242" t="e">
        <f>VLOOKUP($Z242,'oddspedia-matches'!$A:$AD,AF$2,0)</f>
        <v>#N/A</v>
      </c>
      <c r="AG242" t="e">
        <f>VLOOKUP($Z242,'oddspedia-matches'!$A:$AD,AG$2,0)</f>
        <v>#N/A</v>
      </c>
      <c r="AH242" t="e">
        <f>VLOOKUP($Z242,'oddspedia-matches'!$A:$AD,AH$2,0)</f>
        <v>#N/A</v>
      </c>
      <c r="AI242" t="e">
        <f>VLOOKUP($Z242,'oddspedia-matches'!$A:$AD,AI$2,0)</f>
        <v>#N/A</v>
      </c>
      <c r="AJ242" t="e">
        <f>VLOOKUP($Z242,'oddspedia-matches'!$A:$AD,AJ$2,0)</f>
        <v>#N/A</v>
      </c>
      <c r="AK242" t="e">
        <f>VLOOKUP($Z242,'oddspedia-matches'!$A:$AD,AK$2,0)</f>
        <v>#N/A</v>
      </c>
      <c r="AL242" t="e">
        <f>VLOOKUP($Z242,'oddspedia-matches'!$A:$AD,AL$2,0)</f>
        <v>#N/A</v>
      </c>
      <c r="AM242" t="e">
        <f>VLOOKUP($Z242,'oddspedia-matches'!$A:$AD,AM$2,0)</f>
        <v>#N/A</v>
      </c>
      <c r="AN242" t="e">
        <f>VLOOKUP($Z242,'oddspedia-matches'!$A:$AD,AN$2,0)</f>
        <v>#N/A</v>
      </c>
      <c r="AO242" t="e">
        <f>VLOOKUP($Z242,'oddspedia-matches'!$A:$AD,AO$2,0)</f>
        <v>#N/A</v>
      </c>
      <c r="AP242" t="e">
        <f>VLOOKUP($Z242,'oddspedia-matches'!$A:$AD,AP$2,0)</f>
        <v>#N/A</v>
      </c>
      <c r="AQ242" t="e">
        <f>VLOOKUP($Z242,'oddspedia-matches'!$A:$AD,AQ$2,0)</f>
        <v>#N/A</v>
      </c>
    </row>
    <row r="243" spans="2:43" x14ac:dyDescent="0.2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tr">
        <f>VLOOKUP(E243,'Transform table'!A:B,2,0)</f>
        <v>Club Almagro</v>
      </c>
      <c r="Y243" t="str">
        <f>VLOOKUP(F243,'Transform table'!A:B,2,0)</f>
        <v>Ferrocarril Midland</v>
      </c>
      <c r="Z243" t="str">
        <f t="shared" si="3"/>
        <v>25/07/2026Club AlmagroFerrocarril Midland</v>
      </c>
      <c r="AA243" t="str">
        <f>VLOOKUP($Z243,'oddspedia-matches'!$A:$AD,AA$2,0)</f>
        <v xml:space="preserve"> - </v>
      </c>
      <c r="AB243" t="str">
        <f>VLOOKUP($Z243,'oddspedia-matches'!$A:$AD,AB$2,0)</f>
        <v>Red</v>
      </c>
      <c r="AC243" t="str">
        <f>VLOOKUP($Z243,'oddspedia-matches'!$A:$AD,AC$2,0)</f>
        <v>Green</v>
      </c>
      <c r="AD243" t="str">
        <f>VLOOKUP($Z243,'oddspedia-matches'!$A:$AD,AD$2,0)</f>
        <v>Red</v>
      </c>
      <c r="AE243" t="str">
        <f>VLOOKUP($Z243,'oddspedia-matches'!$A:$AD,AE$2,0)</f>
        <v>Green</v>
      </c>
      <c r="AF243" t="str">
        <f>VLOOKUP($Z243,'oddspedia-matches'!$A:$AD,AF$2,0)</f>
        <v>Green</v>
      </c>
      <c r="AG243" t="str">
        <f>VLOOKUP($Z243,'oddspedia-matches'!$A:$AD,AG$2,0)</f>
        <v>Red</v>
      </c>
      <c r="AH243" t="str">
        <f>VLOOKUP($Z243,'oddspedia-matches'!$A:$AD,AH$2,0)</f>
        <v>Red</v>
      </c>
      <c r="AI243" t="str">
        <f>VLOOKUP($Z243,'oddspedia-matches'!$A:$AD,AI$2,0)</f>
        <v>Green</v>
      </c>
      <c r="AJ243" t="str">
        <f>VLOOKUP($Z243,'oddspedia-matches'!$A:$AD,AJ$2,0)</f>
        <v>Red</v>
      </c>
      <c r="AK243" t="str">
        <f>VLOOKUP($Z243,'oddspedia-matches'!$A:$AD,AK$2,0)</f>
        <v>Red</v>
      </c>
      <c r="AL243" t="str">
        <f>VLOOKUP($Z243,'oddspedia-matches'!$A:$AD,AL$2,0)</f>
        <v>Red</v>
      </c>
      <c r="AM243" t="str">
        <f>VLOOKUP($Z243,'oddspedia-matches'!$A:$AD,AM$2,0)</f>
        <v>Red</v>
      </c>
      <c r="AN243" t="str">
        <f>VLOOKUP($Z243,'oddspedia-matches'!$A:$AD,AN$2,0)</f>
        <v>Green</v>
      </c>
      <c r="AO243" t="str">
        <f>VLOOKUP($Z243,'oddspedia-matches'!$A:$AD,AO$2,0)</f>
        <v>Green</v>
      </c>
      <c r="AP243" t="str">
        <f>VLOOKUP($Z243,'oddspedia-matches'!$A:$AD,AP$2,0)</f>
        <v>Red</v>
      </c>
      <c r="AQ243" t="str">
        <f>VLOOKUP($Z243,'oddspedia-matches'!$A:$AD,AQ$2,0)</f>
        <v>Green</v>
      </c>
    </row>
    <row r="244" spans="2:43" x14ac:dyDescent="0.2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tr">
        <f>VLOOKUP(E244,'Transform table'!A:B,2,0)</f>
        <v>CA Atlanta</v>
      </c>
      <c r="Y244" t="str">
        <f>VLOOKUP(F244,'Transform table'!A:B,2,0)</f>
        <v>Club Almagro</v>
      </c>
      <c r="Z244" t="str">
        <f t="shared" si="3"/>
        <v>25/07/2026CA AtlantaClub Almagro</v>
      </c>
      <c r="AA244" t="str">
        <f>VLOOKUP($Z244,'oddspedia-matches'!$A:$AD,AA$2,0)</f>
        <v xml:space="preserve"> - </v>
      </c>
      <c r="AB244" t="str">
        <f>VLOOKUP($Z244,'oddspedia-matches'!$A:$AD,AB$2,0)</f>
        <v>Red</v>
      </c>
      <c r="AC244" t="str">
        <f>VLOOKUP($Z244,'oddspedia-matches'!$A:$AD,AC$2,0)</f>
        <v>Green</v>
      </c>
      <c r="AD244" t="str">
        <f>VLOOKUP($Z244,'oddspedia-matches'!$A:$AD,AD$2,0)</f>
        <v>Red</v>
      </c>
      <c r="AE244" t="str">
        <f>VLOOKUP($Z244,'oddspedia-matches'!$A:$AD,AE$2,0)</f>
        <v>Green</v>
      </c>
      <c r="AF244" t="str">
        <f>VLOOKUP($Z244,'oddspedia-matches'!$A:$AD,AF$2,0)</f>
        <v>Green</v>
      </c>
      <c r="AG244" t="str">
        <f>VLOOKUP($Z244,'oddspedia-matches'!$A:$AD,AG$2,0)</f>
        <v>Red</v>
      </c>
      <c r="AH244" t="str">
        <f>VLOOKUP($Z244,'oddspedia-matches'!$A:$AD,AH$2,0)</f>
        <v>Red</v>
      </c>
      <c r="AI244" t="str">
        <f>VLOOKUP($Z244,'oddspedia-matches'!$A:$AD,AI$2,0)</f>
        <v>Green</v>
      </c>
      <c r="AJ244" t="str">
        <f>VLOOKUP($Z244,'oddspedia-matches'!$A:$AD,AJ$2,0)</f>
        <v>Red</v>
      </c>
      <c r="AK244" t="str">
        <f>VLOOKUP($Z244,'oddspedia-matches'!$A:$AD,AK$2,0)</f>
        <v>Red</v>
      </c>
      <c r="AL244" t="str">
        <f>VLOOKUP($Z244,'oddspedia-matches'!$A:$AD,AL$2,0)</f>
        <v>Red</v>
      </c>
      <c r="AM244" t="str">
        <f>VLOOKUP($Z244,'oddspedia-matches'!$A:$AD,AM$2,0)</f>
        <v>Red</v>
      </c>
      <c r="AN244" t="str">
        <f>VLOOKUP($Z244,'oddspedia-matches'!$A:$AD,AN$2,0)</f>
        <v>Green</v>
      </c>
      <c r="AO244" t="str">
        <f>VLOOKUP($Z244,'oddspedia-matches'!$A:$AD,AO$2,0)</f>
        <v>Green</v>
      </c>
      <c r="AP244" t="str">
        <f>VLOOKUP($Z244,'oddspedia-matches'!$A:$AD,AP$2,0)</f>
        <v>Red</v>
      </c>
      <c r="AQ244" t="str">
        <f>VLOOKUP($Z244,'oddspedia-matches'!$A:$AD,AQ$2,0)</f>
        <v>Green</v>
      </c>
    </row>
    <row r="245" spans="2:43" x14ac:dyDescent="0.2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>
        <f>VLOOKUP(E245,'Transform table'!A:B,2,0)</f>
        <v>0</v>
      </c>
      <c r="Y245" t="str">
        <f>VLOOKUP(F245,'Transform table'!A:B,2,0)</f>
        <v>San Martin de Tucuman</v>
      </c>
      <c r="Z245" t="str">
        <f t="shared" si="3"/>
        <v>25/07/20260San Martin de Tucuman</v>
      </c>
      <c r="AA245" t="e">
        <f>VLOOKUP($Z245,'oddspedia-matches'!$A:$AD,AA$2,0)</f>
        <v>#N/A</v>
      </c>
      <c r="AB245" t="e">
        <f>VLOOKUP($Z245,'oddspedia-matches'!$A:$AD,AB$2,0)</f>
        <v>#N/A</v>
      </c>
      <c r="AC245" t="e">
        <f>VLOOKUP($Z245,'oddspedia-matches'!$A:$AD,AC$2,0)</f>
        <v>#N/A</v>
      </c>
      <c r="AD245" t="e">
        <f>VLOOKUP($Z245,'oddspedia-matches'!$A:$AD,AD$2,0)</f>
        <v>#N/A</v>
      </c>
      <c r="AE245" t="e">
        <f>VLOOKUP($Z245,'oddspedia-matches'!$A:$AD,AE$2,0)</f>
        <v>#N/A</v>
      </c>
      <c r="AF245" t="e">
        <f>VLOOKUP($Z245,'oddspedia-matches'!$A:$AD,AF$2,0)</f>
        <v>#N/A</v>
      </c>
      <c r="AG245" t="e">
        <f>VLOOKUP($Z245,'oddspedia-matches'!$A:$AD,AG$2,0)</f>
        <v>#N/A</v>
      </c>
      <c r="AH245" t="e">
        <f>VLOOKUP($Z245,'oddspedia-matches'!$A:$AD,AH$2,0)</f>
        <v>#N/A</v>
      </c>
      <c r="AI245" t="e">
        <f>VLOOKUP($Z245,'oddspedia-matches'!$A:$AD,AI$2,0)</f>
        <v>#N/A</v>
      </c>
      <c r="AJ245" t="e">
        <f>VLOOKUP($Z245,'oddspedia-matches'!$A:$AD,AJ$2,0)</f>
        <v>#N/A</v>
      </c>
      <c r="AK245" t="e">
        <f>VLOOKUP($Z245,'oddspedia-matches'!$A:$AD,AK$2,0)</f>
        <v>#N/A</v>
      </c>
      <c r="AL245" t="e">
        <f>VLOOKUP($Z245,'oddspedia-matches'!$A:$AD,AL$2,0)</f>
        <v>#N/A</v>
      </c>
      <c r="AM245" t="e">
        <f>VLOOKUP($Z245,'oddspedia-matches'!$A:$AD,AM$2,0)</f>
        <v>#N/A</v>
      </c>
      <c r="AN245" t="e">
        <f>VLOOKUP($Z245,'oddspedia-matches'!$A:$AD,AN$2,0)</f>
        <v>#N/A</v>
      </c>
      <c r="AO245" t="e">
        <f>VLOOKUP($Z245,'oddspedia-matches'!$A:$AD,AO$2,0)</f>
        <v>#N/A</v>
      </c>
      <c r="AP245" t="e">
        <f>VLOOKUP($Z245,'oddspedia-matches'!$A:$AD,AP$2,0)</f>
        <v>#N/A</v>
      </c>
      <c r="AQ245" t="e">
        <f>VLOOKUP($Z245,'oddspedia-matches'!$A:$AD,AQ$2,0)</f>
        <v>#N/A</v>
      </c>
    </row>
    <row r="246" spans="2:43" x14ac:dyDescent="0.2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tr">
        <f>VLOOKUP(E246,'Transform table'!A:B,2,0)</f>
        <v>San Martin de San Juan</v>
      </c>
      <c r="Y246" t="str">
        <f>VLOOKUP(F246,'Transform table'!A:B,2,0)</f>
        <v>Atletico Argentino</v>
      </c>
      <c r="Z246" t="str">
        <f t="shared" si="3"/>
        <v>25/07/2026San Martin de San JuanAtletico Argentino</v>
      </c>
      <c r="AA246" t="e">
        <f>VLOOKUP($Z246,'oddspedia-matches'!$A:$AD,AA$2,0)</f>
        <v>#N/A</v>
      </c>
      <c r="AB246" t="e">
        <f>VLOOKUP($Z246,'oddspedia-matches'!$A:$AD,AB$2,0)</f>
        <v>#N/A</v>
      </c>
      <c r="AC246" t="e">
        <f>VLOOKUP($Z246,'oddspedia-matches'!$A:$AD,AC$2,0)</f>
        <v>#N/A</v>
      </c>
      <c r="AD246" t="e">
        <f>VLOOKUP($Z246,'oddspedia-matches'!$A:$AD,AD$2,0)</f>
        <v>#N/A</v>
      </c>
      <c r="AE246" t="e">
        <f>VLOOKUP($Z246,'oddspedia-matches'!$A:$AD,AE$2,0)</f>
        <v>#N/A</v>
      </c>
      <c r="AF246" t="e">
        <f>VLOOKUP($Z246,'oddspedia-matches'!$A:$AD,AF$2,0)</f>
        <v>#N/A</v>
      </c>
      <c r="AG246" t="e">
        <f>VLOOKUP($Z246,'oddspedia-matches'!$A:$AD,AG$2,0)</f>
        <v>#N/A</v>
      </c>
      <c r="AH246" t="e">
        <f>VLOOKUP($Z246,'oddspedia-matches'!$A:$AD,AH$2,0)</f>
        <v>#N/A</v>
      </c>
      <c r="AI246" t="e">
        <f>VLOOKUP($Z246,'oddspedia-matches'!$A:$AD,AI$2,0)</f>
        <v>#N/A</v>
      </c>
      <c r="AJ246" t="e">
        <f>VLOOKUP($Z246,'oddspedia-matches'!$A:$AD,AJ$2,0)</f>
        <v>#N/A</v>
      </c>
      <c r="AK246" t="e">
        <f>VLOOKUP($Z246,'oddspedia-matches'!$A:$AD,AK$2,0)</f>
        <v>#N/A</v>
      </c>
      <c r="AL246" t="e">
        <f>VLOOKUP($Z246,'oddspedia-matches'!$A:$AD,AL$2,0)</f>
        <v>#N/A</v>
      </c>
      <c r="AM246" t="e">
        <f>VLOOKUP($Z246,'oddspedia-matches'!$A:$AD,AM$2,0)</f>
        <v>#N/A</v>
      </c>
      <c r="AN246" t="e">
        <f>VLOOKUP($Z246,'oddspedia-matches'!$A:$AD,AN$2,0)</f>
        <v>#N/A</v>
      </c>
      <c r="AO246" t="e">
        <f>VLOOKUP($Z246,'oddspedia-matches'!$A:$AD,AO$2,0)</f>
        <v>#N/A</v>
      </c>
      <c r="AP246" t="e">
        <f>VLOOKUP($Z246,'oddspedia-matches'!$A:$AD,AP$2,0)</f>
        <v>#N/A</v>
      </c>
      <c r="AQ246" t="e">
        <f>VLOOKUP($Z246,'oddspedia-matches'!$A:$AD,AQ$2,0)</f>
        <v>#N/A</v>
      </c>
    </row>
    <row r="247" spans="2:43" x14ac:dyDescent="0.2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>
        <f>VLOOKUP(E247,'Transform table'!A:B,2,0)</f>
        <v>0</v>
      </c>
      <c r="Y247" t="str">
        <f>VLOOKUP(F247,'Transform table'!A:B,2,0)</f>
        <v>Villa Dalmine</v>
      </c>
      <c r="Z247" t="str">
        <f t="shared" si="3"/>
        <v>25/07/20260Villa Dalmine</v>
      </c>
      <c r="AA247" t="e">
        <f>VLOOKUP($Z247,'oddspedia-matches'!$A:$AD,AA$2,0)</f>
        <v>#N/A</v>
      </c>
      <c r="AB247" t="e">
        <f>VLOOKUP($Z247,'oddspedia-matches'!$A:$AD,AB$2,0)</f>
        <v>#N/A</v>
      </c>
      <c r="AC247" t="e">
        <f>VLOOKUP($Z247,'oddspedia-matches'!$A:$AD,AC$2,0)</f>
        <v>#N/A</v>
      </c>
      <c r="AD247" t="e">
        <f>VLOOKUP($Z247,'oddspedia-matches'!$A:$AD,AD$2,0)</f>
        <v>#N/A</v>
      </c>
      <c r="AE247" t="e">
        <f>VLOOKUP($Z247,'oddspedia-matches'!$A:$AD,AE$2,0)</f>
        <v>#N/A</v>
      </c>
      <c r="AF247" t="e">
        <f>VLOOKUP($Z247,'oddspedia-matches'!$A:$AD,AF$2,0)</f>
        <v>#N/A</v>
      </c>
      <c r="AG247" t="e">
        <f>VLOOKUP($Z247,'oddspedia-matches'!$A:$AD,AG$2,0)</f>
        <v>#N/A</v>
      </c>
      <c r="AH247" t="e">
        <f>VLOOKUP($Z247,'oddspedia-matches'!$A:$AD,AH$2,0)</f>
        <v>#N/A</v>
      </c>
      <c r="AI247" t="e">
        <f>VLOOKUP($Z247,'oddspedia-matches'!$A:$AD,AI$2,0)</f>
        <v>#N/A</v>
      </c>
      <c r="AJ247" t="e">
        <f>VLOOKUP($Z247,'oddspedia-matches'!$A:$AD,AJ$2,0)</f>
        <v>#N/A</v>
      </c>
      <c r="AK247" t="e">
        <f>VLOOKUP($Z247,'oddspedia-matches'!$A:$AD,AK$2,0)</f>
        <v>#N/A</v>
      </c>
      <c r="AL247" t="e">
        <f>VLOOKUP($Z247,'oddspedia-matches'!$A:$AD,AL$2,0)</f>
        <v>#N/A</v>
      </c>
      <c r="AM247" t="e">
        <f>VLOOKUP($Z247,'oddspedia-matches'!$A:$AD,AM$2,0)</f>
        <v>#N/A</v>
      </c>
      <c r="AN247" t="e">
        <f>VLOOKUP($Z247,'oddspedia-matches'!$A:$AD,AN$2,0)</f>
        <v>#N/A</v>
      </c>
      <c r="AO247" t="e">
        <f>VLOOKUP($Z247,'oddspedia-matches'!$A:$AD,AO$2,0)</f>
        <v>#N/A</v>
      </c>
      <c r="AP247" t="e">
        <f>VLOOKUP($Z247,'oddspedia-matches'!$A:$AD,AP$2,0)</f>
        <v>#N/A</v>
      </c>
      <c r="AQ247" t="e">
        <f>VLOOKUP($Z247,'oddspedia-matches'!$A:$AD,AQ$2,0)</f>
        <v>#N/A</v>
      </c>
    </row>
    <row r="248" spans="2:43" x14ac:dyDescent="0.2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>
        <f>VLOOKUP(E248,'Transform table'!A:B,2,0)</f>
        <v>0</v>
      </c>
      <c r="Y248" t="str">
        <f>VLOOKUP(F248,'Transform table'!A:B,2,0)</f>
        <v>San Martin De Burzaco</v>
      </c>
      <c r="Z248" t="str">
        <f t="shared" si="3"/>
        <v>25/07/20260San Martin De Burzaco</v>
      </c>
      <c r="AA248" t="e">
        <f>VLOOKUP($Z248,'oddspedia-matches'!$A:$AD,AA$2,0)</f>
        <v>#N/A</v>
      </c>
      <c r="AB248" t="e">
        <f>VLOOKUP($Z248,'oddspedia-matches'!$A:$AD,AB$2,0)</f>
        <v>#N/A</v>
      </c>
      <c r="AC248" t="e">
        <f>VLOOKUP($Z248,'oddspedia-matches'!$A:$AD,AC$2,0)</f>
        <v>#N/A</v>
      </c>
      <c r="AD248" t="e">
        <f>VLOOKUP($Z248,'oddspedia-matches'!$A:$AD,AD$2,0)</f>
        <v>#N/A</v>
      </c>
      <c r="AE248" t="e">
        <f>VLOOKUP($Z248,'oddspedia-matches'!$A:$AD,AE$2,0)</f>
        <v>#N/A</v>
      </c>
      <c r="AF248" t="e">
        <f>VLOOKUP($Z248,'oddspedia-matches'!$A:$AD,AF$2,0)</f>
        <v>#N/A</v>
      </c>
      <c r="AG248" t="e">
        <f>VLOOKUP($Z248,'oddspedia-matches'!$A:$AD,AG$2,0)</f>
        <v>#N/A</v>
      </c>
      <c r="AH248" t="e">
        <f>VLOOKUP($Z248,'oddspedia-matches'!$A:$AD,AH$2,0)</f>
        <v>#N/A</v>
      </c>
      <c r="AI248" t="e">
        <f>VLOOKUP($Z248,'oddspedia-matches'!$A:$AD,AI$2,0)</f>
        <v>#N/A</v>
      </c>
      <c r="AJ248" t="e">
        <f>VLOOKUP($Z248,'oddspedia-matches'!$A:$AD,AJ$2,0)</f>
        <v>#N/A</v>
      </c>
      <c r="AK248" t="e">
        <f>VLOOKUP($Z248,'oddspedia-matches'!$A:$AD,AK$2,0)</f>
        <v>#N/A</v>
      </c>
      <c r="AL248" t="e">
        <f>VLOOKUP($Z248,'oddspedia-matches'!$A:$AD,AL$2,0)</f>
        <v>#N/A</v>
      </c>
      <c r="AM248" t="e">
        <f>VLOOKUP($Z248,'oddspedia-matches'!$A:$AD,AM$2,0)</f>
        <v>#N/A</v>
      </c>
      <c r="AN248" t="e">
        <f>VLOOKUP($Z248,'oddspedia-matches'!$A:$AD,AN$2,0)</f>
        <v>#N/A</v>
      </c>
      <c r="AO248" t="e">
        <f>VLOOKUP($Z248,'oddspedia-matches'!$A:$AD,AO$2,0)</f>
        <v>#N/A</v>
      </c>
      <c r="AP248" t="e">
        <f>VLOOKUP($Z248,'oddspedia-matches'!$A:$AD,AP$2,0)</f>
        <v>#N/A</v>
      </c>
      <c r="AQ248" t="e">
        <f>VLOOKUP($Z248,'oddspedia-matches'!$A:$AD,AQ$2,0)</f>
        <v>#N/A</v>
      </c>
    </row>
    <row r="249" spans="2:43" x14ac:dyDescent="0.2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>
        <f>VLOOKUP(E249,'Transform table'!A:B,2,0)</f>
        <v>0</v>
      </c>
      <c r="Y249" t="str">
        <f>VLOOKUP(F249,'Transform table'!A:B,2,0)</f>
        <v>Argentino Merlo</v>
      </c>
      <c r="Z249" t="str">
        <f t="shared" si="3"/>
        <v>25/07/20260Argentino Merlo</v>
      </c>
      <c r="AA249" t="e">
        <f>VLOOKUP($Z249,'oddspedia-matches'!$A:$AD,AA$2,0)</f>
        <v>#N/A</v>
      </c>
      <c r="AB249" t="e">
        <f>VLOOKUP($Z249,'oddspedia-matches'!$A:$AD,AB$2,0)</f>
        <v>#N/A</v>
      </c>
      <c r="AC249" t="e">
        <f>VLOOKUP($Z249,'oddspedia-matches'!$A:$AD,AC$2,0)</f>
        <v>#N/A</v>
      </c>
      <c r="AD249" t="e">
        <f>VLOOKUP($Z249,'oddspedia-matches'!$A:$AD,AD$2,0)</f>
        <v>#N/A</v>
      </c>
      <c r="AE249" t="e">
        <f>VLOOKUP($Z249,'oddspedia-matches'!$A:$AD,AE$2,0)</f>
        <v>#N/A</v>
      </c>
      <c r="AF249" t="e">
        <f>VLOOKUP($Z249,'oddspedia-matches'!$A:$AD,AF$2,0)</f>
        <v>#N/A</v>
      </c>
      <c r="AG249" t="e">
        <f>VLOOKUP($Z249,'oddspedia-matches'!$A:$AD,AG$2,0)</f>
        <v>#N/A</v>
      </c>
      <c r="AH249" t="e">
        <f>VLOOKUP($Z249,'oddspedia-matches'!$A:$AD,AH$2,0)</f>
        <v>#N/A</v>
      </c>
      <c r="AI249" t="e">
        <f>VLOOKUP($Z249,'oddspedia-matches'!$A:$AD,AI$2,0)</f>
        <v>#N/A</v>
      </c>
      <c r="AJ249" t="e">
        <f>VLOOKUP($Z249,'oddspedia-matches'!$A:$AD,AJ$2,0)</f>
        <v>#N/A</v>
      </c>
      <c r="AK249" t="e">
        <f>VLOOKUP($Z249,'oddspedia-matches'!$A:$AD,AK$2,0)</f>
        <v>#N/A</v>
      </c>
      <c r="AL249" t="e">
        <f>VLOOKUP($Z249,'oddspedia-matches'!$A:$AD,AL$2,0)</f>
        <v>#N/A</v>
      </c>
      <c r="AM249" t="e">
        <f>VLOOKUP($Z249,'oddspedia-matches'!$A:$AD,AM$2,0)</f>
        <v>#N/A</v>
      </c>
      <c r="AN249" t="e">
        <f>VLOOKUP($Z249,'oddspedia-matches'!$A:$AD,AN$2,0)</f>
        <v>#N/A</v>
      </c>
      <c r="AO249" t="e">
        <f>VLOOKUP($Z249,'oddspedia-matches'!$A:$AD,AO$2,0)</f>
        <v>#N/A</v>
      </c>
      <c r="AP249" t="e">
        <f>VLOOKUP($Z249,'oddspedia-matches'!$A:$AD,AP$2,0)</f>
        <v>#N/A</v>
      </c>
      <c r="AQ249" t="e">
        <f>VLOOKUP($Z249,'oddspedia-matches'!$A:$AD,AQ$2,0)</f>
        <v>#N/A</v>
      </c>
    </row>
    <row r="250" spans="2:43" x14ac:dyDescent="0.2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>
        <f>VLOOKUP(E250,'Transform table'!A:B,2,0)</f>
        <v>0</v>
      </c>
      <c r="Y250" t="str">
        <f>VLOOKUP(F250,'Transform table'!A:B,2,0)</f>
        <v>Real Pilar</v>
      </c>
      <c r="Z250" t="str">
        <f t="shared" si="3"/>
        <v>25/07/20260Real Pilar</v>
      </c>
      <c r="AA250" t="e">
        <f>VLOOKUP($Z250,'oddspedia-matches'!$A:$AD,AA$2,0)</f>
        <v>#N/A</v>
      </c>
      <c r="AB250" t="e">
        <f>VLOOKUP($Z250,'oddspedia-matches'!$A:$AD,AB$2,0)</f>
        <v>#N/A</v>
      </c>
      <c r="AC250" t="e">
        <f>VLOOKUP($Z250,'oddspedia-matches'!$A:$AD,AC$2,0)</f>
        <v>#N/A</v>
      </c>
      <c r="AD250" t="e">
        <f>VLOOKUP($Z250,'oddspedia-matches'!$A:$AD,AD$2,0)</f>
        <v>#N/A</v>
      </c>
      <c r="AE250" t="e">
        <f>VLOOKUP($Z250,'oddspedia-matches'!$A:$AD,AE$2,0)</f>
        <v>#N/A</v>
      </c>
      <c r="AF250" t="e">
        <f>VLOOKUP($Z250,'oddspedia-matches'!$A:$AD,AF$2,0)</f>
        <v>#N/A</v>
      </c>
      <c r="AG250" t="e">
        <f>VLOOKUP($Z250,'oddspedia-matches'!$A:$AD,AG$2,0)</f>
        <v>#N/A</v>
      </c>
      <c r="AH250" t="e">
        <f>VLOOKUP($Z250,'oddspedia-matches'!$A:$AD,AH$2,0)</f>
        <v>#N/A</v>
      </c>
      <c r="AI250" t="e">
        <f>VLOOKUP($Z250,'oddspedia-matches'!$A:$AD,AI$2,0)</f>
        <v>#N/A</v>
      </c>
      <c r="AJ250" t="e">
        <f>VLOOKUP($Z250,'oddspedia-matches'!$A:$AD,AJ$2,0)</f>
        <v>#N/A</v>
      </c>
      <c r="AK250" t="e">
        <f>VLOOKUP($Z250,'oddspedia-matches'!$A:$AD,AK$2,0)</f>
        <v>#N/A</v>
      </c>
      <c r="AL250" t="e">
        <f>VLOOKUP($Z250,'oddspedia-matches'!$A:$AD,AL$2,0)</f>
        <v>#N/A</v>
      </c>
      <c r="AM250" t="e">
        <f>VLOOKUP($Z250,'oddspedia-matches'!$A:$AD,AM$2,0)</f>
        <v>#N/A</v>
      </c>
      <c r="AN250" t="e">
        <f>VLOOKUP($Z250,'oddspedia-matches'!$A:$AD,AN$2,0)</f>
        <v>#N/A</v>
      </c>
      <c r="AO250" t="e">
        <f>VLOOKUP($Z250,'oddspedia-matches'!$A:$AD,AO$2,0)</f>
        <v>#N/A</v>
      </c>
      <c r="AP250" t="e">
        <f>VLOOKUP($Z250,'oddspedia-matches'!$A:$AD,AP$2,0)</f>
        <v>#N/A</v>
      </c>
      <c r="AQ250" t="e">
        <f>VLOOKUP($Z250,'oddspedia-matches'!$A:$AD,AQ$2,0)</f>
        <v>#N/A</v>
      </c>
    </row>
    <row r="251" spans="2:43" x14ac:dyDescent="0.2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>
        <f>VLOOKUP(E251,'Transform table'!A:B,2,0)</f>
        <v>0</v>
      </c>
      <c r="Y251" t="str">
        <f>VLOOKUP(F251,'Transform table'!A:B,2,0)</f>
        <v>UAI Urquiza</v>
      </c>
      <c r="Z251" t="str">
        <f t="shared" si="3"/>
        <v>25/07/20260UAI Urquiza</v>
      </c>
      <c r="AA251" t="e">
        <f>VLOOKUP($Z251,'oddspedia-matches'!$A:$AD,AA$2,0)</f>
        <v>#N/A</v>
      </c>
      <c r="AB251" t="e">
        <f>VLOOKUP($Z251,'oddspedia-matches'!$A:$AD,AB$2,0)</f>
        <v>#N/A</v>
      </c>
      <c r="AC251" t="e">
        <f>VLOOKUP($Z251,'oddspedia-matches'!$A:$AD,AC$2,0)</f>
        <v>#N/A</v>
      </c>
      <c r="AD251" t="e">
        <f>VLOOKUP($Z251,'oddspedia-matches'!$A:$AD,AD$2,0)</f>
        <v>#N/A</v>
      </c>
      <c r="AE251" t="e">
        <f>VLOOKUP($Z251,'oddspedia-matches'!$A:$AD,AE$2,0)</f>
        <v>#N/A</v>
      </c>
      <c r="AF251" t="e">
        <f>VLOOKUP($Z251,'oddspedia-matches'!$A:$AD,AF$2,0)</f>
        <v>#N/A</v>
      </c>
      <c r="AG251" t="e">
        <f>VLOOKUP($Z251,'oddspedia-matches'!$A:$AD,AG$2,0)</f>
        <v>#N/A</v>
      </c>
      <c r="AH251" t="e">
        <f>VLOOKUP($Z251,'oddspedia-matches'!$A:$AD,AH$2,0)</f>
        <v>#N/A</v>
      </c>
      <c r="AI251" t="e">
        <f>VLOOKUP($Z251,'oddspedia-matches'!$A:$AD,AI$2,0)</f>
        <v>#N/A</v>
      </c>
      <c r="AJ251" t="e">
        <f>VLOOKUP($Z251,'oddspedia-matches'!$A:$AD,AJ$2,0)</f>
        <v>#N/A</v>
      </c>
      <c r="AK251" t="e">
        <f>VLOOKUP($Z251,'oddspedia-matches'!$A:$AD,AK$2,0)</f>
        <v>#N/A</v>
      </c>
      <c r="AL251" t="e">
        <f>VLOOKUP($Z251,'oddspedia-matches'!$A:$AD,AL$2,0)</f>
        <v>#N/A</v>
      </c>
      <c r="AM251" t="e">
        <f>VLOOKUP($Z251,'oddspedia-matches'!$A:$AD,AM$2,0)</f>
        <v>#N/A</v>
      </c>
      <c r="AN251" t="e">
        <f>VLOOKUP($Z251,'oddspedia-matches'!$A:$AD,AN$2,0)</f>
        <v>#N/A</v>
      </c>
      <c r="AO251" t="e">
        <f>VLOOKUP($Z251,'oddspedia-matches'!$A:$AD,AO$2,0)</f>
        <v>#N/A</v>
      </c>
      <c r="AP251" t="e">
        <f>VLOOKUP($Z251,'oddspedia-matches'!$A:$AD,AP$2,0)</f>
        <v>#N/A</v>
      </c>
      <c r="AQ251" t="e">
        <f>VLOOKUP($Z251,'oddspedia-matches'!$A:$AD,AQ$2,0)</f>
        <v>#N/A</v>
      </c>
    </row>
    <row r="252" spans="2:43" x14ac:dyDescent="0.2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>
        <f>VLOOKUP(E252,'Transform table'!A:B,2,0)</f>
        <v>0</v>
      </c>
      <c r="Y252" t="str">
        <f>VLOOKUP(F252,'Transform table'!A:B,2,0)</f>
        <v>Arsenal de Sarandi</v>
      </c>
      <c r="Z252" t="str">
        <f t="shared" si="3"/>
        <v>25/07/20260Arsenal de Sarandi</v>
      </c>
      <c r="AA252" t="e">
        <f>VLOOKUP($Z252,'oddspedia-matches'!$A:$AD,AA$2,0)</f>
        <v>#N/A</v>
      </c>
      <c r="AB252" t="e">
        <f>VLOOKUP($Z252,'oddspedia-matches'!$A:$AD,AB$2,0)</f>
        <v>#N/A</v>
      </c>
      <c r="AC252" t="e">
        <f>VLOOKUP($Z252,'oddspedia-matches'!$A:$AD,AC$2,0)</f>
        <v>#N/A</v>
      </c>
      <c r="AD252" t="e">
        <f>VLOOKUP($Z252,'oddspedia-matches'!$A:$AD,AD$2,0)</f>
        <v>#N/A</v>
      </c>
      <c r="AE252" t="e">
        <f>VLOOKUP($Z252,'oddspedia-matches'!$A:$AD,AE$2,0)</f>
        <v>#N/A</v>
      </c>
      <c r="AF252" t="e">
        <f>VLOOKUP($Z252,'oddspedia-matches'!$A:$AD,AF$2,0)</f>
        <v>#N/A</v>
      </c>
      <c r="AG252" t="e">
        <f>VLOOKUP($Z252,'oddspedia-matches'!$A:$AD,AG$2,0)</f>
        <v>#N/A</v>
      </c>
      <c r="AH252" t="e">
        <f>VLOOKUP($Z252,'oddspedia-matches'!$A:$AD,AH$2,0)</f>
        <v>#N/A</v>
      </c>
      <c r="AI252" t="e">
        <f>VLOOKUP($Z252,'oddspedia-matches'!$A:$AD,AI$2,0)</f>
        <v>#N/A</v>
      </c>
      <c r="AJ252" t="e">
        <f>VLOOKUP($Z252,'oddspedia-matches'!$A:$AD,AJ$2,0)</f>
        <v>#N/A</v>
      </c>
      <c r="AK252" t="e">
        <f>VLOOKUP($Z252,'oddspedia-matches'!$A:$AD,AK$2,0)</f>
        <v>#N/A</v>
      </c>
      <c r="AL252" t="e">
        <f>VLOOKUP($Z252,'oddspedia-matches'!$A:$AD,AL$2,0)</f>
        <v>#N/A</v>
      </c>
      <c r="AM252" t="e">
        <f>VLOOKUP($Z252,'oddspedia-matches'!$A:$AD,AM$2,0)</f>
        <v>#N/A</v>
      </c>
      <c r="AN252" t="e">
        <f>VLOOKUP($Z252,'oddspedia-matches'!$A:$AD,AN$2,0)</f>
        <v>#N/A</v>
      </c>
      <c r="AO252" t="e">
        <f>VLOOKUP($Z252,'oddspedia-matches'!$A:$AD,AO$2,0)</f>
        <v>#N/A</v>
      </c>
      <c r="AP252" t="e">
        <f>VLOOKUP($Z252,'oddspedia-matches'!$A:$AD,AP$2,0)</f>
        <v>#N/A</v>
      </c>
      <c r="AQ252" t="e">
        <f>VLOOKUP($Z252,'oddspedia-matches'!$A:$AD,AQ$2,0)</f>
        <v>#N/A</v>
      </c>
    </row>
    <row r="253" spans="2:43" x14ac:dyDescent="0.2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>
        <f>VLOOKUP(E253,'Transform table'!A:B,2,0)</f>
        <v>0</v>
      </c>
      <c r="Y253">
        <f>VLOOKUP(F253,'Transform table'!A:B,2,0)</f>
        <v>0</v>
      </c>
      <c r="Z253" t="str">
        <f t="shared" si="3"/>
        <v>25/07/202600</v>
      </c>
      <c r="AA253" t="e">
        <f>VLOOKUP($Z253,'oddspedia-matches'!$A:$AD,AA$2,0)</f>
        <v>#N/A</v>
      </c>
      <c r="AB253" t="e">
        <f>VLOOKUP($Z253,'oddspedia-matches'!$A:$AD,AB$2,0)</f>
        <v>#N/A</v>
      </c>
      <c r="AC253" t="e">
        <f>VLOOKUP($Z253,'oddspedia-matches'!$A:$AD,AC$2,0)</f>
        <v>#N/A</v>
      </c>
      <c r="AD253" t="e">
        <f>VLOOKUP($Z253,'oddspedia-matches'!$A:$AD,AD$2,0)</f>
        <v>#N/A</v>
      </c>
      <c r="AE253" t="e">
        <f>VLOOKUP($Z253,'oddspedia-matches'!$A:$AD,AE$2,0)</f>
        <v>#N/A</v>
      </c>
      <c r="AF253" t="e">
        <f>VLOOKUP($Z253,'oddspedia-matches'!$A:$AD,AF$2,0)</f>
        <v>#N/A</v>
      </c>
      <c r="AG253" t="e">
        <f>VLOOKUP($Z253,'oddspedia-matches'!$A:$AD,AG$2,0)</f>
        <v>#N/A</v>
      </c>
      <c r="AH253" t="e">
        <f>VLOOKUP($Z253,'oddspedia-matches'!$A:$AD,AH$2,0)</f>
        <v>#N/A</v>
      </c>
      <c r="AI253" t="e">
        <f>VLOOKUP($Z253,'oddspedia-matches'!$A:$AD,AI$2,0)</f>
        <v>#N/A</v>
      </c>
      <c r="AJ253" t="e">
        <f>VLOOKUP($Z253,'oddspedia-matches'!$A:$AD,AJ$2,0)</f>
        <v>#N/A</v>
      </c>
      <c r="AK253" t="e">
        <f>VLOOKUP($Z253,'oddspedia-matches'!$A:$AD,AK$2,0)</f>
        <v>#N/A</v>
      </c>
      <c r="AL253" t="e">
        <f>VLOOKUP($Z253,'oddspedia-matches'!$A:$AD,AL$2,0)</f>
        <v>#N/A</v>
      </c>
      <c r="AM253" t="e">
        <f>VLOOKUP($Z253,'oddspedia-matches'!$A:$AD,AM$2,0)</f>
        <v>#N/A</v>
      </c>
      <c r="AN253" t="e">
        <f>VLOOKUP($Z253,'oddspedia-matches'!$A:$AD,AN$2,0)</f>
        <v>#N/A</v>
      </c>
      <c r="AO253" t="e">
        <f>VLOOKUP($Z253,'oddspedia-matches'!$A:$AD,AO$2,0)</f>
        <v>#N/A</v>
      </c>
      <c r="AP253" t="e">
        <f>VLOOKUP($Z253,'oddspedia-matches'!$A:$AD,AP$2,0)</f>
        <v>#N/A</v>
      </c>
      <c r="AQ253" t="e">
        <f>VLOOKUP($Z253,'oddspedia-matches'!$A:$AD,AQ$2,0)</f>
        <v>#N/A</v>
      </c>
    </row>
    <row r="254" spans="2:43" x14ac:dyDescent="0.2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>
        <f>VLOOKUP(E254,'Transform table'!A:B,2,0)</f>
        <v>0</v>
      </c>
      <c r="Y254" t="str">
        <f>VLOOKUP(F254,'Transform table'!A:B,2,0)</f>
        <v>CSD Liniers</v>
      </c>
      <c r="Z254" t="str">
        <f t="shared" si="3"/>
        <v>25/07/20260CSD Liniers</v>
      </c>
      <c r="AA254" t="e">
        <f>VLOOKUP($Z254,'oddspedia-matches'!$A:$AD,AA$2,0)</f>
        <v>#N/A</v>
      </c>
      <c r="AB254" t="e">
        <f>VLOOKUP($Z254,'oddspedia-matches'!$A:$AD,AB$2,0)</f>
        <v>#N/A</v>
      </c>
      <c r="AC254" t="e">
        <f>VLOOKUP($Z254,'oddspedia-matches'!$A:$AD,AC$2,0)</f>
        <v>#N/A</v>
      </c>
      <c r="AD254" t="e">
        <f>VLOOKUP($Z254,'oddspedia-matches'!$A:$AD,AD$2,0)</f>
        <v>#N/A</v>
      </c>
      <c r="AE254" t="e">
        <f>VLOOKUP($Z254,'oddspedia-matches'!$A:$AD,AE$2,0)</f>
        <v>#N/A</v>
      </c>
      <c r="AF254" t="e">
        <f>VLOOKUP($Z254,'oddspedia-matches'!$A:$AD,AF$2,0)</f>
        <v>#N/A</v>
      </c>
      <c r="AG254" t="e">
        <f>VLOOKUP($Z254,'oddspedia-matches'!$A:$AD,AG$2,0)</f>
        <v>#N/A</v>
      </c>
      <c r="AH254" t="e">
        <f>VLOOKUP($Z254,'oddspedia-matches'!$A:$AD,AH$2,0)</f>
        <v>#N/A</v>
      </c>
      <c r="AI254" t="e">
        <f>VLOOKUP($Z254,'oddspedia-matches'!$A:$AD,AI$2,0)</f>
        <v>#N/A</v>
      </c>
      <c r="AJ254" t="e">
        <f>VLOOKUP($Z254,'oddspedia-matches'!$A:$AD,AJ$2,0)</f>
        <v>#N/A</v>
      </c>
      <c r="AK254" t="e">
        <f>VLOOKUP($Z254,'oddspedia-matches'!$A:$AD,AK$2,0)</f>
        <v>#N/A</v>
      </c>
      <c r="AL254" t="e">
        <f>VLOOKUP($Z254,'oddspedia-matches'!$A:$AD,AL$2,0)</f>
        <v>#N/A</v>
      </c>
      <c r="AM254" t="e">
        <f>VLOOKUP($Z254,'oddspedia-matches'!$A:$AD,AM$2,0)</f>
        <v>#N/A</v>
      </c>
      <c r="AN254" t="e">
        <f>VLOOKUP($Z254,'oddspedia-matches'!$A:$AD,AN$2,0)</f>
        <v>#N/A</v>
      </c>
      <c r="AO254" t="e">
        <f>VLOOKUP($Z254,'oddspedia-matches'!$A:$AD,AO$2,0)</f>
        <v>#N/A</v>
      </c>
      <c r="AP254" t="e">
        <f>VLOOKUP($Z254,'oddspedia-matches'!$A:$AD,AP$2,0)</f>
        <v>#N/A</v>
      </c>
      <c r="AQ254" t="e">
        <f>VLOOKUP($Z254,'oddspedia-matches'!$A:$AD,AQ$2,0)</f>
        <v>#N/A</v>
      </c>
    </row>
    <row r="255" spans="2:43" x14ac:dyDescent="0.2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>
        <f>VLOOKUP(E255,'Transform table'!A:B,2,0)</f>
        <v>0</v>
      </c>
      <c r="Y255" t="str">
        <f>VLOOKUP(F255,'Transform table'!A:B,2,0)</f>
        <v>Excursionistas</v>
      </c>
      <c r="Z255" t="str">
        <f t="shared" si="3"/>
        <v>25/07/20260Excursionistas</v>
      </c>
      <c r="AA255" t="e">
        <f>VLOOKUP($Z255,'oddspedia-matches'!$A:$AD,AA$2,0)</f>
        <v>#N/A</v>
      </c>
      <c r="AB255" t="e">
        <f>VLOOKUP($Z255,'oddspedia-matches'!$A:$AD,AB$2,0)</f>
        <v>#N/A</v>
      </c>
      <c r="AC255" t="e">
        <f>VLOOKUP($Z255,'oddspedia-matches'!$A:$AD,AC$2,0)</f>
        <v>#N/A</v>
      </c>
      <c r="AD255" t="e">
        <f>VLOOKUP($Z255,'oddspedia-matches'!$A:$AD,AD$2,0)</f>
        <v>#N/A</v>
      </c>
      <c r="AE255" t="e">
        <f>VLOOKUP($Z255,'oddspedia-matches'!$A:$AD,AE$2,0)</f>
        <v>#N/A</v>
      </c>
      <c r="AF255" t="e">
        <f>VLOOKUP($Z255,'oddspedia-matches'!$A:$AD,AF$2,0)</f>
        <v>#N/A</v>
      </c>
      <c r="AG255" t="e">
        <f>VLOOKUP($Z255,'oddspedia-matches'!$A:$AD,AG$2,0)</f>
        <v>#N/A</v>
      </c>
      <c r="AH255" t="e">
        <f>VLOOKUP($Z255,'oddspedia-matches'!$A:$AD,AH$2,0)</f>
        <v>#N/A</v>
      </c>
      <c r="AI255" t="e">
        <f>VLOOKUP($Z255,'oddspedia-matches'!$A:$AD,AI$2,0)</f>
        <v>#N/A</v>
      </c>
      <c r="AJ255" t="e">
        <f>VLOOKUP($Z255,'oddspedia-matches'!$A:$AD,AJ$2,0)</f>
        <v>#N/A</v>
      </c>
      <c r="AK255" t="e">
        <f>VLOOKUP($Z255,'oddspedia-matches'!$A:$AD,AK$2,0)</f>
        <v>#N/A</v>
      </c>
      <c r="AL255" t="e">
        <f>VLOOKUP($Z255,'oddspedia-matches'!$A:$AD,AL$2,0)</f>
        <v>#N/A</v>
      </c>
      <c r="AM255" t="e">
        <f>VLOOKUP($Z255,'oddspedia-matches'!$A:$AD,AM$2,0)</f>
        <v>#N/A</v>
      </c>
      <c r="AN255" t="e">
        <f>VLOOKUP($Z255,'oddspedia-matches'!$A:$AD,AN$2,0)</f>
        <v>#N/A</v>
      </c>
      <c r="AO255" t="e">
        <f>VLOOKUP($Z255,'oddspedia-matches'!$A:$AD,AO$2,0)</f>
        <v>#N/A</v>
      </c>
      <c r="AP255" t="e">
        <f>VLOOKUP($Z255,'oddspedia-matches'!$A:$AD,AP$2,0)</f>
        <v>#N/A</v>
      </c>
      <c r="AQ255" t="e">
        <f>VLOOKUP($Z255,'oddspedia-matches'!$A:$AD,AQ$2,0)</f>
        <v>#N/A</v>
      </c>
    </row>
    <row r="256" spans="2:43" x14ac:dyDescent="0.2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>
        <f>VLOOKUP(E256,'Transform table'!A:B,2,0)</f>
        <v>0</v>
      </c>
      <c r="Y256">
        <f>VLOOKUP(F256,'Transform table'!A:B,2,0)</f>
        <v>0</v>
      </c>
      <c r="Z256" t="str">
        <f t="shared" si="3"/>
        <v>25/07/202600</v>
      </c>
      <c r="AA256" t="e">
        <f>VLOOKUP($Z256,'oddspedia-matches'!$A:$AD,AA$2,0)</f>
        <v>#N/A</v>
      </c>
      <c r="AB256" t="e">
        <f>VLOOKUP($Z256,'oddspedia-matches'!$A:$AD,AB$2,0)</f>
        <v>#N/A</v>
      </c>
      <c r="AC256" t="e">
        <f>VLOOKUP($Z256,'oddspedia-matches'!$A:$AD,AC$2,0)</f>
        <v>#N/A</v>
      </c>
      <c r="AD256" t="e">
        <f>VLOOKUP($Z256,'oddspedia-matches'!$A:$AD,AD$2,0)</f>
        <v>#N/A</v>
      </c>
      <c r="AE256" t="e">
        <f>VLOOKUP($Z256,'oddspedia-matches'!$A:$AD,AE$2,0)</f>
        <v>#N/A</v>
      </c>
      <c r="AF256" t="e">
        <f>VLOOKUP($Z256,'oddspedia-matches'!$A:$AD,AF$2,0)</f>
        <v>#N/A</v>
      </c>
      <c r="AG256" t="e">
        <f>VLOOKUP($Z256,'oddspedia-matches'!$A:$AD,AG$2,0)</f>
        <v>#N/A</v>
      </c>
      <c r="AH256" t="e">
        <f>VLOOKUP($Z256,'oddspedia-matches'!$A:$AD,AH$2,0)</f>
        <v>#N/A</v>
      </c>
      <c r="AI256" t="e">
        <f>VLOOKUP($Z256,'oddspedia-matches'!$A:$AD,AI$2,0)</f>
        <v>#N/A</v>
      </c>
      <c r="AJ256" t="e">
        <f>VLOOKUP($Z256,'oddspedia-matches'!$A:$AD,AJ$2,0)</f>
        <v>#N/A</v>
      </c>
      <c r="AK256" t="e">
        <f>VLOOKUP($Z256,'oddspedia-matches'!$A:$AD,AK$2,0)</f>
        <v>#N/A</v>
      </c>
      <c r="AL256" t="e">
        <f>VLOOKUP($Z256,'oddspedia-matches'!$A:$AD,AL$2,0)</f>
        <v>#N/A</v>
      </c>
      <c r="AM256" t="e">
        <f>VLOOKUP($Z256,'oddspedia-matches'!$A:$AD,AM$2,0)</f>
        <v>#N/A</v>
      </c>
      <c r="AN256" t="e">
        <f>VLOOKUP($Z256,'oddspedia-matches'!$A:$AD,AN$2,0)</f>
        <v>#N/A</v>
      </c>
      <c r="AO256" t="e">
        <f>VLOOKUP($Z256,'oddspedia-matches'!$A:$AD,AO$2,0)</f>
        <v>#N/A</v>
      </c>
      <c r="AP256" t="e">
        <f>VLOOKUP($Z256,'oddspedia-matches'!$A:$AD,AP$2,0)</f>
        <v>#N/A</v>
      </c>
      <c r="AQ256" t="e">
        <f>VLOOKUP($Z256,'oddspedia-matches'!$A:$AD,AQ$2,0)</f>
        <v>#N/A</v>
      </c>
    </row>
    <row r="257" spans="2:43" x14ac:dyDescent="0.2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>
        <f>VLOOKUP(E257,'Transform table'!A:B,2,0)</f>
        <v>0</v>
      </c>
      <c r="Y257" t="str">
        <f>VLOOKUP(F257,'Transform table'!A:B,2,0)</f>
        <v>CA Villa San Carlos</v>
      </c>
      <c r="Z257" t="str">
        <f t="shared" si="3"/>
        <v>25/07/20260CA Villa San Carlos</v>
      </c>
      <c r="AA257" t="e">
        <f>VLOOKUP($Z257,'oddspedia-matches'!$A:$AD,AA$2,0)</f>
        <v>#N/A</v>
      </c>
      <c r="AB257" t="e">
        <f>VLOOKUP($Z257,'oddspedia-matches'!$A:$AD,AB$2,0)</f>
        <v>#N/A</v>
      </c>
      <c r="AC257" t="e">
        <f>VLOOKUP($Z257,'oddspedia-matches'!$A:$AD,AC$2,0)</f>
        <v>#N/A</v>
      </c>
      <c r="AD257" t="e">
        <f>VLOOKUP($Z257,'oddspedia-matches'!$A:$AD,AD$2,0)</f>
        <v>#N/A</v>
      </c>
      <c r="AE257" t="e">
        <f>VLOOKUP($Z257,'oddspedia-matches'!$A:$AD,AE$2,0)</f>
        <v>#N/A</v>
      </c>
      <c r="AF257" t="e">
        <f>VLOOKUP($Z257,'oddspedia-matches'!$A:$AD,AF$2,0)</f>
        <v>#N/A</v>
      </c>
      <c r="AG257" t="e">
        <f>VLOOKUP($Z257,'oddspedia-matches'!$A:$AD,AG$2,0)</f>
        <v>#N/A</v>
      </c>
      <c r="AH257" t="e">
        <f>VLOOKUP($Z257,'oddspedia-matches'!$A:$AD,AH$2,0)</f>
        <v>#N/A</v>
      </c>
      <c r="AI257" t="e">
        <f>VLOOKUP($Z257,'oddspedia-matches'!$A:$AD,AI$2,0)</f>
        <v>#N/A</v>
      </c>
      <c r="AJ257" t="e">
        <f>VLOOKUP($Z257,'oddspedia-matches'!$A:$AD,AJ$2,0)</f>
        <v>#N/A</v>
      </c>
      <c r="AK257" t="e">
        <f>VLOOKUP($Z257,'oddspedia-matches'!$A:$AD,AK$2,0)</f>
        <v>#N/A</v>
      </c>
      <c r="AL257" t="e">
        <f>VLOOKUP($Z257,'oddspedia-matches'!$A:$AD,AL$2,0)</f>
        <v>#N/A</v>
      </c>
      <c r="AM257" t="e">
        <f>VLOOKUP($Z257,'oddspedia-matches'!$A:$AD,AM$2,0)</f>
        <v>#N/A</v>
      </c>
      <c r="AN257" t="e">
        <f>VLOOKUP($Z257,'oddspedia-matches'!$A:$AD,AN$2,0)</f>
        <v>#N/A</v>
      </c>
      <c r="AO257" t="e">
        <f>VLOOKUP($Z257,'oddspedia-matches'!$A:$AD,AO$2,0)</f>
        <v>#N/A</v>
      </c>
      <c r="AP257" t="e">
        <f>VLOOKUP($Z257,'oddspedia-matches'!$A:$AD,AP$2,0)</f>
        <v>#N/A</v>
      </c>
      <c r="AQ257" t="e">
        <f>VLOOKUP($Z257,'oddspedia-matches'!$A:$AD,AQ$2,0)</f>
        <v>#N/A</v>
      </c>
    </row>
    <row r="258" spans="2:43" x14ac:dyDescent="0.2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tr">
        <f>VLOOKUP(E258,'Transform table'!A:B,2,0)</f>
        <v>Ferrocarril Midland</v>
      </c>
      <c r="Y258" t="str">
        <f>VLOOKUP(F258,'Transform table'!A:B,2,0)</f>
        <v>Maranhao</v>
      </c>
      <c r="Z258" t="str">
        <f t="shared" si="3"/>
        <v>25/07/2026Ferrocarril MidlandMaranhao</v>
      </c>
      <c r="AA258" t="e">
        <f>VLOOKUP($Z258,'oddspedia-matches'!$A:$AD,AA$2,0)</f>
        <v>#N/A</v>
      </c>
      <c r="AB258" t="e">
        <f>VLOOKUP($Z258,'oddspedia-matches'!$A:$AD,AB$2,0)</f>
        <v>#N/A</v>
      </c>
      <c r="AC258" t="e">
        <f>VLOOKUP($Z258,'oddspedia-matches'!$A:$AD,AC$2,0)</f>
        <v>#N/A</v>
      </c>
      <c r="AD258" t="e">
        <f>VLOOKUP($Z258,'oddspedia-matches'!$A:$AD,AD$2,0)</f>
        <v>#N/A</v>
      </c>
      <c r="AE258" t="e">
        <f>VLOOKUP($Z258,'oddspedia-matches'!$A:$AD,AE$2,0)</f>
        <v>#N/A</v>
      </c>
      <c r="AF258" t="e">
        <f>VLOOKUP($Z258,'oddspedia-matches'!$A:$AD,AF$2,0)</f>
        <v>#N/A</v>
      </c>
      <c r="AG258" t="e">
        <f>VLOOKUP($Z258,'oddspedia-matches'!$A:$AD,AG$2,0)</f>
        <v>#N/A</v>
      </c>
      <c r="AH258" t="e">
        <f>VLOOKUP($Z258,'oddspedia-matches'!$A:$AD,AH$2,0)</f>
        <v>#N/A</v>
      </c>
      <c r="AI258" t="e">
        <f>VLOOKUP($Z258,'oddspedia-matches'!$A:$AD,AI$2,0)</f>
        <v>#N/A</v>
      </c>
      <c r="AJ258" t="e">
        <f>VLOOKUP($Z258,'oddspedia-matches'!$A:$AD,AJ$2,0)</f>
        <v>#N/A</v>
      </c>
      <c r="AK258" t="e">
        <f>VLOOKUP($Z258,'oddspedia-matches'!$A:$AD,AK$2,0)</f>
        <v>#N/A</v>
      </c>
      <c r="AL258" t="e">
        <f>VLOOKUP($Z258,'oddspedia-matches'!$A:$AD,AL$2,0)</f>
        <v>#N/A</v>
      </c>
      <c r="AM258" t="e">
        <f>VLOOKUP($Z258,'oddspedia-matches'!$A:$AD,AM$2,0)</f>
        <v>#N/A</v>
      </c>
      <c r="AN258" t="e">
        <f>VLOOKUP($Z258,'oddspedia-matches'!$A:$AD,AN$2,0)</f>
        <v>#N/A</v>
      </c>
      <c r="AO258" t="e">
        <f>VLOOKUP($Z258,'oddspedia-matches'!$A:$AD,AO$2,0)</f>
        <v>#N/A</v>
      </c>
      <c r="AP258" t="e">
        <f>VLOOKUP($Z258,'oddspedia-matches'!$A:$AD,AP$2,0)</f>
        <v>#N/A</v>
      </c>
      <c r="AQ258" t="e">
        <f>VLOOKUP($Z258,'oddspedia-matches'!$A:$AD,AQ$2,0)</f>
        <v>#N/A</v>
      </c>
    </row>
    <row r="259" spans="2:43" x14ac:dyDescent="0.2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>
        <f>VLOOKUP(E259,'Transform table'!A:B,2,0)</f>
        <v>0</v>
      </c>
      <c r="Y259" t="str">
        <f>VLOOKUP(F259,'Transform table'!A:B,2,0)</f>
        <v>Figueirense</v>
      </c>
      <c r="Z259" t="str">
        <f t="shared" si="3"/>
        <v>25/07/20260Figueirense</v>
      </c>
      <c r="AA259" t="e">
        <f>VLOOKUP($Z259,'oddspedia-matches'!$A:$AD,AA$2,0)</f>
        <v>#N/A</v>
      </c>
      <c r="AB259" t="e">
        <f>VLOOKUP($Z259,'oddspedia-matches'!$A:$AD,AB$2,0)</f>
        <v>#N/A</v>
      </c>
      <c r="AC259" t="e">
        <f>VLOOKUP($Z259,'oddspedia-matches'!$A:$AD,AC$2,0)</f>
        <v>#N/A</v>
      </c>
      <c r="AD259" t="e">
        <f>VLOOKUP($Z259,'oddspedia-matches'!$A:$AD,AD$2,0)</f>
        <v>#N/A</v>
      </c>
      <c r="AE259" t="e">
        <f>VLOOKUP($Z259,'oddspedia-matches'!$A:$AD,AE$2,0)</f>
        <v>#N/A</v>
      </c>
      <c r="AF259" t="e">
        <f>VLOOKUP($Z259,'oddspedia-matches'!$A:$AD,AF$2,0)</f>
        <v>#N/A</v>
      </c>
      <c r="AG259" t="e">
        <f>VLOOKUP($Z259,'oddspedia-matches'!$A:$AD,AG$2,0)</f>
        <v>#N/A</v>
      </c>
      <c r="AH259" t="e">
        <f>VLOOKUP($Z259,'oddspedia-matches'!$A:$AD,AH$2,0)</f>
        <v>#N/A</v>
      </c>
      <c r="AI259" t="e">
        <f>VLOOKUP($Z259,'oddspedia-matches'!$A:$AD,AI$2,0)</f>
        <v>#N/A</v>
      </c>
      <c r="AJ259" t="e">
        <f>VLOOKUP($Z259,'oddspedia-matches'!$A:$AD,AJ$2,0)</f>
        <v>#N/A</v>
      </c>
      <c r="AK259" t="e">
        <f>VLOOKUP($Z259,'oddspedia-matches'!$A:$AD,AK$2,0)</f>
        <v>#N/A</v>
      </c>
      <c r="AL259" t="e">
        <f>VLOOKUP($Z259,'oddspedia-matches'!$A:$AD,AL$2,0)</f>
        <v>#N/A</v>
      </c>
      <c r="AM259" t="e">
        <f>VLOOKUP($Z259,'oddspedia-matches'!$A:$AD,AM$2,0)</f>
        <v>#N/A</v>
      </c>
      <c r="AN259" t="e">
        <f>VLOOKUP($Z259,'oddspedia-matches'!$A:$AD,AN$2,0)</f>
        <v>#N/A</v>
      </c>
      <c r="AO259" t="e">
        <f>VLOOKUP($Z259,'oddspedia-matches'!$A:$AD,AO$2,0)</f>
        <v>#N/A</v>
      </c>
      <c r="AP259" t="e">
        <f>VLOOKUP($Z259,'oddspedia-matches'!$A:$AD,AP$2,0)</f>
        <v>#N/A</v>
      </c>
      <c r="AQ259" t="e">
        <f>VLOOKUP($Z259,'oddspedia-matches'!$A:$AD,AQ$2,0)</f>
        <v>#N/A</v>
      </c>
    </row>
    <row r="260" spans="2:43" x14ac:dyDescent="0.2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>
        <f>VLOOKUP(E260,'Transform table'!A:B,2,0)</f>
        <v>0</v>
      </c>
      <c r="Y260" t="str">
        <f>VLOOKUP(F260,'Transform table'!A:B,2,0)</f>
        <v>Cienciano</v>
      </c>
      <c r="Z260" t="str">
        <f t="shared" ref="Z260:Z323" si="4">C260&amp;X260&amp;Y260</f>
        <v>25/07/20260Cienciano</v>
      </c>
      <c r="AA260" t="e">
        <f>VLOOKUP($Z260,'oddspedia-matches'!$A:$AD,AA$2,0)</f>
        <v>#N/A</v>
      </c>
      <c r="AB260" t="e">
        <f>VLOOKUP($Z260,'oddspedia-matches'!$A:$AD,AB$2,0)</f>
        <v>#N/A</v>
      </c>
      <c r="AC260" t="e">
        <f>VLOOKUP($Z260,'oddspedia-matches'!$A:$AD,AC$2,0)</f>
        <v>#N/A</v>
      </c>
      <c r="AD260" t="e">
        <f>VLOOKUP($Z260,'oddspedia-matches'!$A:$AD,AD$2,0)</f>
        <v>#N/A</v>
      </c>
      <c r="AE260" t="e">
        <f>VLOOKUP($Z260,'oddspedia-matches'!$A:$AD,AE$2,0)</f>
        <v>#N/A</v>
      </c>
      <c r="AF260" t="e">
        <f>VLOOKUP($Z260,'oddspedia-matches'!$A:$AD,AF$2,0)</f>
        <v>#N/A</v>
      </c>
      <c r="AG260" t="e">
        <f>VLOOKUP($Z260,'oddspedia-matches'!$A:$AD,AG$2,0)</f>
        <v>#N/A</v>
      </c>
      <c r="AH260" t="e">
        <f>VLOOKUP($Z260,'oddspedia-matches'!$A:$AD,AH$2,0)</f>
        <v>#N/A</v>
      </c>
      <c r="AI260" t="e">
        <f>VLOOKUP($Z260,'oddspedia-matches'!$A:$AD,AI$2,0)</f>
        <v>#N/A</v>
      </c>
      <c r="AJ260" t="e">
        <f>VLOOKUP($Z260,'oddspedia-matches'!$A:$AD,AJ$2,0)</f>
        <v>#N/A</v>
      </c>
      <c r="AK260" t="e">
        <f>VLOOKUP($Z260,'oddspedia-matches'!$A:$AD,AK$2,0)</f>
        <v>#N/A</v>
      </c>
      <c r="AL260" t="e">
        <f>VLOOKUP($Z260,'oddspedia-matches'!$A:$AD,AL$2,0)</f>
        <v>#N/A</v>
      </c>
      <c r="AM260" t="e">
        <f>VLOOKUP($Z260,'oddspedia-matches'!$A:$AD,AM$2,0)</f>
        <v>#N/A</v>
      </c>
      <c r="AN260" t="e">
        <f>VLOOKUP($Z260,'oddspedia-matches'!$A:$AD,AN$2,0)</f>
        <v>#N/A</v>
      </c>
      <c r="AO260" t="e">
        <f>VLOOKUP($Z260,'oddspedia-matches'!$A:$AD,AO$2,0)</f>
        <v>#N/A</v>
      </c>
      <c r="AP260" t="e">
        <f>VLOOKUP($Z260,'oddspedia-matches'!$A:$AD,AP$2,0)</f>
        <v>#N/A</v>
      </c>
      <c r="AQ260" t="e">
        <f>VLOOKUP($Z260,'oddspedia-matches'!$A:$AD,AQ$2,0)</f>
        <v>#N/A</v>
      </c>
    </row>
    <row r="261" spans="2:43" x14ac:dyDescent="0.2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tr">
        <f>VLOOKUP(E261,'Transform table'!A:B,2,0)</f>
        <v>Boca Juniors</v>
      </c>
      <c r="Y261" t="str">
        <f>VLOOKUP(F261,'Transform table'!A:B,2,0)</f>
        <v>Atletico Nacional</v>
      </c>
      <c r="Z261" t="str">
        <f t="shared" si="4"/>
        <v>25/07/2026Boca JuniorsAtletico Nacional</v>
      </c>
      <c r="AA261" t="e">
        <f>VLOOKUP($Z261,'oddspedia-matches'!$A:$AD,AA$2,0)</f>
        <v>#N/A</v>
      </c>
      <c r="AB261" t="e">
        <f>VLOOKUP($Z261,'oddspedia-matches'!$A:$AD,AB$2,0)</f>
        <v>#N/A</v>
      </c>
      <c r="AC261" t="e">
        <f>VLOOKUP($Z261,'oddspedia-matches'!$A:$AD,AC$2,0)</f>
        <v>#N/A</v>
      </c>
      <c r="AD261" t="e">
        <f>VLOOKUP($Z261,'oddspedia-matches'!$A:$AD,AD$2,0)</f>
        <v>#N/A</v>
      </c>
      <c r="AE261" t="e">
        <f>VLOOKUP($Z261,'oddspedia-matches'!$A:$AD,AE$2,0)</f>
        <v>#N/A</v>
      </c>
      <c r="AF261" t="e">
        <f>VLOOKUP($Z261,'oddspedia-matches'!$A:$AD,AF$2,0)</f>
        <v>#N/A</v>
      </c>
      <c r="AG261" t="e">
        <f>VLOOKUP($Z261,'oddspedia-matches'!$A:$AD,AG$2,0)</f>
        <v>#N/A</v>
      </c>
      <c r="AH261" t="e">
        <f>VLOOKUP($Z261,'oddspedia-matches'!$A:$AD,AH$2,0)</f>
        <v>#N/A</v>
      </c>
      <c r="AI261" t="e">
        <f>VLOOKUP($Z261,'oddspedia-matches'!$A:$AD,AI$2,0)</f>
        <v>#N/A</v>
      </c>
      <c r="AJ261" t="e">
        <f>VLOOKUP($Z261,'oddspedia-matches'!$A:$AD,AJ$2,0)</f>
        <v>#N/A</v>
      </c>
      <c r="AK261" t="e">
        <f>VLOOKUP($Z261,'oddspedia-matches'!$A:$AD,AK$2,0)</f>
        <v>#N/A</v>
      </c>
      <c r="AL261" t="e">
        <f>VLOOKUP($Z261,'oddspedia-matches'!$A:$AD,AL$2,0)</f>
        <v>#N/A</v>
      </c>
      <c r="AM261" t="e">
        <f>VLOOKUP($Z261,'oddspedia-matches'!$A:$AD,AM$2,0)</f>
        <v>#N/A</v>
      </c>
      <c r="AN261" t="e">
        <f>VLOOKUP($Z261,'oddspedia-matches'!$A:$AD,AN$2,0)</f>
        <v>#N/A</v>
      </c>
      <c r="AO261" t="e">
        <f>VLOOKUP($Z261,'oddspedia-matches'!$A:$AD,AO$2,0)</f>
        <v>#N/A</v>
      </c>
      <c r="AP261" t="e">
        <f>VLOOKUP($Z261,'oddspedia-matches'!$A:$AD,AP$2,0)</f>
        <v>#N/A</v>
      </c>
      <c r="AQ261" t="e">
        <f>VLOOKUP($Z261,'oddspedia-matches'!$A:$AD,AQ$2,0)</f>
        <v>#N/A</v>
      </c>
    </row>
    <row r="262" spans="2:43" x14ac:dyDescent="0.2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tr">
        <f>VLOOKUP(E262,'Transform table'!A:B,2,0)</f>
        <v>Bogota</v>
      </c>
      <c r="Y262" t="str">
        <f>VLOOKUP(F262,'Transform table'!A:B,2,0)</f>
        <v>Union Magdalena</v>
      </c>
      <c r="Z262" t="str">
        <f t="shared" si="4"/>
        <v>25/07/2026BogotaUnion Magdalena</v>
      </c>
      <c r="AA262" t="str">
        <f>VLOOKUP($Z262,'oddspedia-matches'!$A:$AD,AA$2,0)</f>
        <v>1 - 0</v>
      </c>
      <c r="AB262" t="str">
        <f>VLOOKUP($Z262,'oddspedia-matches'!$A:$AD,AB$2,0)</f>
        <v>Green</v>
      </c>
      <c r="AC262" t="str">
        <f>VLOOKUP($Z262,'oddspedia-matches'!$A:$AD,AC$2,0)</f>
        <v>Red</v>
      </c>
      <c r="AD262" t="str">
        <f>VLOOKUP($Z262,'oddspedia-matches'!$A:$AD,AD$2,0)</f>
        <v>Red</v>
      </c>
      <c r="AE262" t="str">
        <f>VLOOKUP($Z262,'oddspedia-matches'!$A:$AD,AE$2,0)</f>
        <v>Green</v>
      </c>
      <c r="AF262" t="str">
        <f>VLOOKUP($Z262,'oddspedia-matches'!$A:$AD,AF$2,0)</f>
        <v>Red</v>
      </c>
      <c r="AG262" t="str">
        <f>VLOOKUP($Z262,'oddspedia-matches'!$A:$AD,AG$2,0)</f>
        <v>Green</v>
      </c>
      <c r="AH262" t="str">
        <f>VLOOKUP($Z262,'oddspedia-matches'!$A:$AD,AH$2,0)</f>
        <v>Green</v>
      </c>
      <c r="AI262" t="str">
        <f>VLOOKUP($Z262,'oddspedia-matches'!$A:$AD,AI$2,0)</f>
        <v>Red</v>
      </c>
      <c r="AJ262" t="str">
        <f>VLOOKUP($Z262,'oddspedia-matches'!$A:$AD,AJ$2,0)</f>
        <v>Red</v>
      </c>
      <c r="AK262" t="str">
        <f>VLOOKUP($Z262,'oddspedia-matches'!$A:$AD,AK$2,0)</f>
        <v>Green</v>
      </c>
      <c r="AL262" t="str">
        <f>VLOOKUP($Z262,'oddspedia-matches'!$A:$AD,AL$2,0)</f>
        <v>Red</v>
      </c>
      <c r="AM262" t="str">
        <f>VLOOKUP($Z262,'oddspedia-matches'!$A:$AD,AM$2,0)</f>
        <v>Red</v>
      </c>
      <c r="AN262" t="str">
        <f>VLOOKUP($Z262,'oddspedia-matches'!$A:$AD,AN$2,0)</f>
        <v>Green</v>
      </c>
      <c r="AO262" t="str">
        <f>VLOOKUP($Z262,'oddspedia-matches'!$A:$AD,AO$2,0)</f>
        <v>Green</v>
      </c>
      <c r="AP262" t="str">
        <f>VLOOKUP($Z262,'oddspedia-matches'!$A:$AD,AP$2,0)</f>
        <v>Red</v>
      </c>
      <c r="AQ262" t="str">
        <f>VLOOKUP($Z262,'oddspedia-matches'!$A:$AD,AQ$2,0)</f>
        <v>Green</v>
      </c>
    </row>
    <row r="263" spans="2:43" x14ac:dyDescent="0.2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tr">
        <f>VLOOKUP(E263,'Transform table'!A:B,2,0)</f>
        <v>Inter Miami II</v>
      </c>
      <c r="Y263" t="str">
        <f>VLOOKUP(F263,'Transform table'!A:B,2,0)</f>
        <v>Toronto FC II</v>
      </c>
      <c r="Z263" t="str">
        <f t="shared" si="4"/>
        <v>25/07/2026Inter Miami IIToronto FC II</v>
      </c>
      <c r="AA263" t="str">
        <f>VLOOKUP($Z263,'oddspedia-matches'!$A:$AD,AA$2,0)</f>
        <v>2 - 1</v>
      </c>
      <c r="AB263" t="str">
        <f>VLOOKUP($Z263,'oddspedia-matches'!$A:$AD,AB$2,0)</f>
        <v>Green</v>
      </c>
      <c r="AC263" t="str">
        <f>VLOOKUP($Z263,'oddspedia-matches'!$A:$AD,AC$2,0)</f>
        <v>Red</v>
      </c>
      <c r="AD263" t="str">
        <f>VLOOKUP($Z263,'oddspedia-matches'!$A:$AD,AD$2,0)</f>
        <v>Red</v>
      </c>
      <c r="AE263" t="str">
        <f>VLOOKUP($Z263,'oddspedia-matches'!$A:$AD,AE$2,0)</f>
        <v>Green</v>
      </c>
      <c r="AF263" t="str">
        <f>VLOOKUP($Z263,'oddspedia-matches'!$A:$AD,AF$2,0)</f>
        <v>Red</v>
      </c>
      <c r="AG263" t="str">
        <f>VLOOKUP($Z263,'oddspedia-matches'!$A:$AD,AG$2,0)</f>
        <v>Green</v>
      </c>
      <c r="AH263" t="str">
        <f>VLOOKUP($Z263,'oddspedia-matches'!$A:$AD,AH$2,0)</f>
        <v>Red</v>
      </c>
      <c r="AI263" t="str">
        <f>VLOOKUP($Z263,'oddspedia-matches'!$A:$AD,AI$2,0)</f>
        <v>Green</v>
      </c>
      <c r="AJ263" t="str">
        <f>VLOOKUP($Z263,'oddspedia-matches'!$A:$AD,AJ$2,0)</f>
        <v>Red</v>
      </c>
      <c r="AK263" t="str">
        <f>VLOOKUP($Z263,'oddspedia-matches'!$A:$AD,AK$2,0)</f>
        <v>Green</v>
      </c>
      <c r="AL263" t="str">
        <f>VLOOKUP($Z263,'oddspedia-matches'!$A:$AD,AL$2,0)</f>
        <v>Green</v>
      </c>
      <c r="AM263" t="str">
        <f>VLOOKUP($Z263,'oddspedia-matches'!$A:$AD,AM$2,0)</f>
        <v>Green</v>
      </c>
      <c r="AN263" t="str">
        <f>VLOOKUP($Z263,'oddspedia-matches'!$A:$AD,AN$2,0)</f>
        <v>Red</v>
      </c>
      <c r="AO263" t="str">
        <f>VLOOKUP($Z263,'oddspedia-matches'!$A:$AD,AO$2,0)</f>
        <v>Green</v>
      </c>
      <c r="AP263" t="str">
        <f>VLOOKUP($Z263,'oddspedia-matches'!$A:$AD,AP$2,0)</f>
        <v>Green</v>
      </c>
      <c r="AQ263" t="str">
        <f>VLOOKUP($Z263,'oddspedia-matches'!$A:$AD,AQ$2,0)</f>
        <v>Red</v>
      </c>
    </row>
    <row r="264" spans="2:43" x14ac:dyDescent="0.2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tr">
        <f>VLOOKUP(E264,'Transform table'!A:B,2,0)</f>
        <v>Danubio</v>
      </c>
      <c r="Y264" t="str">
        <f>VLOOKUP(F264,'Transform table'!A:B,2,0)</f>
        <v>CA Juventud</v>
      </c>
      <c r="Z264" t="str">
        <f t="shared" si="4"/>
        <v>25/07/2026DanubioCA Juventud</v>
      </c>
      <c r="AA264" t="e">
        <f>VLOOKUP($Z264,'oddspedia-matches'!$A:$AD,AA$2,0)</f>
        <v>#N/A</v>
      </c>
      <c r="AB264" t="e">
        <f>VLOOKUP($Z264,'oddspedia-matches'!$A:$AD,AB$2,0)</f>
        <v>#N/A</v>
      </c>
      <c r="AC264" t="e">
        <f>VLOOKUP($Z264,'oddspedia-matches'!$A:$AD,AC$2,0)</f>
        <v>#N/A</v>
      </c>
      <c r="AD264" t="e">
        <f>VLOOKUP($Z264,'oddspedia-matches'!$A:$AD,AD$2,0)</f>
        <v>#N/A</v>
      </c>
      <c r="AE264" t="e">
        <f>VLOOKUP($Z264,'oddspedia-matches'!$A:$AD,AE$2,0)</f>
        <v>#N/A</v>
      </c>
      <c r="AF264" t="e">
        <f>VLOOKUP($Z264,'oddspedia-matches'!$A:$AD,AF$2,0)</f>
        <v>#N/A</v>
      </c>
      <c r="AG264" t="e">
        <f>VLOOKUP($Z264,'oddspedia-matches'!$A:$AD,AG$2,0)</f>
        <v>#N/A</v>
      </c>
      <c r="AH264" t="e">
        <f>VLOOKUP($Z264,'oddspedia-matches'!$A:$AD,AH$2,0)</f>
        <v>#N/A</v>
      </c>
      <c r="AI264" t="e">
        <f>VLOOKUP($Z264,'oddspedia-matches'!$A:$AD,AI$2,0)</f>
        <v>#N/A</v>
      </c>
      <c r="AJ264" t="e">
        <f>VLOOKUP($Z264,'oddspedia-matches'!$A:$AD,AJ$2,0)</f>
        <v>#N/A</v>
      </c>
      <c r="AK264" t="e">
        <f>VLOOKUP($Z264,'oddspedia-matches'!$A:$AD,AK$2,0)</f>
        <v>#N/A</v>
      </c>
      <c r="AL264" t="e">
        <f>VLOOKUP($Z264,'oddspedia-matches'!$A:$AD,AL$2,0)</f>
        <v>#N/A</v>
      </c>
      <c r="AM264" t="e">
        <f>VLOOKUP($Z264,'oddspedia-matches'!$A:$AD,AM$2,0)</f>
        <v>#N/A</v>
      </c>
      <c r="AN264" t="e">
        <f>VLOOKUP($Z264,'oddspedia-matches'!$A:$AD,AN$2,0)</f>
        <v>#N/A</v>
      </c>
      <c r="AO264" t="e">
        <f>VLOOKUP($Z264,'oddspedia-matches'!$A:$AD,AO$2,0)</f>
        <v>#N/A</v>
      </c>
      <c r="AP264" t="e">
        <f>VLOOKUP($Z264,'oddspedia-matches'!$A:$AD,AP$2,0)</f>
        <v>#N/A</v>
      </c>
      <c r="AQ264" t="e">
        <f>VLOOKUP($Z264,'oddspedia-matches'!$A:$AD,AQ$2,0)</f>
        <v>#N/A</v>
      </c>
    </row>
    <row r="265" spans="2:43" x14ac:dyDescent="0.2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tr">
        <f>VLOOKUP(E265,'Transform table'!A:B,2,0)</f>
        <v>Independiente Medellin</v>
      </c>
      <c r="Y265" t="str">
        <f>VLOOKUP(F265,'Transform table'!A:B,2,0)</f>
        <v>Deportivo Pasto</v>
      </c>
      <c r="Z265" t="str">
        <f t="shared" si="4"/>
        <v>25/07/2026Independiente MedellinDeportivo Pasto</v>
      </c>
      <c r="AA265" t="str">
        <f>VLOOKUP($Z265,'oddspedia-matches'!$A:$AD,AA$2,0)</f>
        <v>3 - 2</v>
      </c>
      <c r="AB265" t="str">
        <f>VLOOKUP($Z265,'oddspedia-matches'!$A:$AD,AB$2,0)</f>
        <v>Green</v>
      </c>
      <c r="AC265" t="str">
        <f>VLOOKUP($Z265,'oddspedia-matches'!$A:$AD,AC$2,0)</f>
        <v>Red</v>
      </c>
      <c r="AD265" t="str">
        <f>VLOOKUP($Z265,'oddspedia-matches'!$A:$AD,AD$2,0)</f>
        <v>Red</v>
      </c>
      <c r="AE265" t="str">
        <f>VLOOKUP($Z265,'oddspedia-matches'!$A:$AD,AE$2,0)</f>
        <v>Green</v>
      </c>
      <c r="AF265" t="str">
        <f>VLOOKUP($Z265,'oddspedia-matches'!$A:$AD,AF$2,0)</f>
        <v>Red</v>
      </c>
      <c r="AG265" t="str">
        <f>VLOOKUP($Z265,'oddspedia-matches'!$A:$AD,AG$2,0)</f>
        <v>Green</v>
      </c>
      <c r="AH265" t="str">
        <f>VLOOKUP($Z265,'oddspedia-matches'!$A:$AD,AH$2,0)</f>
        <v>Red</v>
      </c>
      <c r="AI265" t="str">
        <f>VLOOKUP($Z265,'oddspedia-matches'!$A:$AD,AI$2,0)</f>
        <v>Green</v>
      </c>
      <c r="AJ265" t="str">
        <f>VLOOKUP($Z265,'oddspedia-matches'!$A:$AD,AJ$2,0)</f>
        <v>Red</v>
      </c>
      <c r="AK265" t="str">
        <f>VLOOKUP($Z265,'oddspedia-matches'!$A:$AD,AK$2,0)</f>
        <v>Green</v>
      </c>
      <c r="AL265" t="str">
        <f>VLOOKUP($Z265,'oddspedia-matches'!$A:$AD,AL$2,0)</f>
        <v>Green</v>
      </c>
      <c r="AM265" t="str">
        <f>VLOOKUP($Z265,'oddspedia-matches'!$A:$AD,AM$2,0)</f>
        <v>Green</v>
      </c>
      <c r="AN265" t="str">
        <f>VLOOKUP($Z265,'oddspedia-matches'!$A:$AD,AN$2,0)</f>
        <v>Red</v>
      </c>
      <c r="AO265" t="str">
        <f>VLOOKUP($Z265,'oddspedia-matches'!$A:$AD,AO$2,0)</f>
        <v>Red</v>
      </c>
      <c r="AP265" t="str">
        <f>VLOOKUP($Z265,'oddspedia-matches'!$A:$AD,AP$2,0)</f>
        <v>Green</v>
      </c>
      <c r="AQ265" t="str">
        <f>VLOOKUP($Z265,'oddspedia-matches'!$A:$AD,AQ$2,0)</f>
        <v>Red</v>
      </c>
    </row>
    <row r="266" spans="2:43" x14ac:dyDescent="0.2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>
        <f>VLOOKUP(E266,'Transform table'!A:B,2,0)</f>
        <v>0</v>
      </c>
      <c r="Y266" t="str">
        <f>VLOOKUP(F266,'Transform table'!A:B,2,0)</f>
        <v>Real Oruro</v>
      </c>
      <c r="Z266" t="str">
        <f t="shared" si="4"/>
        <v>25/07/20260Real Oruro</v>
      </c>
      <c r="AA266" t="e">
        <f>VLOOKUP($Z266,'oddspedia-matches'!$A:$AD,AA$2,0)</f>
        <v>#N/A</v>
      </c>
      <c r="AB266" t="e">
        <f>VLOOKUP($Z266,'oddspedia-matches'!$A:$AD,AB$2,0)</f>
        <v>#N/A</v>
      </c>
      <c r="AC266" t="e">
        <f>VLOOKUP($Z266,'oddspedia-matches'!$A:$AD,AC$2,0)</f>
        <v>#N/A</v>
      </c>
      <c r="AD266" t="e">
        <f>VLOOKUP($Z266,'oddspedia-matches'!$A:$AD,AD$2,0)</f>
        <v>#N/A</v>
      </c>
      <c r="AE266" t="e">
        <f>VLOOKUP($Z266,'oddspedia-matches'!$A:$AD,AE$2,0)</f>
        <v>#N/A</v>
      </c>
      <c r="AF266" t="e">
        <f>VLOOKUP($Z266,'oddspedia-matches'!$A:$AD,AF$2,0)</f>
        <v>#N/A</v>
      </c>
      <c r="AG266" t="e">
        <f>VLOOKUP($Z266,'oddspedia-matches'!$A:$AD,AG$2,0)</f>
        <v>#N/A</v>
      </c>
      <c r="AH266" t="e">
        <f>VLOOKUP($Z266,'oddspedia-matches'!$A:$AD,AH$2,0)</f>
        <v>#N/A</v>
      </c>
      <c r="AI266" t="e">
        <f>VLOOKUP($Z266,'oddspedia-matches'!$A:$AD,AI$2,0)</f>
        <v>#N/A</v>
      </c>
      <c r="AJ266" t="e">
        <f>VLOOKUP($Z266,'oddspedia-matches'!$A:$AD,AJ$2,0)</f>
        <v>#N/A</v>
      </c>
      <c r="AK266" t="e">
        <f>VLOOKUP($Z266,'oddspedia-matches'!$A:$AD,AK$2,0)</f>
        <v>#N/A</v>
      </c>
      <c r="AL266" t="e">
        <f>VLOOKUP($Z266,'oddspedia-matches'!$A:$AD,AL$2,0)</f>
        <v>#N/A</v>
      </c>
      <c r="AM266" t="e">
        <f>VLOOKUP($Z266,'oddspedia-matches'!$A:$AD,AM$2,0)</f>
        <v>#N/A</v>
      </c>
      <c r="AN266" t="e">
        <f>VLOOKUP($Z266,'oddspedia-matches'!$A:$AD,AN$2,0)</f>
        <v>#N/A</v>
      </c>
      <c r="AO266" t="e">
        <f>VLOOKUP($Z266,'oddspedia-matches'!$A:$AD,AO$2,0)</f>
        <v>#N/A</v>
      </c>
      <c r="AP266" t="e">
        <f>VLOOKUP($Z266,'oddspedia-matches'!$A:$AD,AP$2,0)</f>
        <v>#N/A</v>
      </c>
      <c r="AQ266" t="e">
        <f>VLOOKUP($Z266,'oddspedia-matches'!$A:$AD,AQ$2,0)</f>
        <v>#N/A</v>
      </c>
    </row>
    <row r="267" spans="2:43" x14ac:dyDescent="0.2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tr">
        <f>VLOOKUP(E267,'Transform table'!A:B,2,0)</f>
        <v>Athletico Paranaense</v>
      </c>
      <c r="Y267" t="str">
        <f>VLOOKUP(F267,'Transform table'!A:B,2,0)</f>
        <v>Internacional</v>
      </c>
      <c r="Z267" t="str">
        <f t="shared" si="4"/>
        <v>25/07/2026Athletico ParanaenseInternacional</v>
      </c>
      <c r="AA267" t="str">
        <f>VLOOKUP($Z267,'oddspedia-matches'!$A:$AD,AA$2,0)</f>
        <v>2 - 0</v>
      </c>
      <c r="AB267" t="str">
        <f>VLOOKUP($Z267,'oddspedia-matches'!$A:$AD,AB$2,0)</f>
        <v>Green</v>
      </c>
      <c r="AC267" t="str">
        <f>VLOOKUP($Z267,'oddspedia-matches'!$A:$AD,AC$2,0)</f>
        <v>Red</v>
      </c>
      <c r="AD267" t="str">
        <f>VLOOKUP($Z267,'oddspedia-matches'!$A:$AD,AD$2,0)</f>
        <v>Red</v>
      </c>
      <c r="AE267" t="str">
        <f>VLOOKUP($Z267,'oddspedia-matches'!$A:$AD,AE$2,0)</f>
        <v>Green</v>
      </c>
      <c r="AF267" t="str">
        <f>VLOOKUP($Z267,'oddspedia-matches'!$A:$AD,AF$2,0)</f>
        <v>Red</v>
      </c>
      <c r="AG267" t="str">
        <f>VLOOKUP($Z267,'oddspedia-matches'!$A:$AD,AG$2,0)</f>
        <v>Green</v>
      </c>
      <c r="AH267" t="str">
        <f>VLOOKUP($Z267,'oddspedia-matches'!$A:$AD,AH$2,0)</f>
        <v>Green</v>
      </c>
      <c r="AI267" t="str">
        <f>VLOOKUP($Z267,'oddspedia-matches'!$A:$AD,AI$2,0)</f>
        <v>Red</v>
      </c>
      <c r="AJ267" t="str">
        <f>VLOOKUP($Z267,'oddspedia-matches'!$A:$AD,AJ$2,0)</f>
        <v>Red</v>
      </c>
      <c r="AK267" t="str">
        <f>VLOOKUP($Z267,'oddspedia-matches'!$A:$AD,AK$2,0)</f>
        <v>Green</v>
      </c>
      <c r="AL267" t="str">
        <f>VLOOKUP($Z267,'oddspedia-matches'!$A:$AD,AL$2,0)</f>
        <v>Green</v>
      </c>
      <c r="AM267" t="str">
        <f>VLOOKUP($Z267,'oddspedia-matches'!$A:$AD,AM$2,0)</f>
        <v>Red</v>
      </c>
      <c r="AN267" t="str">
        <f>VLOOKUP($Z267,'oddspedia-matches'!$A:$AD,AN$2,0)</f>
        <v>Green</v>
      </c>
      <c r="AO267" t="str">
        <f>VLOOKUP($Z267,'oddspedia-matches'!$A:$AD,AO$2,0)</f>
        <v>Green</v>
      </c>
      <c r="AP267" t="str">
        <f>VLOOKUP($Z267,'oddspedia-matches'!$A:$AD,AP$2,0)</f>
        <v>Red</v>
      </c>
      <c r="AQ267" t="str">
        <f>VLOOKUP($Z267,'oddspedia-matches'!$A:$AD,AQ$2,0)</f>
        <v>Green</v>
      </c>
    </row>
    <row r="268" spans="2:43" x14ac:dyDescent="0.2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tr">
        <f>VLOOKUP(E268,'Transform table'!A:B,2,0)</f>
        <v>Santos</v>
      </c>
      <c r="Y268" t="str">
        <f>VLOOKUP(F268,'Transform table'!A:B,2,0)</f>
        <v>Chapecoense</v>
      </c>
      <c r="Z268" t="str">
        <f t="shared" si="4"/>
        <v>25/07/2026SantosChapecoense</v>
      </c>
      <c r="AA268" t="str">
        <f>VLOOKUP($Z268,'oddspedia-matches'!$A:$AD,AA$2,0)</f>
        <v>2 - 2</v>
      </c>
      <c r="AB268" t="str">
        <f>VLOOKUP($Z268,'oddspedia-matches'!$A:$AD,AB$2,0)</f>
        <v>Red</v>
      </c>
      <c r="AC268" t="str">
        <f>VLOOKUP($Z268,'oddspedia-matches'!$A:$AD,AC$2,0)</f>
        <v>Green</v>
      </c>
      <c r="AD268" t="str">
        <f>VLOOKUP($Z268,'oddspedia-matches'!$A:$AD,AD$2,0)</f>
        <v>Red</v>
      </c>
      <c r="AE268" t="str">
        <f>VLOOKUP($Z268,'oddspedia-matches'!$A:$AD,AE$2,0)</f>
        <v>Green</v>
      </c>
      <c r="AF268" t="str">
        <f>VLOOKUP($Z268,'oddspedia-matches'!$A:$AD,AF$2,0)</f>
        <v>Green</v>
      </c>
      <c r="AG268" t="str">
        <f>VLOOKUP($Z268,'oddspedia-matches'!$A:$AD,AG$2,0)</f>
        <v>Red</v>
      </c>
      <c r="AH268" t="str">
        <f>VLOOKUP($Z268,'oddspedia-matches'!$A:$AD,AH$2,0)</f>
        <v>Green</v>
      </c>
      <c r="AI268" t="str">
        <f>VLOOKUP($Z268,'oddspedia-matches'!$A:$AD,AI$2,0)</f>
        <v>Red</v>
      </c>
      <c r="AJ268" t="str">
        <f>VLOOKUP($Z268,'oddspedia-matches'!$A:$AD,AJ$2,0)</f>
        <v>Red</v>
      </c>
      <c r="AK268" t="str">
        <f>VLOOKUP($Z268,'oddspedia-matches'!$A:$AD,AK$2,0)</f>
        <v>Green</v>
      </c>
      <c r="AL268" t="str">
        <f>VLOOKUP($Z268,'oddspedia-matches'!$A:$AD,AL$2,0)</f>
        <v>Green</v>
      </c>
      <c r="AM268" t="str">
        <f>VLOOKUP($Z268,'oddspedia-matches'!$A:$AD,AM$2,0)</f>
        <v>Green</v>
      </c>
      <c r="AN268" t="str">
        <f>VLOOKUP($Z268,'oddspedia-matches'!$A:$AD,AN$2,0)</f>
        <v>Red</v>
      </c>
      <c r="AO268" t="str">
        <f>VLOOKUP($Z268,'oddspedia-matches'!$A:$AD,AO$2,0)</f>
        <v>Red</v>
      </c>
      <c r="AP268" t="str">
        <f>VLOOKUP($Z268,'oddspedia-matches'!$A:$AD,AP$2,0)</f>
        <v>Green</v>
      </c>
      <c r="AQ268" t="str">
        <f>VLOOKUP($Z268,'oddspedia-matches'!$A:$AD,AQ$2,0)</f>
        <v>Red</v>
      </c>
    </row>
    <row r="269" spans="2:43" x14ac:dyDescent="0.2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>
        <f>VLOOKUP(E269,'Transform table'!A:B,2,0)</f>
        <v>0</v>
      </c>
      <c r="Y269" t="str">
        <f>VLOOKUP(F269,'Transform table'!A:B,2,0)</f>
        <v>Itabaiana SE</v>
      </c>
      <c r="Z269" t="str">
        <f t="shared" si="4"/>
        <v>25/07/20260Itabaiana SE</v>
      </c>
      <c r="AA269" t="e">
        <f>VLOOKUP($Z269,'oddspedia-matches'!$A:$AD,AA$2,0)</f>
        <v>#N/A</v>
      </c>
      <c r="AB269" t="e">
        <f>VLOOKUP($Z269,'oddspedia-matches'!$A:$AD,AB$2,0)</f>
        <v>#N/A</v>
      </c>
      <c r="AC269" t="e">
        <f>VLOOKUP($Z269,'oddspedia-matches'!$A:$AD,AC$2,0)</f>
        <v>#N/A</v>
      </c>
      <c r="AD269" t="e">
        <f>VLOOKUP($Z269,'oddspedia-matches'!$A:$AD,AD$2,0)</f>
        <v>#N/A</v>
      </c>
      <c r="AE269" t="e">
        <f>VLOOKUP($Z269,'oddspedia-matches'!$A:$AD,AE$2,0)</f>
        <v>#N/A</v>
      </c>
      <c r="AF269" t="e">
        <f>VLOOKUP($Z269,'oddspedia-matches'!$A:$AD,AF$2,0)</f>
        <v>#N/A</v>
      </c>
      <c r="AG269" t="e">
        <f>VLOOKUP($Z269,'oddspedia-matches'!$A:$AD,AG$2,0)</f>
        <v>#N/A</v>
      </c>
      <c r="AH269" t="e">
        <f>VLOOKUP($Z269,'oddspedia-matches'!$A:$AD,AH$2,0)</f>
        <v>#N/A</v>
      </c>
      <c r="AI269" t="e">
        <f>VLOOKUP($Z269,'oddspedia-matches'!$A:$AD,AI$2,0)</f>
        <v>#N/A</v>
      </c>
      <c r="AJ269" t="e">
        <f>VLOOKUP($Z269,'oddspedia-matches'!$A:$AD,AJ$2,0)</f>
        <v>#N/A</v>
      </c>
      <c r="AK269" t="e">
        <f>VLOOKUP($Z269,'oddspedia-matches'!$A:$AD,AK$2,0)</f>
        <v>#N/A</v>
      </c>
      <c r="AL269" t="e">
        <f>VLOOKUP($Z269,'oddspedia-matches'!$A:$AD,AL$2,0)</f>
        <v>#N/A</v>
      </c>
      <c r="AM269" t="e">
        <f>VLOOKUP($Z269,'oddspedia-matches'!$A:$AD,AM$2,0)</f>
        <v>#N/A</v>
      </c>
      <c r="AN269" t="e">
        <f>VLOOKUP($Z269,'oddspedia-matches'!$A:$AD,AN$2,0)</f>
        <v>#N/A</v>
      </c>
      <c r="AO269" t="e">
        <f>VLOOKUP($Z269,'oddspedia-matches'!$A:$AD,AO$2,0)</f>
        <v>#N/A</v>
      </c>
      <c r="AP269" t="e">
        <f>VLOOKUP($Z269,'oddspedia-matches'!$A:$AD,AP$2,0)</f>
        <v>#N/A</v>
      </c>
      <c r="AQ269" t="e">
        <f>VLOOKUP($Z269,'oddspedia-matches'!$A:$AD,AQ$2,0)</f>
        <v>#N/A</v>
      </c>
    </row>
    <row r="270" spans="2:43" x14ac:dyDescent="0.2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tr">
        <f>VLOOKUP(E270,'Transform table'!A:B,2,0)</f>
        <v>Hapoel Petah Tikva</v>
      </c>
      <c r="Y270" t="str">
        <f>VLOOKUP(F270,'Transform table'!A:B,2,0)</f>
        <v>Cobresal</v>
      </c>
      <c r="Z270" t="str">
        <f t="shared" si="4"/>
        <v>25/07/2026Hapoel Petah TikvaCobresal</v>
      </c>
      <c r="AA270" t="e">
        <f>VLOOKUP($Z270,'oddspedia-matches'!$A:$AD,AA$2,0)</f>
        <v>#N/A</v>
      </c>
      <c r="AB270" t="e">
        <f>VLOOKUP($Z270,'oddspedia-matches'!$A:$AD,AB$2,0)</f>
        <v>#N/A</v>
      </c>
      <c r="AC270" t="e">
        <f>VLOOKUP($Z270,'oddspedia-matches'!$A:$AD,AC$2,0)</f>
        <v>#N/A</v>
      </c>
      <c r="AD270" t="e">
        <f>VLOOKUP($Z270,'oddspedia-matches'!$A:$AD,AD$2,0)</f>
        <v>#N/A</v>
      </c>
      <c r="AE270" t="e">
        <f>VLOOKUP($Z270,'oddspedia-matches'!$A:$AD,AE$2,0)</f>
        <v>#N/A</v>
      </c>
      <c r="AF270" t="e">
        <f>VLOOKUP($Z270,'oddspedia-matches'!$A:$AD,AF$2,0)</f>
        <v>#N/A</v>
      </c>
      <c r="AG270" t="e">
        <f>VLOOKUP($Z270,'oddspedia-matches'!$A:$AD,AG$2,0)</f>
        <v>#N/A</v>
      </c>
      <c r="AH270" t="e">
        <f>VLOOKUP($Z270,'oddspedia-matches'!$A:$AD,AH$2,0)</f>
        <v>#N/A</v>
      </c>
      <c r="AI270" t="e">
        <f>VLOOKUP($Z270,'oddspedia-matches'!$A:$AD,AI$2,0)</f>
        <v>#N/A</v>
      </c>
      <c r="AJ270" t="e">
        <f>VLOOKUP($Z270,'oddspedia-matches'!$A:$AD,AJ$2,0)</f>
        <v>#N/A</v>
      </c>
      <c r="AK270" t="e">
        <f>VLOOKUP($Z270,'oddspedia-matches'!$A:$AD,AK$2,0)</f>
        <v>#N/A</v>
      </c>
      <c r="AL270" t="e">
        <f>VLOOKUP($Z270,'oddspedia-matches'!$A:$AD,AL$2,0)</f>
        <v>#N/A</v>
      </c>
      <c r="AM270" t="e">
        <f>VLOOKUP($Z270,'oddspedia-matches'!$A:$AD,AM$2,0)</f>
        <v>#N/A</v>
      </c>
      <c r="AN270" t="e">
        <f>VLOOKUP($Z270,'oddspedia-matches'!$A:$AD,AN$2,0)</f>
        <v>#N/A</v>
      </c>
      <c r="AO270" t="e">
        <f>VLOOKUP($Z270,'oddspedia-matches'!$A:$AD,AO$2,0)</f>
        <v>#N/A</v>
      </c>
      <c r="AP270" t="e">
        <f>VLOOKUP($Z270,'oddspedia-matches'!$A:$AD,AP$2,0)</f>
        <v>#N/A</v>
      </c>
      <c r="AQ270" t="e">
        <f>VLOOKUP($Z270,'oddspedia-matches'!$A:$AD,AQ$2,0)</f>
        <v>#N/A</v>
      </c>
    </row>
    <row r="271" spans="2:43" x14ac:dyDescent="0.2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tr">
        <f>VLOOKUP(E271,'Transform table'!A:B,2,0)</f>
        <v>Club Bolivar</v>
      </c>
      <c r="Y271" t="str">
        <f>VLOOKUP(F271,'Transform table'!A:B,2,0)</f>
        <v>Deportes Santa Cruz</v>
      </c>
      <c r="Z271" t="str">
        <f t="shared" si="4"/>
        <v>25/07/2026Club BolivarDeportes Santa Cruz</v>
      </c>
      <c r="AA271" t="e">
        <f>VLOOKUP($Z271,'oddspedia-matches'!$A:$AD,AA$2,0)</f>
        <v>#N/A</v>
      </c>
      <c r="AB271" t="e">
        <f>VLOOKUP($Z271,'oddspedia-matches'!$A:$AD,AB$2,0)</f>
        <v>#N/A</v>
      </c>
      <c r="AC271" t="e">
        <f>VLOOKUP($Z271,'oddspedia-matches'!$A:$AD,AC$2,0)</f>
        <v>#N/A</v>
      </c>
      <c r="AD271" t="e">
        <f>VLOOKUP($Z271,'oddspedia-matches'!$A:$AD,AD$2,0)</f>
        <v>#N/A</v>
      </c>
      <c r="AE271" t="e">
        <f>VLOOKUP($Z271,'oddspedia-matches'!$A:$AD,AE$2,0)</f>
        <v>#N/A</v>
      </c>
      <c r="AF271" t="e">
        <f>VLOOKUP($Z271,'oddspedia-matches'!$A:$AD,AF$2,0)</f>
        <v>#N/A</v>
      </c>
      <c r="AG271" t="e">
        <f>VLOOKUP($Z271,'oddspedia-matches'!$A:$AD,AG$2,0)</f>
        <v>#N/A</v>
      </c>
      <c r="AH271" t="e">
        <f>VLOOKUP($Z271,'oddspedia-matches'!$A:$AD,AH$2,0)</f>
        <v>#N/A</v>
      </c>
      <c r="AI271" t="e">
        <f>VLOOKUP($Z271,'oddspedia-matches'!$A:$AD,AI$2,0)</f>
        <v>#N/A</v>
      </c>
      <c r="AJ271" t="e">
        <f>VLOOKUP($Z271,'oddspedia-matches'!$A:$AD,AJ$2,0)</f>
        <v>#N/A</v>
      </c>
      <c r="AK271" t="e">
        <f>VLOOKUP($Z271,'oddspedia-matches'!$A:$AD,AK$2,0)</f>
        <v>#N/A</v>
      </c>
      <c r="AL271" t="e">
        <f>VLOOKUP($Z271,'oddspedia-matches'!$A:$AD,AL$2,0)</f>
        <v>#N/A</v>
      </c>
      <c r="AM271" t="e">
        <f>VLOOKUP($Z271,'oddspedia-matches'!$A:$AD,AM$2,0)</f>
        <v>#N/A</v>
      </c>
      <c r="AN271" t="e">
        <f>VLOOKUP($Z271,'oddspedia-matches'!$A:$AD,AN$2,0)</f>
        <v>#N/A</v>
      </c>
      <c r="AO271" t="e">
        <f>VLOOKUP($Z271,'oddspedia-matches'!$A:$AD,AO$2,0)</f>
        <v>#N/A</v>
      </c>
      <c r="AP271" t="e">
        <f>VLOOKUP($Z271,'oddspedia-matches'!$A:$AD,AP$2,0)</f>
        <v>#N/A</v>
      </c>
      <c r="AQ271" t="e">
        <f>VLOOKUP($Z271,'oddspedia-matches'!$A:$AD,AQ$2,0)</f>
        <v>#N/A</v>
      </c>
    </row>
    <row r="272" spans="2:43" x14ac:dyDescent="0.2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tr">
        <f>VLOOKUP(E272,'Transform table'!A:B,2,0)</f>
        <v>Sportivo Iteno</v>
      </c>
      <c r="Y272" t="str">
        <f>VLOOKUP(F272,'Transform table'!A:B,2,0)</f>
        <v>Nacional De Football</v>
      </c>
      <c r="Z272" t="str">
        <f t="shared" si="4"/>
        <v>25/07/2026Sportivo ItenoNacional De Football</v>
      </c>
      <c r="AA272" t="e">
        <f>VLOOKUP($Z272,'oddspedia-matches'!$A:$AD,AA$2,0)</f>
        <v>#N/A</v>
      </c>
      <c r="AB272" t="e">
        <f>VLOOKUP($Z272,'oddspedia-matches'!$A:$AD,AB$2,0)</f>
        <v>#N/A</v>
      </c>
      <c r="AC272" t="e">
        <f>VLOOKUP($Z272,'oddspedia-matches'!$A:$AD,AC$2,0)</f>
        <v>#N/A</v>
      </c>
      <c r="AD272" t="e">
        <f>VLOOKUP($Z272,'oddspedia-matches'!$A:$AD,AD$2,0)</f>
        <v>#N/A</v>
      </c>
      <c r="AE272" t="e">
        <f>VLOOKUP($Z272,'oddspedia-matches'!$A:$AD,AE$2,0)</f>
        <v>#N/A</v>
      </c>
      <c r="AF272" t="e">
        <f>VLOOKUP($Z272,'oddspedia-matches'!$A:$AD,AF$2,0)</f>
        <v>#N/A</v>
      </c>
      <c r="AG272" t="e">
        <f>VLOOKUP($Z272,'oddspedia-matches'!$A:$AD,AG$2,0)</f>
        <v>#N/A</v>
      </c>
      <c r="AH272" t="e">
        <f>VLOOKUP($Z272,'oddspedia-matches'!$A:$AD,AH$2,0)</f>
        <v>#N/A</v>
      </c>
      <c r="AI272" t="e">
        <f>VLOOKUP($Z272,'oddspedia-matches'!$A:$AD,AI$2,0)</f>
        <v>#N/A</v>
      </c>
      <c r="AJ272" t="e">
        <f>VLOOKUP($Z272,'oddspedia-matches'!$A:$AD,AJ$2,0)</f>
        <v>#N/A</v>
      </c>
      <c r="AK272" t="e">
        <f>VLOOKUP($Z272,'oddspedia-matches'!$A:$AD,AK$2,0)</f>
        <v>#N/A</v>
      </c>
      <c r="AL272" t="e">
        <f>VLOOKUP($Z272,'oddspedia-matches'!$A:$AD,AL$2,0)</f>
        <v>#N/A</v>
      </c>
      <c r="AM272" t="e">
        <f>VLOOKUP($Z272,'oddspedia-matches'!$A:$AD,AM$2,0)</f>
        <v>#N/A</v>
      </c>
      <c r="AN272" t="e">
        <f>VLOOKUP($Z272,'oddspedia-matches'!$A:$AD,AN$2,0)</f>
        <v>#N/A</v>
      </c>
      <c r="AO272" t="e">
        <f>VLOOKUP($Z272,'oddspedia-matches'!$A:$AD,AO$2,0)</f>
        <v>#N/A</v>
      </c>
      <c r="AP272" t="e">
        <f>VLOOKUP($Z272,'oddspedia-matches'!$A:$AD,AP$2,0)</f>
        <v>#N/A</v>
      </c>
      <c r="AQ272" t="e">
        <f>VLOOKUP($Z272,'oddspedia-matches'!$A:$AD,AQ$2,0)</f>
        <v>#N/A</v>
      </c>
    </row>
    <row r="273" spans="2:43" x14ac:dyDescent="0.2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tr">
        <f>VLOOKUP(E273,'Transform table'!A:B,2,0)</f>
        <v>San Martin de Tucuman</v>
      </c>
      <c r="Y273" t="str">
        <f>VLOOKUP(F273,'Transform table'!A:B,2,0)</f>
        <v>CA Temperley</v>
      </c>
      <c r="Z273" t="str">
        <f t="shared" si="4"/>
        <v>25/07/2026San Martin de TucumanCA Temperley</v>
      </c>
      <c r="AA273" t="str">
        <f>VLOOKUP($Z273,'oddspedia-matches'!$A:$AD,AA$2,0)</f>
        <v>1 - 2</v>
      </c>
      <c r="AB273" t="str">
        <f>VLOOKUP($Z273,'oddspedia-matches'!$A:$AD,AB$2,0)</f>
        <v>Red</v>
      </c>
      <c r="AC273" t="str">
        <f>VLOOKUP($Z273,'oddspedia-matches'!$A:$AD,AC$2,0)</f>
        <v>Red</v>
      </c>
      <c r="AD273" t="str">
        <f>VLOOKUP($Z273,'oddspedia-matches'!$A:$AD,AD$2,0)</f>
        <v>Green</v>
      </c>
      <c r="AE273" t="str">
        <f>VLOOKUP($Z273,'oddspedia-matches'!$A:$AD,AE$2,0)</f>
        <v>Red</v>
      </c>
      <c r="AF273" t="str">
        <f>VLOOKUP($Z273,'oddspedia-matches'!$A:$AD,AF$2,0)</f>
        <v>Green</v>
      </c>
      <c r="AG273" t="str">
        <f>VLOOKUP($Z273,'oddspedia-matches'!$A:$AD,AG$2,0)</f>
        <v>Green</v>
      </c>
      <c r="AH273" t="str">
        <f>VLOOKUP($Z273,'oddspedia-matches'!$A:$AD,AH$2,0)</f>
        <v>Red</v>
      </c>
      <c r="AI273" t="str">
        <f>VLOOKUP($Z273,'oddspedia-matches'!$A:$AD,AI$2,0)</f>
        <v>Red</v>
      </c>
      <c r="AJ273" t="str">
        <f>VLOOKUP($Z273,'oddspedia-matches'!$A:$AD,AJ$2,0)</f>
        <v>Green</v>
      </c>
      <c r="AK273" t="str">
        <f>VLOOKUP($Z273,'oddspedia-matches'!$A:$AD,AK$2,0)</f>
        <v>Green</v>
      </c>
      <c r="AL273" t="str">
        <f>VLOOKUP($Z273,'oddspedia-matches'!$A:$AD,AL$2,0)</f>
        <v>Green</v>
      </c>
      <c r="AM273" t="str">
        <f>VLOOKUP($Z273,'oddspedia-matches'!$A:$AD,AM$2,0)</f>
        <v>Green</v>
      </c>
      <c r="AN273" t="str">
        <f>VLOOKUP($Z273,'oddspedia-matches'!$A:$AD,AN$2,0)</f>
        <v>Red</v>
      </c>
      <c r="AO273" t="str">
        <f>VLOOKUP($Z273,'oddspedia-matches'!$A:$AD,AO$2,0)</f>
        <v>Green</v>
      </c>
      <c r="AP273" t="str">
        <f>VLOOKUP($Z273,'oddspedia-matches'!$A:$AD,AP$2,0)</f>
        <v>Green</v>
      </c>
      <c r="AQ273" t="str">
        <f>VLOOKUP($Z273,'oddspedia-matches'!$A:$AD,AQ$2,0)</f>
        <v>Red</v>
      </c>
    </row>
    <row r="274" spans="2:43" x14ac:dyDescent="0.2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tr">
        <f>VLOOKUP(E274,'Transform table'!A:B,2,0)</f>
        <v>Volta Redonda</v>
      </c>
      <c r="Y274" t="str">
        <f>VLOOKUP(F274,'Transform table'!A:B,2,0)</f>
        <v>Anapolis GO</v>
      </c>
      <c r="Z274" t="str">
        <f t="shared" si="4"/>
        <v>25/07/2026Volta RedondaAnapolis GO</v>
      </c>
      <c r="AA274" t="str">
        <f>VLOOKUP($Z274,'oddspedia-matches'!$A:$AD,AA$2,0)</f>
        <v>1 - 4</v>
      </c>
      <c r="AB274" t="str">
        <f>VLOOKUP($Z274,'oddspedia-matches'!$A:$AD,AB$2,0)</f>
        <v>Red</v>
      </c>
      <c r="AC274" t="str">
        <f>VLOOKUP($Z274,'oddspedia-matches'!$A:$AD,AC$2,0)</f>
        <v>Red</v>
      </c>
      <c r="AD274" t="str">
        <f>VLOOKUP($Z274,'oddspedia-matches'!$A:$AD,AD$2,0)</f>
        <v>Green</v>
      </c>
      <c r="AE274" t="str">
        <f>VLOOKUP($Z274,'oddspedia-matches'!$A:$AD,AE$2,0)</f>
        <v>Red</v>
      </c>
      <c r="AF274" t="str">
        <f>VLOOKUP($Z274,'oddspedia-matches'!$A:$AD,AF$2,0)</f>
        <v>Green</v>
      </c>
      <c r="AG274" t="str">
        <f>VLOOKUP($Z274,'oddspedia-matches'!$A:$AD,AG$2,0)</f>
        <v>Green</v>
      </c>
      <c r="AH274" t="str">
        <f>VLOOKUP($Z274,'oddspedia-matches'!$A:$AD,AH$2,0)</f>
        <v>Red</v>
      </c>
      <c r="AI274" t="str">
        <f>VLOOKUP($Z274,'oddspedia-matches'!$A:$AD,AI$2,0)</f>
        <v>Green</v>
      </c>
      <c r="AJ274" t="str">
        <f>VLOOKUP($Z274,'oddspedia-matches'!$A:$AD,AJ$2,0)</f>
        <v>Red</v>
      </c>
      <c r="AK274" t="str">
        <f>VLOOKUP($Z274,'oddspedia-matches'!$A:$AD,AK$2,0)</f>
        <v>Green</v>
      </c>
      <c r="AL274" t="str">
        <f>VLOOKUP($Z274,'oddspedia-matches'!$A:$AD,AL$2,0)</f>
        <v>Green</v>
      </c>
      <c r="AM274" t="str">
        <f>VLOOKUP($Z274,'oddspedia-matches'!$A:$AD,AM$2,0)</f>
        <v>Green</v>
      </c>
      <c r="AN274" t="str">
        <f>VLOOKUP($Z274,'oddspedia-matches'!$A:$AD,AN$2,0)</f>
        <v>Red</v>
      </c>
      <c r="AO274" t="str">
        <f>VLOOKUP($Z274,'oddspedia-matches'!$A:$AD,AO$2,0)</f>
        <v>Red</v>
      </c>
      <c r="AP274" t="str">
        <f>VLOOKUP($Z274,'oddspedia-matches'!$A:$AD,AP$2,0)</f>
        <v>Green</v>
      </c>
      <c r="AQ274" t="str">
        <f>VLOOKUP($Z274,'oddspedia-matches'!$A:$AD,AQ$2,0)</f>
        <v>Red</v>
      </c>
    </row>
    <row r="275" spans="2:43" x14ac:dyDescent="0.2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tr">
        <f>VLOOKUP(E275,'Transform table'!A:B,2,0)</f>
        <v>Rangers</v>
      </c>
      <c r="Y275" t="str">
        <f>VLOOKUP(F275,'Transform table'!A:B,2,0)</f>
        <v>Barracas Central</v>
      </c>
      <c r="Z275" t="str">
        <f t="shared" si="4"/>
        <v>25/07/2026RangersBarracas Central</v>
      </c>
      <c r="AA275" t="e">
        <f>VLOOKUP($Z275,'oddspedia-matches'!$A:$AD,AA$2,0)</f>
        <v>#N/A</v>
      </c>
      <c r="AB275" t="e">
        <f>VLOOKUP($Z275,'oddspedia-matches'!$A:$AD,AB$2,0)</f>
        <v>#N/A</v>
      </c>
      <c r="AC275" t="e">
        <f>VLOOKUP($Z275,'oddspedia-matches'!$A:$AD,AC$2,0)</f>
        <v>#N/A</v>
      </c>
      <c r="AD275" t="e">
        <f>VLOOKUP($Z275,'oddspedia-matches'!$A:$AD,AD$2,0)</f>
        <v>#N/A</v>
      </c>
      <c r="AE275" t="e">
        <f>VLOOKUP($Z275,'oddspedia-matches'!$A:$AD,AE$2,0)</f>
        <v>#N/A</v>
      </c>
      <c r="AF275" t="e">
        <f>VLOOKUP($Z275,'oddspedia-matches'!$A:$AD,AF$2,0)</f>
        <v>#N/A</v>
      </c>
      <c r="AG275" t="e">
        <f>VLOOKUP($Z275,'oddspedia-matches'!$A:$AD,AG$2,0)</f>
        <v>#N/A</v>
      </c>
      <c r="AH275" t="e">
        <f>VLOOKUP($Z275,'oddspedia-matches'!$A:$AD,AH$2,0)</f>
        <v>#N/A</v>
      </c>
      <c r="AI275" t="e">
        <f>VLOOKUP($Z275,'oddspedia-matches'!$A:$AD,AI$2,0)</f>
        <v>#N/A</v>
      </c>
      <c r="AJ275" t="e">
        <f>VLOOKUP($Z275,'oddspedia-matches'!$A:$AD,AJ$2,0)</f>
        <v>#N/A</v>
      </c>
      <c r="AK275" t="e">
        <f>VLOOKUP($Z275,'oddspedia-matches'!$A:$AD,AK$2,0)</f>
        <v>#N/A</v>
      </c>
      <c r="AL275" t="e">
        <f>VLOOKUP($Z275,'oddspedia-matches'!$A:$AD,AL$2,0)</f>
        <v>#N/A</v>
      </c>
      <c r="AM275" t="e">
        <f>VLOOKUP($Z275,'oddspedia-matches'!$A:$AD,AM$2,0)</f>
        <v>#N/A</v>
      </c>
      <c r="AN275" t="e">
        <f>VLOOKUP($Z275,'oddspedia-matches'!$A:$AD,AN$2,0)</f>
        <v>#N/A</v>
      </c>
      <c r="AO275" t="e">
        <f>VLOOKUP($Z275,'oddspedia-matches'!$A:$AD,AO$2,0)</f>
        <v>#N/A</v>
      </c>
      <c r="AP275" t="e">
        <f>VLOOKUP($Z275,'oddspedia-matches'!$A:$AD,AP$2,0)</f>
        <v>#N/A</v>
      </c>
      <c r="AQ275" t="e">
        <f>VLOOKUP($Z275,'oddspedia-matches'!$A:$AD,AQ$2,0)</f>
        <v>#N/A</v>
      </c>
    </row>
    <row r="276" spans="2:43" x14ac:dyDescent="0.2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tr">
        <f>VLOOKUP(E276,'Transform table'!A:B,2,0)</f>
        <v>New York Red Bulls</v>
      </c>
      <c r="Y276" t="str">
        <f>VLOOKUP(F276,'Transform table'!A:B,2,0)</f>
        <v>Charlotte FC</v>
      </c>
      <c r="Z276" t="str">
        <f t="shared" si="4"/>
        <v>25/07/2026New York Red BullsCharlotte FC</v>
      </c>
      <c r="AA276" t="str">
        <f>VLOOKUP($Z276,'oddspedia-matches'!$A:$AD,AA$2,0)</f>
        <v>0 - 2</v>
      </c>
      <c r="AB276" t="str">
        <f>VLOOKUP($Z276,'oddspedia-matches'!$A:$AD,AB$2,0)</f>
        <v>Red</v>
      </c>
      <c r="AC276" t="str">
        <f>VLOOKUP($Z276,'oddspedia-matches'!$A:$AD,AC$2,0)</f>
        <v>Red</v>
      </c>
      <c r="AD276" t="str">
        <f>VLOOKUP($Z276,'oddspedia-matches'!$A:$AD,AD$2,0)</f>
        <v>Green</v>
      </c>
      <c r="AE276" t="str">
        <f>VLOOKUP($Z276,'oddspedia-matches'!$A:$AD,AE$2,0)</f>
        <v>Red</v>
      </c>
      <c r="AF276" t="str">
        <f>VLOOKUP($Z276,'oddspedia-matches'!$A:$AD,AF$2,0)</f>
        <v>Green</v>
      </c>
      <c r="AG276" t="str">
        <f>VLOOKUP($Z276,'oddspedia-matches'!$A:$AD,AG$2,0)</f>
        <v>Green</v>
      </c>
      <c r="AH276" t="str">
        <f>VLOOKUP($Z276,'oddspedia-matches'!$A:$AD,AH$2,0)</f>
        <v>Red</v>
      </c>
      <c r="AI276" t="str">
        <f>VLOOKUP($Z276,'oddspedia-matches'!$A:$AD,AI$2,0)</f>
        <v>Red</v>
      </c>
      <c r="AJ276" t="str">
        <f>VLOOKUP($Z276,'oddspedia-matches'!$A:$AD,AJ$2,0)</f>
        <v>Green</v>
      </c>
      <c r="AK276" t="str">
        <f>VLOOKUP($Z276,'oddspedia-matches'!$A:$AD,AK$2,0)</f>
        <v>Green</v>
      </c>
      <c r="AL276" t="str">
        <f>VLOOKUP($Z276,'oddspedia-matches'!$A:$AD,AL$2,0)</f>
        <v>Green</v>
      </c>
      <c r="AM276" t="str">
        <f>VLOOKUP($Z276,'oddspedia-matches'!$A:$AD,AM$2,0)</f>
        <v>Red</v>
      </c>
      <c r="AN276" t="str">
        <f>VLOOKUP($Z276,'oddspedia-matches'!$A:$AD,AN$2,0)</f>
        <v>Green</v>
      </c>
      <c r="AO276" t="str">
        <f>VLOOKUP($Z276,'oddspedia-matches'!$A:$AD,AO$2,0)</f>
        <v>Green</v>
      </c>
      <c r="AP276" t="str">
        <f>VLOOKUP($Z276,'oddspedia-matches'!$A:$AD,AP$2,0)</f>
        <v>Red</v>
      </c>
      <c r="AQ276" t="str">
        <f>VLOOKUP($Z276,'oddspedia-matches'!$A:$AD,AQ$2,0)</f>
        <v>Green</v>
      </c>
    </row>
    <row r="277" spans="2:43" x14ac:dyDescent="0.2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tr">
        <f>VLOOKUP(E277,'Transform table'!A:B,2,0)</f>
        <v>Sporting CP</v>
      </c>
      <c r="Y277" t="str">
        <f>VLOOKUP(F277,'Transform table'!A:B,2,0)</f>
        <v>AD Tarma</v>
      </c>
      <c r="Z277" t="str">
        <f t="shared" si="4"/>
        <v>25/07/2026Sporting CPAD Tarma</v>
      </c>
      <c r="AA277" t="e">
        <f>VLOOKUP($Z277,'oddspedia-matches'!$A:$AD,AA$2,0)</f>
        <v>#N/A</v>
      </c>
      <c r="AB277" t="e">
        <f>VLOOKUP($Z277,'oddspedia-matches'!$A:$AD,AB$2,0)</f>
        <v>#N/A</v>
      </c>
      <c r="AC277" t="e">
        <f>VLOOKUP($Z277,'oddspedia-matches'!$A:$AD,AC$2,0)</f>
        <v>#N/A</v>
      </c>
      <c r="AD277" t="e">
        <f>VLOOKUP($Z277,'oddspedia-matches'!$A:$AD,AD$2,0)</f>
        <v>#N/A</v>
      </c>
      <c r="AE277" t="e">
        <f>VLOOKUP($Z277,'oddspedia-matches'!$A:$AD,AE$2,0)</f>
        <v>#N/A</v>
      </c>
      <c r="AF277" t="e">
        <f>VLOOKUP($Z277,'oddspedia-matches'!$A:$AD,AF$2,0)</f>
        <v>#N/A</v>
      </c>
      <c r="AG277" t="e">
        <f>VLOOKUP($Z277,'oddspedia-matches'!$A:$AD,AG$2,0)</f>
        <v>#N/A</v>
      </c>
      <c r="AH277" t="e">
        <f>VLOOKUP($Z277,'oddspedia-matches'!$A:$AD,AH$2,0)</f>
        <v>#N/A</v>
      </c>
      <c r="AI277" t="e">
        <f>VLOOKUP($Z277,'oddspedia-matches'!$A:$AD,AI$2,0)</f>
        <v>#N/A</v>
      </c>
      <c r="AJ277" t="e">
        <f>VLOOKUP($Z277,'oddspedia-matches'!$A:$AD,AJ$2,0)</f>
        <v>#N/A</v>
      </c>
      <c r="AK277" t="e">
        <f>VLOOKUP($Z277,'oddspedia-matches'!$A:$AD,AK$2,0)</f>
        <v>#N/A</v>
      </c>
      <c r="AL277" t="e">
        <f>VLOOKUP($Z277,'oddspedia-matches'!$A:$AD,AL$2,0)</f>
        <v>#N/A</v>
      </c>
      <c r="AM277" t="e">
        <f>VLOOKUP($Z277,'oddspedia-matches'!$A:$AD,AM$2,0)</f>
        <v>#N/A</v>
      </c>
      <c r="AN277" t="e">
        <f>VLOOKUP($Z277,'oddspedia-matches'!$A:$AD,AN$2,0)</f>
        <v>#N/A</v>
      </c>
      <c r="AO277" t="e">
        <f>VLOOKUP($Z277,'oddspedia-matches'!$A:$AD,AO$2,0)</f>
        <v>#N/A</v>
      </c>
      <c r="AP277" t="e">
        <f>VLOOKUP($Z277,'oddspedia-matches'!$A:$AD,AP$2,0)</f>
        <v>#N/A</v>
      </c>
      <c r="AQ277" t="e">
        <f>VLOOKUP($Z277,'oddspedia-matches'!$A:$AD,AQ$2,0)</f>
        <v>#N/A</v>
      </c>
    </row>
    <row r="278" spans="2:43" x14ac:dyDescent="0.2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tr">
        <f>VLOOKUP(E278,'Transform table'!A:B,2,0)</f>
        <v>Columbus Crew</v>
      </c>
      <c r="Y278" t="str">
        <f>VLOOKUP(F278,'Transform table'!A:B,2,0)</f>
        <v>FC Cincinnati</v>
      </c>
      <c r="Z278" t="str">
        <f t="shared" si="4"/>
        <v>25/07/2026Columbus CrewFC Cincinnati</v>
      </c>
      <c r="AA278" t="str">
        <f>VLOOKUP($Z278,'oddspedia-matches'!$A:$AD,AA$2,0)</f>
        <v>2 - 1</v>
      </c>
      <c r="AB278" t="str">
        <f>VLOOKUP($Z278,'oddspedia-matches'!$A:$AD,AB$2,0)</f>
        <v>Green</v>
      </c>
      <c r="AC278" t="str">
        <f>VLOOKUP($Z278,'oddspedia-matches'!$A:$AD,AC$2,0)</f>
        <v>Red</v>
      </c>
      <c r="AD278" t="str">
        <f>VLOOKUP($Z278,'oddspedia-matches'!$A:$AD,AD$2,0)</f>
        <v>Red</v>
      </c>
      <c r="AE278" t="str">
        <f>VLOOKUP($Z278,'oddspedia-matches'!$A:$AD,AE$2,0)</f>
        <v>Green</v>
      </c>
      <c r="AF278" t="str">
        <f>VLOOKUP($Z278,'oddspedia-matches'!$A:$AD,AF$2,0)</f>
        <v>Red</v>
      </c>
      <c r="AG278" t="str">
        <f>VLOOKUP($Z278,'oddspedia-matches'!$A:$AD,AG$2,0)</f>
        <v>Green</v>
      </c>
      <c r="AH278" t="str">
        <f>VLOOKUP($Z278,'oddspedia-matches'!$A:$AD,AH$2,0)</f>
        <v>Green</v>
      </c>
      <c r="AI278" t="str">
        <f>VLOOKUP($Z278,'oddspedia-matches'!$A:$AD,AI$2,0)</f>
        <v>Red</v>
      </c>
      <c r="AJ278" t="str">
        <f>VLOOKUP($Z278,'oddspedia-matches'!$A:$AD,AJ$2,0)</f>
        <v>Red</v>
      </c>
      <c r="AK278" t="str">
        <f>VLOOKUP($Z278,'oddspedia-matches'!$A:$AD,AK$2,0)</f>
        <v>Green</v>
      </c>
      <c r="AL278" t="str">
        <f>VLOOKUP($Z278,'oddspedia-matches'!$A:$AD,AL$2,0)</f>
        <v>Green</v>
      </c>
      <c r="AM278" t="str">
        <f>VLOOKUP($Z278,'oddspedia-matches'!$A:$AD,AM$2,0)</f>
        <v>Green</v>
      </c>
      <c r="AN278" t="str">
        <f>VLOOKUP($Z278,'oddspedia-matches'!$A:$AD,AN$2,0)</f>
        <v>Red</v>
      </c>
      <c r="AO278" t="str">
        <f>VLOOKUP($Z278,'oddspedia-matches'!$A:$AD,AO$2,0)</f>
        <v>Green</v>
      </c>
      <c r="AP278" t="str">
        <f>VLOOKUP($Z278,'oddspedia-matches'!$A:$AD,AP$2,0)</f>
        <v>Green</v>
      </c>
      <c r="AQ278" t="str">
        <f>VLOOKUP($Z278,'oddspedia-matches'!$A:$AD,AQ$2,0)</f>
        <v>Red</v>
      </c>
    </row>
    <row r="279" spans="2:43" x14ac:dyDescent="0.2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>
        <f>VLOOKUP(E279,'Transform table'!A:B,2,0)</f>
        <v>0</v>
      </c>
      <c r="Y279" t="str">
        <f>VLOOKUP(F279,'Transform table'!A:B,2,0)</f>
        <v>San Antonio FC</v>
      </c>
      <c r="Z279" t="str">
        <f t="shared" si="4"/>
        <v>25/07/20260San Antonio FC</v>
      </c>
      <c r="AA279" t="e">
        <f>VLOOKUP($Z279,'oddspedia-matches'!$A:$AD,AA$2,0)</f>
        <v>#N/A</v>
      </c>
      <c r="AB279" t="e">
        <f>VLOOKUP($Z279,'oddspedia-matches'!$A:$AD,AB$2,0)</f>
        <v>#N/A</v>
      </c>
      <c r="AC279" t="e">
        <f>VLOOKUP($Z279,'oddspedia-matches'!$A:$AD,AC$2,0)</f>
        <v>#N/A</v>
      </c>
      <c r="AD279" t="e">
        <f>VLOOKUP($Z279,'oddspedia-matches'!$A:$AD,AD$2,0)</f>
        <v>#N/A</v>
      </c>
      <c r="AE279" t="e">
        <f>VLOOKUP($Z279,'oddspedia-matches'!$A:$AD,AE$2,0)</f>
        <v>#N/A</v>
      </c>
      <c r="AF279" t="e">
        <f>VLOOKUP($Z279,'oddspedia-matches'!$A:$AD,AF$2,0)</f>
        <v>#N/A</v>
      </c>
      <c r="AG279" t="e">
        <f>VLOOKUP($Z279,'oddspedia-matches'!$A:$AD,AG$2,0)</f>
        <v>#N/A</v>
      </c>
      <c r="AH279" t="e">
        <f>VLOOKUP($Z279,'oddspedia-matches'!$A:$AD,AH$2,0)</f>
        <v>#N/A</v>
      </c>
      <c r="AI279" t="e">
        <f>VLOOKUP($Z279,'oddspedia-matches'!$A:$AD,AI$2,0)</f>
        <v>#N/A</v>
      </c>
      <c r="AJ279" t="e">
        <f>VLOOKUP($Z279,'oddspedia-matches'!$A:$AD,AJ$2,0)</f>
        <v>#N/A</v>
      </c>
      <c r="AK279" t="e">
        <f>VLOOKUP($Z279,'oddspedia-matches'!$A:$AD,AK$2,0)</f>
        <v>#N/A</v>
      </c>
      <c r="AL279" t="e">
        <f>VLOOKUP($Z279,'oddspedia-matches'!$A:$AD,AL$2,0)</f>
        <v>#N/A</v>
      </c>
      <c r="AM279" t="e">
        <f>VLOOKUP($Z279,'oddspedia-matches'!$A:$AD,AM$2,0)</f>
        <v>#N/A</v>
      </c>
      <c r="AN279" t="e">
        <f>VLOOKUP($Z279,'oddspedia-matches'!$A:$AD,AN$2,0)</f>
        <v>#N/A</v>
      </c>
      <c r="AO279" t="e">
        <f>VLOOKUP($Z279,'oddspedia-matches'!$A:$AD,AO$2,0)</f>
        <v>#N/A</v>
      </c>
      <c r="AP279" t="e">
        <f>VLOOKUP($Z279,'oddspedia-matches'!$A:$AD,AP$2,0)</f>
        <v>#N/A</v>
      </c>
      <c r="AQ279" t="e">
        <f>VLOOKUP($Z279,'oddspedia-matches'!$A:$AD,AQ$2,0)</f>
        <v>#N/A</v>
      </c>
    </row>
    <row r="280" spans="2:43" x14ac:dyDescent="0.2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>
        <f>VLOOKUP(E280,'Transform table'!A:B,2,0)</f>
        <v>0</v>
      </c>
      <c r="Y280" t="str">
        <f>VLOOKUP(F280,'Transform table'!A:B,2,0)</f>
        <v>Las Vegas Lights</v>
      </c>
      <c r="Z280" t="str">
        <f t="shared" si="4"/>
        <v>25/07/20260Las Vegas Lights</v>
      </c>
      <c r="AA280" t="e">
        <f>VLOOKUP($Z280,'oddspedia-matches'!$A:$AD,AA$2,0)</f>
        <v>#N/A</v>
      </c>
      <c r="AB280" t="e">
        <f>VLOOKUP($Z280,'oddspedia-matches'!$A:$AD,AB$2,0)</f>
        <v>#N/A</v>
      </c>
      <c r="AC280" t="e">
        <f>VLOOKUP($Z280,'oddspedia-matches'!$A:$AD,AC$2,0)</f>
        <v>#N/A</v>
      </c>
      <c r="AD280" t="e">
        <f>VLOOKUP($Z280,'oddspedia-matches'!$A:$AD,AD$2,0)</f>
        <v>#N/A</v>
      </c>
      <c r="AE280" t="e">
        <f>VLOOKUP($Z280,'oddspedia-matches'!$A:$AD,AE$2,0)</f>
        <v>#N/A</v>
      </c>
      <c r="AF280" t="e">
        <f>VLOOKUP($Z280,'oddspedia-matches'!$A:$AD,AF$2,0)</f>
        <v>#N/A</v>
      </c>
      <c r="AG280" t="e">
        <f>VLOOKUP($Z280,'oddspedia-matches'!$A:$AD,AG$2,0)</f>
        <v>#N/A</v>
      </c>
      <c r="AH280" t="e">
        <f>VLOOKUP($Z280,'oddspedia-matches'!$A:$AD,AH$2,0)</f>
        <v>#N/A</v>
      </c>
      <c r="AI280" t="e">
        <f>VLOOKUP($Z280,'oddspedia-matches'!$A:$AD,AI$2,0)</f>
        <v>#N/A</v>
      </c>
      <c r="AJ280" t="e">
        <f>VLOOKUP($Z280,'oddspedia-matches'!$A:$AD,AJ$2,0)</f>
        <v>#N/A</v>
      </c>
      <c r="AK280" t="e">
        <f>VLOOKUP($Z280,'oddspedia-matches'!$A:$AD,AK$2,0)</f>
        <v>#N/A</v>
      </c>
      <c r="AL280" t="e">
        <f>VLOOKUP($Z280,'oddspedia-matches'!$A:$AD,AL$2,0)</f>
        <v>#N/A</v>
      </c>
      <c r="AM280" t="e">
        <f>VLOOKUP($Z280,'oddspedia-matches'!$A:$AD,AM$2,0)</f>
        <v>#N/A</v>
      </c>
      <c r="AN280" t="e">
        <f>VLOOKUP($Z280,'oddspedia-matches'!$A:$AD,AN$2,0)</f>
        <v>#N/A</v>
      </c>
      <c r="AO280" t="e">
        <f>VLOOKUP($Z280,'oddspedia-matches'!$A:$AD,AO$2,0)</f>
        <v>#N/A</v>
      </c>
      <c r="AP280" t="e">
        <f>VLOOKUP($Z280,'oddspedia-matches'!$A:$AD,AP$2,0)</f>
        <v>#N/A</v>
      </c>
      <c r="AQ280" t="e">
        <f>VLOOKUP($Z280,'oddspedia-matches'!$A:$AD,AQ$2,0)</f>
        <v>#N/A</v>
      </c>
    </row>
    <row r="281" spans="2:43" x14ac:dyDescent="0.2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>
        <f>VLOOKUP(E281,'Transform table'!A:B,2,0)</f>
        <v>0</v>
      </c>
      <c r="Y281" t="str">
        <f>VLOOKUP(F281,'Transform table'!A:B,2,0)</f>
        <v>Loudoun United</v>
      </c>
      <c r="Z281" t="str">
        <f t="shared" si="4"/>
        <v>25/07/20260Loudoun United</v>
      </c>
      <c r="AA281" t="e">
        <f>VLOOKUP($Z281,'oddspedia-matches'!$A:$AD,AA$2,0)</f>
        <v>#N/A</v>
      </c>
      <c r="AB281" t="e">
        <f>VLOOKUP($Z281,'oddspedia-matches'!$A:$AD,AB$2,0)</f>
        <v>#N/A</v>
      </c>
      <c r="AC281" t="e">
        <f>VLOOKUP($Z281,'oddspedia-matches'!$A:$AD,AC$2,0)</f>
        <v>#N/A</v>
      </c>
      <c r="AD281" t="e">
        <f>VLOOKUP($Z281,'oddspedia-matches'!$A:$AD,AD$2,0)</f>
        <v>#N/A</v>
      </c>
      <c r="AE281" t="e">
        <f>VLOOKUP($Z281,'oddspedia-matches'!$A:$AD,AE$2,0)</f>
        <v>#N/A</v>
      </c>
      <c r="AF281" t="e">
        <f>VLOOKUP($Z281,'oddspedia-matches'!$A:$AD,AF$2,0)</f>
        <v>#N/A</v>
      </c>
      <c r="AG281" t="e">
        <f>VLOOKUP($Z281,'oddspedia-matches'!$A:$AD,AG$2,0)</f>
        <v>#N/A</v>
      </c>
      <c r="AH281" t="e">
        <f>VLOOKUP($Z281,'oddspedia-matches'!$A:$AD,AH$2,0)</f>
        <v>#N/A</v>
      </c>
      <c r="AI281" t="e">
        <f>VLOOKUP($Z281,'oddspedia-matches'!$A:$AD,AI$2,0)</f>
        <v>#N/A</v>
      </c>
      <c r="AJ281" t="e">
        <f>VLOOKUP($Z281,'oddspedia-matches'!$A:$AD,AJ$2,0)</f>
        <v>#N/A</v>
      </c>
      <c r="AK281" t="e">
        <f>VLOOKUP($Z281,'oddspedia-matches'!$A:$AD,AK$2,0)</f>
        <v>#N/A</v>
      </c>
      <c r="AL281" t="e">
        <f>VLOOKUP($Z281,'oddspedia-matches'!$A:$AD,AL$2,0)</f>
        <v>#N/A</v>
      </c>
      <c r="AM281" t="e">
        <f>VLOOKUP($Z281,'oddspedia-matches'!$A:$AD,AM$2,0)</f>
        <v>#N/A</v>
      </c>
      <c r="AN281" t="e">
        <f>VLOOKUP($Z281,'oddspedia-matches'!$A:$AD,AN$2,0)</f>
        <v>#N/A</v>
      </c>
      <c r="AO281" t="e">
        <f>VLOOKUP($Z281,'oddspedia-matches'!$A:$AD,AO$2,0)</f>
        <v>#N/A</v>
      </c>
      <c r="AP281" t="e">
        <f>VLOOKUP($Z281,'oddspedia-matches'!$A:$AD,AP$2,0)</f>
        <v>#N/A</v>
      </c>
      <c r="AQ281" t="e">
        <f>VLOOKUP($Z281,'oddspedia-matches'!$A:$AD,AQ$2,0)</f>
        <v>#N/A</v>
      </c>
    </row>
    <row r="282" spans="2:43" x14ac:dyDescent="0.2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tr">
        <f>VLOOKUP(E282,'Transform table'!A:B,2,0)</f>
        <v>Miami FC</v>
      </c>
      <c r="Y282" t="str">
        <f>VLOOKUP(F282,'Transform table'!A:B,2,0)</f>
        <v>Tampa Bay Rowdies</v>
      </c>
      <c r="Z282" t="str">
        <f t="shared" si="4"/>
        <v>25/07/2026Miami FCTampa Bay Rowdies</v>
      </c>
      <c r="AA282" t="str">
        <f>VLOOKUP($Z282,'oddspedia-matches'!$A:$AD,AA$2,0)</f>
        <v>2 - 3</v>
      </c>
      <c r="AB282" t="str">
        <f>VLOOKUP($Z282,'oddspedia-matches'!$A:$AD,AB$2,0)</f>
        <v>Red</v>
      </c>
      <c r="AC282" t="str">
        <f>VLOOKUP($Z282,'oddspedia-matches'!$A:$AD,AC$2,0)</f>
        <v>Red</v>
      </c>
      <c r="AD282" t="str">
        <f>VLOOKUP($Z282,'oddspedia-matches'!$A:$AD,AD$2,0)</f>
        <v>Green</v>
      </c>
      <c r="AE282" t="str">
        <f>VLOOKUP($Z282,'oddspedia-matches'!$A:$AD,AE$2,0)</f>
        <v>Red</v>
      </c>
      <c r="AF282" t="str">
        <f>VLOOKUP($Z282,'oddspedia-matches'!$A:$AD,AF$2,0)</f>
        <v>Green</v>
      </c>
      <c r="AG282" t="str">
        <f>VLOOKUP($Z282,'oddspedia-matches'!$A:$AD,AG$2,0)</f>
        <v>Green</v>
      </c>
      <c r="AH282" t="str">
        <f>VLOOKUP($Z282,'oddspedia-matches'!$A:$AD,AH$2,0)</f>
        <v>Red</v>
      </c>
      <c r="AI282" t="str">
        <f>VLOOKUP($Z282,'oddspedia-matches'!$A:$AD,AI$2,0)</f>
        <v>Red</v>
      </c>
      <c r="AJ282" t="str">
        <f>VLOOKUP($Z282,'oddspedia-matches'!$A:$AD,AJ$2,0)</f>
        <v>Green</v>
      </c>
      <c r="AK282" t="str">
        <f>VLOOKUP($Z282,'oddspedia-matches'!$A:$AD,AK$2,0)</f>
        <v>Green</v>
      </c>
      <c r="AL282" t="str">
        <f>VLOOKUP($Z282,'oddspedia-matches'!$A:$AD,AL$2,0)</f>
        <v>Green</v>
      </c>
      <c r="AM282" t="str">
        <f>VLOOKUP($Z282,'oddspedia-matches'!$A:$AD,AM$2,0)</f>
        <v>Green</v>
      </c>
      <c r="AN282" t="str">
        <f>VLOOKUP($Z282,'oddspedia-matches'!$A:$AD,AN$2,0)</f>
        <v>Red</v>
      </c>
      <c r="AO282" t="str">
        <f>VLOOKUP($Z282,'oddspedia-matches'!$A:$AD,AO$2,0)</f>
        <v>Red</v>
      </c>
      <c r="AP282" t="str">
        <f>VLOOKUP($Z282,'oddspedia-matches'!$A:$AD,AP$2,0)</f>
        <v>Green</v>
      </c>
      <c r="AQ282" t="str">
        <f>VLOOKUP($Z282,'oddspedia-matches'!$A:$AD,AQ$2,0)</f>
        <v>Red</v>
      </c>
    </row>
    <row r="283" spans="2:43" x14ac:dyDescent="0.2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>
        <f>VLOOKUP(E283,'Transform table'!A:B,2,0)</f>
        <v>0</v>
      </c>
      <c r="Y283" t="str">
        <f>VLOOKUP(F283,'Transform table'!A:B,2,0)</f>
        <v>Rhode Island</v>
      </c>
      <c r="Z283" t="str">
        <f t="shared" si="4"/>
        <v>25/07/20260Rhode Island</v>
      </c>
      <c r="AA283" t="e">
        <f>VLOOKUP($Z283,'oddspedia-matches'!$A:$AD,AA$2,0)</f>
        <v>#N/A</v>
      </c>
      <c r="AB283" t="e">
        <f>VLOOKUP($Z283,'oddspedia-matches'!$A:$AD,AB$2,0)</f>
        <v>#N/A</v>
      </c>
      <c r="AC283" t="e">
        <f>VLOOKUP($Z283,'oddspedia-matches'!$A:$AD,AC$2,0)</f>
        <v>#N/A</v>
      </c>
      <c r="AD283" t="e">
        <f>VLOOKUP($Z283,'oddspedia-matches'!$A:$AD,AD$2,0)</f>
        <v>#N/A</v>
      </c>
      <c r="AE283" t="e">
        <f>VLOOKUP($Z283,'oddspedia-matches'!$A:$AD,AE$2,0)</f>
        <v>#N/A</v>
      </c>
      <c r="AF283" t="e">
        <f>VLOOKUP($Z283,'oddspedia-matches'!$A:$AD,AF$2,0)</f>
        <v>#N/A</v>
      </c>
      <c r="AG283" t="e">
        <f>VLOOKUP($Z283,'oddspedia-matches'!$A:$AD,AG$2,0)</f>
        <v>#N/A</v>
      </c>
      <c r="AH283" t="e">
        <f>VLOOKUP($Z283,'oddspedia-matches'!$A:$AD,AH$2,0)</f>
        <v>#N/A</v>
      </c>
      <c r="AI283" t="e">
        <f>VLOOKUP($Z283,'oddspedia-matches'!$A:$AD,AI$2,0)</f>
        <v>#N/A</v>
      </c>
      <c r="AJ283" t="e">
        <f>VLOOKUP($Z283,'oddspedia-matches'!$A:$AD,AJ$2,0)</f>
        <v>#N/A</v>
      </c>
      <c r="AK283" t="e">
        <f>VLOOKUP($Z283,'oddspedia-matches'!$A:$AD,AK$2,0)</f>
        <v>#N/A</v>
      </c>
      <c r="AL283" t="e">
        <f>VLOOKUP($Z283,'oddspedia-matches'!$A:$AD,AL$2,0)</f>
        <v>#N/A</v>
      </c>
      <c r="AM283" t="e">
        <f>VLOOKUP($Z283,'oddspedia-matches'!$A:$AD,AM$2,0)</f>
        <v>#N/A</v>
      </c>
      <c r="AN283" t="e">
        <f>VLOOKUP($Z283,'oddspedia-matches'!$A:$AD,AN$2,0)</f>
        <v>#N/A</v>
      </c>
      <c r="AO283" t="e">
        <f>VLOOKUP($Z283,'oddspedia-matches'!$A:$AD,AO$2,0)</f>
        <v>#N/A</v>
      </c>
      <c r="AP283" t="e">
        <f>VLOOKUP($Z283,'oddspedia-matches'!$A:$AD,AP$2,0)</f>
        <v>#N/A</v>
      </c>
      <c r="AQ283" t="e">
        <f>VLOOKUP($Z283,'oddspedia-matches'!$A:$AD,AQ$2,0)</f>
        <v>#N/A</v>
      </c>
    </row>
    <row r="284" spans="2:43" x14ac:dyDescent="0.2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>
        <f>VLOOKUP(E284,'Transform table'!A:B,2,0)</f>
        <v>0</v>
      </c>
      <c r="Y284" t="str">
        <f>VLOOKUP(F284,'Transform table'!A:B,2,0)</f>
        <v>Philadelphia Union II</v>
      </c>
      <c r="Z284" t="str">
        <f t="shared" si="4"/>
        <v>25/07/20260Philadelphia Union II</v>
      </c>
      <c r="AA284" t="e">
        <f>VLOOKUP($Z284,'oddspedia-matches'!$A:$AD,AA$2,0)</f>
        <v>#N/A</v>
      </c>
      <c r="AB284" t="e">
        <f>VLOOKUP($Z284,'oddspedia-matches'!$A:$AD,AB$2,0)</f>
        <v>#N/A</v>
      </c>
      <c r="AC284" t="e">
        <f>VLOOKUP($Z284,'oddspedia-matches'!$A:$AD,AC$2,0)</f>
        <v>#N/A</v>
      </c>
      <c r="AD284" t="e">
        <f>VLOOKUP($Z284,'oddspedia-matches'!$A:$AD,AD$2,0)</f>
        <v>#N/A</v>
      </c>
      <c r="AE284" t="e">
        <f>VLOOKUP($Z284,'oddspedia-matches'!$A:$AD,AE$2,0)</f>
        <v>#N/A</v>
      </c>
      <c r="AF284" t="e">
        <f>VLOOKUP($Z284,'oddspedia-matches'!$A:$AD,AF$2,0)</f>
        <v>#N/A</v>
      </c>
      <c r="AG284" t="e">
        <f>VLOOKUP($Z284,'oddspedia-matches'!$A:$AD,AG$2,0)</f>
        <v>#N/A</v>
      </c>
      <c r="AH284" t="e">
        <f>VLOOKUP($Z284,'oddspedia-matches'!$A:$AD,AH$2,0)</f>
        <v>#N/A</v>
      </c>
      <c r="AI284" t="e">
        <f>VLOOKUP($Z284,'oddspedia-matches'!$A:$AD,AI$2,0)</f>
        <v>#N/A</v>
      </c>
      <c r="AJ284" t="e">
        <f>VLOOKUP($Z284,'oddspedia-matches'!$A:$AD,AJ$2,0)</f>
        <v>#N/A</v>
      </c>
      <c r="AK284" t="e">
        <f>VLOOKUP($Z284,'oddspedia-matches'!$A:$AD,AK$2,0)</f>
        <v>#N/A</v>
      </c>
      <c r="AL284" t="e">
        <f>VLOOKUP($Z284,'oddspedia-matches'!$A:$AD,AL$2,0)</f>
        <v>#N/A</v>
      </c>
      <c r="AM284" t="e">
        <f>VLOOKUP($Z284,'oddspedia-matches'!$A:$AD,AM$2,0)</f>
        <v>#N/A</v>
      </c>
      <c r="AN284" t="e">
        <f>VLOOKUP($Z284,'oddspedia-matches'!$A:$AD,AN$2,0)</f>
        <v>#N/A</v>
      </c>
      <c r="AO284" t="e">
        <f>VLOOKUP($Z284,'oddspedia-matches'!$A:$AD,AO$2,0)</f>
        <v>#N/A</v>
      </c>
      <c r="AP284" t="e">
        <f>VLOOKUP($Z284,'oddspedia-matches'!$A:$AD,AP$2,0)</f>
        <v>#N/A</v>
      </c>
      <c r="AQ284" t="e">
        <f>VLOOKUP($Z284,'oddspedia-matches'!$A:$AD,AQ$2,0)</f>
        <v>#N/A</v>
      </c>
    </row>
    <row r="285" spans="2:43" x14ac:dyDescent="0.2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tr">
        <f>VLOOKUP(E285,'Transform table'!A:B,2,0)</f>
        <v>Lazio U20</v>
      </c>
      <c r="Y285" t="str">
        <f>VLOOKUP(F285,'Transform table'!A:B,2,0)</f>
        <v>The Town</v>
      </c>
      <c r="Z285" t="str">
        <f t="shared" si="4"/>
        <v>25/07/2026Lazio U20The Town</v>
      </c>
      <c r="AA285" t="e">
        <f>VLOOKUP($Z285,'oddspedia-matches'!$A:$AD,AA$2,0)</f>
        <v>#N/A</v>
      </c>
      <c r="AB285" t="e">
        <f>VLOOKUP($Z285,'oddspedia-matches'!$A:$AD,AB$2,0)</f>
        <v>#N/A</v>
      </c>
      <c r="AC285" t="e">
        <f>VLOOKUP($Z285,'oddspedia-matches'!$A:$AD,AC$2,0)</f>
        <v>#N/A</v>
      </c>
      <c r="AD285" t="e">
        <f>VLOOKUP($Z285,'oddspedia-matches'!$A:$AD,AD$2,0)</f>
        <v>#N/A</v>
      </c>
      <c r="AE285" t="e">
        <f>VLOOKUP($Z285,'oddspedia-matches'!$A:$AD,AE$2,0)</f>
        <v>#N/A</v>
      </c>
      <c r="AF285" t="e">
        <f>VLOOKUP($Z285,'oddspedia-matches'!$A:$AD,AF$2,0)</f>
        <v>#N/A</v>
      </c>
      <c r="AG285" t="e">
        <f>VLOOKUP($Z285,'oddspedia-matches'!$A:$AD,AG$2,0)</f>
        <v>#N/A</v>
      </c>
      <c r="AH285" t="e">
        <f>VLOOKUP($Z285,'oddspedia-matches'!$A:$AD,AH$2,0)</f>
        <v>#N/A</v>
      </c>
      <c r="AI285" t="e">
        <f>VLOOKUP($Z285,'oddspedia-matches'!$A:$AD,AI$2,0)</f>
        <v>#N/A</v>
      </c>
      <c r="AJ285" t="e">
        <f>VLOOKUP($Z285,'oddspedia-matches'!$A:$AD,AJ$2,0)</f>
        <v>#N/A</v>
      </c>
      <c r="AK285" t="e">
        <f>VLOOKUP($Z285,'oddspedia-matches'!$A:$AD,AK$2,0)</f>
        <v>#N/A</v>
      </c>
      <c r="AL285" t="e">
        <f>VLOOKUP($Z285,'oddspedia-matches'!$A:$AD,AL$2,0)</f>
        <v>#N/A</v>
      </c>
      <c r="AM285" t="e">
        <f>VLOOKUP($Z285,'oddspedia-matches'!$A:$AD,AM$2,0)</f>
        <v>#N/A</v>
      </c>
      <c r="AN285" t="e">
        <f>VLOOKUP($Z285,'oddspedia-matches'!$A:$AD,AN$2,0)</f>
        <v>#N/A</v>
      </c>
      <c r="AO285" t="e">
        <f>VLOOKUP($Z285,'oddspedia-matches'!$A:$AD,AO$2,0)</f>
        <v>#N/A</v>
      </c>
      <c r="AP285" t="e">
        <f>VLOOKUP($Z285,'oddspedia-matches'!$A:$AD,AP$2,0)</f>
        <v>#N/A</v>
      </c>
      <c r="AQ285" t="e">
        <f>VLOOKUP($Z285,'oddspedia-matches'!$A:$AD,AQ$2,0)</f>
        <v>#N/A</v>
      </c>
    </row>
    <row r="286" spans="2:43" x14ac:dyDescent="0.2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tr">
        <f>VLOOKUP(E286,'Transform table'!A:B,2,0)</f>
        <v>Millwall</v>
      </c>
      <c r="Y286" t="str">
        <f>VLOOKUP(F286,'Transform table'!A:B,2,0)</f>
        <v>Atletico Bucaramanga</v>
      </c>
      <c r="Z286" t="str">
        <f t="shared" si="4"/>
        <v>25/07/2026MillwallAtletico Bucaramanga</v>
      </c>
      <c r="AA286" t="e">
        <f>VLOOKUP($Z286,'oddspedia-matches'!$A:$AD,AA$2,0)</f>
        <v>#N/A</v>
      </c>
      <c r="AB286" t="e">
        <f>VLOOKUP($Z286,'oddspedia-matches'!$A:$AD,AB$2,0)</f>
        <v>#N/A</v>
      </c>
      <c r="AC286" t="e">
        <f>VLOOKUP($Z286,'oddspedia-matches'!$A:$AD,AC$2,0)</f>
        <v>#N/A</v>
      </c>
      <c r="AD286" t="e">
        <f>VLOOKUP($Z286,'oddspedia-matches'!$A:$AD,AD$2,0)</f>
        <v>#N/A</v>
      </c>
      <c r="AE286" t="e">
        <f>VLOOKUP($Z286,'oddspedia-matches'!$A:$AD,AE$2,0)</f>
        <v>#N/A</v>
      </c>
      <c r="AF286" t="e">
        <f>VLOOKUP($Z286,'oddspedia-matches'!$A:$AD,AF$2,0)</f>
        <v>#N/A</v>
      </c>
      <c r="AG286" t="e">
        <f>VLOOKUP($Z286,'oddspedia-matches'!$A:$AD,AG$2,0)</f>
        <v>#N/A</v>
      </c>
      <c r="AH286" t="e">
        <f>VLOOKUP($Z286,'oddspedia-matches'!$A:$AD,AH$2,0)</f>
        <v>#N/A</v>
      </c>
      <c r="AI286" t="e">
        <f>VLOOKUP($Z286,'oddspedia-matches'!$A:$AD,AI$2,0)</f>
        <v>#N/A</v>
      </c>
      <c r="AJ286" t="e">
        <f>VLOOKUP($Z286,'oddspedia-matches'!$A:$AD,AJ$2,0)</f>
        <v>#N/A</v>
      </c>
      <c r="AK286" t="e">
        <f>VLOOKUP($Z286,'oddspedia-matches'!$A:$AD,AK$2,0)</f>
        <v>#N/A</v>
      </c>
      <c r="AL286" t="e">
        <f>VLOOKUP($Z286,'oddspedia-matches'!$A:$AD,AL$2,0)</f>
        <v>#N/A</v>
      </c>
      <c r="AM286" t="e">
        <f>VLOOKUP($Z286,'oddspedia-matches'!$A:$AD,AM$2,0)</f>
        <v>#N/A</v>
      </c>
      <c r="AN286" t="e">
        <f>VLOOKUP($Z286,'oddspedia-matches'!$A:$AD,AN$2,0)</f>
        <v>#N/A</v>
      </c>
      <c r="AO286" t="e">
        <f>VLOOKUP($Z286,'oddspedia-matches'!$A:$AD,AO$2,0)</f>
        <v>#N/A</v>
      </c>
      <c r="AP286" t="e">
        <f>VLOOKUP($Z286,'oddspedia-matches'!$A:$AD,AP$2,0)</f>
        <v>#N/A</v>
      </c>
      <c r="AQ286" t="e">
        <f>VLOOKUP($Z286,'oddspedia-matches'!$A:$AD,AQ$2,0)</f>
        <v>#N/A</v>
      </c>
    </row>
    <row r="287" spans="2:43" x14ac:dyDescent="0.2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tr">
        <f>VLOOKUP(E287,'Transform table'!A:B,2,0)</f>
        <v>Alianza</v>
      </c>
      <c r="Y287" t="str">
        <f>VLOOKUP(F287,'Transform table'!A:B,2,0)</f>
        <v>UMECIT</v>
      </c>
      <c r="Z287" t="str">
        <f t="shared" si="4"/>
        <v>25/07/2026AlianzaUMECIT</v>
      </c>
      <c r="AA287" t="str">
        <f>VLOOKUP($Z287,'oddspedia-matches'!$A:$AD,AA$2,0)</f>
        <v>0 - 0</v>
      </c>
      <c r="AB287" t="str">
        <f>VLOOKUP($Z287,'oddspedia-matches'!$A:$AD,AB$2,0)</f>
        <v>Red</v>
      </c>
      <c r="AC287" t="str">
        <f>VLOOKUP($Z287,'oddspedia-matches'!$A:$AD,AC$2,0)</f>
        <v>Green</v>
      </c>
      <c r="AD287" t="str">
        <f>VLOOKUP($Z287,'oddspedia-matches'!$A:$AD,AD$2,0)</f>
        <v>Red</v>
      </c>
      <c r="AE287" t="str">
        <f>VLOOKUP($Z287,'oddspedia-matches'!$A:$AD,AE$2,0)</f>
        <v>Green</v>
      </c>
      <c r="AF287" t="str">
        <f>VLOOKUP($Z287,'oddspedia-matches'!$A:$AD,AF$2,0)</f>
        <v>Green</v>
      </c>
      <c r="AG287" t="str">
        <f>VLOOKUP($Z287,'oddspedia-matches'!$A:$AD,AG$2,0)</f>
        <v>Red</v>
      </c>
      <c r="AH287" t="str">
        <f>VLOOKUP($Z287,'oddspedia-matches'!$A:$AD,AH$2,0)</f>
        <v>Red</v>
      </c>
      <c r="AI287" t="str">
        <f>VLOOKUP($Z287,'oddspedia-matches'!$A:$AD,AI$2,0)</f>
        <v>Green</v>
      </c>
      <c r="AJ287" t="str">
        <f>VLOOKUP($Z287,'oddspedia-matches'!$A:$AD,AJ$2,0)</f>
        <v>Red</v>
      </c>
      <c r="AK287" t="str">
        <f>VLOOKUP($Z287,'oddspedia-matches'!$A:$AD,AK$2,0)</f>
        <v>Red</v>
      </c>
      <c r="AL287" t="str">
        <f>VLOOKUP($Z287,'oddspedia-matches'!$A:$AD,AL$2,0)</f>
        <v>Red</v>
      </c>
      <c r="AM287" t="str">
        <f>VLOOKUP($Z287,'oddspedia-matches'!$A:$AD,AM$2,0)</f>
        <v>Red</v>
      </c>
      <c r="AN287" t="str">
        <f>VLOOKUP($Z287,'oddspedia-matches'!$A:$AD,AN$2,0)</f>
        <v>Green</v>
      </c>
      <c r="AO287" t="str">
        <f>VLOOKUP($Z287,'oddspedia-matches'!$A:$AD,AO$2,0)</f>
        <v>Green</v>
      </c>
      <c r="AP287" t="str">
        <f>VLOOKUP($Z287,'oddspedia-matches'!$A:$AD,AP$2,0)</f>
        <v>Red</v>
      </c>
      <c r="AQ287" t="str">
        <f>VLOOKUP($Z287,'oddspedia-matches'!$A:$AD,AQ$2,0)</f>
        <v>Green</v>
      </c>
    </row>
    <row r="288" spans="2:43" x14ac:dyDescent="0.2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tr">
        <f>VLOOKUP(E288,'Transform table'!A:B,2,0)</f>
        <v>Independiente Petrolero</v>
      </c>
      <c r="Y288" t="str">
        <f>VLOOKUP(F288,'Transform table'!A:B,2,0)</f>
        <v>Oriente Petrolero</v>
      </c>
      <c r="Z288" t="str">
        <f t="shared" si="4"/>
        <v>25/07/2026Independiente PetroleroOriente Petrolero</v>
      </c>
      <c r="AA288" t="str">
        <f>VLOOKUP($Z288,'oddspedia-matches'!$A:$AD,AA$2,0)</f>
        <v>1 - 2</v>
      </c>
      <c r="AB288" t="str">
        <f>VLOOKUP($Z288,'oddspedia-matches'!$A:$AD,AB$2,0)</f>
        <v>Red</v>
      </c>
      <c r="AC288" t="str">
        <f>VLOOKUP($Z288,'oddspedia-matches'!$A:$AD,AC$2,0)</f>
        <v>Red</v>
      </c>
      <c r="AD288" t="str">
        <f>VLOOKUP($Z288,'oddspedia-matches'!$A:$AD,AD$2,0)</f>
        <v>Green</v>
      </c>
      <c r="AE288" t="str">
        <f>VLOOKUP($Z288,'oddspedia-matches'!$A:$AD,AE$2,0)</f>
        <v>Red</v>
      </c>
      <c r="AF288" t="str">
        <f>VLOOKUP($Z288,'oddspedia-matches'!$A:$AD,AF$2,0)</f>
        <v>Green</v>
      </c>
      <c r="AG288" t="str">
        <f>VLOOKUP($Z288,'oddspedia-matches'!$A:$AD,AG$2,0)</f>
        <v>Green</v>
      </c>
      <c r="AH288" t="str">
        <f>VLOOKUP($Z288,'oddspedia-matches'!$A:$AD,AH$2,0)</f>
        <v>Red</v>
      </c>
      <c r="AI288" t="str">
        <f>VLOOKUP($Z288,'oddspedia-matches'!$A:$AD,AI$2,0)</f>
        <v>Red</v>
      </c>
      <c r="AJ288" t="str">
        <f>VLOOKUP($Z288,'oddspedia-matches'!$A:$AD,AJ$2,0)</f>
        <v>Green</v>
      </c>
      <c r="AK288" t="str">
        <f>VLOOKUP($Z288,'oddspedia-matches'!$A:$AD,AK$2,0)</f>
        <v>Green</v>
      </c>
      <c r="AL288" t="str">
        <f>VLOOKUP($Z288,'oddspedia-matches'!$A:$AD,AL$2,0)</f>
        <v>Green</v>
      </c>
      <c r="AM288" t="str">
        <f>VLOOKUP($Z288,'oddspedia-matches'!$A:$AD,AM$2,0)</f>
        <v>Green</v>
      </c>
      <c r="AN288" t="str">
        <f>VLOOKUP($Z288,'oddspedia-matches'!$A:$AD,AN$2,0)</f>
        <v>Red</v>
      </c>
      <c r="AO288" t="str">
        <f>VLOOKUP($Z288,'oddspedia-matches'!$A:$AD,AO$2,0)</f>
        <v>Green</v>
      </c>
      <c r="AP288" t="str">
        <f>VLOOKUP($Z288,'oddspedia-matches'!$A:$AD,AP$2,0)</f>
        <v>Green</v>
      </c>
      <c r="AQ288" t="str">
        <f>VLOOKUP($Z288,'oddspedia-matches'!$A:$AD,AQ$2,0)</f>
        <v>Red</v>
      </c>
    </row>
    <row r="289" spans="2:43" x14ac:dyDescent="0.2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>
        <f>VLOOKUP(E289,'Transform table'!A:B,2,0)</f>
        <v>0</v>
      </c>
      <c r="Y289" t="str">
        <f>VLOOKUP(F289,'Transform table'!A:B,2,0)</f>
        <v>Mirassol SP</v>
      </c>
      <c r="Z289" t="str">
        <f t="shared" si="4"/>
        <v>25/07/20260Mirassol SP</v>
      </c>
      <c r="AA289" t="e">
        <f>VLOOKUP($Z289,'oddspedia-matches'!$A:$AD,AA$2,0)</f>
        <v>#N/A</v>
      </c>
      <c r="AB289" t="e">
        <f>VLOOKUP($Z289,'oddspedia-matches'!$A:$AD,AB$2,0)</f>
        <v>#N/A</v>
      </c>
      <c r="AC289" t="e">
        <f>VLOOKUP($Z289,'oddspedia-matches'!$A:$AD,AC$2,0)</f>
        <v>#N/A</v>
      </c>
      <c r="AD289" t="e">
        <f>VLOOKUP($Z289,'oddspedia-matches'!$A:$AD,AD$2,0)</f>
        <v>#N/A</v>
      </c>
      <c r="AE289" t="e">
        <f>VLOOKUP($Z289,'oddspedia-matches'!$A:$AD,AE$2,0)</f>
        <v>#N/A</v>
      </c>
      <c r="AF289" t="e">
        <f>VLOOKUP($Z289,'oddspedia-matches'!$A:$AD,AF$2,0)</f>
        <v>#N/A</v>
      </c>
      <c r="AG289" t="e">
        <f>VLOOKUP($Z289,'oddspedia-matches'!$A:$AD,AG$2,0)</f>
        <v>#N/A</v>
      </c>
      <c r="AH289" t="e">
        <f>VLOOKUP($Z289,'oddspedia-matches'!$A:$AD,AH$2,0)</f>
        <v>#N/A</v>
      </c>
      <c r="AI289" t="e">
        <f>VLOOKUP($Z289,'oddspedia-matches'!$A:$AD,AI$2,0)</f>
        <v>#N/A</v>
      </c>
      <c r="AJ289" t="e">
        <f>VLOOKUP($Z289,'oddspedia-matches'!$A:$AD,AJ$2,0)</f>
        <v>#N/A</v>
      </c>
      <c r="AK289" t="e">
        <f>VLOOKUP($Z289,'oddspedia-matches'!$A:$AD,AK$2,0)</f>
        <v>#N/A</v>
      </c>
      <c r="AL289" t="e">
        <f>VLOOKUP($Z289,'oddspedia-matches'!$A:$AD,AL$2,0)</f>
        <v>#N/A</v>
      </c>
      <c r="AM289" t="e">
        <f>VLOOKUP($Z289,'oddspedia-matches'!$A:$AD,AM$2,0)</f>
        <v>#N/A</v>
      </c>
      <c r="AN289" t="e">
        <f>VLOOKUP($Z289,'oddspedia-matches'!$A:$AD,AN$2,0)</f>
        <v>#N/A</v>
      </c>
      <c r="AO289" t="e">
        <f>VLOOKUP($Z289,'oddspedia-matches'!$A:$AD,AO$2,0)</f>
        <v>#N/A</v>
      </c>
      <c r="AP289" t="e">
        <f>VLOOKUP($Z289,'oddspedia-matches'!$A:$AD,AP$2,0)</f>
        <v>#N/A</v>
      </c>
      <c r="AQ289" t="e">
        <f>VLOOKUP($Z289,'oddspedia-matches'!$A:$AD,AQ$2,0)</f>
        <v>#N/A</v>
      </c>
    </row>
    <row r="290" spans="2:43" x14ac:dyDescent="0.2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tr">
        <f>VLOOKUP(E290,'Transform table'!A:B,2,0)</f>
        <v>Montreal Impact</v>
      </c>
      <c r="Y290" t="str">
        <f>VLOOKUP(F290,'Transform table'!A:B,2,0)</f>
        <v>Inter Miami CF</v>
      </c>
      <c r="Z290" t="str">
        <f t="shared" si="4"/>
        <v>25/07/2026Montreal ImpactInter Miami CF</v>
      </c>
      <c r="AA290" t="str">
        <f>VLOOKUP($Z290,'oddspedia-matches'!$A:$AD,AA$2,0)</f>
        <v>0 - 1</v>
      </c>
      <c r="AB290" t="str">
        <f>VLOOKUP($Z290,'oddspedia-matches'!$A:$AD,AB$2,0)</f>
        <v>Red</v>
      </c>
      <c r="AC290" t="str">
        <f>VLOOKUP($Z290,'oddspedia-matches'!$A:$AD,AC$2,0)</f>
        <v>Red</v>
      </c>
      <c r="AD290" t="str">
        <f>VLOOKUP($Z290,'oddspedia-matches'!$A:$AD,AD$2,0)</f>
        <v>Green</v>
      </c>
      <c r="AE290" t="str">
        <f>VLOOKUP($Z290,'oddspedia-matches'!$A:$AD,AE$2,0)</f>
        <v>Red</v>
      </c>
      <c r="AF290" t="str">
        <f>VLOOKUP($Z290,'oddspedia-matches'!$A:$AD,AF$2,0)</f>
        <v>Green</v>
      </c>
      <c r="AG290" t="str">
        <f>VLOOKUP($Z290,'oddspedia-matches'!$A:$AD,AG$2,0)</f>
        <v>Green</v>
      </c>
      <c r="AH290" t="str">
        <f>VLOOKUP($Z290,'oddspedia-matches'!$A:$AD,AH$2,0)</f>
        <v>Red</v>
      </c>
      <c r="AI290" t="str">
        <f>VLOOKUP($Z290,'oddspedia-matches'!$A:$AD,AI$2,0)</f>
        <v>Green</v>
      </c>
      <c r="AJ290" t="str">
        <f>VLOOKUP($Z290,'oddspedia-matches'!$A:$AD,AJ$2,0)</f>
        <v>Red</v>
      </c>
      <c r="AK290" t="str">
        <f>VLOOKUP($Z290,'oddspedia-matches'!$A:$AD,AK$2,0)</f>
        <v>Red</v>
      </c>
      <c r="AL290" t="str">
        <f>VLOOKUP($Z290,'oddspedia-matches'!$A:$AD,AL$2,0)</f>
        <v>Red</v>
      </c>
      <c r="AM290" t="str">
        <f>VLOOKUP($Z290,'oddspedia-matches'!$A:$AD,AM$2,0)</f>
        <v>Red</v>
      </c>
      <c r="AN290" t="str">
        <f>VLOOKUP($Z290,'oddspedia-matches'!$A:$AD,AN$2,0)</f>
        <v>Green</v>
      </c>
      <c r="AO290" t="str">
        <f>VLOOKUP($Z290,'oddspedia-matches'!$A:$AD,AO$2,0)</f>
        <v>Green</v>
      </c>
      <c r="AP290" t="str">
        <f>VLOOKUP($Z290,'oddspedia-matches'!$A:$AD,AP$2,0)</f>
        <v>Red</v>
      </c>
      <c r="AQ290" t="str">
        <f>VLOOKUP($Z290,'oddspedia-matches'!$A:$AD,AQ$2,0)</f>
        <v>Green</v>
      </c>
    </row>
    <row r="291" spans="2:43" x14ac:dyDescent="0.2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tr">
        <f>VLOOKUP(E291,'Transform table'!A:B,2,0)</f>
        <v>DC United</v>
      </c>
      <c r="Y291" t="str">
        <f>VLOOKUP(F291,'Transform table'!A:B,2,0)</f>
        <v>Toronto FC</v>
      </c>
      <c r="Z291" t="str">
        <f t="shared" si="4"/>
        <v>25/07/2026DC UnitedToronto FC</v>
      </c>
      <c r="AA291" t="str">
        <f>VLOOKUP($Z291,'oddspedia-matches'!$A:$AD,AA$2,0)</f>
        <v>2 - 1</v>
      </c>
      <c r="AB291" t="str">
        <f>VLOOKUP($Z291,'oddspedia-matches'!$A:$AD,AB$2,0)</f>
        <v>Green</v>
      </c>
      <c r="AC291" t="str">
        <f>VLOOKUP($Z291,'oddspedia-matches'!$A:$AD,AC$2,0)</f>
        <v>Red</v>
      </c>
      <c r="AD291" t="str">
        <f>VLOOKUP($Z291,'oddspedia-matches'!$A:$AD,AD$2,0)</f>
        <v>Red</v>
      </c>
      <c r="AE291" t="str">
        <f>VLOOKUP($Z291,'oddspedia-matches'!$A:$AD,AE$2,0)</f>
        <v>Green</v>
      </c>
      <c r="AF291" t="str">
        <f>VLOOKUP($Z291,'oddspedia-matches'!$A:$AD,AF$2,0)</f>
        <v>Red</v>
      </c>
      <c r="AG291" t="str">
        <f>VLOOKUP($Z291,'oddspedia-matches'!$A:$AD,AG$2,0)</f>
        <v>Green</v>
      </c>
      <c r="AH291" t="str">
        <f>VLOOKUP($Z291,'oddspedia-matches'!$A:$AD,AH$2,0)</f>
        <v>Green</v>
      </c>
      <c r="AI291" t="str">
        <f>VLOOKUP($Z291,'oddspedia-matches'!$A:$AD,AI$2,0)</f>
        <v>Red</v>
      </c>
      <c r="AJ291" t="str">
        <f>VLOOKUP($Z291,'oddspedia-matches'!$A:$AD,AJ$2,0)</f>
        <v>Red</v>
      </c>
      <c r="AK291" t="str">
        <f>VLOOKUP($Z291,'oddspedia-matches'!$A:$AD,AK$2,0)</f>
        <v>Green</v>
      </c>
      <c r="AL291" t="str">
        <f>VLOOKUP($Z291,'oddspedia-matches'!$A:$AD,AL$2,0)</f>
        <v>Green</v>
      </c>
      <c r="AM291" t="str">
        <f>VLOOKUP($Z291,'oddspedia-matches'!$A:$AD,AM$2,0)</f>
        <v>Green</v>
      </c>
      <c r="AN291" t="str">
        <f>VLOOKUP($Z291,'oddspedia-matches'!$A:$AD,AN$2,0)</f>
        <v>Red</v>
      </c>
      <c r="AO291" t="str">
        <f>VLOOKUP($Z291,'oddspedia-matches'!$A:$AD,AO$2,0)</f>
        <v>Green</v>
      </c>
      <c r="AP291" t="str">
        <f>VLOOKUP($Z291,'oddspedia-matches'!$A:$AD,AP$2,0)</f>
        <v>Green</v>
      </c>
      <c r="AQ291" t="str">
        <f>VLOOKUP($Z291,'oddspedia-matches'!$A:$AD,AQ$2,0)</f>
        <v>Red</v>
      </c>
    </row>
    <row r="292" spans="2:43" x14ac:dyDescent="0.2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tr">
        <f>VLOOKUP(E292,'Transform table'!A:B,2,0)</f>
        <v>New England Revolution</v>
      </c>
      <c r="Y292" t="str">
        <f>VLOOKUP(F292,'Transform table'!A:B,2,0)</f>
        <v>Atlanta United</v>
      </c>
      <c r="Z292" t="str">
        <f t="shared" si="4"/>
        <v>25/07/2026New England RevolutionAtlanta United</v>
      </c>
      <c r="AA292" t="str">
        <f>VLOOKUP($Z292,'oddspedia-matches'!$A:$AD,AA$2,0)</f>
        <v>4 - 1</v>
      </c>
      <c r="AB292" t="str">
        <f>VLOOKUP($Z292,'oddspedia-matches'!$A:$AD,AB$2,0)</f>
        <v>Green</v>
      </c>
      <c r="AC292" t="str">
        <f>VLOOKUP($Z292,'oddspedia-matches'!$A:$AD,AC$2,0)</f>
        <v>Red</v>
      </c>
      <c r="AD292" t="str">
        <f>VLOOKUP($Z292,'oddspedia-matches'!$A:$AD,AD$2,0)</f>
        <v>Red</v>
      </c>
      <c r="AE292" t="str">
        <f>VLOOKUP($Z292,'oddspedia-matches'!$A:$AD,AE$2,0)</f>
        <v>Green</v>
      </c>
      <c r="AF292" t="str">
        <f>VLOOKUP($Z292,'oddspedia-matches'!$A:$AD,AF$2,0)</f>
        <v>Red</v>
      </c>
      <c r="AG292" t="str">
        <f>VLOOKUP($Z292,'oddspedia-matches'!$A:$AD,AG$2,0)</f>
        <v>Green</v>
      </c>
      <c r="AH292" t="str">
        <f>VLOOKUP($Z292,'oddspedia-matches'!$A:$AD,AH$2,0)</f>
        <v>Green</v>
      </c>
      <c r="AI292" t="str">
        <f>VLOOKUP($Z292,'oddspedia-matches'!$A:$AD,AI$2,0)</f>
        <v>Red</v>
      </c>
      <c r="AJ292" t="str">
        <f>VLOOKUP($Z292,'oddspedia-matches'!$A:$AD,AJ$2,0)</f>
        <v>Red</v>
      </c>
      <c r="AK292" t="str">
        <f>VLOOKUP($Z292,'oddspedia-matches'!$A:$AD,AK$2,0)</f>
        <v>Green</v>
      </c>
      <c r="AL292" t="str">
        <f>VLOOKUP($Z292,'oddspedia-matches'!$A:$AD,AL$2,0)</f>
        <v>Green</v>
      </c>
      <c r="AM292" t="str">
        <f>VLOOKUP($Z292,'oddspedia-matches'!$A:$AD,AM$2,0)</f>
        <v>Green</v>
      </c>
      <c r="AN292" t="str">
        <f>VLOOKUP($Z292,'oddspedia-matches'!$A:$AD,AN$2,0)</f>
        <v>Red</v>
      </c>
      <c r="AO292" t="str">
        <f>VLOOKUP($Z292,'oddspedia-matches'!$A:$AD,AO$2,0)</f>
        <v>Red</v>
      </c>
      <c r="AP292" t="str">
        <f>VLOOKUP($Z292,'oddspedia-matches'!$A:$AD,AP$2,0)</f>
        <v>Green</v>
      </c>
      <c r="AQ292" t="str">
        <f>VLOOKUP($Z292,'oddspedia-matches'!$A:$AD,AQ$2,0)</f>
        <v>Red</v>
      </c>
    </row>
    <row r="293" spans="2:43" x14ac:dyDescent="0.2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tr">
        <f>VLOOKUP(E293,'Transform table'!A:B,2,0)</f>
        <v>New York City</v>
      </c>
      <c r="Y293" t="str">
        <f>VLOOKUP(F293,'Transform table'!A:B,2,0)</f>
        <v>Chicago Fire</v>
      </c>
      <c r="Z293" t="str">
        <f t="shared" si="4"/>
        <v>25/07/2026New York CityChicago Fire</v>
      </c>
      <c r="AA293" t="str">
        <f>VLOOKUP($Z293,'oddspedia-matches'!$A:$AD,AA$2,0)</f>
        <v>3 - 1</v>
      </c>
      <c r="AB293" t="str">
        <f>VLOOKUP($Z293,'oddspedia-matches'!$A:$AD,AB$2,0)</f>
        <v>Green</v>
      </c>
      <c r="AC293" t="str">
        <f>VLOOKUP($Z293,'oddspedia-matches'!$A:$AD,AC$2,0)</f>
        <v>Red</v>
      </c>
      <c r="AD293" t="str">
        <f>VLOOKUP($Z293,'oddspedia-matches'!$A:$AD,AD$2,0)</f>
        <v>Red</v>
      </c>
      <c r="AE293" t="str">
        <f>VLOOKUP($Z293,'oddspedia-matches'!$A:$AD,AE$2,0)</f>
        <v>Green</v>
      </c>
      <c r="AF293" t="str">
        <f>VLOOKUP($Z293,'oddspedia-matches'!$A:$AD,AF$2,0)</f>
        <v>Red</v>
      </c>
      <c r="AG293" t="str">
        <f>VLOOKUP($Z293,'oddspedia-matches'!$A:$AD,AG$2,0)</f>
        <v>Green</v>
      </c>
      <c r="AH293" t="str">
        <f>VLOOKUP($Z293,'oddspedia-matches'!$A:$AD,AH$2,0)</f>
        <v>Green</v>
      </c>
      <c r="AI293" t="str">
        <f>VLOOKUP($Z293,'oddspedia-matches'!$A:$AD,AI$2,0)</f>
        <v>Red</v>
      </c>
      <c r="AJ293" t="str">
        <f>VLOOKUP($Z293,'oddspedia-matches'!$A:$AD,AJ$2,0)</f>
        <v>Red</v>
      </c>
      <c r="AK293" t="str">
        <f>VLOOKUP($Z293,'oddspedia-matches'!$A:$AD,AK$2,0)</f>
        <v>Green</v>
      </c>
      <c r="AL293" t="str">
        <f>VLOOKUP($Z293,'oddspedia-matches'!$A:$AD,AL$2,0)</f>
        <v>Green</v>
      </c>
      <c r="AM293" t="str">
        <f>VLOOKUP($Z293,'oddspedia-matches'!$A:$AD,AM$2,0)</f>
        <v>Green</v>
      </c>
      <c r="AN293" t="str">
        <f>VLOOKUP($Z293,'oddspedia-matches'!$A:$AD,AN$2,0)</f>
        <v>Red</v>
      </c>
      <c r="AO293" t="str">
        <f>VLOOKUP($Z293,'oddspedia-matches'!$A:$AD,AO$2,0)</f>
        <v>Red</v>
      </c>
      <c r="AP293" t="str">
        <f>VLOOKUP($Z293,'oddspedia-matches'!$A:$AD,AP$2,0)</f>
        <v>Green</v>
      </c>
      <c r="AQ293" t="str">
        <f>VLOOKUP($Z293,'oddspedia-matches'!$A:$AD,AQ$2,0)</f>
        <v>Red</v>
      </c>
    </row>
    <row r="294" spans="2:43" x14ac:dyDescent="0.2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tr">
        <f>VLOOKUP(E294,'Transform table'!A:B,2,0)</f>
        <v>Orlando City</v>
      </c>
      <c r="Y294" t="str">
        <f>VLOOKUP(F294,'Transform table'!A:B,2,0)</f>
        <v>Nashville FC</v>
      </c>
      <c r="Z294" t="str">
        <f t="shared" si="4"/>
        <v>25/07/2026Orlando CityNashville FC</v>
      </c>
      <c r="AA294" t="str">
        <f>VLOOKUP($Z294,'oddspedia-matches'!$A:$AD,AA$2,0)</f>
        <v>1 - 0</v>
      </c>
      <c r="AB294" t="str">
        <f>VLOOKUP($Z294,'oddspedia-matches'!$A:$AD,AB$2,0)</f>
        <v>Green</v>
      </c>
      <c r="AC294" t="str">
        <f>VLOOKUP($Z294,'oddspedia-matches'!$A:$AD,AC$2,0)</f>
        <v>Red</v>
      </c>
      <c r="AD294" t="str">
        <f>VLOOKUP($Z294,'oddspedia-matches'!$A:$AD,AD$2,0)</f>
        <v>Red</v>
      </c>
      <c r="AE294" t="str">
        <f>VLOOKUP($Z294,'oddspedia-matches'!$A:$AD,AE$2,0)</f>
        <v>Green</v>
      </c>
      <c r="AF294" t="str">
        <f>VLOOKUP($Z294,'oddspedia-matches'!$A:$AD,AF$2,0)</f>
        <v>Red</v>
      </c>
      <c r="AG294" t="str">
        <f>VLOOKUP($Z294,'oddspedia-matches'!$A:$AD,AG$2,0)</f>
        <v>Green</v>
      </c>
      <c r="AH294" t="str">
        <f>VLOOKUP($Z294,'oddspedia-matches'!$A:$AD,AH$2,0)</f>
        <v>Red</v>
      </c>
      <c r="AI294" t="str">
        <f>VLOOKUP($Z294,'oddspedia-matches'!$A:$AD,AI$2,0)</f>
        <v>Green</v>
      </c>
      <c r="AJ294" t="str">
        <f>VLOOKUP($Z294,'oddspedia-matches'!$A:$AD,AJ$2,0)</f>
        <v>Red</v>
      </c>
      <c r="AK294" t="str">
        <f>VLOOKUP($Z294,'oddspedia-matches'!$A:$AD,AK$2,0)</f>
        <v>Red</v>
      </c>
      <c r="AL294" t="str">
        <f>VLOOKUP($Z294,'oddspedia-matches'!$A:$AD,AL$2,0)</f>
        <v>Red</v>
      </c>
      <c r="AM294" t="str">
        <f>VLOOKUP($Z294,'oddspedia-matches'!$A:$AD,AM$2,0)</f>
        <v>Red</v>
      </c>
      <c r="AN294" t="str">
        <f>VLOOKUP($Z294,'oddspedia-matches'!$A:$AD,AN$2,0)</f>
        <v>Green</v>
      </c>
      <c r="AO294" t="str">
        <f>VLOOKUP($Z294,'oddspedia-matches'!$A:$AD,AO$2,0)</f>
        <v>Green</v>
      </c>
      <c r="AP294" t="str">
        <f>VLOOKUP($Z294,'oddspedia-matches'!$A:$AD,AP$2,0)</f>
        <v>Red</v>
      </c>
      <c r="AQ294" t="str">
        <f>VLOOKUP($Z294,'oddspedia-matches'!$A:$AD,AQ$2,0)</f>
        <v>Green</v>
      </c>
    </row>
    <row r="295" spans="2:43" x14ac:dyDescent="0.2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tr">
        <f>VLOOKUP(E295,'Transform table'!A:B,2,0)</f>
        <v>Philadelphia Union</v>
      </c>
      <c r="Y295" t="str">
        <f>VLOOKUP(F295,'Transform table'!A:B,2,0)</f>
        <v>Seattle Sounders FC</v>
      </c>
      <c r="Z295" t="str">
        <f t="shared" si="4"/>
        <v>25/07/2026Philadelphia UnionSeattle Sounders FC</v>
      </c>
      <c r="AA295" t="str">
        <f>VLOOKUP($Z295,'oddspedia-matches'!$A:$AD,AA$2,0)</f>
        <v>1 - 0</v>
      </c>
      <c r="AB295" t="str">
        <f>VLOOKUP($Z295,'oddspedia-matches'!$A:$AD,AB$2,0)</f>
        <v>Green</v>
      </c>
      <c r="AC295" t="str">
        <f>VLOOKUP($Z295,'oddspedia-matches'!$A:$AD,AC$2,0)</f>
        <v>Red</v>
      </c>
      <c r="AD295" t="str">
        <f>VLOOKUP($Z295,'oddspedia-matches'!$A:$AD,AD$2,0)</f>
        <v>Red</v>
      </c>
      <c r="AE295" t="str">
        <f>VLOOKUP($Z295,'oddspedia-matches'!$A:$AD,AE$2,0)</f>
        <v>Green</v>
      </c>
      <c r="AF295" t="str">
        <f>VLOOKUP($Z295,'oddspedia-matches'!$A:$AD,AF$2,0)</f>
        <v>Red</v>
      </c>
      <c r="AG295" t="str">
        <f>VLOOKUP($Z295,'oddspedia-matches'!$A:$AD,AG$2,0)</f>
        <v>Green</v>
      </c>
      <c r="AH295" t="str">
        <f>VLOOKUP($Z295,'oddspedia-matches'!$A:$AD,AH$2,0)</f>
        <v>Green</v>
      </c>
      <c r="AI295" t="str">
        <f>VLOOKUP($Z295,'oddspedia-matches'!$A:$AD,AI$2,0)</f>
        <v>Red</v>
      </c>
      <c r="AJ295" t="str">
        <f>VLOOKUP($Z295,'oddspedia-matches'!$A:$AD,AJ$2,0)</f>
        <v>Red</v>
      </c>
      <c r="AK295" t="str">
        <f>VLOOKUP($Z295,'oddspedia-matches'!$A:$AD,AK$2,0)</f>
        <v>Green</v>
      </c>
      <c r="AL295" t="str">
        <f>VLOOKUP($Z295,'oddspedia-matches'!$A:$AD,AL$2,0)</f>
        <v>Red</v>
      </c>
      <c r="AM295" t="str">
        <f>VLOOKUP($Z295,'oddspedia-matches'!$A:$AD,AM$2,0)</f>
        <v>Red</v>
      </c>
      <c r="AN295" t="str">
        <f>VLOOKUP($Z295,'oddspedia-matches'!$A:$AD,AN$2,0)</f>
        <v>Green</v>
      </c>
      <c r="AO295" t="str">
        <f>VLOOKUP($Z295,'oddspedia-matches'!$A:$AD,AO$2,0)</f>
        <v>Green</v>
      </c>
      <c r="AP295" t="str">
        <f>VLOOKUP($Z295,'oddspedia-matches'!$A:$AD,AP$2,0)</f>
        <v>Red</v>
      </c>
      <c r="AQ295" t="str">
        <f>VLOOKUP($Z295,'oddspedia-matches'!$A:$AD,AQ$2,0)</f>
        <v>Green</v>
      </c>
    </row>
    <row r="296" spans="2:43" x14ac:dyDescent="0.2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tr">
        <f>VLOOKUP(E296,'Transform table'!A:B,2,0)</f>
        <v>Carolina Core</v>
      </c>
      <c r="Y296" t="str">
        <f>VLOOKUP(F296,'Transform table'!A:B,2,0)</f>
        <v>Chicago Fire II</v>
      </c>
      <c r="Z296" t="str">
        <f t="shared" si="4"/>
        <v>25/07/2026Carolina CoreChicago Fire II</v>
      </c>
      <c r="AA296" t="str">
        <f>VLOOKUP($Z296,'oddspedia-matches'!$A:$AD,AA$2,0)</f>
        <v>1 - 5</v>
      </c>
      <c r="AB296" t="str">
        <f>VLOOKUP($Z296,'oddspedia-matches'!$A:$AD,AB$2,0)</f>
        <v>Red</v>
      </c>
      <c r="AC296" t="str">
        <f>VLOOKUP($Z296,'oddspedia-matches'!$A:$AD,AC$2,0)</f>
        <v>Red</v>
      </c>
      <c r="AD296" t="str">
        <f>VLOOKUP($Z296,'oddspedia-matches'!$A:$AD,AD$2,0)</f>
        <v>Green</v>
      </c>
      <c r="AE296" t="str">
        <f>VLOOKUP($Z296,'oddspedia-matches'!$A:$AD,AE$2,0)</f>
        <v>Red</v>
      </c>
      <c r="AF296" t="str">
        <f>VLOOKUP($Z296,'oddspedia-matches'!$A:$AD,AF$2,0)</f>
        <v>Green</v>
      </c>
      <c r="AG296" t="str">
        <f>VLOOKUP($Z296,'oddspedia-matches'!$A:$AD,AG$2,0)</f>
        <v>Green</v>
      </c>
      <c r="AH296" t="str">
        <f>VLOOKUP($Z296,'oddspedia-matches'!$A:$AD,AH$2,0)</f>
        <v>Red</v>
      </c>
      <c r="AI296" t="str">
        <f>VLOOKUP($Z296,'oddspedia-matches'!$A:$AD,AI$2,0)</f>
        <v>Red</v>
      </c>
      <c r="AJ296" t="str">
        <f>VLOOKUP($Z296,'oddspedia-matches'!$A:$AD,AJ$2,0)</f>
        <v>Green</v>
      </c>
      <c r="AK296" t="str">
        <f>VLOOKUP($Z296,'oddspedia-matches'!$A:$AD,AK$2,0)</f>
        <v>Green</v>
      </c>
      <c r="AL296" t="str">
        <f>VLOOKUP($Z296,'oddspedia-matches'!$A:$AD,AL$2,0)</f>
        <v>Green</v>
      </c>
      <c r="AM296" t="str">
        <f>VLOOKUP($Z296,'oddspedia-matches'!$A:$AD,AM$2,0)</f>
        <v>Green</v>
      </c>
      <c r="AN296" t="str">
        <f>VLOOKUP($Z296,'oddspedia-matches'!$A:$AD,AN$2,0)</f>
        <v>Red</v>
      </c>
      <c r="AO296" t="str">
        <f>VLOOKUP($Z296,'oddspedia-matches'!$A:$AD,AO$2,0)</f>
        <v>Red</v>
      </c>
      <c r="AP296" t="str">
        <f>VLOOKUP($Z296,'oddspedia-matches'!$A:$AD,AP$2,0)</f>
        <v>Green</v>
      </c>
      <c r="AQ296" t="str">
        <f>VLOOKUP($Z296,'oddspedia-matches'!$A:$AD,AQ$2,0)</f>
        <v>Red</v>
      </c>
    </row>
    <row r="297" spans="2:43" x14ac:dyDescent="0.2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tr">
        <f>VLOOKUP(E297,'Transform table'!A:B,2,0)</f>
        <v>Universidad Central de Venezuela</v>
      </c>
      <c r="Y297" t="str">
        <f>VLOOKUP(F297,'Transform table'!A:B,2,0)</f>
        <v>CD La Serena</v>
      </c>
      <c r="Z297" t="str">
        <f t="shared" si="4"/>
        <v>25/07/2026Universidad Central de VenezuelaCD La Serena</v>
      </c>
      <c r="AA297" t="e">
        <f>VLOOKUP($Z297,'oddspedia-matches'!$A:$AD,AA$2,0)</f>
        <v>#N/A</v>
      </c>
      <c r="AB297" t="e">
        <f>VLOOKUP($Z297,'oddspedia-matches'!$A:$AD,AB$2,0)</f>
        <v>#N/A</v>
      </c>
      <c r="AC297" t="e">
        <f>VLOOKUP($Z297,'oddspedia-matches'!$A:$AD,AC$2,0)</f>
        <v>#N/A</v>
      </c>
      <c r="AD297" t="e">
        <f>VLOOKUP($Z297,'oddspedia-matches'!$A:$AD,AD$2,0)</f>
        <v>#N/A</v>
      </c>
      <c r="AE297" t="e">
        <f>VLOOKUP($Z297,'oddspedia-matches'!$A:$AD,AE$2,0)</f>
        <v>#N/A</v>
      </c>
      <c r="AF297" t="e">
        <f>VLOOKUP($Z297,'oddspedia-matches'!$A:$AD,AF$2,0)</f>
        <v>#N/A</v>
      </c>
      <c r="AG297" t="e">
        <f>VLOOKUP($Z297,'oddspedia-matches'!$A:$AD,AG$2,0)</f>
        <v>#N/A</v>
      </c>
      <c r="AH297" t="e">
        <f>VLOOKUP($Z297,'oddspedia-matches'!$A:$AD,AH$2,0)</f>
        <v>#N/A</v>
      </c>
      <c r="AI297" t="e">
        <f>VLOOKUP($Z297,'oddspedia-matches'!$A:$AD,AI$2,0)</f>
        <v>#N/A</v>
      </c>
      <c r="AJ297" t="e">
        <f>VLOOKUP($Z297,'oddspedia-matches'!$A:$AD,AJ$2,0)</f>
        <v>#N/A</v>
      </c>
      <c r="AK297" t="e">
        <f>VLOOKUP($Z297,'oddspedia-matches'!$A:$AD,AK$2,0)</f>
        <v>#N/A</v>
      </c>
      <c r="AL297" t="e">
        <f>VLOOKUP($Z297,'oddspedia-matches'!$A:$AD,AL$2,0)</f>
        <v>#N/A</v>
      </c>
      <c r="AM297" t="e">
        <f>VLOOKUP($Z297,'oddspedia-matches'!$A:$AD,AM$2,0)</f>
        <v>#N/A</v>
      </c>
      <c r="AN297" t="e">
        <f>VLOOKUP($Z297,'oddspedia-matches'!$A:$AD,AN$2,0)</f>
        <v>#N/A</v>
      </c>
      <c r="AO297" t="e">
        <f>VLOOKUP($Z297,'oddspedia-matches'!$A:$AD,AO$2,0)</f>
        <v>#N/A</v>
      </c>
      <c r="AP297" t="e">
        <f>VLOOKUP($Z297,'oddspedia-matches'!$A:$AD,AP$2,0)</f>
        <v>#N/A</v>
      </c>
      <c r="AQ297" t="e">
        <f>VLOOKUP($Z297,'oddspedia-matches'!$A:$AD,AQ$2,0)</f>
        <v>#N/A</v>
      </c>
    </row>
    <row r="298" spans="2:43" x14ac:dyDescent="0.2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tr">
        <f>VLOOKUP(E298,'Transform table'!A:B,2,0)</f>
        <v>Real Cartagena</v>
      </c>
      <c r="Y298" t="str">
        <f>VLOOKUP(F298,'Transform table'!A:B,2,0)</f>
        <v>Real Santander</v>
      </c>
      <c r="Z298" t="str">
        <f t="shared" si="4"/>
        <v>25/07/2026Real CartagenaReal Santander</v>
      </c>
      <c r="AA298" t="str">
        <f>VLOOKUP($Z298,'oddspedia-matches'!$A:$AD,AA$2,0)</f>
        <v>5 - 1</v>
      </c>
      <c r="AB298" t="str">
        <f>VLOOKUP($Z298,'oddspedia-matches'!$A:$AD,AB$2,0)</f>
        <v>Green</v>
      </c>
      <c r="AC298" t="str">
        <f>VLOOKUP($Z298,'oddspedia-matches'!$A:$AD,AC$2,0)</f>
        <v>Red</v>
      </c>
      <c r="AD298" t="str">
        <f>VLOOKUP($Z298,'oddspedia-matches'!$A:$AD,AD$2,0)</f>
        <v>Red</v>
      </c>
      <c r="AE298" t="str">
        <f>VLOOKUP($Z298,'oddspedia-matches'!$A:$AD,AE$2,0)</f>
        <v>Green</v>
      </c>
      <c r="AF298" t="str">
        <f>VLOOKUP($Z298,'oddspedia-matches'!$A:$AD,AF$2,0)</f>
        <v>Red</v>
      </c>
      <c r="AG298" t="str">
        <f>VLOOKUP($Z298,'oddspedia-matches'!$A:$AD,AG$2,0)</f>
        <v>Green</v>
      </c>
      <c r="AH298" t="str">
        <f>VLOOKUP($Z298,'oddspedia-matches'!$A:$AD,AH$2,0)</f>
        <v>Green</v>
      </c>
      <c r="AI298" t="str">
        <f>VLOOKUP($Z298,'oddspedia-matches'!$A:$AD,AI$2,0)</f>
        <v>Red</v>
      </c>
      <c r="AJ298" t="str">
        <f>VLOOKUP($Z298,'oddspedia-matches'!$A:$AD,AJ$2,0)</f>
        <v>Red</v>
      </c>
      <c r="AK298" t="str">
        <f>VLOOKUP($Z298,'oddspedia-matches'!$A:$AD,AK$2,0)</f>
        <v>Green</v>
      </c>
      <c r="AL298" t="str">
        <f>VLOOKUP($Z298,'oddspedia-matches'!$A:$AD,AL$2,0)</f>
        <v>Green</v>
      </c>
      <c r="AM298" t="str">
        <f>VLOOKUP($Z298,'oddspedia-matches'!$A:$AD,AM$2,0)</f>
        <v>Green</v>
      </c>
      <c r="AN298" t="str">
        <f>VLOOKUP($Z298,'oddspedia-matches'!$A:$AD,AN$2,0)</f>
        <v>Red</v>
      </c>
      <c r="AO298" t="str">
        <f>VLOOKUP($Z298,'oddspedia-matches'!$A:$AD,AO$2,0)</f>
        <v>Red</v>
      </c>
      <c r="AP298" t="str">
        <f>VLOOKUP($Z298,'oddspedia-matches'!$A:$AD,AP$2,0)</f>
        <v>Green</v>
      </c>
      <c r="AQ298" t="str">
        <f>VLOOKUP($Z298,'oddspedia-matches'!$A:$AD,AQ$2,0)</f>
        <v>Red</v>
      </c>
    </row>
    <row r="299" spans="2:43" x14ac:dyDescent="0.2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tr">
        <f>VLOOKUP(E299,'Transform table'!A:B,2,0)</f>
        <v>Tecnico Universitario</v>
      </c>
      <c r="Y299" t="str">
        <f>VLOOKUP(F299,'Transform table'!A:B,2,0)</f>
        <v>Manta FC</v>
      </c>
      <c r="Z299" t="str">
        <f t="shared" si="4"/>
        <v>25/07/2026Tecnico UniversitarioManta FC</v>
      </c>
      <c r="AA299" t="str">
        <f>VLOOKUP($Z299,'oddspedia-matches'!$A:$AD,AA$2,0)</f>
        <v>1 - 0</v>
      </c>
      <c r="AB299" t="str">
        <f>VLOOKUP($Z299,'oddspedia-matches'!$A:$AD,AB$2,0)</f>
        <v>Green</v>
      </c>
      <c r="AC299" t="str">
        <f>VLOOKUP($Z299,'oddspedia-matches'!$A:$AD,AC$2,0)</f>
        <v>Red</v>
      </c>
      <c r="AD299" t="str">
        <f>VLOOKUP($Z299,'oddspedia-matches'!$A:$AD,AD$2,0)</f>
        <v>Red</v>
      </c>
      <c r="AE299" t="str">
        <f>VLOOKUP($Z299,'oddspedia-matches'!$A:$AD,AE$2,0)</f>
        <v>Green</v>
      </c>
      <c r="AF299" t="str">
        <f>VLOOKUP($Z299,'oddspedia-matches'!$A:$AD,AF$2,0)</f>
        <v>Red</v>
      </c>
      <c r="AG299" t="str">
        <f>VLOOKUP($Z299,'oddspedia-matches'!$A:$AD,AG$2,0)</f>
        <v>Green</v>
      </c>
      <c r="AH299" t="str">
        <f>VLOOKUP($Z299,'oddspedia-matches'!$A:$AD,AH$2,0)</f>
        <v>Red</v>
      </c>
      <c r="AI299" t="str">
        <f>VLOOKUP($Z299,'oddspedia-matches'!$A:$AD,AI$2,0)</f>
        <v>Green</v>
      </c>
      <c r="AJ299" t="str">
        <f>VLOOKUP($Z299,'oddspedia-matches'!$A:$AD,AJ$2,0)</f>
        <v>Red</v>
      </c>
      <c r="AK299" t="str">
        <f>VLOOKUP($Z299,'oddspedia-matches'!$A:$AD,AK$2,0)</f>
        <v>Red</v>
      </c>
      <c r="AL299" t="str">
        <f>VLOOKUP($Z299,'oddspedia-matches'!$A:$AD,AL$2,0)</f>
        <v>Red</v>
      </c>
      <c r="AM299" t="str">
        <f>VLOOKUP($Z299,'oddspedia-matches'!$A:$AD,AM$2,0)</f>
        <v>Red</v>
      </c>
      <c r="AN299" t="str">
        <f>VLOOKUP($Z299,'oddspedia-matches'!$A:$AD,AN$2,0)</f>
        <v>Green</v>
      </c>
      <c r="AO299" t="str">
        <f>VLOOKUP($Z299,'oddspedia-matches'!$A:$AD,AO$2,0)</f>
        <v>Green</v>
      </c>
      <c r="AP299" t="str">
        <f>VLOOKUP($Z299,'oddspedia-matches'!$A:$AD,AP$2,0)</f>
        <v>Red</v>
      </c>
      <c r="AQ299" t="str">
        <f>VLOOKUP($Z299,'oddspedia-matches'!$A:$AD,AQ$2,0)</f>
        <v>Green</v>
      </c>
    </row>
    <row r="300" spans="2:43" x14ac:dyDescent="0.2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tr">
        <f>VLOOKUP(E300,'Transform table'!A:B,2,0)</f>
        <v>Lanus</v>
      </c>
      <c r="Y300" t="str">
        <f>VLOOKUP(F300,'Transform table'!A:B,2,0)</f>
        <v>San Lorenzo</v>
      </c>
      <c r="Z300" t="str">
        <f t="shared" si="4"/>
        <v>25/07/2026LanusSan Lorenzo</v>
      </c>
      <c r="AA300" t="str">
        <f>VLOOKUP($Z300,'oddspedia-matches'!$A:$AD,AA$2,0)</f>
        <v>1 - 0</v>
      </c>
      <c r="AB300" t="str">
        <f>VLOOKUP($Z300,'oddspedia-matches'!$A:$AD,AB$2,0)</f>
        <v>Green</v>
      </c>
      <c r="AC300" t="str">
        <f>VLOOKUP($Z300,'oddspedia-matches'!$A:$AD,AC$2,0)</f>
        <v>Red</v>
      </c>
      <c r="AD300" t="str">
        <f>VLOOKUP($Z300,'oddspedia-matches'!$A:$AD,AD$2,0)</f>
        <v>Red</v>
      </c>
      <c r="AE300" t="str">
        <f>VLOOKUP($Z300,'oddspedia-matches'!$A:$AD,AE$2,0)</f>
        <v>Green</v>
      </c>
      <c r="AF300" t="str">
        <f>VLOOKUP($Z300,'oddspedia-matches'!$A:$AD,AF$2,0)</f>
        <v>Red</v>
      </c>
      <c r="AG300" t="str">
        <f>VLOOKUP($Z300,'oddspedia-matches'!$A:$AD,AG$2,0)</f>
        <v>Green</v>
      </c>
      <c r="AH300" t="str">
        <f>VLOOKUP($Z300,'oddspedia-matches'!$A:$AD,AH$2,0)</f>
        <v>Red</v>
      </c>
      <c r="AI300" t="str">
        <f>VLOOKUP($Z300,'oddspedia-matches'!$A:$AD,AI$2,0)</f>
        <v>Green</v>
      </c>
      <c r="AJ300" t="str">
        <f>VLOOKUP($Z300,'oddspedia-matches'!$A:$AD,AJ$2,0)</f>
        <v>Red</v>
      </c>
      <c r="AK300" t="str">
        <f>VLOOKUP($Z300,'oddspedia-matches'!$A:$AD,AK$2,0)</f>
        <v>Red</v>
      </c>
      <c r="AL300" t="str">
        <f>VLOOKUP($Z300,'oddspedia-matches'!$A:$AD,AL$2,0)</f>
        <v>Red</v>
      </c>
      <c r="AM300" t="str">
        <f>VLOOKUP($Z300,'oddspedia-matches'!$A:$AD,AM$2,0)</f>
        <v>Red</v>
      </c>
      <c r="AN300" t="str">
        <f>VLOOKUP($Z300,'oddspedia-matches'!$A:$AD,AN$2,0)</f>
        <v>Green</v>
      </c>
      <c r="AO300" t="str">
        <f>VLOOKUP($Z300,'oddspedia-matches'!$A:$AD,AO$2,0)</f>
        <v>Green</v>
      </c>
      <c r="AP300" t="str">
        <f>VLOOKUP($Z300,'oddspedia-matches'!$A:$AD,AP$2,0)</f>
        <v>Red</v>
      </c>
      <c r="AQ300" t="str">
        <f>VLOOKUP($Z300,'oddspedia-matches'!$A:$AD,AQ$2,0)</f>
        <v>Green</v>
      </c>
    </row>
    <row r="301" spans="2:43" x14ac:dyDescent="0.2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tr">
        <f>VLOOKUP(E301,'Transform table'!A:B,2,0)</f>
        <v>Houston Dynamo</v>
      </c>
      <c r="Y301" t="str">
        <f>VLOOKUP(F301,'Transform table'!A:B,2,0)</f>
        <v>Austin FC</v>
      </c>
      <c r="Z301" t="str">
        <f t="shared" si="4"/>
        <v>25/07/2026Houston DynamoAustin FC</v>
      </c>
      <c r="AA301" t="str">
        <f>VLOOKUP($Z301,'oddspedia-matches'!$A:$AD,AA$2,0)</f>
        <v>3 - 0</v>
      </c>
      <c r="AB301" t="str">
        <f>VLOOKUP($Z301,'oddspedia-matches'!$A:$AD,AB$2,0)</f>
        <v>Green</v>
      </c>
      <c r="AC301" t="str">
        <f>VLOOKUP($Z301,'oddspedia-matches'!$A:$AD,AC$2,0)</f>
        <v>Red</v>
      </c>
      <c r="AD301" t="str">
        <f>VLOOKUP($Z301,'oddspedia-matches'!$A:$AD,AD$2,0)</f>
        <v>Red</v>
      </c>
      <c r="AE301" t="str">
        <f>VLOOKUP($Z301,'oddspedia-matches'!$A:$AD,AE$2,0)</f>
        <v>Green</v>
      </c>
      <c r="AF301" t="str">
        <f>VLOOKUP($Z301,'oddspedia-matches'!$A:$AD,AF$2,0)</f>
        <v>Red</v>
      </c>
      <c r="AG301" t="str">
        <f>VLOOKUP($Z301,'oddspedia-matches'!$A:$AD,AG$2,0)</f>
        <v>Green</v>
      </c>
      <c r="AH301" t="str">
        <f>VLOOKUP($Z301,'oddspedia-matches'!$A:$AD,AH$2,0)</f>
        <v>Green</v>
      </c>
      <c r="AI301" t="str">
        <f>VLOOKUP($Z301,'oddspedia-matches'!$A:$AD,AI$2,0)</f>
        <v>Red</v>
      </c>
      <c r="AJ301" t="str">
        <f>VLOOKUP($Z301,'oddspedia-matches'!$A:$AD,AJ$2,0)</f>
        <v>Red</v>
      </c>
      <c r="AK301" t="str">
        <f>VLOOKUP($Z301,'oddspedia-matches'!$A:$AD,AK$2,0)</f>
        <v>Green</v>
      </c>
      <c r="AL301" t="str">
        <f>VLOOKUP($Z301,'oddspedia-matches'!$A:$AD,AL$2,0)</f>
        <v>Green</v>
      </c>
      <c r="AM301" t="str">
        <f>VLOOKUP($Z301,'oddspedia-matches'!$A:$AD,AM$2,0)</f>
        <v>Green</v>
      </c>
      <c r="AN301" t="str">
        <f>VLOOKUP($Z301,'oddspedia-matches'!$A:$AD,AN$2,0)</f>
        <v>Red</v>
      </c>
      <c r="AO301" t="str">
        <f>VLOOKUP($Z301,'oddspedia-matches'!$A:$AD,AO$2,0)</f>
        <v>Green</v>
      </c>
      <c r="AP301" t="str">
        <f>VLOOKUP($Z301,'oddspedia-matches'!$A:$AD,AP$2,0)</f>
        <v>Red</v>
      </c>
      <c r="AQ301" t="str">
        <f>VLOOKUP($Z301,'oddspedia-matches'!$A:$AD,AQ$2,0)</f>
        <v>Green</v>
      </c>
    </row>
    <row r="302" spans="2:43" x14ac:dyDescent="0.2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tr">
        <f>VLOOKUP(E302,'Transform table'!A:B,2,0)</f>
        <v>Minnesota United</v>
      </c>
      <c r="Y302" t="str">
        <f>VLOOKUP(F302,'Transform table'!A:B,2,0)</f>
        <v>Vancouver Whitecaps</v>
      </c>
      <c r="Z302" t="str">
        <f t="shared" si="4"/>
        <v>25/07/2026Minnesota UnitedVancouver Whitecaps</v>
      </c>
      <c r="AA302" t="str">
        <f>VLOOKUP($Z302,'oddspedia-matches'!$A:$AD,AA$2,0)</f>
        <v>0 - 0</v>
      </c>
      <c r="AB302" t="str">
        <f>VLOOKUP($Z302,'oddspedia-matches'!$A:$AD,AB$2,0)</f>
        <v>Red</v>
      </c>
      <c r="AC302" t="str">
        <f>VLOOKUP($Z302,'oddspedia-matches'!$A:$AD,AC$2,0)</f>
        <v>Green</v>
      </c>
      <c r="AD302" t="str">
        <f>VLOOKUP($Z302,'oddspedia-matches'!$A:$AD,AD$2,0)</f>
        <v>Red</v>
      </c>
      <c r="AE302" t="str">
        <f>VLOOKUP($Z302,'oddspedia-matches'!$A:$AD,AE$2,0)</f>
        <v>Green</v>
      </c>
      <c r="AF302" t="str">
        <f>VLOOKUP($Z302,'oddspedia-matches'!$A:$AD,AF$2,0)</f>
        <v>Green</v>
      </c>
      <c r="AG302" t="str">
        <f>VLOOKUP($Z302,'oddspedia-matches'!$A:$AD,AG$2,0)</f>
        <v>Red</v>
      </c>
      <c r="AH302" t="str">
        <f>VLOOKUP($Z302,'oddspedia-matches'!$A:$AD,AH$2,0)</f>
        <v>Red</v>
      </c>
      <c r="AI302" t="str">
        <f>VLOOKUP($Z302,'oddspedia-matches'!$A:$AD,AI$2,0)</f>
        <v>Green</v>
      </c>
      <c r="AJ302" t="str">
        <f>VLOOKUP($Z302,'oddspedia-matches'!$A:$AD,AJ$2,0)</f>
        <v>Red</v>
      </c>
      <c r="AK302" t="str">
        <f>VLOOKUP($Z302,'oddspedia-matches'!$A:$AD,AK$2,0)</f>
        <v>Red</v>
      </c>
      <c r="AL302" t="str">
        <f>VLOOKUP($Z302,'oddspedia-matches'!$A:$AD,AL$2,0)</f>
        <v>Red</v>
      </c>
      <c r="AM302" t="str">
        <f>VLOOKUP($Z302,'oddspedia-matches'!$A:$AD,AM$2,0)</f>
        <v>Red</v>
      </c>
      <c r="AN302" t="str">
        <f>VLOOKUP($Z302,'oddspedia-matches'!$A:$AD,AN$2,0)</f>
        <v>Green</v>
      </c>
      <c r="AO302" t="str">
        <f>VLOOKUP($Z302,'oddspedia-matches'!$A:$AD,AO$2,0)</f>
        <v>Green</v>
      </c>
      <c r="AP302" t="str">
        <f>VLOOKUP($Z302,'oddspedia-matches'!$A:$AD,AP$2,0)</f>
        <v>Red</v>
      </c>
      <c r="AQ302" t="str">
        <f>VLOOKUP($Z302,'oddspedia-matches'!$A:$AD,AQ$2,0)</f>
        <v>Green</v>
      </c>
    </row>
    <row r="303" spans="2:43" x14ac:dyDescent="0.2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tr">
        <f>VLOOKUP(E303,'Transform table'!A:B,2,0)</f>
        <v>Saint Louis City</v>
      </c>
      <c r="Y303" t="str">
        <f>VLOOKUP(F303,'Transform table'!A:B,2,0)</f>
        <v>Colorado Rapids</v>
      </c>
      <c r="Z303" t="str">
        <f t="shared" si="4"/>
        <v>25/07/2026Saint Louis CityColorado Rapids</v>
      </c>
      <c r="AA303" t="str">
        <f>VLOOKUP($Z303,'oddspedia-matches'!$A:$AD,AA$2,0)</f>
        <v>1 - 0</v>
      </c>
      <c r="AB303" t="str">
        <f>VLOOKUP($Z303,'oddspedia-matches'!$A:$AD,AB$2,0)</f>
        <v>Green</v>
      </c>
      <c r="AC303" t="str">
        <f>VLOOKUP($Z303,'oddspedia-matches'!$A:$AD,AC$2,0)</f>
        <v>Red</v>
      </c>
      <c r="AD303" t="str">
        <f>VLOOKUP($Z303,'oddspedia-matches'!$A:$AD,AD$2,0)</f>
        <v>Red</v>
      </c>
      <c r="AE303" t="str">
        <f>VLOOKUP($Z303,'oddspedia-matches'!$A:$AD,AE$2,0)</f>
        <v>Green</v>
      </c>
      <c r="AF303" t="str">
        <f>VLOOKUP($Z303,'oddspedia-matches'!$A:$AD,AF$2,0)</f>
        <v>Red</v>
      </c>
      <c r="AG303" t="str">
        <f>VLOOKUP($Z303,'oddspedia-matches'!$A:$AD,AG$2,0)</f>
        <v>Green</v>
      </c>
      <c r="AH303" t="str">
        <f>VLOOKUP($Z303,'oddspedia-matches'!$A:$AD,AH$2,0)</f>
        <v>Red</v>
      </c>
      <c r="AI303" t="str">
        <f>VLOOKUP($Z303,'oddspedia-matches'!$A:$AD,AI$2,0)</f>
        <v>Green</v>
      </c>
      <c r="AJ303" t="str">
        <f>VLOOKUP($Z303,'oddspedia-matches'!$A:$AD,AJ$2,0)</f>
        <v>Red</v>
      </c>
      <c r="AK303" t="str">
        <f>VLOOKUP($Z303,'oddspedia-matches'!$A:$AD,AK$2,0)</f>
        <v>Red</v>
      </c>
      <c r="AL303" t="str">
        <f>VLOOKUP($Z303,'oddspedia-matches'!$A:$AD,AL$2,0)</f>
        <v>Red</v>
      </c>
      <c r="AM303" t="str">
        <f>VLOOKUP($Z303,'oddspedia-matches'!$A:$AD,AM$2,0)</f>
        <v>Red</v>
      </c>
      <c r="AN303" t="str">
        <f>VLOOKUP($Z303,'oddspedia-matches'!$A:$AD,AN$2,0)</f>
        <v>Green</v>
      </c>
      <c r="AO303" t="str">
        <f>VLOOKUP($Z303,'oddspedia-matches'!$A:$AD,AO$2,0)</f>
        <v>Green</v>
      </c>
      <c r="AP303" t="str">
        <f>VLOOKUP($Z303,'oddspedia-matches'!$A:$AD,AP$2,0)</f>
        <v>Red</v>
      </c>
      <c r="AQ303" t="str">
        <f>VLOOKUP($Z303,'oddspedia-matches'!$A:$AD,AQ$2,0)</f>
        <v>Green</v>
      </c>
    </row>
    <row r="304" spans="2:43" x14ac:dyDescent="0.2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>
        <f>VLOOKUP(E304,'Transform table'!A:B,2,0)</f>
        <v>0</v>
      </c>
      <c r="Y304" t="str">
        <f>VLOOKUP(F304,'Transform table'!A:B,2,0)</f>
        <v>Lexington SC</v>
      </c>
      <c r="Z304" t="str">
        <f t="shared" si="4"/>
        <v>25/07/20260Lexington SC</v>
      </c>
      <c r="AA304" t="e">
        <f>VLOOKUP($Z304,'oddspedia-matches'!$A:$AD,AA$2,0)</f>
        <v>#N/A</v>
      </c>
      <c r="AB304" t="e">
        <f>VLOOKUP($Z304,'oddspedia-matches'!$A:$AD,AB$2,0)</f>
        <v>#N/A</v>
      </c>
      <c r="AC304" t="e">
        <f>VLOOKUP($Z304,'oddspedia-matches'!$A:$AD,AC$2,0)</f>
        <v>#N/A</v>
      </c>
      <c r="AD304" t="e">
        <f>VLOOKUP($Z304,'oddspedia-matches'!$A:$AD,AD$2,0)</f>
        <v>#N/A</v>
      </c>
      <c r="AE304" t="e">
        <f>VLOOKUP($Z304,'oddspedia-matches'!$A:$AD,AE$2,0)</f>
        <v>#N/A</v>
      </c>
      <c r="AF304" t="e">
        <f>VLOOKUP($Z304,'oddspedia-matches'!$A:$AD,AF$2,0)</f>
        <v>#N/A</v>
      </c>
      <c r="AG304" t="e">
        <f>VLOOKUP($Z304,'oddspedia-matches'!$A:$AD,AG$2,0)</f>
        <v>#N/A</v>
      </c>
      <c r="AH304" t="e">
        <f>VLOOKUP($Z304,'oddspedia-matches'!$A:$AD,AH$2,0)</f>
        <v>#N/A</v>
      </c>
      <c r="AI304" t="e">
        <f>VLOOKUP($Z304,'oddspedia-matches'!$A:$AD,AI$2,0)</f>
        <v>#N/A</v>
      </c>
      <c r="AJ304" t="e">
        <f>VLOOKUP($Z304,'oddspedia-matches'!$A:$AD,AJ$2,0)</f>
        <v>#N/A</v>
      </c>
      <c r="AK304" t="e">
        <f>VLOOKUP($Z304,'oddspedia-matches'!$A:$AD,AK$2,0)</f>
        <v>#N/A</v>
      </c>
      <c r="AL304" t="e">
        <f>VLOOKUP($Z304,'oddspedia-matches'!$A:$AD,AL$2,0)</f>
        <v>#N/A</v>
      </c>
      <c r="AM304" t="e">
        <f>VLOOKUP($Z304,'oddspedia-matches'!$A:$AD,AM$2,0)</f>
        <v>#N/A</v>
      </c>
      <c r="AN304" t="e">
        <f>VLOOKUP($Z304,'oddspedia-matches'!$A:$AD,AN$2,0)</f>
        <v>#N/A</v>
      </c>
      <c r="AO304" t="e">
        <f>VLOOKUP($Z304,'oddspedia-matches'!$A:$AD,AO$2,0)</f>
        <v>#N/A</v>
      </c>
      <c r="AP304" t="e">
        <f>VLOOKUP($Z304,'oddspedia-matches'!$A:$AD,AP$2,0)</f>
        <v>#N/A</v>
      </c>
      <c r="AQ304" t="e">
        <f>VLOOKUP($Z304,'oddspedia-matches'!$A:$AD,AQ$2,0)</f>
        <v>#N/A</v>
      </c>
    </row>
    <row r="305" spans="2:43" x14ac:dyDescent="0.2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tr">
        <f>VLOOKUP(E305,'Transform table'!A:B,2,0)</f>
        <v>Northampton</v>
      </c>
      <c r="Y305" t="str">
        <f>VLOOKUP(F305,'Transform table'!A:B,2,0)</f>
        <v>Seattle Sounders FC</v>
      </c>
      <c r="Z305" t="str">
        <f t="shared" si="4"/>
        <v>25/07/2026NorthamptonSeattle Sounders FC</v>
      </c>
      <c r="AA305" t="e">
        <f>VLOOKUP($Z305,'oddspedia-matches'!$A:$AD,AA$2,0)</f>
        <v>#N/A</v>
      </c>
      <c r="AB305" t="e">
        <f>VLOOKUP($Z305,'oddspedia-matches'!$A:$AD,AB$2,0)</f>
        <v>#N/A</v>
      </c>
      <c r="AC305" t="e">
        <f>VLOOKUP($Z305,'oddspedia-matches'!$A:$AD,AC$2,0)</f>
        <v>#N/A</v>
      </c>
      <c r="AD305" t="e">
        <f>VLOOKUP($Z305,'oddspedia-matches'!$A:$AD,AD$2,0)</f>
        <v>#N/A</v>
      </c>
      <c r="AE305" t="e">
        <f>VLOOKUP($Z305,'oddspedia-matches'!$A:$AD,AE$2,0)</f>
        <v>#N/A</v>
      </c>
      <c r="AF305" t="e">
        <f>VLOOKUP($Z305,'oddspedia-matches'!$A:$AD,AF$2,0)</f>
        <v>#N/A</v>
      </c>
      <c r="AG305" t="e">
        <f>VLOOKUP($Z305,'oddspedia-matches'!$A:$AD,AG$2,0)</f>
        <v>#N/A</v>
      </c>
      <c r="AH305" t="e">
        <f>VLOOKUP($Z305,'oddspedia-matches'!$A:$AD,AH$2,0)</f>
        <v>#N/A</v>
      </c>
      <c r="AI305" t="e">
        <f>VLOOKUP($Z305,'oddspedia-matches'!$A:$AD,AI$2,0)</f>
        <v>#N/A</v>
      </c>
      <c r="AJ305" t="e">
        <f>VLOOKUP($Z305,'oddspedia-matches'!$A:$AD,AJ$2,0)</f>
        <v>#N/A</v>
      </c>
      <c r="AK305" t="e">
        <f>VLOOKUP($Z305,'oddspedia-matches'!$A:$AD,AK$2,0)</f>
        <v>#N/A</v>
      </c>
      <c r="AL305" t="e">
        <f>VLOOKUP($Z305,'oddspedia-matches'!$A:$AD,AL$2,0)</f>
        <v>#N/A</v>
      </c>
      <c r="AM305" t="e">
        <f>VLOOKUP($Z305,'oddspedia-matches'!$A:$AD,AM$2,0)</f>
        <v>#N/A</v>
      </c>
      <c r="AN305" t="e">
        <f>VLOOKUP($Z305,'oddspedia-matches'!$A:$AD,AN$2,0)</f>
        <v>#N/A</v>
      </c>
      <c r="AO305" t="e">
        <f>VLOOKUP($Z305,'oddspedia-matches'!$A:$AD,AO$2,0)</f>
        <v>#N/A</v>
      </c>
      <c r="AP305" t="e">
        <f>VLOOKUP($Z305,'oddspedia-matches'!$A:$AD,AP$2,0)</f>
        <v>#N/A</v>
      </c>
      <c r="AQ305" t="e">
        <f>VLOOKUP($Z305,'oddspedia-matches'!$A:$AD,AQ$2,0)</f>
        <v>#N/A</v>
      </c>
    </row>
    <row r="306" spans="2:43" x14ac:dyDescent="0.2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tr">
        <f>VLOOKUP(E306,'Transform table'!A:B,2,0)</f>
        <v>Colorado Switchbacks</v>
      </c>
      <c r="Y306" t="str">
        <f>VLOOKUP(F306,'Transform table'!A:B,2,0)</f>
        <v>Charleston Battery</v>
      </c>
      <c r="Z306" t="str">
        <f t="shared" si="4"/>
        <v>25/07/2026Colorado SwitchbacksCharleston Battery</v>
      </c>
      <c r="AA306" t="str">
        <f>VLOOKUP($Z306,'oddspedia-matches'!$A:$AD,AA$2,0)</f>
        <v>2 - 1</v>
      </c>
      <c r="AB306" t="str">
        <f>VLOOKUP($Z306,'oddspedia-matches'!$A:$AD,AB$2,0)</f>
        <v>Green</v>
      </c>
      <c r="AC306" t="str">
        <f>VLOOKUP($Z306,'oddspedia-matches'!$A:$AD,AC$2,0)</f>
        <v>Red</v>
      </c>
      <c r="AD306" t="str">
        <f>VLOOKUP($Z306,'oddspedia-matches'!$A:$AD,AD$2,0)</f>
        <v>Red</v>
      </c>
      <c r="AE306" t="str">
        <f>VLOOKUP($Z306,'oddspedia-matches'!$A:$AD,AE$2,0)</f>
        <v>Green</v>
      </c>
      <c r="AF306" t="str">
        <f>VLOOKUP($Z306,'oddspedia-matches'!$A:$AD,AF$2,0)</f>
        <v>Red</v>
      </c>
      <c r="AG306" t="str">
        <f>VLOOKUP($Z306,'oddspedia-matches'!$A:$AD,AG$2,0)</f>
        <v>Green</v>
      </c>
      <c r="AH306" t="str">
        <f>VLOOKUP($Z306,'oddspedia-matches'!$A:$AD,AH$2,0)</f>
        <v>Red</v>
      </c>
      <c r="AI306" t="str">
        <f>VLOOKUP($Z306,'oddspedia-matches'!$A:$AD,AI$2,0)</f>
        <v>Green</v>
      </c>
      <c r="AJ306" t="str">
        <f>VLOOKUP($Z306,'oddspedia-matches'!$A:$AD,AJ$2,0)</f>
        <v>Red</v>
      </c>
      <c r="AK306" t="str">
        <f>VLOOKUP($Z306,'oddspedia-matches'!$A:$AD,AK$2,0)</f>
        <v>Red</v>
      </c>
      <c r="AL306" t="str">
        <f>VLOOKUP($Z306,'oddspedia-matches'!$A:$AD,AL$2,0)</f>
        <v>Green</v>
      </c>
      <c r="AM306" t="str">
        <f>VLOOKUP($Z306,'oddspedia-matches'!$A:$AD,AM$2,0)</f>
        <v>Green</v>
      </c>
      <c r="AN306" t="str">
        <f>VLOOKUP($Z306,'oddspedia-matches'!$A:$AD,AN$2,0)</f>
        <v>Red</v>
      </c>
      <c r="AO306" t="str">
        <f>VLOOKUP($Z306,'oddspedia-matches'!$A:$AD,AO$2,0)</f>
        <v>Green</v>
      </c>
      <c r="AP306" t="str">
        <f>VLOOKUP($Z306,'oddspedia-matches'!$A:$AD,AP$2,0)</f>
        <v>Green</v>
      </c>
      <c r="AQ306" t="str">
        <f>VLOOKUP($Z306,'oddspedia-matches'!$A:$AD,AQ$2,0)</f>
        <v>Red</v>
      </c>
    </row>
    <row r="307" spans="2:43" x14ac:dyDescent="0.2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>
        <f>VLOOKUP(E307,'Transform table'!A:B,2,0)</f>
        <v>0</v>
      </c>
      <c r="Y307" t="str">
        <f>VLOOKUP(F307,'Transform table'!A:B,2,0)</f>
        <v>Sporting Jacksonville</v>
      </c>
      <c r="Z307" t="str">
        <f t="shared" si="4"/>
        <v>25/07/20260Sporting Jacksonville</v>
      </c>
      <c r="AA307" t="e">
        <f>VLOOKUP($Z307,'oddspedia-matches'!$A:$AD,AA$2,0)</f>
        <v>#N/A</v>
      </c>
      <c r="AB307" t="e">
        <f>VLOOKUP($Z307,'oddspedia-matches'!$A:$AD,AB$2,0)</f>
        <v>#N/A</v>
      </c>
      <c r="AC307" t="e">
        <f>VLOOKUP($Z307,'oddspedia-matches'!$A:$AD,AC$2,0)</f>
        <v>#N/A</v>
      </c>
      <c r="AD307" t="e">
        <f>VLOOKUP($Z307,'oddspedia-matches'!$A:$AD,AD$2,0)</f>
        <v>#N/A</v>
      </c>
      <c r="AE307" t="e">
        <f>VLOOKUP($Z307,'oddspedia-matches'!$A:$AD,AE$2,0)</f>
        <v>#N/A</v>
      </c>
      <c r="AF307" t="e">
        <f>VLOOKUP($Z307,'oddspedia-matches'!$A:$AD,AF$2,0)</f>
        <v>#N/A</v>
      </c>
      <c r="AG307" t="e">
        <f>VLOOKUP($Z307,'oddspedia-matches'!$A:$AD,AG$2,0)</f>
        <v>#N/A</v>
      </c>
      <c r="AH307" t="e">
        <f>VLOOKUP($Z307,'oddspedia-matches'!$A:$AD,AH$2,0)</f>
        <v>#N/A</v>
      </c>
      <c r="AI307" t="e">
        <f>VLOOKUP($Z307,'oddspedia-matches'!$A:$AD,AI$2,0)</f>
        <v>#N/A</v>
      </c>
      <c r="AJ307" t="e">
        <f>VLOOKUP($Z307,'oddspedia-matches'!$A:$AD,AJ$2,0)</f>
        <v>#N/A</v>
      </c>
      <c r="AK307" t="e">
        <f>VLOOKUP($Z307,'oddspedia-matches'!$A:$AD,AK$2,0)</f>
        <v>#N/A</v>
      </c>
      <c r="AL307" t="e">
        <f>VLOOKUP($Z307,'oddspedia-matches'!$A:$AD,AL$2,0)</f>
        <v>#N/A</v>
      </c>
      <c r="AM307" t="e">
        <f>VLOOKUP($Z307,'oddspedia-matches'!$A:$AD,AM$2,0)</f>
        <v>#N/A</v>
      </c>
      <c r="AN307" t="e">
        <f>VLOOKUP($Z307,'oddspedia-matches'!$A:$AD,AN$2,0)</f>
        <v>#N/A</v>
      </c>
      <c r="AO307" t="e">
        <f>VLOOKUP($Z307,'oddspedia-matches'!$A:$AD,AO$2,0)</f>
        <v>#N/A</v>
      </c>
      <c r="AP307" t="e">
        <f>VLOOKUP($Z307,'oddspedia-matches'!$A:$AD,AP$2,0)</f>
        <v>#N/A</v>
      </c>
      <c r="AQ307" t="e">
        <f>VLOOKUP($Z307,'oddspedia-matches'!$A:$AD,AQ$2,0)</f>
        <v>#N/A</v>
      </c>
    </row>
    <row r="308" spans="2:43" x14ac:dyDescent="0.2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tr">
        <f>VLOOKUP(E308,'Transform table'!A:B,2,0)</f>
        <v>Cienciano</v>
      </c>
      <c r="Y308" t="str">
        <f>VLOOKUP(F308,'Transform table'!A:B,2,0)</f>
        <v>Sporting Cristal</v>
      </c>
      <c r="Z308" t="str">
        <f t="shared" si="4"/>
        <v>25/07/2026CiencianoSporting Cristal</v>
      </c>
      <c r="AA308" t="e">
        <f>VLOOKUP($Z308,'oddspedia-matches'!$A:$AD,AA$2,0)</f>
        <v>#N/A</v>
      </c>
      <c r="AB308" t="e">
        <f>VLOOKUP($Z308,'oddspedia-matches'!$A:$AD,AB$2,0)</f>
        <v>#N/A</v>
      </c>
      <c r="AC308" t="e">
        <f>VLOOKUP($Z308,'oddspedia-matches'!$A:$AD,AC$2,0)</f>
        <v>#N/A</v>
      </c>
      <c r="AD308" t="e">
        <f>VLOOKUP($Z308,'oddspedia-matches'!$A:$AD,AD$2,0)</f>
        <v>#N/A</v>
      </c>
      <c r="AE308" t="e">
        <f>VLOOKUP($Z308,'oddspedia-matches'!$A:$AD,AE$2,0)</f>
        <v>#N/A</v>
      </c>
      <c r="AF308" t="e">
        <f>VLOOKUP($Z308,'oddspedia-matches'!$A:$AD,AF$2,0)</f>
        <v>#N/A</v>
      </c>
      <c r="AG308" t="e">
        <f>VLOOKUP($Z308,'oddspedia-matches'!$A:$AD,AG$2,0)</f>
        <v>#N/A</v>
      </c>
      <c r="AH308" t="e">
        <f>VLOOKUP($Z308,'oddspedia-matches'!$A:$AD,AH$2,0)</f>
        <v>#N/A</v>
      </c>
      <c r="AI308" t="e">
        <f>VLOOKUP($Z308,'oddspedia-matches'!$A:$AD,AI$2,0)</f>
        <v>#N/A</v>
      </c>
      <c r="AJ308" t="e">
        <f>VLOOKUP($Z308,'oddspedia-matches'!$A:$AD,AJ$2,0)</f>
        <v>#N/A</v>
      </c>
      <c r="AK308" t="e">
        <f>VLOOKUP($Z308,'oddspedia-matches'!$A:$AD,AK$2,0)</f>
        <v>#N/A</v>
      </c>
      <c r="AL308" t="e">
        <f>VLOOKUP($Z308,'oddspedia-matches'!$A:$AD,AL$2,0)</f>
        <v>#N/A</v>
      </c>
      <c r="AM308" t="e">
        <f>VLOOKUP($Z308,'oddspedia-matches'!$A:$AD,AM$2,0)</f>
        <v>#N/A</v>
      </c>
      <c r="AN308" t="e">
        <f>VLOOKUP($Z308,'oddspedia-matches'!$A:$AD,AN$2,0)</f>
        <v>#N/A</v>
      </c>
      <c r="AO308" t="e">
        <f>VLOOKUP($Z308,'oddspedia-matches'!$A:$AD,AO$2,0)</f>
        <v>#N/A</v>
      </c>
      <c r="AP308" t="e">
        <f>VLOOKUP($Z308,'oddspedia-matches'!$A:$AD,AP$2,0)</f>
        <v>#N/A</v>
      </c>
      <c r="AQ308" t="e">
        <f>VLOOKUP($Z308,'oddspedia-matches'!$A:$AD,AQ$2,0)</f>
        <v>#N/A</v>
      </c>
    </row>
    <row r="309" spans="2:43" x14ac:dyDescent="0.2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tr">
        <f>VLOOKUP(E309,'Transform table'!A:B,2,0)</f>
        <v>Deportes Tolima</v>
      </c>
      <c r="Y309" t="str">
        <f>VLOOKUP(F309,'Transform table'!A:B,2,0)</f>
        <v>Junior FC</v>
      </c>
      <c r="Z309" t="str">
        <f t="shared" si="4"/>
        <v>25/07/2026Deportes TolimaJunior FC</v>
      </c>
      <c r="AA309" t="str">
        <f>VLOOKUP($Z309,'oddspedia-matches'!$A:$AD,AA$2,0)</f>
        <v>2 - 1</v>
      </c>
      <c r="AB309" t="str">
        <f>VLOOKUP($Z309,'oddspedia-matches'!$A:$AD,AB$2,0)</f>
        <v>Green</v>
      </c>
      <c r="AC309" t="str">
        <f>VLOOKUP($Z309,'oddspedia-matches'!$A:$AD,AC$2,0)</f>
        <v>Red</v>
      </c>
      <c r="AD309" t="str">
        <f>VLOOKUP($Z309,'oddspedia-matches'!$A:$AD,AD$2,0)</f>
        <v>Red</v>
      </c>
      <c r="AE309" t="str">
        <f>VLOOKUP($Z309,'oddspedia-matches'!$A:$AD,AE$2,0)</f>
        <v>Green</v>
      </c>
      <c r="AF309" t="str">
        <f>VLOOKUP($Z309,'oddspedia-matches'!$A:$AD,AF$2,0)</f>
        <v>Red</v>
      </c>
      <c r="AG309" t="str">
        <f>VLOOKUP($Z309,'oddspedia-matches'!$A:$AD,AG$2,0)</f>
        <v>Green</v>
      </c>
      <c r="AH309" t="str">
        <f>VLOOKUP($Z309,'oddspedia-matches'!$A:$AD,AH$2,0)</f>
        <v>Green</v>
      </c>
      <c r="AI309" t="str">
        <f>VLOOKUP($Z309,'oddspedia-matches'!$A:$AD,AI$2,0)</f>
        <v>Red</v>
      </c>
      <c r="AJ309" t="str">
        <f>VLOOKUP($Z309,'oddspedia-matches'!$A:$AD,AJ$2,0)</f>
        <v>Red</v>
      </c>
      <c r="AK309" t="str">
        <f>VLOOKUP($Z309,'oddspedia-matches'!$A:$AD,AK$2,0)</f>
        <v>Green</v>
      </c>
      <c r="AL309" t="str">
        <f>VLOOKUP($Z309,'oddspedia-matches'!$A:$AD,AL$2,0)</f>
        <v>Green</v>
      </c>
      <c r="AM309" t="str">
        <f>VLOOKUP($Z309,'oddspedia-matches'!$A:$AD,AM$2,0)</f>
        <v>Green</v>
      </c>
      <c r="AN309" t="str">
        <f>VLOOKUP($Z309,'oddspedia-matches'!$A:$AD,AN$2,0)</f>
        <v>Red</v>
      </c>
      <c r="AO309" t="str">
        <f>VLOOKUP($Z309,'oddspedia-matches'!$A:$AD,AO$2,0)</f>
        <v>Green</v>
      </c>
      <c r="AP309" t="str">
        <f>VLOOKUP($Z309,'oddspedia-matches'!$A:$AD,AP$2,0)</f>
        <v>Green</v>
      </c>
      <c r="AQ309" t="str">
        <f>VLOOKUP($Z309,'oddspedia-matches'!$A:$AD,AQ$2,0)</f>
        <v>Red</v>
      </c>
    </row>
    <row r="310" spans="2:43" x14ac:dyDescent="0.2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tr">
        <f>VLOOKUP(E310,'Transform table'!A:B,2,0)</f>
        <v>San Diego FC</v>
      </c>
      <c r="Y310" t="str">
        <f>VLOOKUP(F310,'Transform table'!A:B,2,0)</f>
        <v>Dallas</v>
      </c>
      <c r="Z310" t="str">
        <f t="shared" si="4"/>
        <v>25/07/2026San Diego FCDallas</v>
      </c>
      <c r="AA310" t="str">
        <f>VLOOKUP($Z310,'oddspedia-matches'!$A:$AD,AA$2,0)</f>
        <v>1 - 0</v>
      </c>
      <c r="AB310" t="str">
        <f>VLOOKUP($Z310,'oddspedia-matches'!$A:$AD,AB$2,0)</f>
        <v>Green</v>
      </c>
      <c r="AC310" t="str">
        <f>VLOOKUP($Z310,'oddspedia-matches'!$A:$AD,AC$2,0)</f>
        <v>Red</v>
      </c>
      <c r="AD310" t="str">
        <f>VLOOKUP($Z310,'oddspedia-matches'!$A:$AD,AD$2,0)</f>
        <v>Red</v>
      </c>
      <c r="AE310" t="str">
        <f>VLOOKUP($Z310,'oddspedia-matches'!$A:$AD,AE$2,0)</f>
        <v>Green</v>
      </c>
      <c r="AF310" t="str">
        <f>VLOOKUP($Z310,'oddspedia-matches'!$A:$AD,AF$2,0)</f>
        <v>Red</v>
      </c>
      <c r="AG310" t="str">
        <f>VLOOKUP($Z310,'oddspedia-matches'!$A:$AD,AG$2,0)</f>
        <v>Green</v>
      </c>
      <c r="AH310" t="str">
        <f>VLOOKUP($Z310,'oddspedia-matches'!$A:$AD,AH$2,0)</f>
        <v>Red</v>
      </c>
      <c r="AI310" t="str">
        <f>VLOOKUP($Z310,'oddspedia-matches'!$A:$AD,AI$2,0)</f>
        <v>Green</v>
      </c>
      <c r="AJ310" t="str">
        <f>VLOOKUP($Z310,'oddspedia-matches'!$A:$AD,AJ$2,0)</f>
        <v>Red</v>
      </c>
      <c r="AK310" t="str">
        <f>VLOOKUP($Z310,'oddspedia-matches'!$A:$AD,AK$2,0)</f>
        <v>Red</v>
      </c>
      <c r="AL310" t="str">
        <f>VLOOKUP($Z310,'oddspedia-matches'!$A:$AD,AL$2,0)</f>
        <v>Red</v>
      </c>
      <c r="AM310" t="str">
        <f>VLOOKUP($Z310,'oddspedia-matches'!$A:$AD,AM$2,0)</f>
        <v>Red</v>
      </c>
      <c r="AN310" t="str">
        <f>VLOOKUP($Z310,'oddspedia-matches'!$A:$AD,AN$2,0)</f>
        <v>Green</v>
      </c>
      <c r="AO310" t="str">
        <f>VLOOKUP($Z310,'oddspedia-matches'!$A:$AD,AO$2,0)</f>
        <v>Green</v>
      </c>
      <c r="AP310" t="str">
        <f>VLOOKUP($Z310,'oddspedia-matches'!$A:$AD,AP$2,0)</f>
        <v>Red</v>
      </c>
      <c r="AQ310" t="str">
        <f>VLOOKUP($Z310,'oddspedia-matches'!$A:$AD,AQ$2,0)</f>
        <v>Green</v>
      </c>
    </row>
    <row r="311" spans="2:43" x14ac:dyDescent="0.2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tr">
        <f>VLOOKUP(E311,'Transform table'!A:B,2,0)</f>
        <v>Universidad Central de Venezuela</v>
      </c>
      <c r="Y311" t="str">
        <f>VLOOKUP(F311,'Transform table'!A:B,2,0)</f>
        <v>San Francisco FC</v>
      </c>
      <c r="Z311" t="str">
        <f t="shared" si="4"/>
        <v>25/07/2026Universidad Central de VenezuelaSan Francisco FC</v>
      </c>
      <c r="AA311" t="e">
        <f>VLOOKUP($Z311,'oddspedia-matches'!$A:$AD,AA$2,0)</f>
        <v>#N/A</v>
      </c>
      <c r="AB311" t="e">
        <f>VLOOKUP($Z311,'oddspedia-matches'!$A:$AD,AB$2,0)</f>
        <v>#N/A</v>
      </c>
      <c r="AC311" t="e">
        <f>VLOOKUP($Z311,'oddspedia-matches'!$A:$AD,AC$2,0)</f>
        <v>#N/A</v>
      </c>
      <c r="AD311" t="e">
        <f>VLOOKUP($Z311,'oddspedia-matches'!$A:$AD,AD$2,0)</f>
        <v>#N/A</v>
      </c>
      <c r="AE311" t="e">
        <f>VLOOKUP($Z311,'oddspedia-matches'!$A:$AD,AE$2,0)</f>
        <v>#N/A</v>
      </c>
      <c r="AF311" t="e">
        <f>VLOOKUP($Z311,'oddspedia-matches'!$A:$AD,AF$2,0)</f>
        <v>#N/A</v>
      </c>
      <c r="AG311" t="e">
        <f>VLOOKUP($Z311,'oddspedia-matches'!$A:$AD,AG$2,0)</f>
        <v>#N/A</v>
      </c>
      <c r="AH311" t="e">
        <f>VLOOKUP($Z311,'oddspedia-matches'!$A:$AD,AH$2,0)</f>
        <v>#N/A</v>
      </c>
      <c r="AI311" t="e">
        <f>VLOOKUP($Z311,'oddspedia-matches'!$A:$AD,AI$2,0)</f>
        <v>#N/A</v>
      </c>
      <c r="AJ311" t="e">
        <f>VLOOKUP($Z311,'oddspedia-matches'!$A:$AD,AJ$2,0)</f>
        <v>#N/A</v>
      </c>
      <c r="AK311" t="e">
        <f>VLOOKUP($Z311,'oddspedia-matches'!$A:$AD,AK$2,0)</f>
        <v>#N/A</v>
      </c>
      <c r="AL311" t="e">
        <f>VLOOKUP($Z311,'oddspedia-matches'!$A:$AD,AL$2,0)</f>
        <v>#N/A</v>
      </c>
      <c r="AM311" t="e">
        <f>VLOOKUP($Z311,'oddspedia-matches'!$A:$AD,AM$2,0)</f>
        <v>#N/A</v>
      </c>
      <c r="AN311" t="e">
        <f>VLOOKUP($Z311,'oddspedia-matches'!$A:$AD,AN$2,0)</f>
        <v>#N/A</v>
      </c>
      <c r="AO311" t="e">
        <f>VLOOKUP($Z311,'oddspedia-matches'!$A:$AD,AO$2,0)</f>
        <v>#N/A</v>
      </c>
      <c r="AP311" t="e">
        <f>VLOOKUP($Z311,'oddspedia-matches'!$A:$AD,AP$2,0)</f>
        <v>#N/A</v>
      </c>
      <c r="AQ311" t="e">
        <f>VLOOKUP($Z311,'oddspedia-matches'!$A:$AD,AQ$2,0)</f>
        <v>#N/A</v>
      </c>
    </row>
    <row r="312" spans="2:43" x14ac:dyDescent="0.2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tr">
        <f>VLOOKUP(E312,'Transform table'!A:B,2,0)</f>
        <v>Monterrey not found</v>
      </c>
      <c r="Y312" t="str">
        <f>VLOOKUP(F312,'Transform table'!A:B,2,0)</f>
        <v>Orange County Blues</v>
      </c>
      <c r="Z312" t="str">
        <f t="shared" si="4"/>
        <v>25/07/2026Monterrey not foundOrange County Blues</v>
      </c>
      <c r="AA312" t="e">
        <f>VLOOKUP($Z312,'oddspedia-matches'!$A:$AD,AA$2,0)</f>
        <v>#N/A</v>
      </c>
      <c r="AB312" t="e">
        <f>VLOOKUP($Z312,'oddspedia-matches'!$A:$AD,AB$2,0)</f>
        <v>#N/A</v>
      </c>
      <c r="AC312" t="e">
        <f>VLOOKUP($Z312,'oddspedia-matches'!$A:$AD,AC$2,0)</f>
        <v>#N/A</v>
      </c>
      <c r="AD312" t="e">
        <f>VLOOKUP($Z312,'oddspedia-matches'!$A:$AD,AD$2,0)</f>
        <v>#N/A</v>
      </c>
      <c r="AE312" t="e">
        <f>VLOOKUP($Z312,'oddspedia-matches'!$A:$AD,AE$2,0)</f>
        <v>#N/A</v>
      </c>
      <c r="AF312" t="e">
        <f>VLOOKUP($Z312,'oddspedia-matches'!$A:$AD,AF$2,0)</f>
        <v>#N/A</v>
      </c>
      <c r="AG312" t="e">
        <f>VLOOKUP($Z312,'oddspedia-matches'!$A:$AD,AG$2,0)</f>
        <v>#N/A</v>
      </c>
      <c r="AH312" t="e">
        <f>VLOOKUP($Z312,'oddspedia-matches'!$A:$AD,AH$2,0)</f>
        <v>#N/A</v>
      </c>
      <c r="AI312" t="e">
        <f>VLOOKUP($Z312,'oddspedia-matches'!$A:$AD,AI$2,0)</f>
        <v>#N/A</v>
      </c>
      <c r="AJ312" t="e">
        <f>VLOOKUP($Z312,'oddspedia-matches'!$A:$AD,AJ$2,0)</f>
        <v>#N/A</v>
      </c>
      <c r="AK312" t="e">
        <f>VLOOKUP($Z312,'oddspedia-matches'!$A:$AD,AK$2,0)</f>
        <v>#N/A</v>
      </c>
      <c r="AL312" t="e">
        <f>VLOOKUP($Z312,'oddspedia-matches'!$A:$AD,AL$2,0)</f>
        <v>#N/A</v>
      </c>
      <c r="AM312" t="e">
        <f>VLOOKUP($Z312,'oddspedia-matches'!$A:$AD,AM$2,0)</f>
        <v>#N/A</v>
      </c>
      <c r="AN312" t="e">
        <f>VLOOKUP($Z312,'oddspedia-matches'!$A:$AD,AN$2,0)</f>
        <v>#N/A</v>
      </c>
      <c r="AO312" t="e">
        <f>VLOOKUP($Z312,'oddspedia-matches'!$A:$AD,AO$2,0)</f>
        <v>#N/A</v>
      </c>
      <c r="AP312" t="e">
        <f>VLOOKUP($Z312,'oddspedia-matches'!$A:$AD,AP$2,0)</f>
        <v>#N/A</v>
      </c>
      <c r="AQ312" t="e">
        <f>VLOOKUP($Z312,'oddspedia-matches'!$A:$AD,AQ$2,0)</f>
        <v>#N/A</v>
      </c>
    </row>
    <row r="313" spans="2:43" x14ac:dyDescent="0.2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tr">
        <f>VLOOKUP(E313,'Transform table'!A:B,2,0)</f>
        <v>Oakland Roots</v>
      </c>
      <c r="Y313" t="str">
        <f>VLOOKUP(F313,'Transform table'!A:B,2,0)</f>
        <v>Sacramento Republic</v>
      </c>
      <c r="Z313" t="str">
        <f t="shared" si="4"/>
        <v>25/07/2026Oakland RootsSacramento Republic</v>
      </c>
      <c r="AA313" t="str">
        <f>VLOOKUP($Z313,'oddspedia-matches'!$A:$AD,AA$2,0)</f>
        <v>1 - 3</v>
      </c>
      <c r="AB313" t="str">
        <f>VLOOKUP($Z313,'oddspedia-matches'!$A:$AD,AB$2,0)</f>
        <v>Red</v>
      </c>
      <c r="AC313" t="str">
        <f>VLOOKUP($Z313,'oddspedia-matches'!$A:$AD,AC$2,0)</f>
        <v>Red</v>
      </c>
      <c r="AD313" t="str">
        <f>VLOOKUP($Z313,'oddspedia-matches'!$A:$AD,AD$2,0)</f>
        <v>Green</v>
      </c>
      <c r="AE313" t="str">
        <f>VLOOKUP($Z313,'oddspedia-matches'!$A:$AD,AE$2,0)</f>
        <v>Red</v>
      </c>
      <c r="AF313" t="str">
        <f>VLOOKUP($Z313,'oddspedia-matches'!$A:$AD,AF$2,0)</f>
        <v>Green</v>
      </c>
      <c r="AG313" t="str">
        <f>VLOOKUP($Z313,'oddspedia-matches'!$A:$AD,AG$2,0)</f>
        <v>Green</v>
      </c>
      <c r="AH313" t="str">
        <f>VLOOKUP($Z313,'oddspedia-matches'!$A:$AD,AH$2,0)</f>
        <v>Red</v>
      </c>
      <c r="AI313" t="str">
        <f>VLOOKUP($Z313,'oddspedia-matches'!$A:$AD,AI$2,0)</f>
        <v>Green</v>
      </c>
      <c r="AJ313" t="str">
        <f>VLOOKUP($Z313,'oddspedia-matches'!$A:$AD,AJ$2,0)</f>
        <v>Red</v>
      </c>
      <c r="AK313" t="str">
        <f>VLOOKUP($Z313,'oddspedia-matches'!$A:$AD,AK$2,0)</f>
        <v>Green</v>
      </c>
      <c r="AL313" t="str">
        <f>VLOOKUP($Z313,'oddspedia-matches'!$A:$AD,AL$2,0)</f>
        <v>Green</v>
      </c>
      <c r="AM313" t="str">
        <f>VLOOKUP($Z313,'oddspedia-matches'!$A:$AD,AM$2,0)</f>
        <v>Green</v>
      </c>
      <c r="AN313" t="str">
        <f>VLOOKUP($Z313,'oddspedia-matches'!$A:$AD,AN$2,0)</f>
        <v>Red</v>
      </c>
      <c r="AO313" t="str">
        <f>VLOOKUP($Z313,'oddspedia-matches'!$A:$AD,AO$2,0)</f>
        <v>Red</v>
      </c>
      <c r="AP313" t="str">
        <f>VLOOKUP($Z313,'oddspedia-matches'!$A:$AD,AP$2,0)</f>
        <v>Green</v>
      </c>
      <c r="AQ313" t="str">
        <f>VLOOKUP($Z313,'oddspedia-matches'!$A:$AD,AQ$2,0)</f>
        <v>Red</v>
      </c>
    </row>
    <row r="314" spans="2:43" x14ac:dyDescent="0.2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tr">
        <f>VLOOKUP(E314,'Transform table'!A:B,2,0)</f>
        <v>Los Angeles FC</v>
      </c>
      <c r="Y314" t="str">
        <f>VLOOKUP(F314,'Transform table'!A:B,2,0)</f>
        <v>Sporting Kansas City</v>
      </c>
      <c r="Z314" t="str">
        <f t="shared" si="4"/>
        <v>25/07/2026Los Angeles FCSporting Kansas City</v>
      </c>
      <c r="AA314" t="str">
        <f>VLOOKUP($Z314,'oddspedia-matches'!$A:$AD,AA$2,0)</f>
        <v>4 - 0</v>
      </c>
      <c r="AB314" t="str">
        <f>VLOOKUP($Z314,'oddspedia-matches'!$A:$AD,AB$2,0)</f>
        <v>Green</v>
      </c>
      <c r="AC314" t="str">
        <f>VLOOKUP($Z314,'oddspedia-matches'!$A:$AD,AC$2,0)</f>
        <v>Red</v>
      </c>
      <c r="AD314" t="str">
        <f>VLOOKUP($Z314,'oddspedia-matches'!$A:$AD,AD$2,0)</f>
        <v>Red</v>
      </c>
      <c r="AE314" t="str">
        <f>VLOOKUP($Z314,'oddspedia-matches'!$A:$AD,AE$2,0)</f>
        <v>Green</v>
      </c>
      <c r="AF314" t="str">
        <f>VLOOKUP($Z314,'oddspedia-matches'!$A:$AD,AF$2,0)</f>
        <v>Red</v>
      </c>
      <c r="AG314" t="str">
        <f>VLOOKUP($Z314,'oddspedia-matches'!$A:$AD,AG$2,0)</f>
        <v>Green</v>
      </c>
      <c r="AH314" t="str">
        <f>VLOOKUP($Z314,'oddspedia-matches'!$A:$AD,AH$2,0)</f>
        <v>Green</v>
      </c>
      <c r="AI314" t="str">
        <f>VLOOKUP($Z314,'oddspedia-matches'!$A:$AD,AI$2,0)</f>
        <v>Red</v>
      </c>
      <c r="AJ314" t="str">
        <f>VLOOKUP($Z314,'oddspedia-matches'!$A:$AD,AJ$2,0)</f>
        <v>Red</v>
      </c>
      <c r="AK314" t="str">
        <f>VLOOKUP($Z314,'oddspedia-matches'!$A:$AD,AK$2,0)</f>
        <v>Green</v>
      </c>
      <c r="AL314" t="str">
        <f>VLOOKUP($Z314,'oddspedia-matches'!$A:$AD,AL$2,0)</f>
        <v>Green</v>
      </c>
      <c r="AM314" t="str">
        <f>VLOOKUP($Z314,'oddspedia-matches'!$A:$AD,AM$2,0)</f>
        <v>Green</v>
      </c>
      <c r="AN314" t="str">
        <f>VLOOKUP($Z314,'oddspedia-matches'!$A:$AD,AN$2,0)</f>
        <v>Red</v>
      </c>
      <c r="AO314" t="str">
        <f>VLOOKUP($Z314,'oddspedia-matches'!$A:$AD,AO$2,0)</f>
        <v>Red</v>
      </c>
      <c r="AP314" t="str">
        <f>VLOOKUP($Z314,'oddspedia-matches'!$A:$AD,AP$2,0)</f>
        <v>Red</v>
      </c>
      <c r="AQ314" t="str">
        <f>VLOOKUP($Z314,'oddspedia-matches'!$A:$AD,AQ$2,0)</f>
        <v>Green</v>
      </c>
    </row>
    <row r="315" spans="2:43" x14ac:dyDescent="0.2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tr">
        <f>VLOOKUP(E315,'Transform table'!A:B,2,0)</f>
        <v>Portland Timbers</v>
      </c>
      <c r="Y315" t="str">
        <f>VLOOKUP(F315,'Transform table'!A:B,2,0)</f>
        <v>Real Salt Lake</v>
      </c>
      <c r="Z315" t="str">
        <f t="shared" si="4"/>
        <v>25/07/2026Portland TimbersReal Salt Lake</v>
      </c>
      <c r="AA315" t="str">
        <f>VLOOKUP($Z315,'oddspedia-matches'!$A:$AD,AA$2,0)</f>
        <v>2 - 1</v>
      </c>
      <c r="AB315" t="str">
        <f>VLOOKUP($Z315,'oddspedia-matches'!$A:$AD,AB$2,0)</f>
        <v>Green</v>
      </c>
      <c r="AC315" t="str">
        <f>VLOOKUP($Z315,'oddspedia-matches'!$A:$AD,AC$2,0)</f>
        <v>Red</v>
      </c>
      <c r="AD315" t="str">
        <f>VLOOKUP($Z315,'oddspedia-matches'!$A:$AD,AD$2,0)</f>
        <v>Red</v>
      </c>
      <c r="AE315" t="str">
        <f>VLOOKUP($Z315,'oddspedia-matches'!$A:$AD,AE$2,0)</f>
        <v>Green</v>
      </c>
      <c r="AF315" t="str">
        <f>VLOOKUP($Z315,'oddspedia-matches'!$A:$AD,AF$2,0)</f>
        <v>Red</v>
      </c>
      <c r="AG315" t="str">
        <f>VLOOKUP($Z315,'oddspedia-matches'!$A:$AD,AG$2,0)</f>
        <v>Green</v>
      </c>
      <c r="AH315" t="str">
        <f>VLOOKUP($Z315,'oddspedia-matches'!$A:$AD,AH$2,0)</f>
        <v>Red</v>
      </c>
      <c r="AI315" t="str">
        <f>VLOOKUP($Z315,'oddspedia-matches'!$A:$AD,AI$2,0)</f>
        <v>Red</v>
      </c>
      <c r="AJ315" t="str">
        <f>VLOOKUP($Z315,'oddspedia-matches'!$A:$AD,AJ$2,0)</f>
        <v>Green</v>
      </c>
      <c r="AK315" t="str">
        <f>VLOOKUP($Z315,'oddspedia-matches'!$A:$AD,AK$2,0)</f>
        <v>Green</v>
      </c>
      <c r="AL315" t="str">
        <f>VLOOKUP($Z315,'oddspedia-matches'!$A:$AD,AL$2,0)</f>
        <v>Green</v>
      </c>
      <c r="AM315" t="str">
        <f>VLOOKUP($Z315,'oddspedia-matches'!$A:$AD,AM$2,0)</f>
        <v>Green</v>
      </c>
      <c r="AN315" t="str">
        <f>VLOOKUP($Z315,'oddspedia-matches'!$A:$AD,AN$2,0)</f>
        <v>Red</v>
      </c>
      <c r="AO315" t="str">
        <f>VLOOKUP($Z315,'oddspedia-matches'!$A:$AD,AO$2,0)</f>
        <v>Green</v>
      </c>
      <c r="AP315" t="str">
        <f>VLOOKUP($Z315,'oddspedia-matches'!$A:$AD,AP$2,0)</f>
        <v>Green</v>
      </c>
      <c r="AQ315" t="str">
        <f>VLOOKUP($Z315,'oddspedia-matches'!$A:$AD,AQ$2,0)</f>
        <v>Red</v>
      </c>
    </row>
    <row r="316" spans="2:43" x14ac:dyDescent="0.2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tr">
        <f>VLOOKUP(E316,'Transform table'!A:B,2,0)</f>
        <v>San Jose Earthquakes</v>
      </c>
      <c r="Y316" t="str">
        <f>VLOOKUP(F316,'Transform table'!A:B,2,0)</f>
        <v>LA Galaxy</v>
      </c>
      <c r="Z316" t="str">
        <f t="shared" si="4"/>
        <v>25/07/2026San Jose EarthquakesLA Galaxy</v>
      </c>
      <c r="AA316" t="str">
        <f>VLOOKUP($Z316,'oddspedia-matches'!$A:$AD,AA$2,0)</f>
        <v>1 - 1</v>
      </c>
      <c r="AB316" t="str">
        <f>VLOOKUP($Z316,'oddspedia-matches'!$A:$AD,AB$2,0)</f>
        <v>Red</v>
      </c>
      <c r="AC316" t="str">
        <f>VLOOKUP($Z316,'oddspedia-matches'!$A:$AD,AC$2,0)</f>
        <v>Green</v>
      </c>
      <c r="AD316" t="str">
        <f>VLOOKUP($Z316,'oddspedia-matches'!$A:$AD,AD$2,0)</f>
        <v>Red</v>
      </c>
      <c r="AE316" t="str">
        <f>VLOOKUP($Z316,'oddspedia-matches'!$A:$AD,AE$2,0)</f>
        <v>Green</v>
      </c>
      <c r="AF316" t="str">
        <f>VLOOKUP($Z316,'oddspedia-matches'!$A:$AD,AF$2,0)</f>
        <v>Green</v>
      </c>
      <c r="AG316" t="str">
        <f>VLOOKUP($Z316,'oddspedia-matches'!$A:$AD,AG$2,0)</f>
        <v>Red</v>
      </c>
      <c r="AH316" t="str">
        <f>VLOOKUP($Z316,'oddspedia-matches'!$A:$AD,AH$2,0)</f>
        <v>Red</v>
      </c>
      <c r="AI316" t="str">
        <f>VLOOKUP($Z316,'oddspedia-matches'!$A:$AD,AI$2,0)</f>
        <v>Red</v>
      </c>
      <c r="AJ316" t="str">
        <f>VLOOKUP($Z316,'oddspedia-matches'!$A:$AD,AJ$2,0)</f>
        <v>Green</v>
      </c>
      <c r="AK316" t="str">
        <f>VLOOKUP($Z316,'oddspedia-matches'!$A:$AD,AK$2,0)</f>
        <v>Green</v>
      </c>
      <c r="AL316" t="str">
        <f>VLOOKUP($Z316,'oddspedia-matches'!$A:$AD,AL$2,0)</f>
        <v>Green</v>
      </c>
      <c r="AM316" t="str">
        <f>VLOOKUP($Z316,'oddspedia-matches'!$A:$AD,AM$2,0)</f>
        <v>Red</v>
      </c>
      <c r="AN316" t="str">
        <f>VLOOKUP($Z316,'oddspedia-matches'!$A:$AD,AN$2,0)</f>
        <v>Green</v>
      </c>
      <c r="AO316" t="str">
        <f>VLOOKUP($Z316,'oddspedia-matches'!$A:$AD,AO$2,0)</f>
        <v>Green</v>
      </c>
      <c r="AP316" t="str">
        <f>VLOOKUP($Z316,'oddspedia-matches'!$A:$AD,AP$2,0)</f>
        <v>Green</v>
      </c>
      <c r="AQ316" t="str">
        <f>VLOOKUP($Z316,'oddspedia-matches'!$A:$AD,AQ$2,0)</f>
        <v>Red</v>
      </c>
    </row>
    <row r="317" spans="2:43" x14ac:dyDescent="0.2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tr">
        <f>VLOOKUP(E317,'Transform table'!A:B,2,0)</f>
        <v>Phoenix not found</v>
      </c>
      <c r="Y317" t="str">
        <f>VLOOKUP(F317,'Transform table'!A:B,2,0)</f>
        <v>Hartford Athletic</v>
      </c>
      <c r="Z317" t="str">
        <f t="shared" si="4"/>
        <v>25/07/2026Phoenix not foundHartford Athletic</v>
      </c>
      <c r="AA317" t="e">
        <f>VLOOKUP($Z317,'oddspedia-matches'!$A:$AD,AA$2,0)</f>
        <v>#N/A</v>
      </c>
      <c r="AB317" t="e">
        <f>VLOOKUP($Z317,'oddspedia-matches'!$A:$AD,AB$2,0)</f>
        <v>#N/A</v>
      </c>
      <c r="AC317" t="e">
        <f>VLOOKUP($Z317,'oddspedia-matches'!$A:$AD,AC$2,0)</f>
        <v>#N/A</v>
      </c>
      <c r="AD317" t="e">
        <f>VLOOKUP($Z317,'oddspedia-matches'!$A:$AD,AD$2,0)</f>
        <v>#N/A</v>
      </c>
      <c r="AE317" t="e">
        <f>VLOOKUP($Z317,'oddspedia-matches'!$A:$AD,AE$2,0)</f>
        <v>#N/A</v>
      </c>
      <c r="AF317" t="e">
        <f>VLOOKUP($Z317,'oddspedia-matches'!$A:$AD,AF$2,0)</f>
        <v>#N/A</v>
      </c>
      <c r="AG317" t="e">
        <f>VLOOKUP($Z317,'oddspedia-matches'!$A:$AD,AG$2,0)</f>
        <v>#N/A</v>
      </c>
      <c r="AH317" t="e">
        <f>VLOOKUP($Z317,'oddspedia-matches'!$A:$AD,AH$2,0)</f>
        <v>#N/A</v>
      </c>
      <c r="AI317" t="e">
        <f>VLOOKUP($Z317,'oddspedia-matches'!$A:$AD,AI$2,0)</f>
        <v>#N/A</v>
      </c>
      <c r="AJ317" t="e">
        <f>VLOOKUP($Z317,'oddspedia-matches'!$A:$AD,AJ$2,0)</f>
        <v>#N/A</v>
      </c>
      <c r="AK317" t="e">
        <f>VLOOKUP($Z317,'oddspedia-matches'!$A:$AD,AK$2,0)</f>
        <v>#N/A</v>
      </c>
      <c r="AL317" t="e">
        <f>VLOOKUP($Z317,'oddspedia-matches'!$A:$AD,AL$2,0)</f>
        <v>#N/A</v>
      </c>
      <c r="AM317" t="e">
        <f>VLOOKUP($Z317,'oddspedia-matches'!$A:$AD,AM$2,0)</f>
        <v>#N/A</v>
      </c>
      <c r="AN317" t="e">
        <f>VLOOKUP($Z317,'oddspedia-matches'!$A:$AD,AN$2,0)</f>
        <v>#N/A</v>
      </c>
      <c r="AO317" t="e">
        <f>VLOOKUP($Z317,'oddspedia-matches'!$A:$AD,AO$2,0)</f>
        <v>#N/A</v>
      </c>
      <c r="AP317" t="e">
        <f>VLOOKUP($Z317,'oddspedia-matches'!$A:$AD,AP$2,0)</f>
        <v>#N/A</v>
      </c>
      <c r="AQ317" t="e">
        <f>VLOOKUP($Z317,'oddspedia-matches'!$A:$AD,AQ$2,0)</f>
        <v>#N/A</v>
      </c>
    </row>
    <row r="318" spans="2:43" x14ac:dyDescent="0.2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tr">
        <f>VLOOKUP(E318,'Transform table'!A:B,2,0)</f>
        <v>Edgeworth Eagles Reserves</v>
      </c>
      <c r="Y318" t="str">
        <f>VLOOKUP(F318,'Transform table'!A:B,2,0)</f>
        <v>Hamilton Olympic</v>
      </c>
      <c r="Z318" t="str">
        <f t="shared" si="4"/>
        <v>26/07/2026Edgeworth Eagles ReservesHamilton Olympic</v>
      </c>
      <c r="AA318" t="e">
        <f>VLOOKUP($Z318,'oddspedia-matches'!$A:$AD,AA$2,0)</f>
        <v>#N/A</v>
      </c>
      <c r="AB318" t="e">
        <f>VLOOKUP($Z318,'oddspedia-matches'!$A:$AD,AB$2,0)</f>
        <v>#N/A</v>
      </c>
      <c r="AC318" t="e">
        <f>VLOOKUP($Z318,'oddspedia-matches'!$A:$AD,AC$2,0)</f>
        <v>#N/A</v>
      </c>
      <c r="AD318" t="e">
        <f>VLOOKUP($Z318,'oddspedia-matches'!$A:$AD,AD$2,0)</f>
        <v>#N/A</v>
      </c>
      <c r="AE318" t="e">
        <f>VLOOKUP($Z318,'oddspedia-matches'!$A:$AD,AE$2,0)</f>
        <v>#N/A</v>
      </c>
      <c r="AF318" t="e">
        <f>VLOOKUP($Z318,'oddspedia-matches'!$A:$AD,AF$2,0)</f>
        <v>#N/A</v>
      </c>
      <c r="AG318" t="e">
        <f>VLOOKUP($Z318,'oddspedia-matches'!$A:$AD,AG$2,0)</f>
        <v>#N/A</v>
      </c>
      <c r="AH318" t="e">
        <f>VLOOKUP($Z318,'oddspedia-matches'!$A:$AD,AH$2,0)</f>
        <v>#N/A</v>
      </c>
      <c r="AI318" t="e">
        <f>VLOOKUP($Z318,'oddspedia-matches'!$A:$AD,AI$2,0)</f>
        <v>#N/A</v>
      </c>
      <c r="AJ318" t="e">
        <f>VLOOKUP($Z318,'oddspedia-matches'!$A:$AD,AJ$2,0)</f>
        <v>#N/A</v>
      </c>
      <c r="AK318" t="e">
        <f>VLOOKUP($Z318,'oddspedia-matches'!$A:$AD,AK$2,0)</f>
        <v>#N/A</v>
      </c>
      <c r="AL318" t="e">
        <f>VLOOKUP($Z318,'oddspedia-matches'!$A:$AD,AL$2,0)</f>
        <v>#N/A</v>
      </c>
      <c r="AM318" t="e">
        <f>VLOOKUP($Z318,'oddspedia-matches'!$A:$AD,AM$2,0)</f>
        <v>#N/A</v>
      </c>
      <c r="AN318" t="e">
        <f>VLOOKUP($Z318,'oddspedia-matches'!$A:$AD,AN$2,0)</f>
        <v>#N/A</v>
      </c>
      <c r="AO318" t="e">
        <f>VLOOKUP($Z318,'oddspedia-matches'!$A:$AD,AO$2,0)</f>
        <v>#N/A</v>
      </c>
      <c r="AP318" t="e">
        <f>VLOOKUP($Z318,'oddspedia-matches'!$A:$AD,AP$2,0)</f>
        <v>#N/A</v>
      </c>
      <c r="AQ318" t="e">
        <f>VLOOKUP($Z318,'oddspedia-matches'!$A:$AD,AQ$2,0)</f>
        <v>#N/A</v>
      </c>
    </row>
    <row r="319" spans="2:43" x14ac:dyDescent="0.2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tr">
        <f>VLOOKUP(E319,'Transform table'!A:B,2,0)</f>
        <v>Santos</v>
      </c>
      <c r="Y319" t="str">
        <f>VLOOKUP(F319,'Transform table'!A:B,2,0)</f>
        <v>CA Atlas</v>
      </c>
      <c r="Z319" t="str">
        <f t="shared" si="4"/>
        <v>26/07/2026SantosCA Atlas</v>
      </c>
      <c r="AA319" t="e">
        <f>VLOOKUP($Z319,'oddspedia-matches'!$A:$AD,AA$2,0)</f>
        <v>#N/A</v>
      </c>
      <c r="AB319" t="e">
        <f>VLOOKUP($Z319,'oddspedia-matches'!$A:$AD,AB$2,0)</f>
        <v>#N/A</v>
      </c>
      <c r="AC319" t="e">
        <f>VLOOKUP($Z319,'oddspedia-matches'!$A:$AD,AC$2,0)</f>
        <v>#N/A</v>
      </c>
      <c r="AD319" t="e">
        <f>VLOOKUP($Z319,'oddspedia-matches'!$A:$AD,AD$2,0)</f>
        <v>#N/A</v>
      </c>
      <c r="AE319" t="e">
        <f>VLOOKUP($Z319,'oddspedia-matches'!$A:$AD,AE$2,0)</f>
        <v>#N/A</v>
      </c>
      <c r="AF319" t="e">
        <f>VLOOKUP($Z319,'oddspedia-matches'!$A:$AD,AF$2,0)</f>
        <v>#N/A</v>
      </c>
      <c r="AG319" t="e">
        <f>VLOOKUP($Z319,'oddspedia-matches'!$A:$AD,AG$2,0)</f>
        <v>#N/A</v>
      </c>
      <c r="AH319" t="e">
        <f>VLOOKUP($Z319,'oddspedia-matches'!$A:$AD,AH$2,0)</f>
        <v>#N/A</v>
      </c>
      <c r="AI319" t="e">
        <f>VLOOKUP($Z319,'oddspedia-matches'!$A:$AD,AI$2,0)</f>
        <v>#N/A</v>
      </c>
      <c r="AJ319" t="e">
        <f>VLOOKUP($Z319,'oddspedia-matches'!$A:$AD,AJ$2,0)</f>
        <v>#N/A</v>
      </c>
      <c r="AK319" t="e">
        <f>VLOOKUP($Z319,'oddspedia-matches'!$A:$AD,AK$2,0)</f>
        <v>#N/A</v>
      </c>
      <c r="AL319" t="e">
        <f>VLOOKUP($Z319,'oddspedia-matches'!$A:$AD,AL$2,0)</f>
        <v>#N/A</v>
      </c>
      <c r="AM319" t="e">
        <f>VLOOKUP($Z319,'oddspedia-matches'!$A:$AD,AM$2,0)</f>
        <v>#N/A</v>
      </c>
      <c r="AN319" t="e">
        <f>VLOOKUP($Z319,'oddspedia-matches'!$A:$AD,AN$2,0)</f>
        <v>#N/A</v>
      </c>
      <c r="AO319" t="e">
        <f>VLOOKUP($Z319,'oddspedia-matches'!$A:$AD,AO$2,0)</f>
        <v>#N/A</v>
      </c>
      <c r="AP319" t="e">
        <f>VLOOKUP($Z319,'oddspedia-matches'!$A:$AD,AP$2,0)</f>
        <v>#N/A</v>
      </c>
      <c r="AQ319" t="e">
        <f>VLOOKUP($Z319,'oddspedia-matches'!$A:$AD,AQ$2,0)</f>
        <v>#N/A</v>
      </c>
    </row>
    <row r="320" spans="2:43" x14ac:dyDescent="0.2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tr">
        <f>VLOOKUP(E320,'Transform table'!A:B,2,0)</f>
        <v>Club Atletico Tigre</v>
      </c>
      <c r="Y320" t="e">
        <f>VLOOKUP(F320,'Transform table'!A:B,2,0)</f>
        <v>#N/A</v>
      </c>
      <c r="Z320" t="e">
        <f t="shared" si="4"/>
        <v>#N/A</v>
      </c>
      <c r="AA320" t="e">
        <f>VLOOKUP($Z320,'oddspedia-matches'!$A:$AD,AA$2,0)</f>
        <v>#N/A</v>
      </c>
      <c r="AB320" t="e">
        <f>VLOOKUP($Z320,'oddspedia-matches'!$A:$AD,AB$2,0)</f>
        <v>#N/A</v>
      </c>
      <c r="AC320" t="e">
        <f>VLOOKUP($Z320,'oddspedia-matches'!$A:$AD,AC$2,0)</f>
        <v>#N/A</v>
      </c>
      <c r="AD320" t="e">
        <f>VLOOKUP($Z320,'oddspedia-matches'!$A:$AD,AD$2,0)</f>
        <v>#N/A</v>
      </c>
      <c r="AE320" t="e">
        <f>VLOOKUP($Z320,'oddspedia-matches'!$A:$AD,AE$2,0)</f>
        <v>#N/A</v>
      </c>
      <c r="AF320" t="e">
        <f>VLOOKUP($Z320,'oddspedia-matches'!$A:$AD,AF$2,0)</f>
        <v>#N/A</v>
      </c>
      <c r="AG320" t="e">
        <f>VLOOKUP($Z320,'oddspedia-matches'!$A:$AD,AG$2,0)</f>
        <v>#N/A</v>
      </c>
      <c r="AH320" t="e">
        <f>VLOOKUP($Z320,'oddspedia-matches'!$A:$AD,AH$2,0)</f>
        <v>#N/A</v>
      </c>
      <c r="AI320" t="e">
        <f>VLOOKUP($Z320,'oddspedia-matches'!$A:$AD,AI$2,0)</f>
        <v>#N/A</v>
      </c>
      <c r="AJ320" t="e">
        <f>VLOOKUP($Z320,'oddspedia-matches'!$A:$AD,AJ$2,0)</f>
        <v>#N/A</v>
      </c>
      <c r="AK320" t="e">
        <f>VLOOKUP($Z320,'oddspedia-matches'!$A:$AD,AK$2,0)</f>
        <v>#N/A</v>
      </c>
      <c r="AL320" t="e">
        <f>VLOOKUP($Z320,'oddspedia-matches'!$A:$AD,AL$2,0)</f>
        <v>#N/A</v>
      </c>
      <c r="AM320" t="e">
        <f>VLOOKUP($Z320,'oddspedia-matches'!$A:$AD,AM$2,0)</f>
        <v>#N/A</v>
      </c>
      <c r="AN320" t="e">
        <f>VLOOKUP($Z320,'oddspedia-matches'!$A:$AD,AN$2,0)</f>
        <v>#N/A</v>
      </c>
      <c r="AO320" t="e">
        <f>VLOOKUP($Z320,'oddspedia-matches'!$A:$AD,AO$2,0)</f>
        <v>#N/A</v>
      </c>
      <c r="AP320" t="e">
        <f>VLOOKUP($Z320,'oddspedia-matches'!$A:$AD,AP$2,0)</f>
        <v>#N/A</v>
      </c>
      <c r="AQ320" t="e">
        <f>VLOOKUP($Z320,'oddspedia-matches'!$A:$AD,AQ$2,0)</f>
        <v>#N/A</v>
      </c>
    </row>
    <row r="321" spans="2:43" x14ac:dyDescent="0.2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tr">
        <f>VLOOKUP(E321,'Transform table'!A:B,2,0)</f>
        <v>Rockdale not found</v>
      </c>
      <c r="Y321" t="e">
        <f>VLOOKUP(F321,'Transform table'!A:B,2,0)</f>
        <v>#N/A</v>
      </c>
      <c r="Z321" t="e">
        <f t="shared" si="4"/>
        <v>#N/A</v>
      </c>
      <c r="AA321" t="e">
        <f>VLOOKUP($Z321,'oddspedia-matches'!$A:$AD,AA$2,0)</f>
        <v>#N/A</v>
      </c>
      <c r="AB321" t="e">
        <f>VLOOKUP($Z321,'oddspedia-matches'!$A:$AD,AB$2,0)</f>
        <v>#N/A</v>
      </c>
      <c r="AC321" t="e">
        <f>VLOOKUP($Z321,'oddspedia-matches'!$A:$AD,AC$2,0)</f>
        <v>#N/A</v>
      </c>
      <c r="AD321" t="e">
        <f>VLOOKUP($Z321,'oddspedia-matches'!$A:$AD,AD$2,0)</f>
        <v>#N/A</v>
      </c>
      <c r="AE321" t="e">
        <f>VLOOKUP($Z321,'oddspedia-matches'!$A:$AD,AE$2,0)</f>
        <v>#N/A</v>
      </c>
      <c r="AF321" t="e">
        <f>VLOOKUP($Z321,'oddspedia-matches'!$A:$AD,AF$2,0)</f>
        <v>#N/A</v>
      </c>
      <c r="AG321" t="e">
        <f>VLOOKUP($Z321,'oddspedia-matches'!$A:$AD,AG$2,0)</f>
        <v>#N/A</v>
      </c>
      <c r="AH321" t="e">
        <f>VLOOKUP($Z321,'oddspedia-matches'!$A:$AD,AH$2,0)</f>
        <v>#N/A</v>
      </c>
      <c r="AI321" t="e">
        <f>VLOOKUP($Z321,'oddspedia-matches'!$A:$AD,AI$2,0)</f>
        <v>#N/A</v>
      </c>
      <c r="AJ321" t="e">
        <f>VLOOKUP($Z321,'oddspedia-matches'!$A:$AD,AJ$2,0)</f>
        <v>#N/A</v>
      </c>
      <c r="AK321" t="e">
        <f>VLOOKUP($Z321,'oddspedia-matches'!$A:$AD,AK$2,0)</f>
        <v>#N/A</v>
      </c>
      <c r="AL321" t="e">
        <f>VLOOKUP($Z321,'oddspedia-matches'!$A:$AD,AL$2,0)</f>
        <v>#N/A</v>
      </c>
      <c r="AM321" t="e">
        <f>VLOOKUP($Z321,'oddspedia-matches'!$A:$AD,AM$2,0)</f>
        <v>#N/A</v>
      </c>
      <c r="AN321" t="e">
        <f>VLOOKUP($Z321,'oddspedia-matches'!$A:$AD,AN$2,0)</f>
        <v>#N/A</v>
      </c>
      <c r="AO321" t="e">
        <f>VLOOKUP($Z321,'oddspedia-matches'!$A:$AD,AO$2,0)</f>
        <v>#N/A</v>
      </c>
      <c r="AP321" t="e">
        <f>VLOOKUP($Z321,'oddspedia-matches'!$A:$AD,AP$2,0)</f>
        <v>#N/A</v>
      </c>
      <c r="AQ321" t="e">
        <f>VLOOKUP($Z321,'oddspedia-matches'!$A:$AD,AQ$2,0)</f>
        <v>#N/A</v>
      </c>
    </row>
    <row r="322" spans="2:43" x14ac:dyDescent="0.2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tr">
        <f>VLOOKUP(E322,'Transform table'!A:B,2,0)</f>
        <v>Wolves</v>
      </c>
      <c r="Y322" t="e">
        <f>VLOOKUP(F322,'Transform table'!A:B,2,0)</f>
        <v>#N/A</v>
      </c>
      <c r="Z322" t="e">
        <f t="shared" si="4"/>
        <v>#N/A</v>
      </c>
      <c r="AA322" t="e">
        <f>VLOOKUP($Z322,'oddspedia-matches'!$A:$AD,AA$2,0)</f>
        <v>#N/A</v>
      </c>
      <c r="AB322" t="e">
        <f>VLOOKUP($Z322,'oddspedia-matches'!$A:$AD,AB$2,0)</f>
        <v>#N/A</v>
      </c>
      <c r="AC322" t="e">
        <f>VLOOKUP($Z322,'oddspedia-matches'!$A:$AD,AC$2,0)</f>
        <v>#N/A</v>
      </c>
      <c r="AD322" t="e">
        <f>VLOOKUP($Z322,'oddspedia-matches'!$A:$AD,AD$2,0)</f>
        <v>#N/A</v>
      </c>
      <c r="AE322" t="e">
        <f>VLOOKUP($Z322,'oddspedia-matches'!$A:$AD,AE$2,0)</f>
        <v>#N/A</v>
      </c>
      <c r="AF322" t="e">
        <f>VLOOKUP($Z322,'oddspedia-matches'!$A:$AD,AF$2,0)</f>
        <v>#N/A</v>
      </c>
      <c r="AG322" t="e">
        <f>VLOOKUP($Z322,'oddspedia-matches'!$A:$AD,AG$2,0)</f>
        <v>#N/A</v>
      </c>
      <c r="AH322" t="e">
        <f>VLOOKUP($Z322,'oddspedia-matches'!$A:$AD,AH$2,0)</f>
        <v>#N/A</v>
      </c>
      <c r="AI322" t="e">
        <f>VLOOKUP($Z322,'oddspedia-matches'!$A:$AD,AI$2,0)</f>
        <v>#N/A</v>
      </c>
      <c r="AJ322" t="e">
        <f>VLOOKUP($Z322,'oddspedia-matches'!$A:$AD,AJ$2,0)</f>
        <v>#N/A</v>
      </c>
      <c r="AK322" t="e">
        <f>VLOOKUP($Z322,'oddspedia-matches'!$A:$AD,AK$2,0)</f>
        <v>#N/A</v>
      </c>
      <c r="AL322" t="e">
        <f>VLOOKUP($Z322,'oddspedia-matches'!$A:$AD,AL$2,0)</f>
        <v>#N/A</v>
      </c>
      <c r="AM322" t="e">
        <f>VLOOKUP($Z322,'oddspedia-matches'!$A:$AD,AM$2,0)</f>
        <v>#N/A</v>
      </c>
      <c r="AN322" t="e">
        <f>VLOOKUP($Z322,'oddspedia-matches'!$A:$AD,AN$2,0)</f>
        <v>#N/A</v>
      </c>
      <c r="AO322" t="e">
        <f>VLOOKUP($Z322,'oddspedia-matches'!$A:$AD,AO$2,0)</f>
        <v>#N/A</v>
      </c>
      <c r="AP322" t="e">
        <f>VLOOKUP($Z322,'oddspedia-matches'!$A:$AD,AP$2,0)</f>
        <v>#N/A</v>
      </c>
      <c r="AQ322" t="e">
        <f>VLOOKUP($Z322,'oddspedia-matches'!$A:$AD,AQ$2,0)</f>
        <v>#N/A</v>
      </c>
    </row>
    <row r="323" spans="2:43" x14ac:dyDescent="0.2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tr">
        <f>VLOOKUP(E323,'Transform table'!A:B,2,0)</f>
        <v>Kahibah FC Reserves</v>
      </c>
      <c r="Y323" t="str">
        <f>VLOOKUP(F323,'Transform table'!A:B,2,0)</f>
        <v>Belmont Swansea United SC</v>
      </c>
      <c r="Z323" t="str">
        <f t="shared" si="4"/>
        <v>26/07/2026Kahibah FC ReservesBelmont Swansea United SC</v>
      </c>
      <c r="AA323" t="e">
        <f>VLOOKUP($Z323,'oddspedia-matches'!$A:$AD,AA$2,0)</f>
        <v>#N/A</v>
      </c>
      <c r="AB323" t="e">
        <f>VLOOKUP($Z323,'oddspedia-matches'!$A:$AD,AB$2,0)</f>
        <v>#N/A</v>
      </c>
      <c r="AC323" t="e">
        <f>VLOOKUP($Z323,'oddspedia-matches'!$A:$AD,AC$2,0)</f>
        <v>#N/A</v>
      </c>
      <c r="AD323" t="e">
        <f>VLOOKUP($Z323,'oddspedia-matches'!$A:$AD,AD$2,0)</f>
        <v>#N/A</v>
      </c>
      <c r="AE323" t="e">
        <f>VLOOKUP($Z323,'oddspedia-matches'!$A:$AD,AE$2,0)</f>
        <v>#N/A</v>
      </c>
      <c r="AF323" t="e">
        <f>VLOOKUP($Z323,'oddspedia-matches'!$A:$AD,AF$2,0)</f>
        <v>#N/A</v>
      </c>
      <c r="AG323" t="e">
        <f>VLOOKUP($Z323,'oddspedia-matches'!$A:$AD,AG$2,0)</f>
        <v>#N/A</v>
      </c>
      <c r="AH323" t="e">
        <f>VLOOKUP($Z323,'oddspedia-matches'!$A:$AD,AH$2,0)</f>
        <v>#N/A</v>
      </c>
      <c r="AI323" t="e">
        <f>VLOOKUP($Z323,'oddspedia-matches'!$A:$AD,AI$2,0)</f>
        <v>#N/A</v>
      </c>
      <c r="AJ323" t="e">
        <f>VLOOKUP($Z323,'oddspedia-matches'!$A:$AD,AJ$2,0)</f>
        <v>#N/A</v>
      </c>
      <c r="AK323" t="e">
        <f>VLOOKUP($Z323,'oddspedia-matches'!$A:$AD,AK$2,0)</f>
        <v>#N/A</v>
      </c>
      <c r="AL323" t="e">
        <f>VLOOKUP($Z323,'oddspedia-matches'!$A:$AD,AL$2,0)</f>
        <v>#N/A</v>
      </c>
      <c r="AM323" t="e">
        <f>VLOOKUP($Z323,'oddspedia-matches'!$A:$AD,AM$2,0)</f>
        <v>#N/A</v>
      </c>
      <c r="AN323" t="e">
        <f>VLOOKUP($Z323,'oddspedia-matches'!$A:$AD,AN$2,0)</f>
        <v>#N/A</v>
      </c>
      <c r="AO323" t="e">
        <f>VLOOKUP($Z323,'oddspedia-matches'!$A:$AD,AO$2,0)</f>
        <v>#N/A</v>
      </c>
      <c r="AP323" t="e">
        <f>VLOOKUP($Z323,'oddspedia-matches'!$A:$AD,AP$2,0)</f>
        <v>#N/A</v>
      </c>
      <c r="AQ323" t="e">
        <f>VLOOKUP($Z323,'oddspedia-matches'!$A:$AD,AQ$2,0)</f>
        <v>#N/A</v>
      </c>
    </row>
    <row r="324" spans="2:43" x14ac:dyDescent="0.2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tr">
        <f>VLOOKUP(E324,'Transform table'!A:B,2,0)</f>
        <v>Gungahlin Juventus U23</v>
      </c>
      <c r="Y324" t="e">
        <f>VLOOKUP(F324,'Transform table'!A:B,2,0)</f>
        <v>#N/A</v>
      </c>
      <c r="Z324" t="e">
        <f t="shared" ref="Z324:Z387" si="5">C324&amp;X324&amp;Y324</f>
        <v>#N/A</v>
      </c>
      <c r="AA324" t="e">
        <f>VLOOKUP($Z324,'oddspedia-matches'!$A:$AD,AA$2,0)</f>
        <v>#N/A</v>
      </c>
      <c r="AB324" t="e">
        <f>VLOOKUP($Z324,'oddspedia-matches'!$A:$AD,AB$2,0)</f>
        <v>#N/A</v>
      </c>
      <c r="AC324" t="e">
        <f>VLOOKUP($Z324,'oddspedia-matches'!$A:$AD,AC$2,0)</f>
        <v>#N/A</v>
      </c>
      <c r="AD324" t="e">
        <f>VLOOKUP($Z324,'oddspedia-matches'!$A:$AD,AD$2,0)</f>
        <v>#N/A</v>
      </c>
      <c r="AE324" t="e">
        <f>VLOOKUP($Z324,'oddspedia-matches'!$A:$AD,AE$2,0)</f>
        <v>#N/A</v>
      </c>
      <c r="AF324" t="e">
        <f>VLOOKUP($Z324,'oddspedia-matches'!$A:$AD,AF$2,0)</f>
        <v>#N/A</v>
      </c>
      <c r="AG324" t="e">
        <f>VLOOKUP($Z324,'oddspedia-matches'!$A:$AD,AG$2,0)</f>
        <v>#N/A</v>
      </c>
      <c r="AH324" t="e">
        <f>VLOOKUP($Z324,'oddspedia-matches'!$A:$AD,AH$2,0)</f>
        <v>#N/A</v>
      </c>
      <c r="AI324" t="e">
        <f>VLOOKUP($Z324,'oddspedia-matches'!$A:$AD,AI$2,0)</f>
        <v>#N/A</v>
      </c>
      <c r="AJ324" t="e">
        <f>VLOOKUP($Z324,'oddspedia-matches'!$A:$AD,AJ$2,0)</f>
        <v>#N/A</v>
      </c>
      <c r="AK324" t="e">
        <f>VLOOKUP($Z324,'oddspedia-matches'!$A:$AD,AK$2,0)</f>
        <v>#N/A</v>
      </c>
      <c r="AL324" t="e">
        <f>VLOOKUP($Z324,'oddspedia-matches'!$A:$AD,AL$2,0)</f>
        <v>#N/A</v>
      </c>
      <c r="AM324" t="e">
        <f>VLOOKUP($Z324,'oddspedia-matches'!$A:$AD,AM$2,0)</f>
        <v>#N/A</v>
      </c>
      <c r="AN324" t="e">
        <f>VLOOKUP($Z324,'oddspedia-matches'!$A:$AD,AN$2,0)</f>
        <v>#N/A</v>
      </c>
      <c r="AO324" t="e">
        <f>VLOOKUP($Z324,'oddspedia-matches'!$A:$AD,AO$2,0)</f>
        <v>#N/A</v>
      </c>
      <c r="AP324" t="e">
        <f>VLOOKUP($Z324,'oddspedia-matches'!$A:$AD,AP$2,0)</f>
        <v>#N/A</v>
      </c>
      <c r="AQ324" t="e">
        <f>VLOOKUP($Z324,'oddspedia-matches'!$A:$AD,AQ$2,0)</f>
        <v>#N/A</v>
      </c>
    </row>
    <row r="325" spans="2:43" x14ac:dyDescent="0.2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>
        <f>VLOOKUP(E325,'Transform table'!A:B,2,0)</f>
        <v>0</v>
      </c>
      <c r="Y325" t="e">
        <f>VLOOKUP(F325,'Transform table'!A:B,2,0)</f>
        <v>#N/A</v>
      </c>
      <c r="Z325" t="e">
        <f t="shared" si="5"/>
        <v>#N/A</v>
      </c>
      <c r="AA325" t="e">
        <f>VLOOKUP($Z325,'oddspedia-matches'!$A:$AD,AA$2,0)</f>
        <v>#N/A</v>
      </c>
      <c r="AB325" t="e">
        <f>VLOOKUP($Z325,'oddspedia-matches'!$A:$AD,AB$2,0)</f>
        <v>#N/A</v>
      </c>
      <c r="AC325" t="e">
        <f>VLOOKUP($Z325,'oddspedia-matches'!$A:$AD,AC$2,0)</f>
        <v>#N/A</v>
      </c>
      <c r="AD325" t="e">
        <f>VLOOKUP($Z325,'oddspedia-matches'!$A:$AD,AD$2,0)</f>
        <v>#N/A</v>
      </c>
      <c r="AE325" t="e">
        <f>VLOOKUP($Z325,'oddspedia-matches'!$A:$AD,AE$2,0)</f>
        <v>#N/A</v>
      </c>
      <c r="AF325" t="e">
        <f>VLOOKUP($Z325,'oddspedia-matches'!$A:$AD,AF$2,0)</f>
        <v>#N/A</v>
      </c>
      <c r="AG325" t="e">
        <f>VLOOKUP($Z325,'oddspedia-matches'!$A:$AD,AG$2,0)</f>
        <v>#N/A</v>
      </c>
      <c r="AH325" t="e">
        <f>VLOOKUP($Z325,'oddspedia-matches'!$A:$AD,AH$2,0)</f>
        <v>#N/A</v>
      </c>
      <c r="AI325" t="e">
        <f>VLOOKUP($Z325,'oddspedia-matches'!$A:$AD,AI$2,0)</f>
        <v>#N/A</v>
      </c>
      <c r="AJ325" t="e">
        <f>VLOOKUP($Z325,'oddspedia-matches'!$A:$AD,AJ$2,0)</f>
        <v>#N/A</v>
      </c>
      <c r="AK325" t="e">
        <f>VLOOKUP($Z325,'oddspedia-matches'!$A:$AD,AK$2,0)</f>
        <v>#N/A</v>
      </c>
      <c r="AL325" t="e">
        <f>VLOOKUP($Z325,'oddspedia-matches'!$A:$AD,AL$2,0)</f>
        <v>#N/A</v>
      </c>
      <c r="AM325" t="e">
        <f>VLOOKUP($Z325,'oddspedia-matches'!$A:$AD,AM$2,0)</f>
        <v>#N/A</v>
      </c>
      <c r="AN325" t="e">
        <f>VLOOKUP($Z325,'oddspedia-matches'!$A:$AD,AN$2,0)</f>
        <v>#N/A</v>
      </c>
      <c r="AO325" t="e">
        <f>VLOOKUP($Z325,'oddspedia-matches'!$A:$AD,AO$2,0)</f>
        <v>#N/A</v>
      </c>
      <c r="AP325" t="e">
        <f>VLOOKUP($Z325,'oddspedia-matches'!$A:$AD,AP$2,0)</f>
        <v>#N/A</v>
      </c>
      <c r="AQ325" t="e">
        <f>VLOOKUP($Z325,'oddspedia-matches'!$A:$AD,AQ$2,0)</f>
        <v>#N/A</v>
      </c>
    </row>
    <row r="326" spans="2:43" x14ac:dyDescent="0.2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>
        <f>VLOOKUP(E326,'Transform table'!A:B,2,0)</f>
        <v>0</v>
      </c>
      <c r="Y326" t="e">
        <f>VLOOKUP(F326,'Transform table'!A:B,2,0)</f>
        <v>#N/A</v>
      </c>
      <c r="Z326" t="e">
        <f t="shared" si="5"/>
        <v>#N/A</v>
      </c>
      <c r="AA326" t="e">
        <f>VLOOKUP($Z326,'oddspedia-matches'!$A:$AD,AA$2,0)</f>
        <v>#N/A</v>
      </c>
      <c r="AB326" t="e">
        <f>VLOOKUP($Z326,'oddspedia-matches'!$A:$AD,AB$2,0)</f>
        <v>#N/A</v>
      </c>
      <c r="AC326" t="e">
        <f>VLOOKUP($Z326,'oddspedia-matches'!$A:$AD,AC$2,0)</f>
        <v>#N/A</v>
      </c>
      <c r="AD326" t="e">
        <f>VLOOKUP($Z326,'oddspedia-matches'!$A:$AD,AD$2,0)</f>
        <v>#N/A</v>
      </c>
      <c r="AE326" t="e">
        <f>VLOOKUP($Z326,'oddspedia-matches'!$A:$AD,AE$2,0)</f>
        <v>#N/A</v>
      </c>
      <c r="AF326" t="e">
        <f>VLOOKUP($Z326,'oddspedia-matches'!$A:$AD,AF$2,0)</f>
        <v>#N/A</v>
      </c>
      <c r="AG326" t="e">
        <f>VLOOKUP($Z326,'oddspedia-matches'!$A:$AD,AG$2,0)</f>
        <v>#N/A</v>
      </c>
      <c r="AH326" t="e">
        <f>VLOOKUP($Z326,'oddspedia-matches'!$A:$AD,AH$2,0)</f>
        <v>#N/A</v>
      </c>
      <c r="AI326" t="e">
        <f>VLOOKUP($Z326,'oddspedia-matches'!$A:$AD,AI$2,0)</f>
        <v>#N/A</v>
      </c>
      <c r="AJ326" t="e">
        <f>VLOOKUP($Z326,'oddspedia-matches'!$A:$AD,AJ$2,0)</f>
        <v>#N/A</v>
      </c>
      <c r="AK326" t="e">
        <f>VLOOKUP($Z326,'oddspedia-matches'!$A:$AD,AK$2,0)</f>
        <v>#N/A</v>
      </c>
      <c r="AL326" t="e">
        <f>VLOOKUP($Z326,'oddspedia-matches'!$A:$AD,AL$2,0)</f>
        <v>#N/A</v>
      </c>
      <c r="AM326" t="e">
        <f>VLOOKUP($Z326,'oddspedia-matches'!$A:$AD,AM$2,0)</f>
        <v>#N/A</v>
      </c>
      <c r="AN326" t="e">
        <f>VLOOKUP($Z326,'oddspedia-matches'!$A:$AD,AN$2,0)</f>
        <v>#N/A</v>
      </c>
      <c r="AO326" t="e">
        <f>VLOOKUP($Z326,'oddspedia-matches'!$A:$AD,AO$2,0)</f>
        <v>#N/A</v>
      </c>
      <c r="AP326" t="e">
        <f>VLOOKUP($Z326,'oddspedia-matches'!$A:$AD,AP$2,0)</f>
        <v>#N/A</v>
      </c>
      <c r="AQ326" t="e">
        <f>VLOOKUP($Z326,'oddspedia-matches'!$A:$AD,AQ$2,0)</f>
        <v>#N/A</v>
      </c>
    </row>
    <row r="327" spans="2:43" x14ac:dyDescent="0.2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tr">
        <f>VLOOKUP(E327,'Transform table'!A:B,2,0)</f>
        <v>Shanghai Greenland Shenhua</v>
      </c>
      <c r="Y327" t="e">
        <f>VLOOKUP(F327,'Transform table'!A:B,2,0)</f>
        <v>#N/A</v>
      </c>
      <c r="Z327" t="e">
        <f t="shared" si="5"/>
        <v>#N/A</v>
      </c>
      <c r="AA327" t="e">
        <f>VLOOKUP($Z327,'oddspedia-matches'!$A:$AD,AA$2,0)</f>
        <v>#N/A</v>
      </c>
      <c r="AB327" t="e">
        <f>VLOOKUP($Z327,'oddspedia-matches'!$A:$AD,AB$2,0)</f>
        <v>#N/A</v>
      </c>
      <c r="AC327" t="e">
        <f>VLOOKUP($Z327,'oddspedia-matches'!$A:$AD,AC$2,0)</f>
        <v>#N/A</v>
      </c>
      <c r="AD327" t="e">
        <f>VLOOKUP($Z327,'oddspedia-matches'!$A:$AD,AD$2,0)</f>
        <v>#N/A</v>
      </c>
      <c r="AE327" t="e">
        <f>VLOOKUP($Z327,'oddspedia-matches'!$A:$AD,AE$2,0)</f>
        <v>#N/A</v>
      </c>
      <c r="AF327" t="e">
        <f>VLOOKUP($Z327,'oddspedia-matches'!$A:$AD,AF$2,0)</f>
        <v>#N/A</v>
      </c>
      <c r="AG327" t="e">
        <f>VLOOKUP($Z327,'oddspedia-matches'!$A:$AD,AG$2,0)</f>
        <v>#N/A</v>
      </c>
      <c r="AH327" t="e">
        <f>VLOOKUP($Z327,'oddspedia-matches'!$A:$AD,AH$2,0)</f>
        <v>#N/A</v>
      </c>
      <c r="AI327" t="e">
        <f>VLOOKUP($Z327,'oddspedia-matches'!$A:$AD,AI$2,0)</f>
        <v>#N/A</v>
      </c>
      <c r="AJ327" t="e">
        <f>VLOOKUP($Z327,'oddspedia-matches'!$A:$AD,AJ$2,0)</f>
        <v>#N/A</v>
      </c>
      <c r="AK327" t="e">
        <f>VLOOKUP($Z327,'oddspedia-matches'!$A:$AD,AK$2,0)</f>
        <v>#N/A</v>
      </c>
      <c r="AL327" t="e">
        <f>VLOOKUP($Z327,'oddspedia-matches'!$A:$AD,AL$2,0)</f>
        <v>#N/A</v>
      </c>
      <c r="AM327" t="e">
        <f>VLOOKUP($Z327,'oddspedia-matches'!$A:$AD,AM$2,0)</f>
        <v>#N/A</v>
      </c>
      <c r="AN327" t="e">
        <f>VLOOKUP($Z327,'oddspedia-matches'!$A:$AD,AN$2,0)</f>
        <v>#N/A</v>
      </c>
      <c r="AO327" t="e">
        <f>VLOOKUP($Z327,'oddspedia-matches'!$A:$AD,AO$2,0)</f>
        <v>#N/A</v>
      </c>
      <c r="AP327" t="e">
        <f>VLOOKUP($Z327,'oddspedia-matches'!$A:$AD,AP$2,0)</f>
        <v>#N/A</v>
      </c>
      <c r="AQ327" t="e">
        <f>VLOOKUP($Z327,'oddspedia-matches'!$A:$AD,AQ$2,0)</f>
        <v>#N/A</v>
      </c>
    </row>
    <row r="328" spans="2:43" x14ac:dyDescent="0.2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>
        <f>VLOOKUP(E328,'Transform table'!A:B,2,0)</f>
        <v>0</v>
      </c>
      <c r="Y328" t="e">
        <f>VLOOKUP(F328,'Transform table'!A:B,2,0)</f>
        <v>#N/A</v>
      </c>
      <c r="Z328" t="e">
        <f t="shared" si="5"/>
        <v>#N/A</v>
      </c>
      <c r="AA328" t="e">
        <f>VLOOKUP($Z328,'oddspedia-matches'!$A:$AD,AA$2,0)</f>
        <v>#N/A</v>
      </c>
      <c r="AB328" t="e">
        <f>VLOOKUP($Z328,'oddspedia-matches'!$A:$AD,AB$2,0)</f>
        <v>#N/A</v>
      </c>
      <c r="AC328" t="e">
        <f>VLOOKUP($Z328,'oddspedia-matches'!$A:$AD,AC$2,0)</f>
        <v>#N/A</v>
      </c>
      <c r="AD328" t="e">
        <f>VLOOKUP($Z328,'oddspedia-matches'!$A:$AD,AD$2,0)</f>
        <v>#N/A</v>
      </c>
      <c r="AE328" t="e">
        <f>VLOOKUP($Z328,'oddspedia-matches'!$A:$AD,AE$2,0)</f>
        <v>#N/A</v>
      </c>
      <c r="AF328" t="e">
        <f>VLOOKUP($Z328,'oddspedia-matches'!$A:$AD,AF$2,0)</f>
        <v>#N/A</v>
      </c>
      <c r="AG328" t="e">
        <f>VLOOKUP($Z328,'oddspedia-matches'!$A:$AD,AG$2,0)</f>
        <v>#N/A</v>
      </c>
      <c r="AH328" t="e">
        <f>VLOOKUP($Z328,'oddspedia-matches'!$A:$AD,AH$2,0)</f>
        <v>#N/A</v>
      </c>
      <c r="AI328" t="e">
        <f>VLOOKUP($Z328,'oddspedia-matches'!$A:$AD,AI$2,0)</f>
        <v>#N/A</v>
      </c>
      <c r="AJ328" t="e">
        <f>VLOOKUP($Z328,'oddspedia-matches'!$A:$AD,AJ$2,0)</f>
        <v>#N/A</v>
      </c>
      <c r="AK328" t="e">
        <f>VLOOKUP($Z328,'oddspedia-matches'!$A:$AD,AK$2,0)</f>
        <v>#N/A</v>
      </c>
      <c r="AL328" t="e">
        <f>VLOOKUP($Z328,'oddspedia-matches'!$A:$AD,AL$2,0)</f>
        <v>#N/A</v>
      </c>
      <c r="AM328" t="e">
        <f>VLOOKUP($Z328,'oddspedia-matches'!$A:$AD,AM$2,0)</f>
        <v>#N/A</v>
      </c>
      <c r="AN328" t="e">
        <f>VLOOKUP($Z328,'oddspedia-matches'!$A:$AD,AN$2,0)</f>
        <v>#N/A</v>
      </c>
      <c r="AO328" t="e">
        <f>VLOOKUP($Z328,'oddspedia-matches'!$A:$AD,AO$2,0)</f>
        <v>#N/A</v>
      </c>
      <c r="AP328" t="e">
        <f>VLOOKUP($Z328,'oddspedia-matches'!$A:$AD,AP$2,0)</f>
        <v>#N/A</v>
      </c>
      <c r="AQ328" t="e">
        <f>VLOOKUP($Z328,'oddspedia-matches'!$A:$AD,AQ$2,0)</f>
        <v>#N/A</v>
      </c>
    </row>
    <row r="329" spans="2:43" x14ac:dyDescent="0.2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>
        <f>VLOOKUP(E329,'Transform table'!A:B,2,0)</f>
        <v>0</v>
      </c>
      <c r="Y329" t="e">
        <f>VLOOKUP(F329,'Transform table'!A:B,2,0)</f>
        <v>#N/A</v>
      </c>
      <c r="Z329" t="e">
        <f t="shared" si="5"/>
        <v>#N/A</v>
      </c>
      <c r="AA329" t="e">
        <f>VLOOKUP($Z329,'oddspedia-matches'!$A:$AD,AA$2,0)</f>
        <v>#N/A</v>
      </c>
      <c r="AB329" t="e">
        <f>VLOOKUP($Z329,'oddspedia-matches'!$A:$AD,AB$2,0)</f>
        <v>#N/A</v>
      </c>
      <c r="AC329" t="e">
        <f>VLOOKUP($Z329,'oddspedia-matches'!$A:$AD,AC$2,0)</f>
        <v>#N/A</v>
      </c>
      <c r="AD329" t="e">
        <f>VLOOKUP($Z329,'oddspedia-matches'!$A:$AD,AD$2,0)</f>
        <v>#N/A</v>
      </c>
      <c r="AE329" t="e">
        <f>VLOOKUP($Z329,'oddspedia-matches'!$A:$AD,AE$2,0)</f>
        <v>#N/A</v>
      </c>
      <c r="AF329" t="e">
        <f>VLOOKUP($Z329,'oddspedia-matches'!$A:$AD,AF$2,0)</f>
        <v>#N/A</v>
      </c>
      <c r="AG329" t="e">
        <f>VLOOKUP($Z329,'oddspedia-matches'!$A:$AD,AG$2,0)</f>
        <v>#N/A</v>
      </c>
      <c r="AH329" t="e">
        <f>VLOOKUP($Z329,'oddspedia-matches'!$A:$AD,AH$2,0)</f>
        <v>#N/A</v>
      </c>
      <c r="AI329" t="e">
        <f>VLOOKUP($Z329,'oddspedia-matches'!$A:$AD,AI$2,0)</f>
        <v>#N/A</v>
      </c>
      <c r="AJ329" t="e">
        <f>VLOOKUP($Z329,'oddspedia-matches'!$A:$AD,AJ$2,0)</f>
        <v>#N/A</v>
      </c>
      <c r="AK329" t="e">
        <f>VLOOKUP($Z329,'oddspedia-matches'!$A:$AD,AK$2,0)</f>
        <v>#N/A</v>
      </c>
      <c r="AL329" t="e">
        <f>VLOOKUP($Z329,'oddspedia-matches'!$A:$AD,AL$2,0)</f>
        <v>#N/A</v>
      </c>
      <c r="AM329" t="e">
        <f>VLOOKUP($Z329,'oddspedia-matches'!$A:$AD,AM$2,0)</f>
        <v>#N/A</v>
      </c>
      <c r="AN329" t="e">
        <f>VLOOKUP($Z329,'oddspedia-matches'!$A:$AD,AN$2,0)</f>
        <v>#N/A</v>
      </c>
      <c r="AO329" t="e">
        <f>VLOOKUP($Z329,'oddspedia-matches'!$A:$AD,AO$2,0)</f>
        <v>#N/A</v>
      </c>
      <c r="AP329" t="e">
        <f>VLOOKUP($Z329,'oddspedia-matches'!$A:$AD,AP$2,0)</f>
        <v>#N/A</v>
      </c>
      <c r="AQ329" t="e">
        <f>VLOOKUP($Z329,'oddspedia-matches'!$A:$AD,AQ$2,0)</f>
        <v>#N/A</v>
      </c>
    </row>
    <row r="330" spans="2:43" x14ac:dyDescent="0.2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tr">
        <f>VLOOKUP(E330,'Transform table'!A:B,2,0)</f>
        <v>Anyang</v>
      </c>
      <c r="Y330" t="str">
        <f>VLOOKUP(F330,'Transform table'!A:B,2,0)</f>
        <v>Gangwon</v>
      </c>
      <c r="Z330" t="str">
        <f t="shared" si="5"/>
        <v>26/07/2026AnyangGangwon</v>
      </c>
      <c r="AA330" t="e">
        <f>VLOOKUP($Z330,'oddspedia-matches'!$A:$AD,AA$2,0)</f>
        <v>#N/A</v>
      </c>
      <c r="AB330" t="e">
        <f>VLOOKUP($Z330,'oddspedia-matches'!$A:$AD,AB$2,0)</f>
        <v>#N/A</v>
      </c>
      <c r="AC330" t="e">
        <f>VLOOKUP($Z330,'oddspedia-matches'!$A:$AD,AC$2,0)</f>
        <v>#N/A</v>
      </c>
      <c r="AD330" t="e">
        <f>VLOOKUP($Z330,'oddspedia-matches'!$A:$AD,AD$2,0)</f>
        <v>#N/A</v>
      </c>
      <c r="AE330" t="e">
        <f>VLOOKUP($Z330,'oddspedia-matches'!$A:$AD,AE$2,0)</f>
        <v>#N/A</v>
      </c>
      <c r="AF330" t="e">
        <f>VLOOKUP($Z330,'oddspedia-matches'!$A:$AD,AF$2,0)</f>
        <v>#N/A</v>
      </c>
      <c r="AG330" t="e">
        <f>VLOOKUP($Z330,'oddspedia-matches'!$A:$AD,AG$2,0)</f>
        <v>#N/A</v>
      </c>
      <c r="AH330" t="e">
        <f>VLOOKUP($Z330,'oddspedia-matches'!$A:$AD,AH$2,0)</f>
        <v>#N/A</v>
      </c>
      <c r="AI330" t="e">
        <f>VLOOKUP($Z330,'oddspedia-matches'!$A:$AD,AI$2,0)</f>
        <v>#N/A</v>
      </c>
      <c r="AJ330" t="e">
        <f>VLOOKUP($Z330,'oddspedia-matches'!$A:$AD,AJ$2,0)</f>
        <v>#N/A</v>
      </c>
      <c r="AK330" t="e">
        <f>VLOOKUP($Z330,'oddspedia-matches'!$A:$AD,AK$2,0)</f>
        <v>#N/A</v>
      </c>
      <c r="AL330" t="e">
        <f>VLOOKUP($Z330,'oddspedia-matches'!$A:$AD,AL$2,0)</f>
        <v>#N/A</v>
      </c>
      <c r="AM330" t="e">
        <f>VLOOKUP($Z330,'oddspedia-matches'!$A:$AD,AM$2,0)</f>
        <v>#N/A</v>
      </c>
      <c r="AN330" t="e">
        <f>VLOOKUP($Z330,'oddspedia-matches'!$A:$AD,AN$2,0)</f>
        <v>#N/A</v>
      </c>
      <c r="AO330" t="e">
        <f>VLOOKUP($Z330,'oddspedia-matches'!$A:$AD,AO$2,0)</f>
        <v>#N/A</v>
      </c>
      <c r="AP330" t="e">
        <f>VLOOKUP($Z330,'oddspedia-matches'!$A:$AD,AP$2,0)</f>
        <v>#N/A</v>
      </c>
      <c r="AQ330" t="e">
        <f>VLOOKUP($Z330,'oddspedia-matches'!$A:$AD,AQ$2,0)</f>
        <v>#N/A</v>
      </c>
    </row>
    <row r="331" spans="2:43" x14ac:dyDescent="0.2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tr">
        <f>VLOOKUP(E331,'Transform table'!A:B,2,0)</f>
        <v>FC Seoul</v>
      </c>
      <c r="Y331" t="str">
        <f>VLOOKUP(F331,'Transform table'!A:B,2,0)</f>
        <v>Ulsan Hyundai</v>
      </c>
      <c r="Z331" t="str">
        <f t="shared" si="5"/>
        <v>26/07/2026FC SeoulUlsan Hyundai</v>
      </c>
      <c r="AA331" t="e">
        <f>VLOOKUP($Z331,'oddspedia-matches'!$A:$AD,AA$2,0)</f>
        <v>#N/A</v>
      </c>
      <c r="AB331" t="e">
        <f>VLOOKUP($Z331,'oddspedia-matches'!$A:$AD,AB$2,0)</f>
        <v>#N/A</v>
      </c>
      <c r="AC331" t="e">
        <f>VLOOKUP($Z331,'oddspedia-matches'!$A:$AD,AC$2,0)</f>
        <v>#N/A</v>
      </c>
      <c r="AD331" t="e">
        <f>VLOOKUP($Z331,'oddspedia-matches'!$A:$AD,AD$2,0)</f>
        <v>#N/A</v>
      </c>
      <c r="AE331" t="e">
        <f>VLOOKUP($Z331,'oddspedia-matches'!$A:$AD,AE$2,0)</f>
        <v>#N/A</v>
      </c>
      <c r="AF331" t="e">
        <f>VLOOKUP($Z331,'oddspedia-matches'!$A:$AD,AF$2,0)</f>
        <v>#N/A</v>
      </c>
      <c r="AG331" t="e">
        <f>VLOOKUP($Z331,'oddspedia-matches'!$A:$AD,AG$2,0)</f>
        <v>#N/A</v>
      </c>
      <c r="AH331" t="e">
        <f>VLOOKUP($Z331,'oddspedia-matches'!$A:$AD,AH$2,0)</f>
        <v>#N/A</v>
      </c>
      <c r="AI331" t="e">
        <f>VLOOKUP($Z331,'oddspedia-matches'!$A:$AD,AI$2,0)</f>
        <v>#N/A</v>
      </c>
      <c r="AJ331" t="e">
        <f>VLOOKUP($Z331,'oddspedia-matches'!$A:$AD,AJ$2,0)</f>
        <v>#N/A</v>
      </c>
      <c r="AK331" t="e">
        <f>VLOOKUP($Z331,'oddspedia-matches'!$A:$AD,AK$2,0)</f>
        <v>#N/A</v>
      </c>
      <c r="AL331" t="e">
        <f>VLOOKUP($Z331,'oddspedia-matches'!$A:$AD,AL$2,0)</f>
        <v>#N/A</v>
      </c>
      <c r="AM331" t="e">
        <f>VLOOKUP($Z331,'oddspedia-matches'!$A:$AD,AM$2,0)</f>
        <v>#N/A</v>
      </c>
      <c r="AN331" t="e">
        <f>VLOOKUP($Z331,'oddspedia-matches'!$A:$AD,AN$2,0)</f>
        <v>#N/A</v>
      </c>
      <c r="AO331" t="e">
        <f>VLOOKUP($Z331,'oddspedia-matches'!$A:$AD,AO$2,0)</f>
        <v>#N/A</v>
      </c>
      <c r="AP331" t="e">
        <f>VLOOKUP($Z331,'oddspedia-matches'!$A:$AD,AP$2,0)</f>
        <v>#N/A</v>
      </c>
      <c r="AQ331" t="e">
        <f>VLOOKUP($Z331,'oddspedia-matches'!$A:$AD,AQ$2,0)</f>
        <v>#N/A</v>
      </c>
    </row>
    <row r="332" spans="2:43" x14ac:dyDescent="0.2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tr">
        <f>VLOOKUP(E332,'Transform table'!A:B,2,0)</f>
        <v>Gwangju</v>
      </c>
      <c r="Y332" t="str">
        <f>VLOOKUP(F332,'Transform table'!A:B,2,0)</f>
        <v>Jeju United</v>
      </c>
      <c r="Z332" t="str">
        <f t="shared" si="5"/>
        <v>26/07/2026GwangjuJeju United</v>
      </c>
      <c r="AA332" t="e">
        <f>VLOOKUP($Z332,'oddspedia-matches'!$A:$AD,AA$2,0)</f>
        <v>#N/A</v>
      </c>
      <c r="AB332" t="e">
        <f>VLOOKUP($Z332,'oddspedia-matches'!$A:$AD,AB$2,0)</f>
        <v>#N/A</v>
      </c>
      <c r="AC332" t="e">
        <f>VLOOKUP($Z332,'oddspedia-matches'!$A:$AD,AC$2,0)</f>
        <v>#N/A</v>
      </c>
      <c r="AD332" t="e">
        <f>VLOOKUP($Z332,'oddspedia-matches'!$A:$AD,AD$2,0)</f>
        <v>#N/A</v>
      </c>
      <c r="AE332" t="e">
        <f>VLOOKUP($Z332,'oddspedia-matches'!$A:$AD,AE$2,0)</f>
        <v>#N/A</v>
      </c>
      <c r="AF332" t="e">
        <f>VLOOKUP($Z332,'oddspedia-matches'!$A:$AD,AF$2,0)</f>
        <v>#N/A</v>
      </c>
      <c r="AG332" t="e">
        <f>VLOOKUP($Z332,'oddspedia-matches'!$A:$AD,AG$2,0)</f>
        <v>#N/A</v>
      </c>
      <c r="AH332" t="e">
        <f>VLOOKUP($Z332,'oddspedia-matches'!$A:$AD,AH$2,0)</f>
        <v>#N/A</v>
      </c>
      <c r="AI332" t="e">
        <f>VLOOKUP($Z332,'oddspedia-matches'!$A:$AD,AI$2,0)</f>
        <v>#N/A</v>
      </c>
      <c r="AJ332" t="e">
        <f>VLOOKUP($Z332,'oddspedia-matches'!$A:$AD,AJ$2,0)</f>
        <v>#N/A</v>
      </c>
      <c r="AK332" t="e">
        <f>VLOOKUP($Z332,'oddspedia-matches'!$A:$AD,AK$2,0)</f>
        <v>#N/A</v>
      </c>
      <c r="AL332" t="e">
        <f>VLOOKUP($Z332,'oddspedia-matches'!$A:$AD,AL$2,0)</f>
        <v>#N/A</v>
      </c>
      <c r="AM332" t="e">
        <f>VLOOKUP($Z332,'oddspedia-matches'!$A:$AD,AM$2,0)</f>
        <v>#N/A</v>
      </c>
      <c r="AN332" t="e">
        <f>VLOOKUP($Z332,'oddspedia-matches'!$A:$AD,AN$2,0)</f>
        <v>#N/A</v>
      </c>
      <c r="AO332" t="e">
        <f>VLOOKUP($Z332,'oddspedia-matches'!$A:$AD,AO$2,0)</f>
        <v>#N/A</v>
      </c>
      <c r="AP332" t="e">
        <f>VLOOKUP($Z332,'oddspedia-matches'!$A:$AD,AP$2,0)</f>
        <v>#N/A</v>
      </c>
      <c r="AQ332" t="e">
        <f>VLOOKUP($Z332,'oddspedia-matches'!$A:$AD,AQ$2,0)</f>
        <v>#N/A</v>
      </c>
    </row>
    <row r="333" spans="2:43" x14ac:dyDescent="0.2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tr">
        <f>VLOOKUP(E333,'Transform table'!A:B,2,0)</f>
        <v>Incheon United</v>
      </c>
      <c r="Y333" t="str">
        <f>VLOOKUP(F333,'Transform table'!A:B,2,0)</f>
        <v>Bucheon 1995</v>
      </c>
      <c r="Z333" t="str">
        <f t="shared" si="5"/>
        <v>26/07/2026Incheon UnitedBucheon 1995</v>
      </c>
      <c r="AA333" t="e">
        <f>VLOOKUP($Z333,'oddspedia-matches'!$A:$AD,AA$2,0)</f>
        <v>#N/A</v>
      </c>
      <c r="AB333" t="e">
        <f>VLOOKUP($Z333,'oddspedia-matches'!$A:$AD,AB$2,0)</f>
        <v>#N/A</v>
      </c>
      <c r="AC333" t="e">
        <f>VLOOKUP($Z333,'oddspedia-matches'!$A:$AD,AC$2,0)</f>
        <v>#N/A</v>
      </c>
      <c r="AD333" t="e">
        <f>VLOOKUP($Z333,'oddspedia-matches'!$A:$AD,AD$2,0)</f>
        <v>#N/A</v>
      </c>
      <c r="AE333" t="e">
        <f>VLOOKUP($Z333,'oddspedia-matches'!$A:$AD,AE$2,0)</f>
        <v>#N/A</v>
      </c>
      <c r="AF333" t="e">
        <f>VLOOKUP($Z333,'oddspedia-matches'!$A:$AD,AF$2,0)</f>
        <v>#N/A</v>
      </c>
      <c r="AG333" t="e">
        <f>VLOOKUP($Z333,'oddspedia-matches'!$A:$AD,AG$2,0)</f>
        <v>#N/A</v>
      </c>
      <c r="AH333" t="e">
        <f>VLOOKUP($Z333,'oddspedia-matches'!$A:$AD,AH$2,0)</f>
        <v>#N/A</v>
      </c>
      <c r="AI333" t="e">
        <f>VLOOKUP($Z333,'oddspedia-matches'!$A:$AD,AI$2,0)</f>
        <v>#N/A</v>
      </c>
      <c r="AJ333" t="e">
        <f>VLOOKUP($Z333,'oddspedia-matches'!$A:$AD,AJ$2,0)</f>
        <v>#N/A</v>
      </c>
      <c r="AK333" t="e">
        <f>VLOOKUP($Z333,'oddspedia-matches'!$A:$AD,AK$2,0)</f>
        <v>#N/A</v>
      </c>
      <c r="AL333" t="e">
        <f>VLOOKUP($Z333,'oddspedia-matches'!$A:$AD,AL$2,0)</f>
        <v>#N/A</v>
      </c>
      <c r="AM333" t="e">
        <f>VLOOKUP($Z333,'oddspedia-matches'!$A:$AD,AM$2,0)</f>
        <v>#N/A</v>
      </c>
      <c r="AN333" t="e">
        <f>VLOOKUP($Z333,'oddspedia-matches'!$A:$AD,AN$2,0)</f>
        <v>#N/A</v>
      </c>
      <c r="AO333" t="e">
        <f>VLOOKUP($Z333,'oddspedia-matches'!$A:$AD,AO$2,0)</f>
        <v>#N/A</v>
      </c>
      <c r="AP333" t="e">
        <f>VLOOKUP($Z333,'oddspedia-matches'!$A:$AD,AP$2,0)</f>
        <v>#N/A</v>
      </c>
      <c r="AQ333" t="e">
        <f>VLOOKUP($Z333,'oddspedia-matches'!$A:$AD,AQ$2,0)</f>
        <v>#N/A</v>
      </c>
    </row>
    <row r="334" spans="2:43" x14ac:dyDescent="0.2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tr">
        <f>VLOOKUP(E334,'Transform table'!A:B,2,0)</f>
        <v>Gil Vicente</v>
      </c>
      <c r="Y334" t="e">
        <f>VLOOKUP(F334,'Transform table'!A:B,2,0)</f>
        <v>#N/A</v>
      </c>
      <c r="Z334" t="e">
        <f t="shared" si="5"/>
        <v>#N/A</v>
      </c>
      <c r="AA334" t="e">
        <f>VLOOKUP($Z334,'oddspedia-matches'!$A:$AD,AA$2,0)</f>
        <v>#N/A</v>
      </c>
      <c r="AB334" t="e">
        <f>VLOOKUP($Z334,'oddspedia-matches'!$A:$AD,AB$2,0)</f>
        <v>#N/A</v>
      </c>
      <c r="AC334" t="e">
        <f>VLOOKUP($Z334,'oddspedia-matches'!$A:$AD,AC$2,0)</f>
        <v>#N/A</v>
      </c>
      <c r="AD334" t="e">
        <f>VLOOKUP($Z334,'oddspedia-matches'!$A:$AD,AD$2,0)</f>
        <v>#N/A</v>
      </c>
      <c r="AE334" t="e">
        <f>VLOOKUP($Z334,'oddspedia-matches'!$A:$AD,AE$2,0)</f>
        <v>#N/A</v>
      </c>
      <c r="AF334" t="e">
        <f>VLOOKUP($Z334,'oddspedia-matches'!$A:$AD,AF$2,0)</f>
        <v>#N/A</v>
      </c>
      <c r="AG334" t="e">
        <f>VLOOKUP($Z334,'oddspedia-matches'!$A:$AD,AG$2,0)</f>
        <v>#N/A</v>
      </c>
      <c r="AH334" t="e">
        <f>VLOOKUP($Z334,'oddspedia-matches'!$A:$AD,AH$2,0)</f>
        <v>#N/A</v>
      </c>
      <c r="AI334" t="e">
        <f>VLOOKUP($Z334,'oddspedia-matches'!$A:$AD,AI$2,0)</f>
        <v>#N/A</v>
      </c>
      <c r="AJ334" t="e">
        <f>VLOOKUP($Z334,'oddspedia-matches'!$A:$AD,AJ$2,0)</f>
        <v>#N/A</v>
      </c>
      <c r="AK334" t="e">
        <f>VLOOKUP($Z334,'oddspedia-matches'!$A:$AD,AK$2,0)</f>
        <v>#N/A</v>
      </c>
      <c r="AL334" t="e">
        <f>VLOOKUP($Z334,'oddspedia-matches'!$A:$AD,AL$2,0)</f>
        <v>#N/A</v>
      </c>
      <c r="AM334" t="e">
        <f>VLOOKUP($Z334,'oddspedia-matches'!$A:$AD,AM$2,0)</f>
        <v>#N/A</v>
      </c>
      <c r="AN334" t="e">
        <f>VLOOKUP($Z334,'oddspedia-matches'!$A:$AD,AN$2,0)</f>
        <v>#N/A</v>
      </c>
      <c r="AO334" t="e">
        <f>VLOOKUP($Z334,'oddspedia-matches'!$A:$AD,AO$2,0)</f>
        <v>#N/A</v>
      </c>
      <c r="AP334" t="e">
        <f>VLOOKUP($Z334,'oddspedia-matches'!$A:$AD,AP$2,0)</f>
        <v>#N/A</v>
      </c>
      <c r="AQ334" t="e">
        <f>VLOOKUP($Z334,'oddspedia-matches'!$A:$AD,AQ$2,0)</f>
        <v>#N/A</v>
      </c>
    </row>
    <row r="335" spans="2:43" x14ac:dyDescent="0.2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>
        <f>VLOOKUP(E335,'Transform table'!A:B,2,0)</f>
        <v>0</v>
      </c>
      <c r="Y335" t="e">
        <f>VLOOKUP(F335,'Transform table'!A:B,2,0)</f>
        <v>#N/A</v>
      </c>
      <c r="Z335" t="e">
        <f t="shared" si="5"/>
        <v>#N/A</v>
      </c>
      <c r="AA335" t="e">
        <f>VLOOKUP($Z335,'oddspedia-matches'!$A:$AD,AA$2,0)</f>
        <v>#N/A</v>
      </c>
      <c r="AB335" t="e">
        <f>VLOOKUP($Z335,'oddspedia-matches'!$A:$AD,AB$2,0)</f>
        <v>#N/A</v>
      </c>
      <c r="AC335" t="e">
        <f>VLOOKUP($Z335,'oddspedia-matches'!$A:$AD,AC$2,0)</f>
        <v>#N/A</v>
      </c>
      <c r="AD335" t="e">
        <f>VLOOKUP($Z335,'oddspedia-matches'!$A:$AD,AD$2,0)</f>
        <v>#N/A</v>
      </c>
      <c r="AE335" t="e">
        <f>VLOOKUP($Z335,'oddspedia-matches'!$A:$AD,AE$2,0)</f>
        <v>#N/A</v>
      </c>
      <c r="AF335" t="e">
        <f>VLOOKUP($Z335,'oddspedia-matches'!$A:$AD,AF$2,0)</f>
        <v>#N/A</v>
      </c>
      <c r="AG335" t="e">
        <f>VLOOKUP($Z335,'oddspedia-matches'!$A:$AD,AG$2,0)</f>
        <v>#N/A</v>
      </c>
      <c r="AH335" t="e">
        <f>VLOOKUP($Z335,'oddspedia-matches'!$A:$AD,AH$2,0)</f>
        <v>#N/A</v>
      </c>
      <c r="AI335" t="e">
        <f>VLOOKUP($Z335,'oddspedia-matches'!$A:$AD,AI$2,0)</f>
        <v>#N/A</v>
      </c>
      <c r="AJ335" t="e">
        <f>VLOOKUP($Z335,'oddspedia-matches'!$A:$AD,AJ$2,0)</f>
        <v>#N/A</v>
      </c>
      <c r="AK335" t="e">
        <f>VLOOKUP($Z335,'oddspedia-matches'!$A:$AD,AK$2,0)</f>
        <v>#N/A</v>
      </c>
      <c r="AL335" t="e">
        <f>VLOOKUP($Z335,'oddspedia-matches'!$A:$AD,AL$2,0)</f>
        <v>#N/A</v>
      </c>
      <c r="AM335" t="e">
        <f>VLOOKUP($Z335,'oddspedia-matches'!$A:$AD,AM$2,0)</f>
        <v>#N/A</v>
      </c>
      <c r="AN335" t="e">
        <f>VLOOKUP($Z335,'oddspedia-matches'!$A:$AD,AN$2,0)</f>
        <v>#N/A</v>
      </c>
      <c r="AO335" t="e">
        <f>VLOOKUP($Z335,'oddspedia-matches'!$A:$AD,AO$2,0)</f>
        <v>#N/A</v>
      </c>
      <c r="AP335" t="e">
        <f>VLOOKUP($Z335,'oddspedia-matches'!$A:$AD,AP$2,0)</f>
        <v>#N/A</v>
      </c>
      <c r="AQ335" t="e">
        <f>VLOOKUP($Z335,'oddspedia-matches'!$A:$AD,AQ$2,0)</f>
        <v>#N/A</v>
      </c>
    </row>
    <row r="336" spans="2:43" x14ac:dyDescent="0.2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tr">
        <f>VLOOKUP(E336,'Transform table'!A:B,2,0)</f>
        <v>Yunnan Yukun</v>
      </c>
      <c r="Y336" t="e">
        <f>VLOOKUP(F336,'Transform table'!A:B,2,0)</f>
        <v>#N/A</v>
      </c>
      <c r="Z336" t="e">
        <f t="shared" si="5"/>
        <v>#N/A</v>
      </c>
      <c r="AA336" t="e">
        <f>VLOOKUP($Z336,'oddspedia-matches'!$A:$AD,AA$2,0)</f>
        <v>#N/A</v>
      </c>
      <c r="AB336" t="e">
        <f>VLOOKUP($Z336,'oddspedia-matches'!$A:$AD,AB$2,0)</f>
        <v>#N/A</v>
      </c>
      <c r="AC336" t="e">
        <f>VLOOKUP($Z336,'oddspedia-matches'!$A:$AD,AC$2,0)</f>
        <v>#N/A</v>
      </c>
      <c r="AD336" t="e">
        <f>VLOOKUP($Z336,'oddspedia-matches'!$A:$AD,AD$2,0)</f>
        <v>#N/A</v>
      </c>
      <c r="AE336" t="e">
        <f>VLOOKUP($Z336,'oddspedia-matches'!$A:$AD,AE$2,0)</f>
        <v>#N/A</v>
      </c>
      <c r="AF336" t="e">
        <f>VLOOKUP($Z336,'oddspedia-matches'!$A:$AD,AF$2,0)</f>
        <v>#N/A</v>
      </c>
      <c r="AG336" t="e">
        <f>VLOOKUP($Z336,'oddspedia-matches'!$A:$AD,AG$2,0)</f>
        <v>#N/A</v>
      </c>
      <c r="AH336" t="e">
        <f>VLOOKUP($Z336,'oddspedia-matches'!$A:$AD,AH$2,0)</f>
        <v>#N/A</v>
      </c>
      <c r="AI336" t="e">
        <f>VLOOKUP($Z336,'oddspedia-matches'!$A:$AD,AI$2,0)</f>
        <v>#N/A</v>
      </c>
      <c r="AJ336" t="e">
        <f>VLOOKUP($Z336,'oddspedia-matches'!$A:$AD,AJ$2,0)</f>
        <v>#N/A</v>
      </c>
      <c r="AK336" t="e">
        <f>VLOOKUP($Z336,'oddspedia-matches'!$A:$AD,AK$2,0)</f>
        <v>#N/A</v>
      </c>
      <c r="AL336" t="e">
        <f>VLOOKUP($Z336,'oddspedia-matches'!$A:$AD,AL$2,0)</f>
        <v>#N/A</v>
      </c>
      <c r="AM336" t="e">
        <f>VLOOKUP($Z336,'oddspedia-matches'!$A:$AD,AM$2,0)</f>
        <v>#N/A</v>
      </c>
      <c r="AN336" t="e">
        <f>VLOOKUP($Z336,'oddspedia-matches'!$A:$AD,AN$2,0)</f>
        <v>#N/A</v>
      </c>
      <c r="AO336" t="e">
        <f>VLOOKUP($Z336,'oddspedia-matches'!$A:$AD,AO$2,0)</f>
        <v>#N/A</v>
      </c>
      <c r="AP336" t="e">
        <f>VLOOKUP($Z336,'oddspedia-matches'!$A:$AD,AP$2,0)</f>
        <v>#N/A</v>
      </c>
      <c r="AQ336" t="e">
        <f>VLOOKUP($Z336,'oddspedia-matches'!$A:$AD,AQ$2,0)</f>
        <v>#N/A</v>
      </c>
    </row>
    <row r="337" spans="2:43" x14ac:dyDescent="0.2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>
        <f>VLOOKUP(E337,'Transform table'!A:B,2,0)</f>
        <v>0</v>
      </c>
      <c r="Y337" t="e">
        <f>VLOOKUP(F337,'Transform table'!A:B,2,0)</f>
        <v>#N/A</v>
      </c>
      <c r="Z337" t="e">
        <f t="shared" si="5"/>
        <v>#N/A</v>
      </c>
      <c r="AA337" t="e">
        <f>VLOOKUP($Z337,'oddspedia-matches'!$A:$AD,AA$2,0)</f>
        <v>#N/A</v>
      </c>
      <c r="AB337" t="e">
        <f>VLOOKUP($Z337,'oddspedia-matches'!$A:$AD,AB$2,0)</f>
        <v>#N/A</v>
      </c>
      <c r="AC337" t="e">
        <f>VLOOKUP($Z337,'oddspedia-matches'!$A:$AD,AC$2,0)</f>
        <v>#N/A</v>
      </c>
      <c r="AD337" t="e">
        <f>VLOOKUP($Z337,'oddspedia-matches'!$A:$AD,AD$2,0)</f>
        <v>#N/A</v>
      </c>
      <c r="AE337" t="e">
        <f>VLOOKUP($Z337,'oddspedia-matches'!$A:$AD,AE$2,0)</f>
        <v>#N/A</v>
      </c>
      <c r="AF337" t="e">
        <f>VLOOKUP($Z337,'oddspedia-matches'!$A:$AD,AF$2,0)</f>
        <v>#N/A</v>
      </c>
      <c r="AG337" t="e">
        <f>VLOOKUP($Z337,'oddspedia-matches'!$A:$AD,AG$2,0)</f>
        <v>#N/A</v>
      </c>
      <c r="AH337" t="e">
        <f>VLOOKUP($Z337,'oddspedia-matches'!$A:$AD,AH$2,0)</f>
        <v>#N/A</v>
      </c>
      <c r="AI337" t="e">
        <f>VLOOKUP($Z337,'oddspedia-matches'!$A:$AD,AI$2,0)</f>
        <v>#N/A</v>
      </c>
      <c r="AJ337" t="e">
        <f>VLOOKUP($Z337,'oddspedia-matches'!$A:$AD,AJ$2,0)</f>
        <v>#N/A</v>
      </c>
      <c r="AK337" t="e">
        <f>VLOOKUP($Z337,'oddspedia-matches'!$A:$AD,AK$2,0)</f>
        <v>#N/A</v>
      </c>
      <c r="AL337" t="e">
        <f>VLOOKUP($Z337,'oddspedia-matches'!$A:$AD,AL$2,0)</f>
        <v>#N/A</v>
      </c>
      <c r="AM337" t="e">
        <f>VLOOKUP($Z337,'oddspedia-matches'!$A:$AD,AM$2,0)</f>
        <v>#N/A</v>
      </c>
      <c r="AN337" t="e">
        <f>VLOOKUP($Z337,'oddspedia-matches'!$A:$AD,AN$2,0)</f>
        <v>#N/A</v>
      </c>
      <c r="AO337" t="e">
        <f>VLOOKUP($Z337,'oddspedia-matches'!$A:$AD,AO$2,0)</f>
        <v>#N/A</v>
      </c>
      <c r="AP337" t="e">
        <f>VLOOKUP($Z337,'oddspedia-matches'!$A:$AD,AP$2,0)</f>
        <v>#N/A</v>
      </c>
      <c r="AQ337" t="e">
        <f>VLOOKUP($Z337,'oddspedia-matches'!$A:$AD,AQ$2,0)</f>
        <v>#N/A</v>
      </c>
    </row>
    <row r="338" spans="2:43" x14ac:dyDescent="0.2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tr">
        <f>VLOOKUP(E338,'Transform table'!A:B,2,0)</f>
        <v>Sundsvall</v>
      </c>
      <c r="Y338" t="str">
        <f>VLOOKUP(F338,'Transform table'!A:B,2,0)</f>
        <v>Falkenberg</v>
      </c>
      <c r="Z338" t="str">
        <f t="shared" si="5"/>
        <v>26/07/2026SundsvallFalkenberg</v>
      </c>
      <c r="AA338" t="e">
        <f>VLOOKUP($Z338,'oddspedia-matches'!$A:$AD,AA$2,0)</f>
        <v>#N/A</v>
      </c>
      <c r="AB338" t="e">
        <f>VLOOKUP($Z338,'oddspedia-matches'!$A:$AD,AB$2,0)</f>
        <v>#N/A</v>
      </c>
      <c r="AC338" t="e">
        <f>VLOOKUP($Z338,'oddspedia-matches'!$A:$AD,AC$2,0)</f>
        <v>#N/A</v>
      </c>
      <c r="AD338" t="e">
        <f>VLOOKUP($Z338,'oddspedia-matches'!$A:$AD,AD$2,0)</f>
        <v>#N/A</v>
      </c>
      <c r="AE338" t="e">
        <f>VLOOKUP($Z338,'oddspedia-matches'!$A:$AD,AE$2,0)</f>
        <v>#N/A</v>
      </c>
      <c r="AF338" t="e">
        <f>VLOOKUP($Z338,'oddspedia-matches'!$A:$AD,AF$2,0)</f>
        <v>#N/A</v>
      </c>
      <c r="AG338" t="e">
        <f>VLOOKUP($Z338,'oddspedia-matches'!$A:$AD,AG$2,0)</f>
        <v>#N/A</v>
      </c>
      <c r="AH338" t="e">
        <f>VLOOKUP($Z338,'oddspedia-matches'!$A:$AD,AH$2,0)</f>
        <v>#N/A</v>
      </c>
      <c r="AI338" t="e">
        <f>VLOOKUP($Z338,'oddspedia-matches'!$A:$AD,AI$2,0)</f>
        <v>#N/A</v>
      </c>
      <c r="AJ338" t="e">
        <f>VLOOKUP($Z338,'oddspedia-matches'!$A:$AD,AJ$2,0)</f>
        <v>#N/A</v>
      </c>
      <c r="AK338" t="e">
        <f>VLOOKUP($Z338,'oddspedia-matches'!$A:$AD,AK$2,0)</f>
        <v>#N/A</v>
      </c>
      <c r="AL338" t="e">
        <f>VLOOKUP($Z338,'oddspedia-matches'!$A:$AD,AL$2,0)</f>
        <v>#N/A</v>
      </c>
      <c r="AM338" t="e">
        <f>VLOOKUP($Z338,'oddspedia-matches'!$A:$AD,AM$2,0)</f>
        <v>#N/A</v>
      </c>
      <c r="AN338" t="e">
        <f>VLOOKUP($Z338,'oddspedia-matches'!$A:$AD,AN$2,0)</f>
        <v>#N/A</v>
      </c>
      <c r="AO338" t="e">
        <f>VLOOKUP($Z338,'oddspedia-matches'!$A:$AD,AO$2,0)</f>
        <v>#N/A</v>
      </c>
      <c r="AP338" t="e">
        <f>VLOOKUP($Z338,'oddspedia-matches'!$A:$AD,AP$2,0)</f>
        <v>#N/A</v>
      </c>
      <c r="AQ338" t="e">
        <f>VLOOKUP($Z338,'oddspedia-matches'!$A:$AD,AQ$2,0)</f>
        <v>#N/A</v>
      </c>
    </row>
    <row r="339" spans="2:43" x14ac:dyDescent="0.2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>
        <f>VLOOKUP(E339,'Transform table'!A:B,2,0)</f>
        <v>0</v>
      </c>
      <c r="Y339" t="e">
        <f>VLOOKUP(F339,'Transform table'!A:B,2,0)</f>
        <v>#N/A</v>
      </c>
      <c r="Z339" t="e">
        <f t="shared" si="5"/>
        <v>#N/A</v>
      </c>
      <c r="AA339" t="e">
        <f>VLOOKUP($Z339,'oddspedia-matches'!$A:$AD,AA$2,0)</f>
        <v>#N/A</v>
      </c>
      <c r="AB339" t="e">
        <f>VLOOKUP($Z339,'oddspedia-matches'!$A:$AD,AB$2,0)</f>
        <v>#N/A</v>
      </c>
      <c r="AC339" t="e">
        <f>VLOOKUP($Z339,'oddspedia-matches'!$A:$AD,AC$2,0)</f>
        <v>#N/A</v>
      </c>
      <c r="AD339" t="e">
        <f>VLOOKUP($Z339,'oddspedia-matches'!$A:$AD,AD$2,0)</f>
        <v>#N/A</v>
      </c>
      <c r="AE339" t="e">
        <f>VLOOKUP($Z339,'oddspedia-matches'!$A:$AD,AE$2,0)</f>
        <v>#N/A</v>
      </c>
      <c r="AF339" t="e">
        <f>VLOOKUP($Z339,'oddspedia-matches'!$A:$AD,AF$2,0)</f>
        <v>#N/A</v>
      </c>
      <c r="AG339" t="e">
        <f>VLOOKUP($Z339,'oddspedia-matches'!$A:$AD,AG$2,0)</f>
        <v>#N/A</v>
      </c>
      <c r="AH339" t="e">
        <f>VLOOKUP($Z339,'oddspedia-matches'!$A:$AD,AH$2,0)</f>
        <v>#N/A</v>
      </c>
      <c r="AI339" t="e">
        <f>VLOOKUP($Z339,'oddspedia-matches'!$A:$AD,AI$2,0)</f>
        <v>#N/A</v>
      </c>
      <c r="AJ339" t="e">
        <f>VLOOKUP($Z339,'oddspedia-matches'!$A:$AD,AJ$2,0)</f>
        <v>#N/A</v>
      </c>
      <c r="AK339" t="e">
        <f>VLOOKUP($Z339,'oddspedia-matches'!$A:$AD,AK$2,0)</f>
        <v>#N/A</v>
      </c>
      <c r="AL339" t="e">
        <f>VLOOKUP($Z339,'oddspedia-matches'!$A:$AD,AL$2,0)</f>
        <v>#N/A</v>
      </c>
      <c r="AM339" t="e">
        <f>VLOOKUP($Z339,'oddspedia-matches'!$A:$AD,AM$2,0)</f>
        <v>#N/A</v>
      </c>
      <c r="AN339" t="e">
        <f>VLOOKUP($Z339,'oddspedia-matches'!$A:$AD,AN$2,0)</f>
        <v>#N/A</v>
      </c>
      <c r="AO339" t="e">
        <f>VLOOKUP($Z339,'oddspedia-matches'!$A:$AD,AO$2,0)</f>
        <v>#N/A</v>
      </c>
      <c r="AP339" t="e">
        <f>VLOOKUP($Z339,'oddspedia-matches'!$A:$AD,AP$2,0)</f>
        <v>#N/A</v>
      </c>
      <c r="AQ339" t="e">
        <f>VLOOKUP($Z339,'oddspedia-matches'!$A:$AD,AQ$2,0)</f>
        <v>#N/A</v>
      </c>
    </row>
    <row r="340" spans="2:43" x14ac:dyDescent="0.2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>
        <f>VLOOKUP(E340,'Transform table'!A:B,2,0)</f>
        <v>0</v>
      </c>
      <c r="Y340" t="e">
        <f>VLOOKUP(F340,'Transform table'!A:B,2,0)</f>
        <v>#N/A</v>
      </c>
      <c r="Z340" t="e">
        <f t="shared" si="5"/>
        <v>#N/A</v>
      </c>
      <c r="AA340" t="e">
        <f>VLOOKUP($Z340,'oddspedia-matches'!$A:$AD,AA$2,0)</f>
        <v>#N/A</v>
      </c>
      <c r="AB340" t="e">
        <f>VLOOKUP($Z340,'oddspedia-matches'!$A:$AD,AB$2,0)</f>
        <v>#N/A</v>
      </c>
      <c r="AC340" t="e">
        <f>VLOOKUP($Z340,'oddspedia-matches'!$A:$AD,AC$2,0)</f>
        <v>#N/A</v>
      </c>
      <c r="AD340" t="e">
        <f>VLOOKUP($Z340,'oddspedia-matches'!$A:$AD,AD$2,0)</f>
        <v>#N/A</v>
      </c>
      <c r="AE340" t="e">
        <f>VLOOKUP($Z340,'oddspedia-matches'!$A:$AD,AE$2,0)</f>
        <v>#N/A</v>
      </c>
      <c r="AF340" t="e">
        <f>VLOOKUP($Z340,'oddspedia-matches'!$A:$AD,AF$2,0)</f>
        <v>#N/A</v>
      </c>
      <c r="AG340" t="e">
        <f>VLOOKUP($Z340,'oddspedia-matches'!$A:$AD,AG$2,0)</f>
        <v>#N/A</v>
      </c>
      <c r="AH340" t="e">
        <f>VLOOKUP($Z340,'oddspedia-matches'!$A:$AD,AH$2,0)</f>
        <v>#N/A</v>
      </c>
      <c r="AI340" t="e">
        <f>VLOOKUP($Z340,'oddspedia-matches'!$A:$AD,AI$2,0)</f>
        <v>#N/A</v>
      </c>
      <c r="AJ340" t="e">
        <f>VLOOKUP($Z340,'oddspedia-matches'!$A:$AD,AJ$2,0)</f>
        <v>#N/A</v>
      </c>
      <c r="AK340" t="e">
        <f>VLOOKUP($Z340,'oddspedia-matches'!$A:$AD,AK$2,0)</f>
        <v>#N/A</v>
      </c>
      <c r="AL340" t="e">
        <f>VLOOKUP($Z340,'oddspedia-matches'!$A:$AD,AL$2,0)</f>
        <v>#N/A</v>
      </c>
      <c r="AM340" t="e">
        <f>VLOOKUP($Z340,'oddspedia-matches'!$A:$AD,AM$2,0)</f>
        <v>#N/A</v>
      </c>
      <c r="AN340" t="e">
        <f>VLOOKUP($Z340,'oddspedia-matches'!$A:$AD,AN$2,0)</f>
        <v>#N/A</v>
      </c>
      <c r="AO340" t="e">
        <f>VLOOKUP($Z340,'oddspedia-matches'!$A:$AD,AO$2,0)</f>
        <v>#N/A</v>
      </c>
      <c r="AP340" t="e">
        <f>VLOOKUP($Z340,'oddspedia-matches'!$A:$AD,AP$2,0)</f>
        <v>#N/A</v>
      </c>
      <c r="AQ340" t="e">
        <f>VLOOKUP($Z340,'oddspedia-matches'!$A:$AD,AQ$2,0)</f>
        <v>#N/A</v>
      </c>
    </row>
    <row r="341" spans="2:43" x14ac:dyDescent="0.2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>
        <f>VLOOKUP(E341,'Transform table'!A:B,2,0)</f>
        <v>0</v>
      </c>
      <c r="Y341" t="e">
        <f>VLOOKUP(F341,'Transform table'!A:B,2,0)</f>
        <v>#N/A</v>
      </c>
      <c r="Z341" t="e">
        <f t="shared" si="5"/>
        <v>#N/A</v>
      </c>
      <c r="AA341" t="e">
        <f>VLOOKUP($Z341,'oddspedia-matches'!$A:$AD,AA$2,0)</f>
        <v>#N/A</v>
      </c>
      <c r="AB341" t="e">
        <f>VLOOKUP($Z341,'oddspedia-matches'!$A:$AD,AB$2,0)</f>
        <v>#N/A</v>
      </c>
      <c r="AC341" t="e">
        <f>VLOOKUP($Z341,'oddspedia-matches'!$A:$AD,AC$2,0)</f>
        <v>#N/A</v>
      </c>
      <c r="AD341" t="e">
        <f>VLOOKUP($Z341,'oddspedia-matches'!$A:$AD,AD$2,0)</f>
        <v>#N/A</v>
      </c>
      <c r="AE341" t="e">
        <f>VLOOKUP($Z341,'oddspedia-matches'!$A:$AD,AE$2,0)</f>
        <v>#N/A</v>
      </c>
      <c r="AF341" t="e">
        <f>VLOOKUP($Z341,'oddspedia-matches'!$A:$AD,AF$2,0)</f>
        <v>#N/A</v>
      </c>
      <c r="AG341" t="e">
        <f>VLOOKUP($Z341,'oddspedia-matches'!$A:$AD,AG$2,0)</f>
        <v>#N/A</v>
      </c>
      <c r="AH341" t="e">
        <f>VLOOKUP($Z341,'oddspedia-matches'!$A:$AD,AH$2,0)</f>
        <v>#N/A</v>
      </c>
      <c r="AI341" t="e">
        <f>VLOOKUP($Z341,'oddspedia-matches'!$A:$AD,AI$2,0)</f>
        <v>#N/A</v>
      </c>
      <c r="AJ341" t="e">
        <f>VLOOKUP($Z341,'oddspedia-matches'!$A:$AD,AJ$2,0)</f>
        <v>#N/A</v>
      </c>
      <c r="AK341" t="e">
        <f>VLOOKUP($Z341,'oddspedia-matches'!$A:$AD,AK$2,0)</f>
        <v>#N/A</v>
      </c>
      <c r="AL341" t="e">
        <f>VLOOKUP($Z341,'oddspedia-matches'!$A:$AD,AL$2,0)</f>
        <v>#N/A</v>
      </c>
      <c r="AM341" t="e">
        <f>VLOOKUP($Z341,'oddspedia-matches'!$A:$AD,AM$2,0)</f>
        <v>#N/A</v>
      </c>
      <c r="AN341" t="e">
        <f>VLOOKUP($Z341,'oddspedia-matches'!$A:$AD,AN$2,0)</f>
        <v>#N/A</v>
      </c>
      <c r="AO341" t="e">
        <f>VLOOKUP($Z341,'oddspedia-matches'!$A:$AD,AO$2,0)</f>
        <v>#N/A</v>
      </c>
      <c r="AP341" t="e">
        <f>VLOOKUP($Z341,'oddspedia-matches'!$A:$AD,AP$2,0)</f>
        <v>#N/A</v>
      </c>
      <c r="AQ341" t="e">
        <f>VLOOKUP($Z341,'oddspedia-matches'!$A:$AD,AQ$2,0)</f>
        <v>#N/A</v>
      </c>
    </row>
    <row r="342" spans="2:43" x14ac:dyDescent="0.2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str">
        <f>VLOOKUP(E342,'Transform table'!A:B,2,0)</f>
        <v>Gazovik Orenburg</v>
      </c>
      <c r="Y342" t="e">
        <f>VLOOKUP(F342,'Transform table'!A:B,2,0)</f>
        <v>#N/A</v>
      </c>
      <c r="Z342" t="e">
        <f t="shared" si="5"/>
        <v>#N/A</v>
      </c>
      <c r="AA342" t="e">
        <f>VLOOKUP($Z342,'oddspedia-matches'!$A:$AD,AA$2,0)</f>
        <v>#N/A</v>
      </c>
      <c r="AB342" t="e">
        <f>VLOOKUP($Z342,'oddspedia-matches'!$A:$AD,AB$2,0)</f>
        <v>#N/A</v>
      </c>
      <c r="AC342" t="e">
        <f>VLOOKUP($Z342,'oddspedia-matches'!$A:$AD,AC$2,0)</f>
        <v>#N/A</v>
      </c>
      <c r="AD342" t="e">
        <f>VLOOKUP($Z342,'oddspedia-matches'!$A:$AD,AD$2,0)</f>
        <v>#N/A</v>
      </c>
      <c r="AE342" t="e">
        <f>VLOOKUP($Z342,'oddspedia-matches'!$A:$AD,AE$2,0)</f>
        <v>#N/A</v>
      </c>
      <c r="AF342" t="e">
        <f>VLOOKUP($Z342,'oddspedia-matches'!$A:$AD,AF$2,0)</f>
        <v>#N/A</v>
      </c>
      <c r="AG342" t="e">
        <f>VLOOKUP($Z342,'oddspedia-matches'!$A:$AD,AG$2,0)</f>
        <v>#N/A</v>
      </c>
      <c r="AH342" t="e">
        <f>VLOOKUP($Z342,'oddspedia-matches'!$A:$AD,AH$2,0)</f>
        <v>#N/A</v>
      </c>
      <c r="AI342" t="e">
        <f>VLOOKUP($Z342,'oddspedia-matches'!$A:$AD,AI$2,0)</f>
        <v>#N/A</v>
      </c>
      <c r="AJ342" t="e">
        <f>VLOOKUP($Z342,'oddspedia-matches'!$A:$AD,AJ$2,0)</f>
        <v>#N/A</v>
      </c>
      <c r="AK342" t="e">
        <f>VLOOKUP($Z342,'oddspedia-matches'!$A:$AD,AK$2,0)</f>
        <v>#N/A</v>
      </c>
      <c r="AL342" t="e">
        <f>VLOOKUP($Z342,'oddspedia-matches'!$A:$AD,AL$2,0)</f>
        <v>#N/A</v>
      </c>
      <c r="AM342" t="e">
        <f>VLOOKUP($Z342,'oddspedia-matches'!$A:$AD,AM$2,0)</f>
        <v>#N/A</v>
      </c>
      <c r="AN342" t="e">
        <f>VLOOKUP($Z342,'oddspedia-matches'!$A:$AD,AN$2,0)</f>
        <v>#N/A</v>
      </c>
      <c r="AO342" t="e">
        <f>VLOOKUP($Z342,'oddspedia-matches'!$A:$AD,AO$2,0)</f>
        <v>#N/A</v>
      </c>
      <c r="AP342" t="e">
        <f>VLOOKUP($Z342,'oddspedia-matches'!$A:$AD,AP$2,0)</f>
        <v>#N/A</v>
      </c>
      <c r="AQ342" t="e">
        <f>VLOOKUP($Z342,'oddspedia-matches'!$A:$AD,AQ$2,0)</f>
        <v>#N/A</v>
      </c>
    </row>
    <row r="343" spans="2:43" x14ac:dyDescent="0.2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tr">
        <f>VLOOKUP(E343,'Transform table'!A:B,2,0)</f>
        <v>Chengdu Qianbao</v>
      </c>
      <c r="Y343" t="e">
        <f>VLOOKUP(F343,'Transform table'!A:B,2,0)</f>
        <v>#N/A</v>
      </c>
      <c r="Z343" t="e">
        <f t="shared" si="5"/>
        <v>#N/A</v>
      </c>
      <c r="AA343" t="e">
        <f>VLOOKUP($Z343,'oddspedia-matches'!$A:$AD,AA$2,0)</f>
        <v>#N/A</v>
      </c>
      <c r="AB343" t="e">
        <f>VLOOKUP($Z343,'oddspedia-matches'!$A:$AD,AB$2,0)</f>
        <v>#N/A</v>
      </c>
      <c r="AC343" t="e">
        <f>VLOOKUP($Z343,'oddspedia-matches'!$A:$AD,AC$2,0)</f>
        <v>#N/A</v>
      </c>
      <c r="AD343" t="e">
        <f>VLOOKUP($Z343,'oddspedia-matches'!$A:$AD,AD$2,0)</f>
        <v>#N/A</v>
      </c>
      <c r="AE343" t="e">
        <f>VLOOKUP($Z343,'oddspedia-matches'!$A:$AD,AE$2,0)</f>
        <v>#N/A</v>
      </c>
      <c r="AF343" t="e">
        <f>VLOOKUP($Z343,'oddspedia-matches'!$A:$AD,AF$2,0)</f>
        <v>#N/A</v>
      </c>
      <c r="AG343" t="e">
        <f>VLOOKUP($Z343,'oddspedia-matches'!$A:$AD,AG$2,0)</f>
        <v>#N/A</v>
      </c>
      <c r="AH343" t="e">
        <f>VLOOKUP($Z343,'oddspedia-matches'!$A:$AD,AH$2,0)</f>
        <v>#N/A</v>
      </c>
      <c r="AI343" t="e">
        <f>VLOOKUP($Z343,'oddspedia-matches'!$A:$AD,AI$2,0)</f>
        <v>#N/A</v>
      </c>
      <c r="AJ343" t="e">
        <f>VLOOKUP($Z343,'oddspedia-matches'!$A:$AD,AJ$2,0)</f>
        <v>#N/A</v>
      </c>
      <c r="AK343" t="e">
        <f>VLOOKUP($Z343,'oddspedia-matches'!$A:$AD,AK$2,0)</f>
        <v>#N/A</v>
      </c>
      <c r="AL343" t="e">
        <f>VLOOKUP($Z343,'oddspedia-matches'!$A:$AD,AL$2,0)</f>
        <v>#N/A</v>
      </c>
      <c r="AM343" t="e">
        <f>VLOOKUP($Z343,'oddspedia-matches'!$A:$AD,AM$2,0)</f>
        <v>#N/A</v>
      </c>
      <c r="AN343" t="e">
        <f>VLOOKUP($Z343,'oddspedia-matches'!$A:$AD,AN$2,0)</f>
        <v>#N/A</v>
      </c>
      <c r="AO343" t="e">
        <f>VLOOKUP($Z343,'oddspedia-matches'!$A:$AD,AO$2,0)</f>
        <v>#N/A</v>
      </c>
      <c r="AP343" t="e">
        <f>VLOOKUP($Z343,'oddspedia-matches'!$A:$AD,AP$2,0)</f>
        <v>#N/A</v>
      </c>
      <c r="AQ343" t="e">
        <f>VLOOKUP($Z343,'oddspedia-matches'!$A:$AD,AQ$2,0)</f>
        <v>#N/A</v>
      </c>
    </row>
    <row r="344" spans="2:43" x14ac:dyDescent="0.2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tr">
        <f>VLOOKUP(E344,'Transform table'!A:B,2,0)</f>
        <v>Shandong Luneng Taishan</v>
      </c>
      <c r="Y344" t="e">
        <f>VLOOKUP(F344,'Transform table'!A:B,2,0)</f>
        <v>#N/A</v>
      </c>
      <c r="Z344" t="e">
        <f t="shared" si="5"/>
        <v>#N/A</v>
      </c>
      <c r="AA344" t="e">
        <f>VLOOKUP($Z344,'oddspedia-matches'!$A:$AD,AA$2,0)</f>
        <v>#N/A</v>
      </c>
      <c r="AB344" t="e">
        <f>VLOOKUP($Z344,'oddspedia-matches'!$A:$AD,AB$2,0)</f>
        <v>#N/A</v>
      </c>
      <c r="AC344" t="e">
        <f>VLOOKUP($Z344,'oddspedia-matches'!$A:$AD,AC$2,0)</f>
        <v>#N/A</v>
      </c>
      <c r="AD344" t="e">
        <f>VLOOKUP($Z344,'oddspedia-matches'!$A:$AD,AD$2,0)</f>
        <v>#N/A</v>
      </c>
      <c r="AE344" t="e">
        <f>VLOOKUP($Z344,'oddspedia-matches'!$A:$AD,AE$2,0)</f>
        <v>#N/A</v>
      </c>
      <c r="AF344" t="e">
        <f>VLOOKUP($Z344,'oddspedia-matches'!$A:$AD,AF$2,0)</f>
        <v>#N/A</v>
      </c>
      <c r="AG344" t="e">
        <f>VLOOKUP($Z344,'oddspedia-matches'!$A:$AD,AG$2,0)</f>
        <v>#N/A</v>
      </c>
      <c r="AH344" t="e">
        <f>VLOOKUP($Z344,'oddspedia-matches'!$A:$AD,AH$2,0)</f>
        <v>#N/A</v>
      </c>
      <c r="AI344" t="e">
        <f>VLOOKUP($Z344,'oddspedia-matches'!$A:$AD,AI$2,0)</f>
        <v>#N/A</v>
      </c>
      <c r="AJ344" t="e">
        <f>VLOOKUP($Z344,'oddspedia-matches'!$A:$AD,AJ$2,0)</f>
        <v>#N/A</v>
      </c>
      <c r="AK344" t="e">
        <f>VLOOKUP($Z344,'oddspedia-matches'!$A:$AD,AK$2,0)</f>
        <v>#N/A</v>
      </c>
      <c r="AL344" t="e">
        <f>VLOOKUP($Z344,'oddspedia-matches'!$A:$AD,AL$2,0)</f>
        <v>#N/A</v>
      </c>
      <c r="AM344" t="e">
        <f>VLOOKUP($Z344,'oddspedia-matches'!$A:$AD,AM$2,0)</f>
        <v>#N/A</v>
      </c>
      <c r="AN344" t="e">
        <f>VLOOKUP($Z344,'oddspedia-matches'!$A:$AD,AN$2,0)</f>
        <v>#N/A</v>
      </c>
      <c r="AO344" t="e">
        <f>VLOOKUP($Z344,'oddspedia-matches'!$A:$AD,AO$2,0)</f>
        <v>#N/A</v>
      </c>
      <c r="AP344" t="e">
        <f>VLOOKUP($Z344,'oddspedia-matches'!$A:$AD,AP$2,0)</f>
        <v>#N/A</v>
      </c>
      <c r="AQ344" t="e">
        <f>VLOOKUP($Z344,'oddspedia-matches'!$A:$AD,AQ$2,0)</f>
        <v>#N/A</v>
      </c>
    </row>
    <row r="345" spans="2:43" x14ac:dyDescent="0.2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>
        <f>VLOOKUP(E345,'Transform table'!A:B,2,0)</f>
        <v>0</v>
      </c>
      <c r="Y345" t="e">
        <f>VLOOKUP(F345,'Transform table'!A:B,2,0)</f>
        <v>#N/A</v>
      </c>
      <c r="Z345" t="e">
        <f t="shared" si="5"/>
        <v>#N/A</v>
      </c>
      <c r="AA345" t="e">
        <f>VLOOKUP($Z345,'oddspedia-matches'!$A:$AD,AA$2,0)</f>
        <v>#N/A</v>
      </c>
      <c r="AB345" t="e">
        <f>VLOOKUP($Z345,'oddspedia-matches'!$A:$AD,AB$2,0)</f>
        <v>#N/A</v>
      </c>
      <c r="AC345" t="e">
        <f>VLOOKUP($Z345,'oddspedia-matches'!$A:$AD,AC$2,0)</f>
        <v>#N/A</v>
      </c>
      <c r="AD345" t="e">
        <f>VLOOKUP($Z345,'oddspedia-matches'!$A:$AD,AD$2,0)</f>
        <v>#N/A</v>
      </c>
      <c r="AE345" t="e">
        <f>VLOOKUP($Z345,'oddspedia-matches'!$A:$AD,AE$2,0)</f>
        <v>#N/A</v>
      </c>
      <c r="AF345" t="e">
        <f>VLOOKUP($Z345,'oddspedia-matches'!$A:$AD,AF$2,0)</f>
        <v>#N/A</v>
      </c>
      <c r="AG345" t="e">
        <f>VLOOKUP($Z345,'oddspedia-matches'!$A:$AD,AG$2,0)</f>
        <v>#N/A</v>
      </c>
      <c r="AH345" t="e">
        <f>VLOOKUP($Z345,'oddspedia-matches'!$A:$AD,AH$2,0)</f>
        <v>#N/A</v>
      </c>
      <c r="AI345" t="e">
        <f>VLOOKUP($Z345,'oddspedia-matches'!$A:$AD,AI$2,0)</f>
        <v>#N/A</v>
      </c>
      <c r="AJ345" t="e">
        <f>VLOOKUP($Z345,'oddspedia-matches'!$A:$AD,AJ$2,0)</f>
        <v>#N/A</v>
      </c>
      <c r="AK345" t="e">
        <f>VLOOKUP($Z345,'oddspedia-matches'!$A:$AD,AK$2,0)</f>
        <v>#N/A</v>
      </c>
      <c r="AL345" t="e">
        <f>VLOOKUP($Z345,'oddspedia-matches'!$A:$AD,AL$2,0)</f>
        <v>#N/A</v>
      </c>
      <c r="AM345" t="e">
        <f>VLOOKUP($Z345,'oddspedia-matches'!$A:$AD,AM$2,0)</f>
        <v>#N/A</v>
      </c>
      <c r="AN345" t="e">
        <f>VLOOKUP($Z345,'oddspedia-matches'!$A:$AD,AN$2,0)</f>
        <v>#N/A</v>
      </c>
      <c r="AO345" t="e">
        <f>VLOOKUP($Z345,'oddspedia-matches'!$A:$AD,AO$2,0)</f>
        <v>#N/A</v>
      </c>
      <c r="AP345" t="e">
        <f>VLOOKUP($Z345,'oddspedia-matches'!$A:$AD,AP$2,0)</f>
        <v>#N/A</v>
      </c>
      <c r="AQ345" t="e">
        <f>VLOOKUP($Z345,'oddspedia-matches'!$A:$AD,AQ$2,0)</f>
        <v>#N/A</v>
      </c>
    </row>
    <row r="346" spans="2:43" x14ac:dyDescent="0.2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tr">
        <f>VLOOKUP(E346,'Transform table'!A:B,2,0)</f>
        <v>Carlisle United</v>
      </c>
      <c r="Y346" t="e">
        <f>VLOOKUP(F346,'Transform table'!A:B,2,0)</f>
        <v>#N/A</v>
      </c>
      <c r="Z346" t="e">
        <f t="shared" si="5"/>
        <v>#N/A</v>
      </c>
      <c r="AA346" t="e">
        <f>VLOOKUP($Z346,'oddspedia-matches'!$A:$AD,AA$2,0)</f>
        <v>#N/A</v>
      </c>
      <c r="AB346" t="e">
        <f>VLOOKUP($Z346,'oddspedia-matches'!$A:$AD,AB$2,0)</f>
        <v>#N/A</v>
      </c>
      <c r="AC346" t="e">
        <f>VLOOKUP($Z346,'oddspedia-matches'!$A:$AD,AC$2,0)</f>
        <v>#N/A</v>
      </c>
      <c r="AD346" t="e">
        <f>VLOOKUP($Z346,'oddspedia-matches'!$A:$AD,AD$2,0)</f>
        <v>#N/A</v>
      </c>
      <c r="AE346" t="e">
        <f>VLOOKUP($Z346,'oddspedia-matches'!$A:$AD,AE$2,0)</f>
        <v>#N/A</v>
      </c>
      <c r="AF346" t="e">
        <f>VLOOKUP($Z346,'oddspedia-matches'!$A:$AD,AF$2,0)</f>
        <v>#N/A</v>
      </c>
      <c r="AG346" t="e">
        <f>VLOOKUP($Z346,'oddspedia-matches'!$A:$AD,AG$2,0)</f>
        <v>#N/A</v>
      </c>
      <c r="AH346" t="e">
        <f>VLOOKUP($Z346,'oddspedia-matches'!$A:$AD,AH$2,0)</f>
        <v>#N/A</v>
      </c>
      <c r="AI346" t="e">
        <f>VLOOKUP($Z346,'oddspedia-matches'!$A:$AD,AI$2,0)</f>
        <v>#N/A</v>
      </c>
      <c r="AJ346" t="e">
        <f>VLOOKUP($Z346,'oddspedia-matches'!$A:$AD,AJ$2,0)</f>
        <v>#N/A</v>
      </c>
      <c r="AK346" t="e">
        <f>VLOOKUP($Z346,'oddspedia-matches'!$A:$AD,AK$2,0)</f>
        <v>#N/A</v>
      </c>
      <c r="AL346" t="e">
        <f>VLOOKUP($Z346,'oddspedia-matches'!$A:$AD,AL$2,0)</f>
        <v>#N/A</v>
      </c>
      <c r="AM346" t="e">
        <f>VLOOKUP($Z346,'oddspedia-matches'!$A:$AD,AM$2,0)</f>
        <v>#N/A</v>
      </c>
      <c r="AN346" t="e">
        <f>VLOOKUP($Z346,'oddspedia-matches'!$A:$AD,AN$2,0)</f>
        <v>#N/A</v>
      </c>
      <c r="AO346" t="e">
        <f>VLOOKUP($Z346,'oddspedia-matches'!$A:$AD,AO$2,0)</f>
        <v>#N/A</v>
      </c>
      <c r="AP346" t="e">
        <f>VLOOKUP($Z346,'oddspedia-matches'!$A:$AD,AP$2,0)</f>
        <v>#N/A</v>
      </c>
      <c r="AQ346" t="e">
        <f>VLOOKUP($Z346,'oddspedia-matches'!$A:$AD,AQ$2,0)</f>
        <v>#N/A</v>
      </c>
    </row>
    <row r="347" spans="2:43" x14ac:dyDescent="0.2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>
        <f>VLOOKUP(E347,'Transform table'!A:B,2,0)</f>
        <v>0</v>
      </c>
      <c r="Y347" t="e">
        <f>VLOOKUP(F347,'Transform table'!A:B,2,0)</f>
        <v>#N/A</v>
      </c>
      <c r="Z347" t="e">
        <f t="shared" si="5"/>
        <v>#N/A</v>
      </c>
      <c r="AA347" t="e">
        <f>VLOOKUP($Z347,'oddspedia-matches'!$A:$AD,AA$2,0)</f>
        <v>#N/A</v>
      </c>
      <c r="AB347" t="e">
        <f>VLOOKUP($Z347,'oddspedia-matches'!$A:$AD,AB$2,0)</f>
        <v>#N/A</v>
      </c>
      <c r="AC347" t="e">
        <f>VLOOKUP($Z347,'oddspedia-matches'!$A:$AD,AC$2,0)</f>
        <v>#N/A</v>
      </c>
      <c r="AD347" t="e">
        <f>VLOOKUP($Z347,'oddspedia-matches'!$A:$AD,AD$2,0)</f>
        <v>#N/A</v>
      </c>
      <c r="AE347" t="e">
        <f>VLOOKUP($Z347,'oddspedia-matches'!$A:$AD,AE$2,0)</f>
        <v>#N/A</v>
      </c>
      <c r="AF347" t="e">
        <f>VLOOKUP($Z347,'oddspedia-matches'!$A:$AD,AF$2,0)</f>
        <v>#N/A</v>
      </c>
      <c r="AG347" t="e">
        <f>VLOOKUP($Z347,'oddspedia-matches'!$A:$AD,AG$2,0)</f>
        <v>#N/A</v>
      </c>
      <c r="AH347" t="e">
        <f>VLOOKUP($Z347,'oddspedia-matches'!$A:$AD,AH$2,0)</f>
        <v>#N/A</v>
      </c>
      <c r="AI347" t="e">
        <f>VLOOKUP($Z347,'oddspedia-matches'!$A:$AD,AI$2,0)</f>
        <v>#N/A</v>
      </c>
      <c r="AJ347" t="e">
        <f>VLOOKUP($Z347,'oddspedia-matches'!$A:$AD,AJ$2,0)</f>
        <v>#N/A</v>
      </c>
      <c r="AK347" t="e">
        <f>VLOOKUP($Z347,'oddspedia-matches'!$A:$AD,AK$2,0)</f>
        <v>#N/A</v>
      </c>
      <c r="AL347" t="e">
        <f>VLOOKUP($Z347,'oddspedia-matches'!$A:$AD,AL$2,0)</f>
        <v>#N/A</v>
      </c>
      <c r="AM347" t="e">
        <f>VLOOKUP($Z347,'oddspedia-matches'!$A:$AD,AM$2,0)</f>
        <v>#N/A</v>
      </c>
      <c r="AN347" t="e">
        <f>VLOOKUP($Z347,'oddspedia-matches'!$A:$AD,AN$2,0)</f>
        <v>#N/A</v>
      </c>
      <c r="AO347" t="e">
        <f>VLOOKUP($Z347,'oddspedia-matches'!$A:$AD,AO$2,0)</f>
        <v>#N/A</v>
      </c>
      <c r="AP347" t="e">
        <f>VLOOKUP($Z347,'oddspedia-matches'!$A:$AD,AP$2,0)</f>
        <v>#N/A</v>
      </c>
      <c r="AQ347" t="e">
        <f>VLOOKUP($Z347,'oddspedia-matches'!$A:$AD,AQ$2,0)</f>
        <v>#N/A</v>
      </c>
    </row>
    <row r="348" spans="2:43" x14ac:dyDescent="0.2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>
        <f>VLOOKUP(E348,'Transform table'!A:B,2,0)</f>
        <v>0</v>
      </c>
      <c r="Y348" t="e">
        <f>VLOOKUP(F348,'Transform table'!A:B,2,0)</f>
        <v>#N/A</v>
      </c>
      <c r="Z348" t="e">
        <f t="shared" si="5"/>
        <v>#N/A</v>
      </c>
      <c r="AA348" t="e">
        <f>VLOOKUP($Z348,'oddspedia-matches'!$A:$AD,AA$2,0)</f>
        <v>#N/A</v>
      </c>
      <c r="AB348" t="e">
        <f>VLOOKUP($Z348,'oddspedia-matches'!$A:$AD,AB$2,0)</f>
        <v>#N/A</v>
      </c>
      <c r="AC348" t="e">
        <f>VLOOKUP($Z348,'oddspedia-matches'!$A:$AD,AC$2,0)</f>
        <v>#N/A</v>
      </c>
      <c r="AD348" t="e">
        <f>VLOOKUP($Z348,'oddspedia-matches'!$A:$AD,AD$2,0)</f>
        <v>#N/A</v>
      </c>
      <c r="AE348" t="e">
        <f>VLOOKUP($Z348,'oddspedia-matches'!$A:$AD,AE$2,0)</f>
        <v>#N/A</v>
      </c>
      <c r="AF348" t="e">
        <f>VLOOKUP($Z348,'oddspedia-matches'!$A:$AD,AF$2,0)</f>
        <v>#N/A</v>
      </c>
      <c r="AG348" t="e">
        <f>VLOOKUP($Z348,'oddspedia-matches'!$A:$AD,AG$2,0)</f>
        <v>#N/A</v>
      </c>
      <c r="AH348" t="e">
        <f>VLOOKUP($Z348,'oddspedia-matches'!$A:$AD,AH$2,0)</f>
        <v>#N/A</v>
      </c>
      <c r="AI348" t="e">
        <f>VLOOKUP($Z348,'oddspedia-matches'!$A:$AD,AI$2,0)</f>
        <v>#N/A</v>
      </c>
      <c r="AJ348" t="e">
        <f>VLOOKUP($Z348,'oddspedia-matches'!$A:$AD,AJ$2,0)</f>
        <v>#N/A</v>
      </c>
      <c r="AK348" t="e">
        <f>VLOOKUP($Z348,'oddspedia-matches'!$A:$AD,AK$2,0)</f>
        <v>#N/A</v>
      </c>
      <c r="AL348" t="e">
        <f>VLOOKUP($Z348,'oddspedia-matches'!$A:$AD,AL$2,0)</f>
        <v>#N/A</v>
      </c>
      <c r="AM348" t="e">
        <f>VLOOKUP($Z348,'oddspedia-matches'!$A:$AD,AM$2,0)</f>
        <v>#N/A</v>
      </c>
      <c r="AN348" t="e">
        <f>VLOOKUP($Z348,'oddspedia-matches'!$A:$AD,AN$2,0)</f>
        <v>#N/A</v>
      </c>
      <c r="AO348" t="e">
        <f>VLOOKUP($Z348,'oddspedia-matches'!$A:$AD,AO$2,0)</f>
        <v>#N/A</v>
      </c>
      <c r="AP348" t="e">
        <f>VLOOKUP($Z348,'oddspedia-matches'!$A:$AD,AP$2,0)</f>
        <v>#N/A</v>
      </c>
      <c r="AQ348" t="e">
        <f>VLOOKUP($Z348,'oddspedia-matches'!$A:$AD,AQ$2,0)</f>
        <v>#N/A</v>
      </c>
    </row>
    <row r="349" spans="2:43" x14ac:dyDescent="0.2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tr">
        <f>VLOOKUP(E349,'Transform table'!A:B,2,0)</f>
        <v>Zira IK</v>
      </c>
      <c r="Y349" t="e">
        <f>VLOOKUP(F349,'Transform table'!A:B,2,0)</f>
        <v>#N/A</v>
      </c>
      <c r="Z349" t="e">
        <f t="shared" si="5"/>
        <v>#N/A</v>
      </c>
      <c r="AA349" t="e">
        <f>VLOOKUP($Z349,'oddspedia-matches'!$A:$AD,AA$2,0)</f>
        <v>#N/A</v>
      </c>
      <c r="AB349" t="e">
        <f>VLOOKUP($Z349,'oddspedia-matches'!$A:$AD,AB$2,0)</f>
        <v>#N/A</v>
      </c>
      <c r="AC349" t="e">
        <f>VLOOKUP($Z349,'oddspedia-matches'!$A:$AD,AC$2,0)</f>
        <v>#N/A</v>
      </c>
      <c r="AD349" t="e">
        <f>VLOOKUP($Z349,'oddspedia-matches'!$A:$AD,AD$2,0)</f>
        <v>#N/A</v>
      </c>
      <c r="AE349" t="e">
        <f>VLOOKUP($Z349,'oddspedia-matches'!$A:$AD,AE$2,0)</f>
        <v>#N/A</v>
      </c>
      <c r="AF349" t="e">
        <f>VLOOKUP($Z349,'oddspedia-matches'!$A:$AD,AF$2,0)</f>
        <v>#N/A</v>
      </c>
      <c r="AG349" t="e">
        <f>VLOOKUP($Z349,'oddspedia-matches'!$A:$AD,AG$2,0)</f>
        <v>#N/A</v>
      </c>
      <c r="AH349" t="e">
        <f>VLOOKUP($Z349,'oddspedia-matches'!$A:$AD,AH$2,0)</f>
        <v>#N/A</v>
      </c>
      <c r="AI349" t="e">
        <f>VLOOKUP($Z349,'oddspedia-matches'!$A:$AD,AI$2,0)</f>
        <v>#N/A</v>
      </c>
      <c r="AJ349" t="e">
        <f>VLOOKUP($Z349,'oddspedia-matches'!$A:$AD,AJ$2,0)</f>
        <v>#N/A</v>
      </c>
      <c r="AK349" t="e">
        <f>VLOOKUP($Z349,'oddspedia-matches'!$A:$AD,AK$2,0)</f>
        <v>#N/A</v>
      </c>
      <c r="AL349" t="e">
        <f>VLOOKUP($Z349,'oddspedia-matches'!$A:$AD,AL$2,0)</f>
        <v>#N/A</v>
      </c>
      <c r="AM349" t="e">
        <f>VLOOKUP($Z349,'oddspedia-matches'!$A:$AD,AM$2,0)</f>
        <v>#N/A</v>
      </c>
      <c r="AN349" t="e">
        <f>VLOOKUP($Z349,'oddspedia-matches'!$A:$AD,AN$2,0)</f>
        <v>#N/A</v>
      </c>
      <c r="AO349" t="e">
        <f>VLOOKUP($Z349,'oddspedia-matches'!$A:$AD,AO$2,0)</f>
        <v>#N/A</v>
      </c>
      <c r="AP349" t="e">
        <f>VLOOKUP($Z349,'oddspedia-matches'!$A:$AD,AP$2,0)</f>
        <v>#N/A</v>
      </c>
      <c r="AQ349" t="e">
        <f>VLOOKUP($Z349,'oddspedia-matches'!$A:$AD,AQ$2,0)</f>
        <v>#N/A</v>
      </c>
    </row>
    <row r="350" spans="2:43" x14ac:dyDescent="0.2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tr">
        <f>VLOOKUP(E350,'Transform table'!A:B,2,0)</f>
        <v>Sonderjyske</v>
      </c>
      <c r="Y350" t="e">
        <f>VLOOKUP(F350,'Transform table'!A:B,2,0)</f>
        <v>#N/A</v>
      </c>
      <c r="Z350" t="e">
        <f t="shared" si="5"/>
        <v>#N/A</v>
      </c>
      <c r="AA350" t="e">
        <f>VLOOKUP($Z350,'oddspedia-matches'!$A:$AD,AA$2,0)</f>
        <v>#N/A</v>
      </c>
      <c r="AB350" t="e">
        <f>VLOOKUP($Z350,'oddspedia-matches'!$A:$AD,AB$2,0)</f>
        <v>#N/A</v>
      </c>
      <c r="AC350" t="e">
        <f>VLOOKUP($Z350,'oddspedia-matches'!$A:$AD,AC$2,0)</f>
        <v>#N/A</v>
      </c>
      <c r="AD350" t="e">
        <f>VLOOKUP($Z350,'oddspedia-matches'!$A:$AD,AD$2,0)</f>
        <v>#N/A</v>
      </c>
      <c r="AE350" t="e">
        <f>VLOOKUP($Z350,'oddspedia-matches'!$A:$AD,AE$2,0)</f>
        <v>#N/A</v>
      </c>
      <c r="AF350" t="e">
        <f>VLOOKUP($Z350,'oddspedia-matches'!$A:$AD,AF$2,0)</f>
        <v>#N/A</v>
      </c>
      <c r="AG350" t="e">
        <f>VLOOKUP($Z350,'oddspedia-matches'!$A:$AD,AG$2,0)</f>
        <v>#N/A</v>
      </c>
      <c r="AH350" t="e">
        <f>VLOOKUP($Z350,'oddspedia-matches'!$A:$AD,AH$2,0)</f>
        <v>#N/A</v>
      </c>
      <c r="AI350" t="e">
        <f>VLOOKUP($Z350,'oddspedia-matches'!$A:$AD,AI$2,0)</f>
        <v>#N/A</v>
      </c>
      <c r="AJ350" t="e">
        <f>VLOOKUP($Z350,'oddspedia-matches'!$A:$AD,AJ$2,0)</f>
        <v>#N/A</v>
      </c>
      <c r="AK350" t="e">
        <f>VLOOKUP($Z350,'oddspedia-matches'!$A:$AD,AK$2,0)</f>
        <v>#N/A</v>
      </c>
      <c r="AL350" t="e">
        <f>VLOOKUP($Z350,'oddspedia-matches'!$A:$AD,AL$2,0)</f>
        <v>#N/A</v>
      </c>
      <c r="AM350" t="e">
        <f>VLOOKUP($Z350,'oddspedia-matches'!$A:$AD,AM$2,0)</f>
        <v>#N/A</v>
      </c>
      <c r="AN350" t="e">
        <f>VLOOKUP($Z350,'oddspedia-matches'!$A:$AD,AN$2,0)</f>
        <v>#N/A</v>
      </c>
      <c r="AO350" t="e">
        <f>VLOOKUP($Z350,'oddspedia-matches'!$A:$AD,AO$2,0)</f>
        <v>#N/A</v>
      </c>
      <c r="AP350" t="e">
        <f>VLOOKUP($Z350,'oddspedia-matches'!$A:$AD,AP$2,0)</f>
        <v>#N/A</v>
      </c>
      <c r="AQ350" t="e">
        <f>VLOOKUP($Z350,'oddspedia-matches'!$A:$AD,AQ$2,0)</f>
        <v>#N/A</v>
      </c>
    </row>
    <row r="351" spans="2:43" x14ac:dyDescent="0.2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>
        <f>VLOOKUP(E351,'Transform table'!A:B,2,0)</f>
        <v>0</v>
      </c>
      <c r="Y351" t="e">
        <f>VLOOKUP(F351,'Transform table'!A:B,2,0)</f>
        <v>#N/A</v>
      </c>
      <c r="Z351" t="e">
        <f t="shared" si="5"/>
        <v>#N/A</v>
      </c>
      <c r="AA351" t="e">
        <f>VLOOKUP($Z351,'oddspedia-matches'!$A:$AD,AA$2,0)</f>
        <v>#N/A</v>
      </c>
      <c r="AB351" t="e">
        <f>VLOOKUP($Z351,'oddspedia-matches'!$A:$AD,AB$2,0)</f>
        <v>#N/A</v>
      </c>
      <c r="AC351" t="e">
        <f>VLOOKUP($Z351,'oddspedia-matches'!$A:$AD,AC$2,0)</f>
        <v>#N/A</v>
      </c>
      <c r="AD351" t="e">
        <f>VLOOKUP($Z351,'oddspedia-matches'!$A:$AD,AD$2,0)</f>
        <v>#N/A</v>
      </c>
      <c r="AE351" t="e">
        <f>VLOOKUP($Z351,'oddspedia-matches'!$A:$AD,AE$2,0)</f>
        <v>#N/A</v>
      </c>
      <c r="AF351" t="e">
        <f>VLOOKUP($Z351,'oddspedia-matches'!$A:$AD,AF$2,0)</f>
        <v>#N/A</v>
      </c>
      <c r="AG351" t="e">
        <f>VLOOKUP($Z351,'oddspedia-matches'!$A:$AD,AG$2,0)</f>
        <v>#N/A</v>
      </c>
      <c r="AH351" t="e">
        <f>VLOOKUP($Z351,'oddspedia-matches'!$A:$AD,AH$2,0)</f>
        <v>#N/A</v>
      </c>
      <c r="AI351" t="e">
        <f>VLOOKUP($Z351,'oddspedia-matches'!$A:$AD,AI$2,0)</f>
        <v>#N/A</v>
      </c>
      <c r="AJ351" t="e">
        <f>VLOOKUP($Z351,'oddspedia-matches'!$A:$AD,AJ$2,0)</f>
        <v>#N/A</v>
      </c>
      <c r="AK351" t="e">
        <f>VLOOKUP($Z351,'oddspedia-matches'!$A:$AD,AK$2,0)</f>
        <v>#N/A</v>
      </c>
      <c r="AL351" t="e">
        <f>VLOOKUP($Z351,'oddspedia-matches'!$A:$AD,AL$2,0)</f>
        <v>#N/A</v>
      </c>
      <c r="AM351" t="e">
        <f>VLOOKUP($Z351,'oddspedia-matches'!$A:$AD,AM$2,0)</f>
        <v>#N/A</v>
      </c>
      <c r="AN351" t="e">
        <f>VLOOKUP($Z351,'oddspedia-matches'!$A:$AD,AN$2,0)</f>
        <v>#N/A</v>
      </c>
      <c r="AO351" t="e">
        <f>VLOOKUP($Z351,'oddspedia-matches'!$A:$AD,AO$2,0)</f>
        <v>#N/A</v>
      </c>
      <c r="AP351" t="e">
        <f>VLOOKUP($Z351,'oddspedia-matches'!$A:$AD,AP$2,0)</f>
        <v>#N/A</v>
      </c>
      <c r="AQ351" t="e">
        <f>VLOOKUP($Z351,'oddspedia-matches'!$A:$AD,AQ$2,0)</f>
        <v>#N/A</v>
      </c>
    </row>
    <row r="352" spans="2:43" x14ac:dyDescent="0.2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tr">
        <f>VLOOKUP(E352,'Transform table'!A:B,2,0)</f>
        <v>Ilves</v>
      </c>
      <c r="Y352" t="str">
        <f>VLOOKUP(F352,'Transform table'!A:B,2,0)</f>
        <v>FC Lahti</v>
      </c>
      <c r="Z352" t="str">
        <f t="shared" si="5"/>
        <v>26/07/2026IlvesFC Lahti</v>
      </c>
      <c r="AA352" t="e">
        <f>VLOOKUP($Z352,'oddspedia-matches'!$A:$AD,AA$2,0)</f>
        <v>#N/A</v>
      </c>
      <c r="AB352" t="e">
        <f>VLOOKUP($Z352,'oddspedia-matches'!$A:$AD,AB$2,0)</f>
        <v>#N/A</v>
      </c>
      <c r="AC352" t="e">
        <f>VLOOKUP($Z352,'oddspedia-matches'!$A:$AD,AC$2,0)</f>
        <v>#N/A</v>
      </c>
      <c r="AD352" t="e">
        <f>VLOOKUP($Z352,'oddspedia-matches'!$A:$AD,AD$2,0)</f>
        <v>#N/A</v>
      </c>
      <c r="AE352" t="e">
        <f>VLOOKUP($Z352,'oddspedia-matches'!$A:$AD,AE$2,0)</f>
        <v>#N/A</v>
      </c>
      <c r="AF352" t="e">
        <f>VLOOKUP($Z352,'oddspedia-matches'!$A:$AD,AF$2,0)</f>
        <v>#N/A</v>
      </c>
      <c r="AG352" t="e">
        <f>VLOOKUP($Z352,'oddspedia-matches'!$A:$AD,AG$2,0)</f>
        <v>#N/A</v>
      </c>
      <c r="AH352" t="e">
        <f>VLOOKUP($Z352,'oddspedia-matches'!$A:$AD,AH$2,0)</f>
        <v>#N/A</v>
      </c>
      <c r="AI352" t="e">
        <f>VLOOKUP($Z352,'oddspedia-matches'!$A:$AD,AI$2,0)</f>
        <v>#N/A</v>
      </c>
      <c r="AJ352" t="e">
        <f>VLOOKUP($Z352,'oddspedia-matches'!$A:$AD,AJ$2,0)</f>
        <v>#N/A</v>
      </c>
      <c r="AK352" t="e">
        <f>VLOOKUP($Z352,'oddspedia-matches'!$A:$AD,AK$2,0)</f>
        <v>#N/A</v>
      </c>
      <c r="AL352" t="e">
        <f>VLOOKUP($Z352,'oddspedia-matches'!$A:$AD,AL$2,0)</f>
        <v>#N/A</v>
      </c>
      <c r="AM352" t="e">
        <f>VLOOKUP($Z352,'oddspedia-matches'!$A:$AD,AM$2,0)</f>
        <v>#N/A</v>
      </c>
      <c r="AN352" t="e">
        <f>VLOOKUP($Z352,'oddspedia-matches'!$A:$AD,AN$2,0)</f>
        <v>#N/A</v>
      </c>
      <c r="AO352" t="e">
        <f>VLOOKUP($Z352,'oddspedia-matches'!$A:$AD,AO$2,0)</f>
        <v>#N/A</v>
      </c>
      <c r="AP352" t="e">
        <f>VLOOKUP($Z352,'oddspedia-matches'!$A:$AD,AP$2,0)</f>
        <v>#N/A</v>
      </c>
      <c r="AQ352" t="e">
        <f>VLOOKUP($Z352,'oddspedia-matches'!$A:$AD,AQ$2,0)</f>
        <v>#N/A</v>
      </c>
    </row>
    <row r="353" spans="2:43" x14ac:dyDescent="0.2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tr">
        <f>VLOOKUP(E353,'Transform table'!A:B,2,0)</f>
        <v>Inter Turku</v>
      </c>
      <c r="Y353" t="e">
        <f>VLOOKUP(F353,'Transform table'!A:B,2,0)</f>
        <v>#N/A</v>
      </c>
      <c r="Z353" t="e">
        <f t="shared" si="5"/>
        <v>#N/A</v>
      </c>
      <c r="AA353" t="e">
        <f>VLOOKUP($Z353,'oddspedia-matches'!$A:$AD,AA$2,0)</f>
        <v>#N/A</v>
      </c>
      <c r="AB353" t="e">
        <f>VLOOKUP($Z353,'oddspedia-matches'!$A:$AD,AB$2,0)</f>
        <v>#N/A</v>
      </c>
      <c r="AC353" t="e">
        <f>VLOOKUP($Z353,'oddspedia-matches'!$A:$AD,AC$2,0)</f>
        <v>#N/A</v>
      </c>
      <c r="AD353" t="e">
        <f>VLOOKUP($Z353,'oddspedia-matches'!$A:$AD,AD$2,0)</f>
        <v>#N/A</v>
      </c>
      <c r="AE353" t="e">
        <f>VLOOKUP($Z353,'oddspedia-matches'!$A:$AD,AE$2,0)</f>
        <v>#N/A</v>
      </c>
      <c r="AF353" t="e">
        <f>VLOOKUP($Z353,'oddspedia-matches'!$A:$AD,AF$2,0)</f>
        <v>#N/A</v>
      </c>
      <c r="AG353" t="e">
        <f>VLOOKUP($Z353,'oddspedia-matches'!$A:$AD,AG$2,0)</f>
        <v>#N/A</v>
      </c>
      <c r="AH353" t="e">
        <f>VLOOKUP($Z353,'oddspedia-matches'!$A:$AD,AH$2,0)</f>
        <v>#N/A</v>
      </c>
      <c r="AI353" t="e">
        <f>VLOOKUP($Z353,'oddspedia-matches'!$A:$AD,AI$2,0)</f>
        <v>#N/A</v>
      </c>
      <c r="AJ353" t="e">
        <f>VLOOKUP($Z353,'oddspedia-matches'!$A:$AD,AJ$2,0)</f>
        <v>#N/A</v>
      </c>
      <c r="AK353" t="e">
        <f>VLOOKUP($Z353,'oddspedia-matches'!$A:$AD,AK$2,0)</f>
        <v>#N/A</v>
      </c>
      <c r="AL353" t="e">
        <f>VLOOKUP($Z353,'oddspedia-matches'!$A:$AD,AL$2,0)</f>
        <v>#N/A</v>
      </c>
      <c r="AM353" t="e">
        <f>VLOOKUP($Z353,'oddspedia-matches'!$A:$AD,AM$2,0)</f>
        <v>#N/A</v>
      </c>
      <c r="AN353" t="e">
        <f>VLOOKUP($Z353,'oddspedia-matches'!$A:$AD,AN$2,0)</f>
        <v>#N/A</v>
      </c>
      <c r="AO353" t="e">
        <f>VLOOKUP($Z353,'oddspedia-matches'!$A:$AD,AO$2,0)</f>
        <v>#N/A</v>
      </c>
      <c r="AP353" t="e">
        <f>VLOOKUP($Z353,'oddspedia-matches'!$A:$AD,AP$2,0)</f>
        <v>#N/A</v>
      </c>
      <c r="AQ353" t="e">
        <f>VLOOKUP($Z353,'oddspedia-matches'!$A:$AD,AQ$2,0)</f>
        <v>#N/A</v>
      </c>
    </row>
    <row r="354" spans="2:43" x14ac:dyDescent="0.2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tr">
        <f>VLOOKUP(E354,'Transform table'!A:B,2,0)</f>
        <v>SK Super Nova</v>
      </c>
      <c r="Y354" t="e">
        <f>VLOOKUP(F354,'Transform table'!A:B,2,0)</f>
        <v>#N/A</v>
      </c>
      <c r="Z354" t="e">
        <f t="shared" si="5"/>
        <v>#N/A</v>
      </c>
      <c r="AA354" t="e">
        <f>VLOOKUP($Z354,'oddspedia-matches'!$A:$AD,AA$2,0)</f>
        <v>#N/A</v>
      </c>
      <c r="AB354" t="e">
        <f>VLOOKUP($Z354,'oddspedia-matches'!$A:$AD,AB$2,0)</f>
        <v>#N/A</v>
      </c>
      <c r="AC354" t="e">
        <f>VLOOKUP($Z354,'oddspedia-matches'!$A:$AD,AC$2,0)</f>
        <v>#N/A</v>
      </c>
      <c r="AD354" t="e">
        <f>VLOOKUP($Z354,'oddspedia-matches'!$A:$AD,AD$2,0)</f>
        <v>#N/A</v>
      </c>
      <c r="AE354" t="e">
        <f>VLOOKUP($Z354,'oddspedia-matches'!$A:$AD,AE$2,0)</f>
        <v>#N/A</v>
      </c>
      <c r="AF354" t="e">
        <f>VLOOKUP($Z354,'oddspedia-matches'!$A:$AD,AF$2,0)</f>
        <v>#N/A</v>
      </c>
      <c r="AG354" t="e">
        <f>VLOOKUP($Z354,'oddspedia-matches'!$A:$AD,AG$2,0)</f>
        <v>#N/A</v>
      </c>
      <c r="AH354" t="e">
        <f>VLOOKUP($Z354,'oddspedia-matches'!$A:$AD,AH$2,0)</f>
        <v>#N/A</v>
      </c>
      <c r="AI354" t="e">
        <f>VLOOKUP($Z354,'oddspedia-matches'!$A:$AD,AI$2,0)</f>
        <v>#N/A</v>
      </c>
      <c r="AJ354" t="e">
        <f>VLOOKUP($Z354,'oddspedia-matches'!$A:$AD,AJ$2,0)</f>
        <v>#N/A</v>
      </c>
      <c r="AK354" t="e">
        <f>VLOOKUP($Z354,'oddspedia-matches'!$A:$AD,AK$2,0)</f>
        <v>#N/A</v>
      </c>
      <c r="AL354" t="e">
        <f>VLOOKUP($Z354,'oddspedia-matches'!$A:$AD,AL$2,0)</f>
        <v>#N/A</v>
      </c>
      <c r="AM354" t="e">
        <f>VLOOKUP($Z354,'oddspedia-matches'!$A:$AD,AM$2,0)</f>
        <v>#N/A</v>
      </c>
      <c r="AN354" t="e">
        <f>VLOOKUP($Z354,'oddspedia-matches'!$A:$AD,AN$2,0)</f>
        <v>#N/A</v>
      </c>
      <c r="AO354" t="e">
        <f>VLOOKUP($Z354,'oddspedia-matches'!$A:$AD,AO$2,0)</f>
        <v>#N/A</v>
      </c>
      <c r="AP354" t="e">
        <f>VLOOKUP($Z354,'oddspedia-matches'!$A:$AD,AP$2,0)</f>
        <v>#N/A</v>
      </c>
      <c r="AQ354" t="e">
        <f>VLOOKUP($Z354,'oddspedia-matches'!$A:$AD,AQ$2,0)</f>
        <v>#N/A</v>
      </c>
    </row>
    <row r="355" spans="2:43" x14ac:dyDescent="0.2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tr">
        <f>VLOOKUP(E355,'Transform table'!A:B,2,0)</f>
        <v>VMFD Zalgiris</v>
      </c>
      <c r="Y355" t="e">
        <f>VLOOKUP(F355,'Transform table'!A:B,2,0)</f>
        <v>#N/A</v>
      </c>
      <c r="Z355" t="e">
        <f t="shared" si="5"/>
        <v>#N/A</v>
      </c>
      <c r="AA355" t="e">
        <f>VLOOKUP($Z355,'oddspedia-matches'!$A:$AD,AA$2,0)</f>
        <v>#N/A</v>
      </c>
      <c r="AB355" t="e">
        <f>VLOOKUP($Z355,'oddspedia-matches'!$A:$AD,AB$2,0)</f>
        <v>#N/A</v>
      </c>
      <c r="AC355" t="e">
        <f>VLOOKUP($Z355,'oddspedia-matches'!$A:$AD,AC$2,0)</f>
        <v>#N/A</v>
      </c>
      <c r="AD355" t="e">
        <f>VLOOKUP($Z355,'oddspedia-matches'!$A:$AD,AD$2,0)</f>
        <v>#N/A</v>
      </c>
      <c r="AE355" t="e">
        <f>VLOOKUP($Z355,'oddspedia-matches'!$A:$AD,AE$2,0)</f>
        <v>#N/A</v>
      </c>
      <c r="AF355" t="e">
        <f>VLOOKUP($Z355,'oddspedia-matches'!$A:$AD,AF$2,0)</f>
        <v>#N/A</v>
      </c>
      <c r="AG355" t="e">
        <f>VLOOKUP($Z355,'oddspedia-matches'!$A:$AD,AG$2,0)</f>
        <v>#N/A</v>
      </c>
      <c r="AH355" t="e">
        <f>VLOOKUP($Z355,'oddspedia-matches'!$A:$AD,AH$2,0)</f>
        <v>#N/A</v>
      </c>
      <c r="AI355" t="e">
        <f>VLOOKUP($Z355,'oddspedia-matches'!$A:$AD,AI$2,0)</f>
        <v>#N/A</v>
      </c>
      <c r="AJ355" t="e">
        <f>VLOOKUP($Z355,'oddspedia-matches'!$A:$AD,AJ$2,0)</f>
        <v>#N/A</v>
      </c>
      <c r="AK355" t="e">
        <f>VLOOKUP($Z355,'oddspedia-matches'!$A:$AD,AK$2,0)</f>
        <v>#N/A</v>
      </c>
      <c r="AL355" t="e">
        <f>VLOOKUP($Z355,'oddspedia-matches'!$A:$AD,AL$2,0)</f>
        <v>#N/A</v>
      </c>
      <c r="AM355" t="e">
        <f>VLOOKUP($Z355,'oddspedia-matches'!$A:$AD,AM$2,0)</f>
        <v>#N/A</v>
      </c>
      <c r="AN355" t="e">
        <f>VLOOKUP($Z355,'oddspedia-matches'!$A:$AD,AN$2,0)</f>
        <v>#N/A</v>
      </c>
      <c r="AO355" t="e">
        <f>VLOOKUP($Z355,'oddspedia-matches'!$A:$AD,AO$2,0)</f>
        <v>#N/A</v>
      </c>
      <c r="AP355" t="e">
        <f>VLOOKUP($Z355,'oddspedia-matches'!$A:$AD,AP$2,0)</f>
        <v>#N/A</v>
      </c>
      <c r="AQ355" t="e">
        <f>VLOOKUP($Z355,'oddspedia-matches'!$A:$AD,AQ$2,0)</f>
        <v>#N/A</v>
      </c>
    </row>
    <row r="356" spans="2:43" x14ac:dyDescent="0.2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tr">
        <f>VLOOKUP(E356,'Transform table'!A:B,2,0)</f>
        <v>FC Ufa</v>
      </c>
      <c r="Y356" t="e">
        <f>VLOOKUP(F356,'Transform table'!A:B,2,0)</f>
        <v>#N/A</v>
      </c>
      <c r="Z356" t="e">
        <f t="shared" si="5"/>
        <v>#N/A</v>
      </c>
      <c r="AA356" t="e">
        <f>VLOOKUP($Z356,'oddspedia-matches'!$A:$AD,AA$2,0)</f>
        <v>#N/A</v>
      </c>
      <c r="AB356" t="e">
        <f>VLOOKUP($Z356,'oddspedia-matches'!$A:$AD,AB$2,0)</f>
        <v>#N/A</v>
      </c>
      <c r="AC356" t="e">
        <f>VLOOKUP($Z356,'oddspedia-matches'!$A:$AD,AC$2,0)</f>
        <v>#N/A</v>
      </c>
      <c r="AD356" t="e">
        <f>VLOOKUP($Z356,'oddspedia-matches'!$A:$AD,AD$2,0)</f>
        <v>#N/A</v>
      </c>
      <c r="AE356" t="e">
        <f>VLOOKUP($Z356,'oddspedia-matches'!$A:$AD,AE$2,0)</f>
        <v>#N/A</v>
      </c>
      <c r="AF356" t="e">
        <f>VLOOKUP($Z356,'oddspedia-matches'!$A:$AD,AF$2,0)</f>
        <v>#N/A</v>
      </c>
      <c r="AG356" t="e">
        <f>VLOOKUP($Z356,'oddspedia-matches'!$A:$AD,AG$2,0)</f>
        <v>#N/A</v>
      </c>
      <c r="AH356" t="e">
        <f>VLOOKUP($Z356,'oddspedia-matches'!$A:$AD,AH$2,0)</f>
        <v>#N/A</v>
      </c>
      <c r="AI356" t="e">
        <f>VLOOKUP($Z356,'oddspedia-matches'!$A:$AD,AI$2,0)</f>
        <v>#N/A</v>
      </c>
      <c r="AJ356" t="e">
        <f>VLOOKUP($Z356,'oddspedia-matches'!$A:$AD,AJ$2,0)</f>
        <v>#N/A</v>
      </c>
      <c r="AK356" t="e">
        <f>VLOOKUP($Z356,'oddspedia-matches'!$A:$AD,AK$2,0)</f>
        <v>#N/A</v>
      </c>
      <c r="AL356" t="e">
        <f>VLOOKUP($Z356,'oddspedia-matches'!$A:$AD,AL$2,0)</f>
        <v>#N/A</v>
      </c>
      <c r="AM356" t="e">
        <f>VLOOKUP($Z356,'oddspedia-matches'!$A:$AD,AM$2,0)</f>
        <v>#N/A</v>
      </c>
      <c r="AN356" t="e">
        <f>VLOOKUP($Z356,'oddspedia-matches'!$A:$AD,AN$2,0)</f>
        <v>#N/A</v>
      </c>
      <c r="AO356" t="e">
        <f>VLOOKUP($Z356,'oddspedia-matches'!$A:$AD,AO$2,0)</f>
        <v>#N/A</v>
      </c>
      <c r="AP356" t="e">
        <f>VLOOKUP($Z356,'oddspedia-matches'!$A:$AD,AP$2,0)</f>
        <v>#N/A</v>
      </c>
      <c r="AQ356" t="e">
        <f>VLOOKUP($Z356,'oddspedia-matches'!$A:$AD,AQ$2,0)</f>
        <v>#N/A</v>
      </c>
    </row>
    <row r="357" spans="2:43" x14ac:dyDescent="0.2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tr">
        <f>VLOOKUP(E357,'Transform table'!A:B,2,0)</f>
        <v>Brommapojkarna U19</v>
      </c>
      <c r="Y357" t="e">
        <f>VLOOKUP(F357,'Transform table'!A:B,2,0)</f>
        <v>#N/A</v>
      </c>
      <c r="Z357" t="e">
        <f t="shared" si="5"/>
        <v>#N/A</v>
      </c>
      <c r="AA357" t="e">
        <f>VLOOKUP($Z357,'oddspedia-matches'!$A:$AD,AA$2,0)</f>
        <v>#N/A</v>
      </c>
      <c r="AB357" t="e">
        <f>VLOOKUP($Z357,'oddspedia-matches'!$A:$AD,AB$2,0)</f>
        <v>#N/A</v>
      </c>
      <c r="AC357" t="e">
        <f>VLOOKUP($Z357,'oddspedia-matches'!$A:$AD,AC$2,0)</f>
        <v>#N/A</v>
      </c>
      <c r="AD357" t="e">
        <f>VLOOKUP($Z357,'oddspedia-matches'!$A:$AD,AD$2,0)</f>
        <v>#N/A</v>
      </c>
      <c r="AE357" t="e">
        <f>VLOOKUP($Z357,'oddspedia-matches'!$A:$AD,AE$2,0)</f>
        <v>#N/A</v>
      </c>
      <c r="AF357" t="e">
        <f>VLOOKUP($Z357,'oddspedia-matches'!$A:$AD,AF$2,0)</f>
        <v>#N/A</v>
      </c>
      <c r="AG357" t="e">
        <f>VLOOKUP($Z357,'oddspedia-matches'!$A:$AD,AG$2,0)</f>
        <v>#N/A</v>
      </c>
      <c r="AH357" t="e">
        <f>VLOOKUP($Z357,'oddspedia-matches'!$A:$AD,AH$2,0)</f>
        <v>#N/A</v>
      </c>
      <c r="AI357" t="e">
        <f>VLOOKUP($Z357,'oddspedia-matches'!$A:$AD,AI$2,0)</f>
        <v>#N/A</v>
      </c>
      <c r="AJ357" t="e">
        <f>VLOOKUP($Z357,'oddspedia-matches'!$A:$AD,AJ$2,0)</f>
        <v>#N/A</v>
      </c>
      <c r="AK357" t="e">
        <f>VLOOKUP($Z357,'oddspedia-matches'!$A:$AD,AK$2,0)</f>
        <v>#N/A</v>
      </c>
      <c r="AL357" t="e">
        <f>VLOOKUP($Z357,'oddspedia-matches'!$A:$AD,AL$2,0)</f>
        <v>#N/A</v>
      </c>
      <c r="AM357" t="e">
        <f>VLOOKUP($Z357,'oddspedia-matches'!$A:$AD,AM$2,0)</f>
        <v>#N/A</v>
      </c>
      <c r="AN357" t="e">
        <f>VLOOKUP($Z357,'oddspedia-matches'!$A:$AD,AN$2,0)</f>
        <v>#N/A</v>
      </c>
      <c r="AO357" t="e">
        <f>VLOOKUP($Z357,'oddspedia-matches'!$A:$AD,AO$2,0)</f>
        <v>#N/A</v>
      </c>
      <c r="AP357" t="e">
        <f>VLOOKUP($Z357,'oddspedia-matches'!$A:$AD,AP$2,0)</f>
        <v>#N/A</v>
      </c>
      <c r="AQ357" t="e">
        <f>VLOOKUP($Z357,'oddspedia-matches'!$A:$AD,AQ$2,0)</f>
        <v>#N/A</v>
      </c>
    </row>
    <row r="358" spans="2:43" x14ac:dyDescent="0.2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tr">
        <f>VLOOKUP(E358,'Transform table'!A:B,2,0)</f>
        <v>Sirnitz</v>
      </c>
      <c r="Y358" t="e">
        <f>VLOOKUP(F358,'Transform table'!A:B,2,0)</f>
        <v>#N/A</v>
      </c>
      <c r="Z358" t="e">
        <f t="shared" si="5"/>
        <v>#N/A</v>
      </c>
      <c r="AA358" t="e">
        <f>VLOOKUP($Z358,'oddspedia-matches'!$A:$AD,AA$2,0)</f>
        <v>#N/A</v>
      </c>
      <c r="AB358" t="e">
        <f>VLOOKUP($Z358,'oddspedia-matches'!$A:$AD,AB$2,0)</f>
        <v>#N/A</v>
      </c>
      <c r="AC358" t="e">
        <f>VLOOKUP($Z358,'oddspedia-matches'!$A:$AD,AC$2,0)</f>
        <v>#N/A</v>
      </c>
      <c r="AD358" t="e">
        <f>VLOOKUP($Z358,'oddspedia-matches'!$A:$AD,AD$2,0)</f>
        <v>#N/A</v>
      </c>
      <c r="AE358" t="e">
        <f>VLOOKUP($Z358,'oddspedia-matches'!$A:$AD,AE$2,0)</f>
        <v>#N/A</v>
      </c>
      <c r="AF358" t="e">
        <f>VLOOKUP($Z358,'oddspedia-matches'!$A:$AD,AF$2,0)</f>
        <v>#N/A</v>
      </c>
      <c r="AG358" t="e">
        <f>VLOOKUP($Z358,'oddspedia-matches'!$A:$AD,AG$2,0)</f>
        <v>#N/A</v>
      </c>
      <c r="AH358" t="e">
        <f>VLOOKUP($Z358,'oddspedia-matches'!$A:$AD,AH$2,0)</f>
        <v>#N/A</v>
      </c>
      <c r="AI358" t="e">
        <f>VLOOKUP($Z358,'oddspedia-matches'!$A:$AD,AI$2,0)</f>
        <v>#N/A</v>
      </c>
      <c r="AJ358" t="e">
        <f>VLOOKUP($Z358,'oddspedia-matches'!$A:$AD,AJ$2,0)</f>
        <v>#N/A</v>
      </c>
      <c r="AK358" t="e">
        <f>VLOOKUP($Z358,'oddspedia-matches'!$A:$AD,AK$2,0)</f>
        <v>#N/A</v>
      </c>
      <c r="AL358" t="e">
        <f>VLOOKUP($Z358,'oddspedia-matches'!$A:$AD,AL$2,0)</f>
        <v>#N/A</v>
      </c>
      <c r="AM358" t="e">
        <f>VLOOKUP($Z358,'oddspedia-matches'!$A:$AD,AM$2,0)</f>
        <v>#N/A</v>
      </c>
      <c r="AN358" t="e">
        <f>VLOOKUP($Z358,'oddspedia-matches'!$A:$AD,AN$2,0)</f>
        <v>#N/A</v>
      </c>
      <c r="AO358" t="e">
        <f>VLOOKUP($Z358,'oddspedia-matches'!$A:$AD,AO$2,0)</f>
        <v>#N/A</v>
      </c>
      <c r="AP358" t="e">
        <f>VLOOKUP($Z358,'oddspedia-matches'!$A:$AD,AP$2,0)</f>
        <v>#N/A</v>
      </c>
      <c r="AQ358" t="e">
        <f>VLOOKUP($Z358,'oddspedia-matches'!$A:$AD,AQ$2,0)</f>
        <v>#N/A</v>
      </c>
    </row>
    <row r="359" spans="2:43" x14ac:dyDescent="0.2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>
        <f>VLOOKUP(E359,'Transform table'!A:B,2,0)</f>
        <v>0</v>
      </c>
      <c r="Y359" t="e">
        <f>VLOOKUP(F359,'Transform table'!A:B,2,0)</f>
        <v>#N/A</v>
      </c>
      <c r="Z359" t="e">
        <f t="shared" si="5"/>
        <v>#N/A</v>
      </c>
      <c r="AA359" t="e">
        <f>VLOOKUP($Z359,'oddspedia-matches'!$A:$AD,AA$2,0)</f>
        <v>#N/A</v>
      </c>
      <c r="AB359" t="e">
        <f>VLOOKUP($Z359,'oddspedia-matches'!$A:$AD,AB$2,0)</f>
        <v>#N/A</v>
      </c>
      <c r="AC359" t="e">
        <f>VLOOKUP($Z359,'oddspedia-matches'!$A:$AD,AC$2,0)</f>
        <v>#N/A</v>
      </c>
      <c r="AD359" t="e">
        <f>VLOOKUP($Z359,'oddspedia-matches'!$A:$AD,AD$2,0)</f>
        <v>#N/A</v>
      </c>
      <c r="AE359" t="e">
        <f>VLOOKUP($Z359,'oddspedia-matches'!$A:$AD,AE$2,0)</f>
        <v>#N/A</v>
      </c>
      <c r="AF359" t="e">
        <f>VLOOKUP($Z359,'oddspedia-matches'!$A:$AD,AF$2,0)</f>
        <v>#N/A</v>
      </c>
      <c r="AG359" t="e">
        <f>VLOOKUP($Z359,'oddspedia-matches'!$A:$AD,AG$2,0)</f>
        <v>#N/A</v>
      </c>
      <c r="AH359" t="e">
        <f>VLOOKUP($Z359,'oddspedia-matches'!$A:$AD,AH$2,0)</f>
        <v>#N/A</v>
      </c>
      <c r="AI359" t="e">
        <f>VLOOKUP($Z359,'oddspedia-matches'!$A:$AD,AI$2,0)</f>
        <v>#N/A</v>
      </c>
      <c r="AJ359" t="e">
        <f>VLOOKUP($Z359,'oddspedia-matches'!$A:$AD,AJ$2,0)</f>
        <v>#N/A</v>
      </c>
      <c r="AK359" t="e">
        <f>VLOOKUP($Z359,'oddspedia-matches'!$A:$AD,AK$2,0)</f>
        <v>#N/A</v>
      </c>
      <c r="AL359" t="e">
        <f>VLOOKUP($Z359,'oddspedia-matches'!$A:$AD,AL$2,0)</f>
        <v>#N/A</v>
      </c>
      <c r="AM359" t="e">
        <f>VLOOKUP($Z359,'oddspedia-matches'!$A:$AD,AM$2,0)</f>
        <v>#N/A</v>
      </c>
      <c r="AN359" t="e">
        <f>VLOOKUP($Z359,'oddspedia-matches'!$A:$AD,AN$2,0)</f>
        <v>#N/A</v>
      </c>
      <c r="AO359" t="e">
        <f>VLOOKUP($Z359,'oddspedia-matches'!$A:$AD,AO$2,0)</f>
        <v>#N/A</v>
      </c>
      <c r="AP359" t="e">
        <f>VLOOKUP($Z359,'oddspedia-matches'!$A:$AD,AP$2,0)</f>
        <v>#N/A</v>
      </c>
      <c r="AQ359" t="e">
        <f>VLOOKUP($Z359,'oddspedia-matches'!$A:$AD,AQ$2,0)</f>
        <v>#N/A</v>
      </c>
    </row>
    <row r="360" spans="2:43" x14ac:dyDescent="0.2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>
        <f>VLOOKUP(E360,'Transform table'!A:B,2,0)</f>
        <v>0</v>
      </c>
      <c r="Y360" t="e">
        <f>VLOOKUP(F360,'Transform table'!A:B,2,0)</f>
        <v>#N/A</v>
      </c>
      <c r="Z360" t="e">
        <f t="shared" si="5"/>
        <v>#N/A</v>
      </c>
      <c r="AA360" t="e">
        <f>VLOOKUP($Z360,'oddspedia-matches'!$A:$AD,AA$2,0)</f>
        <v>#N/A</v>
      </c>
      <c r="AB360" t="e">
        <f>VLOOKUP($Z360,'oddspedia-matches'!$A:$AD,AB$2,0)</f>
        <v>#N/A</v>
      </c>
      <c r="AC360" t="e">
        <f>VLOOKUP($Z360,'oddspedia-matches'!$A:$AD,AC$2,0)</f>
        <v>#N/A</v>
      </c>
      <c r="AD360" t="e">
        <f>VLOOKUP($Z360,'oddspedia-matches'!$A:$AD,AD$2,0)</f>
        <v>#N/A</v>
      </c>
      <c r="AE360" t="e">
        <f>VLOOKUP($Z360,'oddspedia-matches'!$A:$AD,AE$2,0)</f>
        <v>#N/A</v>
      </c>
      <c r="AF360" t="e">
        <f>VLOOKUP($Z360,'oddspedia-matches'!$A:$AD,AF$2,0)</f>
        <v>#N/A</v>
      </c>
      <c r="AG360" t="e">
        <f>VLOOKUP($Z360,'oddspedia-matches'!$A:$AD,AG$2,0)</f>
        <v>#N/A</v>
      </c>
      <c r="AH360" t="e">
        <f>VLOOKUP($Z360,'oddspedia-matches'!$A:$AD,AH$2,0)</f>
        <v>#N/A</v>
      </c>
      <c r="AI360" t="e">
        <f>VLOOKUP($Z360,'oddspedia-matches'!$A:$AD,AI$2,0)</f>
        <v>#N/A</v>
      </c>
      <c r="AJ360" t="e">
        <f>VLOOKUP($Z360,'oddspedia-matches'!$A:$AD,AJ$2,0)</f>
        <v>#N/A</v>
      </c>
      <c r="AK360" t="e">
        <f>VLOOKUP($Z360,'oddspedia-matches'!$A:$AD,AK$2,0)</f>
        <v>#N/A</v>
      </c>
      <c r="AL360" t="e">
        <f>VLOOKUP($Z360,'oddspedia-matches'!$A:$AD,AL$2,0)</f>
        <v>#N/A</v>
      </c>
      <c r="AM360" t="e">
        <f>VLOOKUP($Z360,'oddspedia-matches'!$A:$AD,AM$2,0)</f>
        <v>#N/A</v>
      </c>
      <c r="AN360" t="e">
        <f>VLOOKUP($Z360,'oddspedia-matches'!$A:$AD,AN$2,0)</f>
        <v>#N/A</v>
      </c>
      <c r="AO360" t="e">
        <f>VLOOKUP($Z360,'oddspedia-matches'!$A:$AD,AO$2,0)</f>
        <v>#N/A</v>
      </c>
      <c r="AP360" t="e">
        <f>VLOOKUP($Z360,'oddspedia-matches'!$A:$AD,AP$2,0)</f>
        <v>#N/A</v>
      </c>
      <c r="AQ360" t="e">
        <f>VLOOKUP($Z360,'oddspedia-matches'!$A:$AD,AQ$2,0)</f>
        <v>#N/A</v>
      </c>
    </row>
    <row r="361" spans="2:43" x14ac:dyDescent="0.2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>
        <f>VLOOKUP(E361,'Transform table'!A:B,2,0)</f>
        <v>0</v>
      </c>
      <c r="Y361" t="e">
        <f>VLOOKUP(F361,'Transform table'!A:B,2,0)</f>
        <v>#N/A</v>
      </c>
      <c r="Z361" t="e">
        <f t="shared" si="5"/>
        <v>#N/A</v>
      </c>
      <c r="AA361" t="e">
        <f>VLOOKUP($Z361,'oddspedia-matches'!$A:$AD,AA$2,0)</f>
        <v>#N/A</v>
      </c>
      <c r="AB361" t="e">
        <f>VLOOKUP($Z361,'oddspedia-matches'!$A:$AD,AB$2,0)</f>
        <v>#N/A</v>
      </c>
      <c r="AC361" t="e">
        <f>VLOOKUP($Z361,'oddspedia-matches'!$A:$AD,AC$2,0)</f>
        <v>#N/A</v>
      </c>
      <c r="AD361" t="e">
        <f>VLOOKUP($Z361,'oddspedia-matches'!$A:$AD,AD$2,0)</f>
        <v>#N/A</v>
      </c>
      <c r="AE361" t="e">
        <f>VLOOKUP($Z361,'oddspedia-matches'!$A:$AD,AE$2,0)</f>
        <v>#N/A</v>
      </c>
      <c r="AF361" t="e">
        <f>VLOOKUP($Z361,'oddspedia-matches'!$A:$AD,AF$2,0)</f>
        <v>#N/A</v>
      </c>
      <c r="AG361" t="e">
        <f>VLOOKUP($Z361,'oddspedia-matches'!$A:$AD,AG$2,0)</f>
        <v>#N/A</v>
      </c>
      <c r="AH361" t="e">
        <f>VLOOKUP($Z361,'oddspedia-matches'!$A:$AD,AH$2,0)</f>
        <v>#N/A</v>
      </c>
      <c r="AI361" t="e">
        <f>VLOOKUP($Z361,'oddspedia-matches'!$A:$AD,AI$2,0)</f>
        <v>#N/A</v>
      </c>
      <c r="AJ361" t="e">
        <f>VLOOKUP($Z361,'oddspedia-matches'!$A:$AD,AJ$2,0)</f>
        <v>#N/A</v>
      </c>
      <c r="AK361" t="e">
        <f>VLOOKUP($Z361,'oddspedia-matches'!$A:$AD,AK$2,0)</f>
        <v>#N/A</v>
      </c>
      <c r="AL361" t="e">
        <f>VLOOKUP($Z361,'oddspedia-matches'!$A:$AD,AL$2,0)</f>
        <v>#N/A</v>
      </c>
      <c r="AM361" t="e">
        <f>VLOOKUP($Z361,'oddspedia-matches'!$A:$AD,AM$2,0)</f>
        <v>#N/A</v>
      </c>
      <c r="AN361" t="e">
        <f>VLOOKUP($Z361,'oddspedia-matches'!$A:$AD,AN$2,0)</f>
        <v>#N/A</v>
      </c>
      <c r="AO361" t="e">
        <f>VLOOKUP($Z361,'oddspedia-matches'!$A:$AD,AO$2,0)</f>
        <v>#N/A</v>
      </c>
      <c r="AP361" t="e">
        <f>VLOOKUP($Z361,'oddspedia-matches'!$A:$AD,AP$2,0)</f>
        <v>#N/A</v>
      </c>
      <c r="AQ361" t="e">
        <f>VLOOKUP($Z361,'oddspedia-matches'!$A:$AD,AQ$2,0)</f>
        <v>#N/A</v>
      </c>
    </row>
    <row r="362" spans="2:43" x14ac:dyDescent="0.2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tr">
        <f>VLOOKUP(E362,'Transform table'!A:B,2,0)</f>
        <v>Huracan DPA</v>
      </c>
      <c r="Y362" t="e">
        <f>VLOOKUP(F362,'Transform table'!A:B,2,0)</f>
        <v>#N/A</v>
      </c>
      <c r="Z362" t="e">
        <f t="shared" si="5"/>
        <v>#N/A</v>
      </c>
      <c r="AA362" t="e">
        <f>VLOOKUP($Z362,'oddspedia-matches'!$A:$AD,AA$2,0)</f>
        <v>#N/A</v>
      </c>
      <c r="AB362" t="e">
        <f>VLOOKUP($Z362,'oddspedia-matches'!$A:$AD,AB$2,0)</f>
        <v>#N/A</v>
      </c>
      <c r="AC362" t="e">
        <f>VLOOKUP($Z362,'oddspedia-matches'!$A:$AD,AC$2,0)</f>
        <v>#N/A</v>
      </c>
      <c r="AD362" t="e">
        <f>VLOOKUP($Z362,'oddspedia-matches'!$A:$AD,AD$2,0)</f>
        <v>#N/A</v>
      </c>
      <c r="AE362" t="e">
        <f>VLOOKUP($Z362,'oddspedia-matches'!$A:$AD,AE$2,0)</f>
        <v>#N/A</v>
      </c>
      <c r="AF362" t="e">
        <f>VLOOKUP($Z362,'oddspedia-matches'!$A:$AD,AF$2,0)</f>
        <v>#N/A</v>
      </c>
      <c r="AG362" t="e">
        <f>VLOOKUP($Z362,'oddspedia-matches'!$A:$AD,AG$2,0)</f>
        <v>#N/A</v>
      </c>
      <c r="AH362" t="e">
        <f>VLOOKUP($Z362,'oddspedia-matches'!$A:$AD,AH$2,0)</f>
        <v>#N/A</v>
      </c>
      <c r="AI362" t="e">
        <f>VLOOKUP($Z362,'oddspedia-matches'!$A:$AD,AI$2,0)</f>
        <v>#N/A</v>
      </c>
      <c r="AJ362" t="e">
        <f>VLOOKUP($Z362,'oddspedia-matches'!$A:$AD,AJ$2,0)</f>
        <v>#N/A</v>
      </c>
      <c r="AK362" t="e">
        <f>VLOOKUP($Z362,'oddspedia-matches'!$A:$AD,AK$2,0)</f>
        <v>#N/A</v>
      </c>
      <c r="AL362" t="e">
        <f>VLOOKUP($Z362,'oddspedia-matches'!$A:$AD,AL$2,0)</f>
        <v>#N/A</v>
      </c>
      <c r="AM362" t="e">
        <f>VLOOKUP($Z362,'oddspedia-matches'!$A:$AD,AM$2,0)</f>
        <v>#N/A</v>
      </c>
      <c r="AN362" t="e">
        <f>VLOOKUP($Z362,'oddspedia-matches'!$A:$AD,AN$2,0)</f>
        <v>#N/A</v>
      </c>
      <c r="AO362" t="e">
        <f>VLOOKUP($Z362,'oddspedia-matches'!$A:$AD,AO$2,0)</f>
        <v>#N/A</v>
      </c>
      <c r="AP362" t="e">
        <f>VLOOKUP($Z362,'oddspedia-matches'!$A:$AD,AP$2,0)</f>
        <v>#N/A</v>
      </c>
      <c r="AQ362" t="e">
        <f>VLOOKUP($Z362,'oddspedia-matches'!$A:$AD,AQ$2,0)</f>
        <v>#N/A</v>
      </c>
    </row>
    <row r="363" spans="2:43" x14ac:dyDescent="0.2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tr">
        <f>VLOOKUP(E363,'Transform table'!A:B,2,0)</f>
        <v>Brann</v>
      </c>
      <c r="Y363" t="e">
        <f>VLOOKUP(F363,'Transform table'!A:B,2,0)</f>
        <v>#N/A</v>
      </c>
      <c r="Z363" t="e">
        <f t="shared" si="5"/>
        <v>#N/A</v>
      </c>
      <c r="AA363" t="e">
        <f>VLOOKUP($Z363,'oddspedia-matches'!$A:$AD,AA$2,0)</f>
        <v>#N/A</v>
      </c>
      <c r="AB363" t="e">
        <f>VLOOKUP($Z363,'oddspedia-matches'!$A:$AD,AB$2,0)</f>
        <v>#N/A</v>
      </c>
      <c r="AC363" t="e">
        <f>VLOOKUP($Z363,'oddspedia-matches'!$A:$AD,AC$2,0)</f>
        <v>#N/A</v>
      </c>
      <c r="AD363" t="e">
        <f>VLOOKUP($Z363,'oddspedia-matches'!$A:$AD,AD$2,0)</f>
        <v>#N/A</v>
      </c>
      <c r="AE363" t="e">
        <f>VLOOKUP($Z363,'oddspedia-matches'!$A:$AD,AE$2,0)</f>
        <v>#N/A</v>
      </c>
      <c r="AF363" t="e">
        <f>VLOOKUP($Z363,'oddspedia-matches'!$A:$AD,AF$2,0)</f>
        <v>#N/A</v>
      </c>
      <c r="AG363" t="e">
        <f>VLOOKUP($Z363,'oddspedia-matches'!$A:$AD,AG$2,0)</f>
        <v>#N/A</v>
      </c>
      <c r="AH363" t="e">
        <f>VLOOKUP($Z363,'oddspedia-matches'!$A:$AD,AH$2,0)</f>
        <v>#N/A</v>
      </c>
      <c r="AI363" t="e">
        <f>VLOOKUP($Z363,'oddspedia-matches'!$A:$AD,AI$2,0)</f>
        <v>#N/A</v>
      </c>
      <c r="AJ363" t="e">
        <f>VLOOKUP($Z363,'oddspedia-matches'!$A:$AD,AJ$2,0)</f>
        <v>#N/A</v>
      </c>
      <c r="AK363" t="e">
        <f>VLOOKUP($Z363,'oddspedia-matches'!$A:$AD,AK$2,0)</f>
        <v>#N/A</v>
      </c>
      <c r="AL363" t="e">
        <f>VLOOKUP($Z363,'oddspedia-matches'!$A:$AD,AL$2,0)</f>
        <v>#N/A</v>
      </c>
      <c r="AM363" t="e">
        <f>VLOOKUP($Z363,'oddspedia-matches'!$A:$AD,AM$2,0)</f>
        <v>#N/A</v>
      </c>
      <c r="AN363" t="e">
        <f>VLOOKUP($Z363,'oddspedia-matches'!$A:$AD,AN$2,0)</f>
        <v>#N/A</v>
      </c>
      <c r="AO363" t="e">
        <f>VLOOKUP($Z363,'oddspedia-matches'!$A:$AD,AO$2,0)</f>
        <v>#N/A</v>
      </c>
      <c r="AP363" t="e">
        <f>VLOOKUP($Z363,'oddspedia-matches'!$A:$AD,AP$2,0)</f>
        <v>#N/A</v>
      </c>
      <c r="AQ363" t="e">
        <f>VLOOKUP($Z363,'oddspedia-matches'!$A:$AD,AQ$2,0)</f>
        <v>#N/A</v>
      </c>
    </row>
    <row r="364" spans="2:43" x14ac:dyDescent="0.2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>
        <f>VLOOKUP(E364,'Transform table'!A:B,2,0)</f>
        <v>0</v>
      </c>
      <c r="Y364" t="e">
        <f>VLOOKUP(F364,'Transform table'!A:B,2,0)</f>
        <v>#N/A</v>
      </c>
      <c r="Z364" t="e">
        <f t="shared" si="5"/>
        <v>#N/A</v>
      </c>
      <c r="AA364" t="e">
        <f>VLOOKUP($Z364,'oddspedia-matches'!$A:$AD,AA$2,0)</f>
        <v>#N/A</v>
      </c>
      <c r="AB364" t="e">
        <f>VLOOKUP($Z364,'oddspedia-matches'!$A:$AD,AB$2,0)</f>
        <v>#N/A</v>
      </c>
      <c r="AC364" t="e">
        <f>VLOOKUP($Z364,'oddspedia-matches'!$A:$AD,AC$2,0)</f>
        <v>#N/A</v>
      </c>
      <c r="AD364" t="e">
        <f>VLOOKUP($Z364,'oddspedia-matches'!$A:$AD,AD$2,0)</f>
        <v>#N/A</v>
      </c>
      <c r="AE364" t="e">
        <f>VLOOKUP($Z364,'oddspedia-matches'!$A:$AD,AE$2,0)</f>
        <v>#N/A</v>
      </c>
      <c r="AF364" t="e">
        <f>VLOOKUP($Z364,'oddspedia-matches'!$A:$AD,AF$2,0)</f>
        <v>#N/A</v>
      </c>
      <c r="AG364" t="e">
        <f>VLOOKUP($Z364,'oddspedia-matches'!$A:$AD,AG$2,0)</f>
        <v>#N/A</v>
      </c>
      <c r="AH364" t="e">
        <f>VLOOKUP($Z364,'oddspedia-matches'!$A:$AD,AH$2,0)</f>
        <v>#N/A</v>
      </c>
      <c r="AI364" t="e">
        <f>VLOOKUP($Z364,'oddspedia-matches'!$A:$AD,AI$2,0)</f>
        <v>#N/A</v>
      </c>
      <c r="AJ364" t="e">
        <f>VLOOKUP($Z364,'oddspedia-matches'!$A:$AD,AJ$2,0)</f>
        <v>#N/A</v>
      </c>
      <c r="AK364" t="e">
        <f>VLOOKUP($Z364,'oddspedia-matches'!$A:$AD,AK$2,0)</f>
        <v>#N/A</v>
      </c>
      <c r="AL364" t="e">
        <f>VLOOKUP($Z364,'oddspedia-matches'!$A:$AD,AL$2,0)</f>
        <v>#N/A</v>
      </c>
      <c r="AM364" t="e">
        <f>VLOOKUP($Z364,'oddspedia-matches'!$A:$AD,AM$2,0)</f>
        <v>#N/A</v>
      </c>
      <c r="AN364" t="e">
        <f>VLOOKUP($Z364,'oddspedia-matches'!$A:$AD,AN$2,0)</f>
        <v>#N/A</v>
      </c>
      <c r="AO364" t="e">
        <f>VLOOKUP($Z364,'oddspedia-matches'!$A:$AD,AO$2,0)</f>
        <v>#N/A</v>
      </c>
      <c r="AP364" t="e">
        <f>VLOOKUP($Z364,'oddspedia-matches'!$A:$AD,AP$2,0)</f>
        <v>#N/A</v>
      </c>
      <c r="AQ364" t="e">
        <f>VLOOKUP($Z364,'oddspedia-matches'!$A:$AD,AQ$2,0)</f>
        <v>#N/A</v>
      </c>
    </row>
    <row r="365" spans="2:43" x14ac:dyDescent="0.2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tr">
        <f>VLOOKUP(E365,'Transform table'!A:B,2,0)</f>
        <v>Rakow Czestochowa</v>
      </c>
      <c r="Y365" t="e">
        <f>VLOOKUP(F365,'Transform table'!A:B,2,0)</f>
        <v>#N/A</v>
      </c>
      <c r="Z365" t="e">
        <f t="shared" si="5"/>
        <v>#N/A</v>
      </c>
      <c r="AA365" t="e">
        <f>VLOOKUP($Z365,'oddspedia-matches'!$A:$AD,AA$2,0)</f>
        <v>#N/A</v>
      </c>
      <c r="AB365" t="e">
        <f>VLOOKUP($Z365,'oddspedia-matches'!$A:$AD,AB$2,0)</f>
        <v>#N/A</v>
      </c>
      <c r="AC365" t="e">
        <f>VLOOKUP($Z365,'oddspedia-matches'!$A:$AD,AC$2,0)</f>
        <v>#N/A</v>
      </c>
      <c r="AD365" t="e">
        <f>VLOOKUP($Z365,'oddspedia-matches'!$A:$AD,AD$2,0)</f>
        <v>#N/A</v>
      </c>
      <c r="AE365" t="e">
        <f>VLOOKUP($Z365,'oddspedia-matches'!$A:$AD,AE$2,0)</f>
        <v>#N/A</v>
      </c>
      <c r="AF365" t="e">
        <f>VLOOKUP($Z365,'oddspedia-matches'!$A:$AD,AF$2,0)</f>
        <v>#N/A</v>
      </c>
      <c r="AG365" t="e">
        <f>VLOOKUP($Z365,'oddspedia-matches'!$A:$AD,AG$2,0)</f>
        <v>#N/A</v>
      </c>
      <c r="AH365" t="e">
        <f>VLOOKUP($Z365,'oddspedia-matches'!$A:$AD,AH$2,0)</f>
        <v>#N/A</v>
      </c>
      <c r="AI365" t="e">
        <f>VLOOKUP($Z365,'oddspedia-matches'!$A:$AD,AI$2,0)</f>
        <v>#N/A</v>
      </c>
      <c r="AJ365" t="e">
        <f>VLOOKUP($Z365,'oddspedia-matches'!$A:$AD,AJ$2,0)</f>
        <v>#N/A</v>
      </c>
      <c r="AK365" t="e">
        <f>VLOOKUP($Z365,'oddspedia-matches'!$A:$AD,AK$2,0)</f>
        <v>#N/A</v>
      </c>
      <c r="AL365" t="e">
        <f>VLOOKUP($Z365,'oddspedia-matches'!$A:$AD,AL$2,0)</f>
        <v>#N/A</v>
      </c>
      <c r="AM365" t="e">
        <f>VLOOKUP($Z365,'oddspedia-matches'!$A:$AD,AM$2,0)</f>
        <v>#N/A</v>
      </c>
      <c r="AN365" t="e">
        <f>VLOOKUP($Z365,'oddspedia-matches'!$A:$AD,AN$2,0)</f>
        <v>#N/A</v>
      </c>
      <c r="AO365" t="e">
        <f>VLOOKUP($Z365,'oddspedia-matches'!$A:$AD,AO$2,0)</f>
        <v>#N/A</v>
      </c>
      <c r="AP365" t="e">
        <f>VLOOKUP($Z365,'oddspedia-matches'!$A:$AD,AP$2,0)</f>
        <v>#N/A</v>
      </c>
      <c r="AQ365" t="e">
        <f>VLOOKUP($Z365,'oddspedia-matches'!$A:$AD,AQ$2,0)</f>
        <v>#N/A</v>
      </c>
    </row>
    <row r="366" spans="2:43" x14ac:dyDescent="0.2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tr">
        <f>VLOOKUP(E366,'Transform table'!A:B,2,0)</f>
        <v>FC Helios Tartu</v>
      </c>
      <c r="Y366" t="e">
        <f>VLOOKUP(F366,'Transform table'!A:B,2,0)</f>
        <v>#N/A</v>
      </c>
      <c r="Z366" t="e">
        <f t="shared" si="5"/>
        <v>#N/A</v>
      </c>
      <c r="AA366" t="e">
        <f>VLOOKUP($Z366,'oddspedia-matches'!$A:$AD,AA$2,0)</f>
        <v>#N/A</v>
      </c>
      <c r="AB366" t="e">
        <f>VLOOKUP($Z366,'oddspedia-matches'!$A:$AD,AB$2,0)</f>
        <v>#N/A</v>
      </c>
      <c r="AC366" t="e">
        <f>VLOOKUP($Z366,'oddspedia-matches'!$A:$AD,AC$2,0)</f>
        <v>#N/A</v>
      </c>
      <c r="AD366" t="e">
        <f>VLOOKUP($Z366,'oddspedia-matches'!$A:$AD,AD$2,0)</f>
        <v>#N/A</v>
      </c>
      <c r="AE366" t="e">
        <f>VLOOKUP($Z366,'oddspedia-matches'!$A:$AD,AE$2,0)</f>
        <v>#N/A</v>
      </c>
      <c r="AF366" t="e">
        <f>VLOOKUP($Z366,'oddspedia-matches'!$A:$AD,AF$2,0)</f>
        <v>#N/A</v>
      </c>
      <c r="AG366" t="e">
        <f>VLOOKUP($Z366,'oddspedia-matches'!$A:$AD,AG$2,0)</f>
        <v>#N/A</v>
      </c>
      <c r="AH366" t="e">
        <f>VLOOKUP($Z366,'oddspedia-matches'!$A:$AD,AH$2,0)</f>
        <v>#N/A</v>
      </c>
      <c r="AI366" t="e">
        <f>VLOOKUP($Z366,'oddspedia-matches'!$A:$AD,AI$2,0)</f>
        <v>#N/A</v>
      </c>
      <c r="AJ366" t="e">
        <f>VLOOKUP($Z366,'oddspedia-matches'!$A:$AD,AJ$2,0)</f>
        <v>#N/A</v>
      </c>
      <c r="AK366" t="e">
        <f>VLOOKUP($Z366,'oddspedia-matches'!$A:$AD,AK$2,0)</f>
        <v>#N/A</v>
      </c>
      <c r="AL366" t="e">
        <f>VLOOKUP($Z366,'oddspedia-matches'!$A:$AD,AL$2,0)</f>
        <v>#N/A</v>
      </c>
      <c r="AM366" t="e">
        <f>VLOOKUP($Z366,'oddspedia-matches'!$A:$AD,AM$2,0)</f>
        <v>#N/A</v>
      </c>
      <c r="AN366" t="e">
        <f>VLOOKUP($Z366,'oddspedia-matches'!$A:$AD,AN$2,0)</f>
        <v>#N/A</v>
      </c>
      <c r="AO366" t="e">
        <f>VLOOKUP($Z366,'oddspedia-matches'!$A:$AD,AO$2,0)</f>
        <v>#N/A</v>
      </c>
      <c r="AP366" t="e">
        <f>VLOOKUP($Z366,'oddspedia-matches'!$A:$AD,AP$2,0)</f>
        <v>#N/A</v>
      </c>
      <c r="AQ366" t="e">
        <f>VLOOKUP($Z366,'oddspedia-matches'!$A:$AD,AQ$2,0)</f>
        <v>#N/A</v>
      </c>
    </row>
    <row r="367" spans="2:43" x14ac:dyDescent="0.2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>
        <f>VLOOKUP(E367,'Transform table'!A:B,2,0)</f>
        <v>0</v>
      </c>
      <c r="Y367" t="e">
        <f>VLOOKUP(F367,'Transform table'!A:B,2,0)</f>
        <v>#N/A</v>
      </c>
      <c r="Z367" t="e">
        <f t="shared" si="5"/>
        <v>#N/A</v>
      </c>
      <c r="AA367" t="e">
        <f>VLOOKUP($Z367,'oddspedia-matches'!$A:$AD,AA$2,0)</f>
        <v>#N/A</v>
      </c>
      <c r="AB367" t="e">
        <f>VLOOKUP($Z367,'oddspedia-matches'!$A:$AD,AB$2,0)</f>
        <v>#N/A</v>
      </c>
      <c r="AC367" t="e">
        <f>VLOOKUP($Z367,'oddspedia-matches'!$A:$AD,AC$2,0)</f>
        <v>#N/A</v>
      </c>
      <c r="AD367" t="e">
        <f>VLOOKUP($Z367,'oddspedia-matches'!$A:$AD,AD$2,0)</f>
        <v>#N/A</v>
      </c>
      <c r="AE367" t="e">
        <f>VLOOKUP($Z367,'oddspedia-matches'!$A:$AD,AE$2,0)</f>
        <v>#N/A</v>
      </c>
      <c r="AF367" t="e">
        <f>VLOOKUP($Z367,'oddspedia-matches'!$A:$AD,AF$2,0)</f>
        <v>#N/A</v>
      </c>
      <c r="AG367" t="e">
        <f>VLOOKUP($Z367,'oddspedia-matches'!$A:$AD,AG$2,0)</f>
        <v>#N/A</v>
      </c>
      <c r="AH367" t="e">
        <f>VLOOKUP($Z367,'oddspedia-matches'!$A:$AD,AH$2,0)</f>
        <v>#N/A</v>
      </c>
      <c r="AI367" t="e">
        <f>VLOOKUP($Z367,'oddspedia-matches'!$A:$AD,AI$2,0)</f>
        <v>#N/A</v>
      </c>
      <c r="AJ367" t="e">
        <f>VLOOKUP($Z367,'oddspedia-matches'!$A:$AD,AJ$2,0)</f>
        <v>#N/A</v>
      </c>
      <c r="AK367" t="e">
        <f>VLOOKUP($Z367,'oddspedia-matches'!$A:$AD,AK$2,0)</f>
        <v>#N/A</v>
      </c>
      <c r="AL367" t="e">
        <f>VLOOKUP($Z367,'oddspedia-matches'!$A:$AD,AL$2,0)</f>
        <v>#N/A</v>
      </c>
      <c r="AM367" t="e">
        <f>VLOOKUP($Z367,'oddspedia-matches'!$A:$AD,AM$2,0)</f>
        <v>#N/A</v>
      </c>
      <c r="AN367" t="e">
        <f>VLOOKUP($Z367,'oddspedia-matches'!$A:$AD,AN$2,0)</f>
        <v>#N/A</v>
      </c>
      <c r="AO367" t="e">
        <f>VLOOKUP($Z367,'oddspedia-matches'!$A:$AD,AO$2,0)</f>
        <v>#N/A</v>
      </c>
      <c r="AP367" t="e">
        <f>VLOOKUP($Z367,'oddspedia-matches'!$A:$AD,AP$2,0)</f>
        <v>#N/A</v>
      </c>
      <c r="AQ367" t="e">
        <f>VLOOKUP($Z367,'oddspedia-matches'!$A:$AD,AQ$2,0)</f>
        <v>#N/A</v>
      </c>
    </row>
    <row r="368" spans="2:43" x14ac:dyDescent="0.2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tr">
        <f>VLOOKUP(E368,'Transform table'!A:B,2,0)</f>
        <v>Liversedge</v>
      </c>
      <c r="Y368" t="e">
        <f>VLOOKUP(F368,'Transform table'!A:B,2,0)</f>
        <v>#N/A</v>
      </c>
      <c r="Z368" t="e">
        <f t="shared" si="5"/>
        <v>#N/A</v>
      </c>
      <c r="AA368" t="e">
        <f>VLOOKUP($Z368,'oddspedia-matches'!$A:$AD,AA$2,0)</f>
        <v>#N/A</v>
      </c>
      <c r="AB368" t="e">
        <f>VLOOKUP($Z368,'oddspedia-matches'!$A:$AD,AB$2,0)</f>
        <v>#N/A</v>
      </c>
      <c r="AC368" t="e">
        <f>VLOOKUP($Z368,'oddspedia-matches'!$A:$AD,AC$2,0)</f>
        <v>#N/A</v>
      </c>
      <c r="AD368" t="e">
        <f>VLOOKUP($Z368,'oddspedia-matches'!$A:$AD,AD$2,0)</f>
        <v>#N/A</v>
      </c>
      <c r="AE368" t="e">
        <f>VLOOKUP($Z368,'oddspedia-matches'!$A:$AD,AE$2,0)</f>
        <v>#N/A</v>
      </c>
      <c r="AF368" t="e">
        <f>VLOOKUP($Z368,'oddspedia-matches'!$A:$AD,AF$2,0)</f>
        <v>#N/A</v>
      </c>
      <c r="AG368" t="e">
        <f>VLOOKUP($Z368,'oddspedia-matches'!$A:$AD,AG$2,0)</f>
        <v>#N/A</v>
      </c>
      <c r="AH368" t="e">
        <f>VLOOKUP($Z368,'oddspedia-matches'!$A:$AD,AH$2,0)</f>
        <v>#N/A</v>
      </c>
      <c r="AI368" t="e">
        <f>VLOOKUP($Z368,'oddspedia-matches'!$A:$AD,AI$2,0)</f>
        <v>#N/A</v>
      </c>
      <c r="AJ368" t="e">
        <f>VLOOKUP($Z368,'oddspedia-matches'!$A:$AD,AJ$2,0)</f>
        <v>#N/A</v>
      </c>
      <c r="AK368" t="e">
        <f>VLOOKUP($Z368,'oddspedia-matches'!$A:$AD,AK$2,0)</f>
        <v>#N/A</v>
      </c>
      <c r="AL368" t="e">
        <f>VLOOKUP($Z368,'oddspedia-matches'!$A:$AD,AL$2,0)</f>
        <v>#N/A</v>
      </c>
      <c r="AM368" t="e">
        <f>VLOOKUP($Z368,'oddspedia-matches'!$A:$AD,AM$2,0)</f>
        <v>#N/A</v>
      </c>
      <c r="AN368" t="e">
        <f>VLOOKUP($Z368,'oddspedia-matches'!$A:$AD,AN$2,0)</f>
        <v>#N/A</v>
      </c>
      <c r="AO368" t="e">
        <f>VLOOKUP($Z368,'oddspedia-matches'!$A:$AD,AO$2,0)</f>
        <v>#N/A</v>
      </c>
      <c r="AP368" t="e">
        <f>VLOOKUP($Z368,'oddspedia-matches'!$A:$AD,AP$2,0)</f>
        <v>#N/A</v>
      </c>
      <c r="AQ368" t="e">
        <f>VLOOKUP($Z368,'oddspedia-matches'!$A:$AD,AQ$2,0)</f>
        <v>#N/A</v>
      </c>
    </row>
    <row r="369" spans="2:43" x14ac:dyDescent="0.2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tr">
        <f>VLOOKUP(E369,'Transform table'!A:B,2,0)</f>
        <v>Vasco Da Gama RJ</v>
      </c>
      <c r="Y369" t="e">
        <f>VLOOKUP(F369,'Transform table'!A:B,2,0)</f>
        <v>#N/A</v>
      </c>
      <c r="Z369" t="e">
        <f t="shared" si="5"/>
        <v>#N/A</v>
      </c>
      <c r="AA369" t="e">
        <f>VLOOKUP($Z369,'oddspedia-matches'!$A:$AD,AA$2,0)</f>
        <v>#N/A</v>
      </c>
      <c r="AB369" t="e">
        <f>VLOOKUP($Z369,'oddspedia-matches'!$A:$AD,AB$2,0)</f>
        <v>#N/A</v>
      </c>
      <c r="AC369" t="e">
        <f>VLOOKUP($Z369,'oddspedia-matches'!$A:$AD,AC$2,0)</f>
        <v>#N/A</v>
      </c>
      <c r="AD369" t="e">
        <f>VLOOKUP($Z369,'oddspedia-matches'!$A:$AD,AD$2,0)</f>
        <v>#N/A</v>
      </c>
      <c r="AE369" t="e">
        <f>VLOOKUP($Z369,'oddspedia-matches'!$A:$AD,AE$2,0)</f>
        <v>#N/A</v>
      </c>
      <c r="AF369" t="e">
        <f>VLOOKUP($Z369,'oddspedia-matches'!$A:$AD,AF$2,0)</f>
        <v>#N/A</v>
      </c>
      <c r="AG369" t="e">
        <f>VLOOKUP($Z369,'oddspedia-matches'!$A:$AD,AG$2,0)</f>
        <v>#N/A</v>
      </c>
      <c r="AH369" t="e">
        <f>VLOOKUP($Z369,'oddspedia-matches'!$A:$AD,AH$2,0)</f>
        <v>#N/A</v>
      </c>
      <c r="AI369" t="e">
        <f>VLOOKUP($Z369,'oddspedia-matches'!$A:$AD,AI$2,0)</f>
        <v>#N/A</v>
      </c>
      <c r="AJ369" t="e">
        <f>VLOOKUP($Z369,'oddspedia-matches'!$A:$AD,AJ$2,0)</f>
        <v>#N/A</v>
      </c>
      <c r="AK369" t="e">
        <f>VLOOKUP($Z369,'oddspedia-matches'!$A:$AD,AK$2,0)</f>
        <v>#N/A</v>
      </c>
      <c r="AL369" t="e">
        <f>VLOOKUP($Z369,'oddspedia-matches'!$A:$AD,AL$2,0)</f>
        <v>#N/A</v>
      </c>
      <c r="AM369" t="e">
        <f>VLOOKUP($Z369,'oddspedia-matches'!$A:$AD,AM$2,0)</f>
        <v>#N/A</v>
      </c>
      <c r="AN369" t="e">
        <f>VLOOKUP($Z369,'oddspedia-matches'!$A:$AD,AN$2,0)</f>
        <v>#N/A</v>
      </c>
      <c r="AO369" t="e">
        <f>VLOOKUP($Z369,'oddspedia-matches'!$A:$AD,AO$2,0)</f>
        <v>#N/A</v>
      </c>
      <c r="AP369" t="e">
        <f>VLOOKUP($Z369,'oddspedia-matches'!$A:$AD,AP$2,0)</f>
        <v>#N/A</v>
      </c>
      <c r="AQ369" t="e">
        <f>VLOOKUP($Z369,'oddspedia-matches'!$A:$AD,AQ$2,0)</f>
        <v>#N/A</v>
      </c>
    </row>
    <row r="370" spans="2:43" x14ac:dyDescent="0.2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tr">
        <f>VLOOKUP(E370,'Transform table'!A:B,2,0)</f>
        <v>Astana U21</v>
      </c>
      <c r="Y370" t="e">
        <f>VLOOKUP(F370,'Transform table'!A:B,2,0)</f>
        <v>#N/A</v>
      </c>
      <c r="Z370" t="e">
        <f t="shared" si="5"/>
        <v>#N/A</v>
      </c>
      <c r="AA370" t="e">
        <f>VLOOKUP($Z370,'oddspedia-matches'!$A:$AD,AA$2,0)</f>
        <v>#N/A</v>
      </c>
      <c r="AB370" t="e">
        <f>VLOOKUP($Z370,'oddspedia-matches'!$A:$AD,AB$2,0)</f>
        <v>#N/A</v>
      </c>
      <c r="AC370" t="e">
        <f>VLOOKUP($Z370,'oddspedia-matches'!$A:$AD,AC$2,0)</f>
        <v>#N/A</v>
      </c>
      <c r="AD370" t="e">
        <f>VLOOKUP($Z370,'oddspedia-matches'!$A:$AD,AD$2,0)</f>
        <v>#N/A</v>
      </c>
      <c r="AE370" t="e">
        <f>VLOOKUP($Z370,'oddspedia-matches'!$A:$AD,AE$2,0)</f>
        <v>#N/A</v>
      </c>
      <c r="AF370" t="e">
        <f>VLOOKUP($Z370,'oddspedia-matches'!$A:$AD,AF$2,0)</f>
        <v>#N/A</v>
      </c>
      <c r="AG370" t="e">
        <f>VLOOKUP($Z370,'oddspedia-matches'!$A:$AD,AG$2,0)</f>
        <v>#N/A</v>
      </c>
      <c r="AH370" t="e">
        <f>VLOOKUP($Z370,'oddspedia-matches'!$A:$AD,AH$2,0)</f>
        <v>#N/A</v>
      </c>
      <c r="AI370" t="e">
        <f>VLOOKUP($Z370,'oddspedia-matches'!$A:$AD,AI$2,0)</f>
        <v>#N/A</v>
      </c>
      <c r="AJ370" t="e">
        <f>VLOOKUP($Z370,'oddspedia-matches'!$A:$AD,AJ$2,0)</f>
        <v>#N/A</v>
      </c>
      <c r="AK370" t="e">
        <f>VLOOKUP($Z370,'oddspedia-matches'!$A:$AD,AK$2,0)</f>
        <v>#N/A</v>
      </c>
      <c r="AL370" t="e">
        <f>VLOOKUP($Z370,'oddspedia-matches'!$A:$AD,AL$2,0)</f>
        <v>#N/A</v>
      </c>
      <c r="AM370" t="e">
        <f>VLOOKUP($Z370,'oddspedia-matches'!$A:$AD,AM$2,0)</f>
        <v>#N/A</v>
      </c>
      <c r="AN370" t="e">
        <f>VLOOKUP($Z370,'oddspedia-matches'!$A:$AD,AN$2,0)</f>
        <v>#N/A</v>
      </c>
      <c r="AO370" t="e">
        <f>VLOOKUP($Z370,'oddspedia-matches'!$A:$AD,AO$2,0)</f>
        <v>#N/A</v>
      </c>
      <c r="AP370" t="e">
        <f>VLOOKUP($Z370,'oddspedia-matches'!$A:$AD,AP$2,0)</f>
        <v>#N/A</v>
      </c>
      <c r="AQ370" t="e">
        <f>VLOOKUP($Z370,'oddspedia-matches'!$A:$AD,AQ$2,0)</f>
        <v>#N/A</v>
      </c>
    </row>
    <row r="371" spans="2:43" x14ac:dyDescent="0.2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tr">
        <f>VLOOKUP(E371,'Transform table'!A:B,2,0)</f>
        <v>Kairat</v>
      </c>
      <c r="Y371" t="e">
        <f>VLOOKUP(F371,'Transform table'!A:B,2,0)</f>
        <v>#N/A</v>
      </c>
      <c r="Z371" t="e">
        <f t="shared" si="5"/>
        <v>#N/A</v>
      </c>
      <c r="AA371" t="e">
        <f>VLOOKUP($Z371,'oddspedia-matches'!$A:$AD,AA$2,0)</f>
        <v>#N/A</v>
      </c>
      <c r="AB371" t="e">
        <f>VLOOKUP($Z371,'oddspedia-matches'!$A:$AD,AB$2,0)</f>
        <v>#N/A</v>
      </c>
      <c r="AC371" t="e">
        <f>VLOOKUP($Z371,'oddspedia-matches'!$A:$AD,AC$2,0)</f>
        <v>#N/A</v>
      </c>
      <c r="AD371" t="e">
        <f>VLOOKUP($Z371,'oddspedia-matches'!$A:$AD,AD$2,0)</f>
        <v>#N/A</v>
      </c>
      <c r="AE371" t="e">
        <f>VLOOKUP($Z371,'oddspedia-matches'!$A:$AD,AE$2,0)</f>
        <v>#N/A</v>
      </c>
      <c r="AF371" t="e">
        <f>VLOOKUP($Z371,'oddspedia-matches'!$A:$AD,AF$2,0)</f>
        <v>#N/A</v>
      </c>
      <c r="AG371" t="e">
        <f>VLOOKUP($Z371,'oddspedia-matches'!$A:$AD,AG$2,0)</f>
        <v>#N/A</v>
      </c>
      <c r="AH371" t="e">
        <f>VLOOKUP($Z371,'oddspedia-matches'!$A:$AD,AH$2,0)</f>
        <v>#N/A</v>
      </c>
      <c r="AI371" t="e">
        <f>VLOOKUP($Z371,'oddspedia-matches'!$A:$AD,AI$2,0)</f>
        <v>#N/A</v>
      </c>
      <c r="AJ371" t="e">
        <f>VLOOKUP($Z371,'oddspedia-matches'!$A:$AD,AJ$2,0)</f>
        <v>#N/A</v>
      </c>
      <c r="AK371" t="e">
        <f>VLOOKUP($Z371,'oddspedia-matches'!$A:$AD,AK$2,0)</f>
        <v>#N/A</v>
      </c>
      <c r="AL371" t="e">
        <f>VLOOKUP($Z371,'oddspedia-matches'!$A:$AD,AL$2,0)</f>
        <v>#N/A</v>
      </c>
      <c r="AM371" t="e">
        <f>VLOOKUP($Z371,'oddspedia-matches'!$A:$AD,AM$2,0)</f>
        <v>#N/A</v>
      </c>
      <c r="AN371" t="e">
        <f>VLOOKUP($Z371,'oddspedia-matches'!$A:$AD,AN$2,0)</f>
        <v>#N/A</v>
      </c>
      <c r="AO371" t="e">
        <f>VLOOKUP($Z371,'oddspedia-matches'!$A:$AD,AO$2,0)</f>
        <v>#N/A</v>
      </c>
      <c r="AP371" t="e">
        <f>VLOOKUP($Z371,'oddspedia-matches'!$A:$AD,AP$2,0)</f>
        <v>#N/A</v>
      </c>
      <c r="AQ371" t="e">
        <f>VLOOKUP($Z371,'oddspedia-matches'!$A:$AD,AQ$2,0)</f>
        <v>#N/A</v>
      </c>
    </row>
    <row r="372" spans="2:43" x14ac:dyDescent="0.2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tr">
        <f>VLOOKUP(E372,'Transform table'!A:B,2,0)</f>
        <v>Copenhagen</v>
      </c>
      <c r="Y372" t="e">
        <f>VLOOKUP(F372,'Transform table'!A:B,2,0)</f>
        <v>#N/A</v>
      </c>
      <c r="Z372" t="e">
        <f t="shared" si="5"/>
        <v>#N/A</v>
      </c>
      <c r="AA372" t="e">
        <f>VLOOKUP($Z372,'oddspedia-matches'!$A:$AD,AA$2,0)</f>
        <v>#N/A</v>
      </c>
      <c r="AB372" t="e">
        <f>VLOOKUP($Z372,'oddspedia-matches'!$A:$AD,AB$2,0)</f>
        <v>#N/A</v>
      </c>
      <c r="AC372" t="e">
        <f>VLOOKUP($Z372,'oddspedia-matches'!$A:$AD,AC$2,0)</f>
        <v>#N/A</v>
      </c>
      <c r="AD372" t="e">
        <f>VLOOKUP($Z372,'oddspedia-matches'!$A:$AD,AD$2,0)</f>
        <v>#N/A</v>
      </c>
      <c r="AE372" t="e">
        <f>VLOOKUP($Z372,'oddspedia-matches'!$A:$AD,AE$2,0)</f>
        <v>#N/A</v>
      </c>
      <c r="AF372" t="e">
        <f>VLOOKUP($Z372,'oddspedia-matches'!$A:$AD,AF$2,0)</f>
        <v>#N/A</v>
      </c>
      <c r="AG372" t="e">
        <f>VLOOKUP($Z372,'oddspedia-matches'!$A:$AD,AG$2,0)</f>
        <v>#N/A</v>
      </c>
      <c r="AH372" t="e">
        <f>VLOOKUP($Z372,'oddspedia-matches'!$A:$AD,AH$2,0)</f>
        <v>#N/A</v>
      </c>
      <c r="AI372" t="e">
        <f>VLOOKUP($Z372,'oddspedia-matches'!$A:$AD,AI$2,0)</f>
        <v>#N/A</v>
      </c>
      <c r="AJ372" t="e">
        <f>VLOOKUP($Z372,'oddspedia-matches'!$A:$AD,AJ$2,0)</f>
        <v>#N/A</v>
      </c>
      <c r="AK372" t="e">
        <f>VLOOKUP($Z372,'oddspedia-matches'!$A:$AD,AK$2,0)</f>
        <v>#N/A</v>
      </c>
      <c r="AL372" t="e">
        <f>VLOOKUP($Z372,'oddspedia-matches'!$A:$AD,AL$2,0)</f>
        <v>#N/A</v>
      </c>
      <c r="AM372" t="e">
        <f>VLOOKUP($Z372,'oddspedia-matches'!$A:$AD,AM$2,0)</f>
        <v>#N/A</v>
      </c>
      <c r="AN372" t="e">
        <f>VLOOKUP($Z372,'oddspedia-matches'!$A:$AD,AN$2,0)</f>
        <v>#N/A</v>
      </c>
      <c r="AO372" t="e">
        <f>VLOOKUP($Z372,'oddspedia-matches'!$A:$AD,AO$2,0)</f>
        <v>#N/A</v>
      </c>
      <c r="AP372" t="e">
        <f>VLOOKUP($Z372,'oddspedia-matches'!$A:$AD,AP$2,0)</f>
        <v>#N/A</v>
      </c>
      <c r="AQ372" t="e">
        <f>VLOOKUP($Z372,'oddspedia-matches'!$A:$AD,AQ$2,0)</f>
        <v>#N/A</v>
      </c>
    </row>
    <row r="373" spans="2:43" x14ac:dyDescent="0.2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tr">
        <f>VLOOKUP(E373,'Transform table'!A:B,2,0)</f>
        <v>St. Mirren</v>
      </c>
      <c r="Y373" t="e">
        <f>VLOOKUP(F373,'Transform table'!A:B,2,0)</f>
        <v>#N/A</v>
      </c>
      <c r="Z373" t="e">
        <f t="shared" si="5"/>
        <v>#N/A</v>
      </c>
      <c r="AA373" t="e">
        <f>VLOOKUP($Z373,'oddspedia-matches'!$A:$AD,AA$2,0)</f>
        <v>#N/A</v>
      </c>
      <c r="AB373" t="e">
        <f>VLOOKUP($Z373,'oddspedia-matches'!$A:$AD,AB$2,0)</f>
        <v>#N/A</v>
      </c>
      <c r="AC373" t="e">
        <f>VLOOKUP($Z373,'oddspedia-matches'!$A:$AD,AC$2,0)</f>
        <v>#N/A</v>
      </c>
      <c r="AD373" t="e">
        <f>VLOOKUP($Z373,'oddspedia-matches'!$A:$AD,AD$2,0)</f>
        <v>#N/A</v>
      </c>
      <c r="AE373" t="e">
        <f>VLOOKUP($Z373,'oddspedia-matches'!$A:$AD,AE$2,0)</f>
        <v>#N/A</v>
      </c>
      <c r="AF373" t="e">
        <f>VLOOKUP($Z373,'oddspedia-matches'!$A:$AD,AF$2,0)</f>
        <v>#N/A</v>
      </c>
      <c r="AG373" t="e">
        <f>VLOOKUP($Z373,'oddspedia-matches'!$A:$AD,AG$2,0)</f>
        <v>#N/A</v>
      </c>
      <c r="AH373" t="e">
        <f>VLOOKUP($Z373,'oddspedia-matches'!$A:$AD,AH$2,0)</f>
        <v>#N/A</v>
      </c>
      <c r="AI373" t="e">
        <f>VLOOKUP($Z373,'oddspedia-matches'!$A:$AD,AI$2,0)</f>
        <v>#N/A</v>
      </c>
      <c r="AJ373" t="e">
        <f>VLOOKUP($Z373,'oddspedia-matches'!$A:$AD,AJ$2,0)</f>
        <v>#N/A</v>
      </c>
      <c r="AK373" t="e">
        <f>VLOOKUP($Z373,'oddspedia-matches'!$A:$AD,AK$2,0)</f>
        <v>#N/A</v>
      </c>
      <c r="AL373" t="e">
        <f>VLOOKUP($Z373,'oddspedia-matches'!$A:$AD,AL$2,0)</f>
        <v>#N/A</v>
      </c>
      <c r="AM373" t="e">
        <f>VLOOKUP($Z373,'oddspedia-matches'!$A:$AD,AM$2,0)</f>
        <v>#N/A</v>
      </c>
      <c r="AN373" t="e">
        <f>VLOOKUP($Z373,'oddspedia-matches'!$A:$AD,AN$2,0)</f>
        <v>#N/A</v>
      </c>
      <c r="AO373" t="e">
        <f>VLOOKUP($Z373,'oddspedia-matches'!$A:$AD,AO$2,0)</f>
        <v>#N/A</v>
      </c>
      <c r="AP373" t="e">
        <f>VLOOKUP($Z373,'oddspedia-matches'!$A:$AD,AP$2,0)</f>
        <v>#N/A</v>
      </c>
      <c r="AQ373" t="e">
        <f>VLOOKUP($Z373,'oddspedia-matches'!$A:$AD,AQ$2,0)</f>
        <v>#N/A</v>
      </c>
    </row>
    <row r="374" spans="2:43" x14ac:dyDescent="0.2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tr">
        <f>VLOOKUP(E374,'Transform table'!A:B,2,0)</f>
        <v>HJK Helsinki</v>
      </c>
      <c r="Y374" t="str">
        <f>VLOOKUP(F374,'Transform table'!A:B,2,0)</f>
        <v>Turku PS</v>
      </c>
      <c r="Z374" t="str">
        <f t="shared" si="5"/>
        <v>26/07/2026HJK HelsinkiTurku PS</v>
      </c>
      <c r="AA374" t="e">
        <f>VLOOKUP($Z374,'oddspedia-matches'!$A:$AD,AA$2,0)</f>
        <v>#N/A</v>
      </c>
      <c r="AB374" t="e">
        <f>VLOOKUP($Z374,'oddspedia-matches'!$A:$AD,AB$2,0)</f>
        <v>#N/A</v>
      </c>
      <c r="AC374" t="e">
        <f>VLOOKUP($Z374,'oddspedia-matches'!$A:$AD,AC$2,0)</f>
        <v>#N/A</v>
      </c>
      <c r="AD374" t="e">
        <f>VLOOKUP($Z374,'oddspedia-matches'!$A:$AD,AD$2,0)</f>
        <v>#N/A</v>
      </c>
      <c r="AE374" t="e">
        <f>VLOOKUP($Z374,'oddspedia-matches'!$A:$AD,AE$2,0)</f>
        <v>#N/A</v>
      </c>
      <c r="AF374" t="e">
        <f>VLOOKUP($Z374,'oddspedia-matches'!$A:$AD,AF$2,0)</f>
        <v>#N/A</v>
      </c>
      <c r="AG374" t="e">
        <f>VLOOKUP($Z374,'oddspedia-matches'!$A:$AD,AG$2,0)</f>
        <v>#N/A</v>
      </c>
      <c r="AH374" t="e">
        <f>VLOOKUP($Z374,'oddspedia-matches'!$A:$AD,AH$2,0)</f>
        <v>#N/A</v>
      </c>
      <c r="AI374" t="e">
        <f>VLOOKUP($Z374,'oddspedia-matches'!$A:$AD,AI$2,0)</f>
        <v>#N/A</v>
      </c>
      <c r="AJ374" t="e">
        <f>VLOOKUP($Z374,'oddspedia-matches'!$A:$AD,AJ$2,0)</f>
        <v>#N/A</v>
      </c>
      <c r="AK374" t="e">
        <f>VLOOKUP($Z374,'oddspedia-matches'!$A:$AD,AK$2,0)</f>
        <v>#N/A</v>
      </c>
      <c r="AL374" t="e">
        <f>VLOOKUP($Z374,'oddspedia-matches'!$A:$AD,AL$2,0)</f>
        <v>#N/A</v>
      </c>
      <c r="AM374" t="e">
        <f>VLOOKUP($Z374,'oddspedia-matches'!$A:$AD,AM$2,0)</f>
        <v>#N/A</v>
      </c>
      <c r="AN374" t="e">
        <f>VLOOKUP($Z374,'oddspedia-matches'!$A:$AD,AN$2,0)</f>
        <v>#N/A</v>
      </c>
      <c r="AO374" t="e">
        <f>VLOOKUP($Z374,'oddspedia-matches'!$A:$AD,AO$2,0)</f>
        <v>#N/A</v>
      </c>
      <c r="AP374" t="e">
        <f>VLOOKUP($Z374,'oddspedia-matches'!$A:$AD,AP$2,0)</f>
        <v>#N/A</v>
      </c>
      <c r="AQ374" t="e">
        <f>VLOOKUP($Z374,'oddspedia-matches'!$A:$AD,AQ$2,0)</f>
        <v>#N/A</v>
      </c>
    </row>
    <row r="375" spans="2:43" x14ac:dyDescent="0.2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str">
        <f>VLOOKUP(E375,'Transform table'!A:B,2,0)</f>
        <v>Lokomotiv Sofia</v>
      </c>
      <c r="Y375" t="e">
        <f>VLOOKUP(F375,'Transform table'!A:B,2,0)</f>
        <v>#N/A</v>
      </c>
      <c r="Z375" t="e">
        <f t="shared" si="5"/>
        <v>#N/A</v>
      </c>
      <c r="AA375" t="e">
        <f>VLOOKUP($Z375,'oddspedia-matches'!$A:$AD,AA$2,0)</f>
        <v>#N/A</v>
      </c>
      <c r="AB375" t="e">
        <f>VLOOKUP($Z375,'oddspedia-matches'!$A:$AD,AB$2,0)</f>
        <v>#N/A</v>
      </c>
      <c r="AC375" t="e">
        <f>VLOOKUP($Z375,'oddspedia-matches'!$A:$AD,AC$2,0)</f>
        <v>#N/A</v>
      </c>
      <c r="AD375" t="e">
        <f>VLOOKUP($Z375,'oddspedia-matches'!$A:$AD,AD$2,0)</f>
        <v>#N/A</v>
      </c>
      <c r="AE375" t="e">
        <f>VLOOKUP($Z375,'oddspedia-matches'!$A:$AD,AE$2,0)</f>
        <v>#N/A</v>
      </c>
      <c r="AF375" t="e">
        <f>VLOOKUP($Z375,'oddspedia-matches'!$A:$AD,AF$2,0)</f>
        <v>#N/A</v>
      </c>
      <c r="AG375" t="e">
        <f>VLOOKUP($Z375,'oddspedia-matches'!$A:$AD,AG$2,0)</f>
        <v>#N/A</v>
      </c>
      <c r="AH375" t="e">
        <f>VLOOKUP($Z375,'oddspedia-matches'!$A:$AD,AH$2,0)</f>
        <v>#N/A</v>
      </c>
      <c r="AI375" t="e">
        <f>VLOOKUP($Z375,'oddspedia-matches'!$A:$AD,AI$2,0)</f>
        <v>#N/A</v>
      </c>
      <c r="AJ375" t="e">
        <f>VLOOKUP($Z375,'oddspedia-matches'!$A:$AD,AJ$2,0)</f>
        <v>#N/A</v>
      </c>
      <c r="AK375" t="e">
        <f>VLOOKUP($Z375,'oddspedia-matches'!$A:$AD,AK$2,0)</f>
        <v>#N/A</v>
      </c>
      <c r="AL375" t="e">
        <f>VLOOKUP($Z375,'oddspedia-matches'!$A:$AD,AL$2,0)</f>
        <v>#N/A</v>
      </c>
      <c r="AM375" t="e">
        <f>VLOOKUP($Z375,'oddspedia-matches'!$A:$AD,AM$2,0)</f>
        <v>#N/A</v>
      </c>
      <c r="AN375" t="e">
        <f>VLOOKUP($Z375,'oddspedia-matches'!$A:$AD,AN$2,0)</f>
        <v>#N/A</v>
      </c>
      <c r="AO375" t="e">
        <f>VLOOKUP($Z375,'oddspedia-matches'!$A:$AD,AO$2,0)</f>
        <v>#N/A</v>
      </c>
      <c r="AP375" t="e">
        <f>VLOOKUP($Z375,'oddspedia-matches'!$A:$AD,AP$2,0)</f>
        <v>#N/A</v>
      </c>
      <c r="AQ375" t="e">
        <f>VLOOKUP($Z375,'oddspedia-matches'!$A:$AD,AQ$2,0)</f>
        <v>#N/A</v>
      </c>
    </row>
    <row r="376" spans="2:43" x14ac:dyDescent="0.2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tr">
        <f>VLOOKUP(E376,'Transform table'!A:B,2,0)</f>
        <v>Tottenham</v>
      </c>
      <c r="Y376" t="e">
        <f>VLOOKUP(F376,'Transform table'!A:B,2,0)</f>
        <v>#N/A</v>
      </c>
      <c r="Z376" t="e">
        <f t="shared" si="5"/>
        <v>#N/A</v>
      </c>
      <c r="AA376" t="e">
        <f>VLOOKUP($Z376,'oddspedia-matches'!$A:$AD,AA$2,0)</f>
        <v>#N/A</v>
      </c>
      <c r="AB376" t="e">
        <f>VLOOKUP($Z376,'oddspedia-matches'!$A:$AD,AB$2,0)</f>
        <v>#N/A</v>
      </c>
      <c r="AC376" t="e">
        <f>VLOOKUP($Z376,'oddspedia-matches'!$A:$AD,AC$2,0)</f>
        <v>#N/A</v>
      </c>
      <c r="AD376" t="e">
        <f>VLOOKUP($Z376,'oddspedia-matches'!$A:$AD,AD$2,0)</f>
        <v>#N/A</v>
      </c>
      <c r="AE376" t="e">
        <f>VLOOKUP($Z376,'oddspedia-matches'!$A:$AD,AE$2,0)</f>
        <v>#N/A</v>
      </c>
      <c r="AF376" t="e">
        <f>VLOOKUP($Z376,'oddspedia-matches'!$A:$AD,AF$2,0)</f>
        <v>#N/A</v>
      </c>
      <c r="AG376" t="e">
        <f>VLOOKUP($Z376,'oddspedia-matches'!$A:$AD,AG$2,0)</f>
        <v>#N/A</v>
      </c>
      <c r="AH376" t="e">
        <f>VLOOKUP($Z376,'oddspedia-matches'!$A:$AD,AH$2,0)</f>
        <v>#N/A</v>
      </c>
      <c r="AI376" t="e">
        <f>VLOOKUP($Z376,'oddspedia-matches'!$A:$AD,AI$2,0)</f>
        <v>#N/A</v>
      </c>
      <c r="AJ376" t="e">
        <f>VLOOKUP($Z376,'oddspedia-matches'!$A:$AD,AJ$2,0)</f>
        <v>#N/A</v>
      </c>
      <c r="AK376" t="e">
        <f>VLOOKUP($Z376,'oddspedia-matches'!$A:$AD,AK$2,0)</f>
        <v>#N/A</v>
      </c>
      <c r="AL376" t="e">
        <f>VLOOKUP($Z376,'oddspedia-matches'!$A:$AD,AL$2,0)</f>
        <v>#N/A</v>
      </c>
      <c r="AM376" t="e">
        <f>VLOOKUP($Z376,'oddspedia-matches'!$A:$AD,AM$2,0)</f>
        <v>#N/A</v>
      </c>
      <c r="AN376" t="e">
        <f>VLOOKUP($Z376,'oddspedia-matches'!$A:$AD,AN$2,0)</f>
        <v>#N/A</v>
      </c>
      <c r="AO376" t="e">
        <f>VLOOKUP($Z376,'oddspedia-matches'!$A:$AD,AO$2,0)</f>
        <v>#N/A</v>
      </c>
      <c r="AP376" t="e">
        <f>VLOOKUP($Z376,'oddspedia-matches'!$A:$AD,AP$2,0)</f>
        <v>#N/A</v>
      </c>
      <c r="AQ376" t="e">
        <f>VLOOKUP($Z376,'oddspedia-matches'!$A:$AD,AQ$2,0)</f>
        <v>#N/A</v>
      </c>
    </row>
    <row r="377" spans="2:43" x14ac:dyDescent="0.2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>
        <f>VLOOKUP(E377,'Transform table'!A:B,2,0)</f>
        <v>0</v>
      </c>
      <c r="Y377" t="e">
        <f>VLOOKUP(F377,'Transform table'!A:B,2,0)</f>
        <v>#N/A</v>
      </c>
      <c r="Z377" t="e">
        <f t="shared" si="5"/>
        <v>#N/A</v>
      </c>
      <c r="AA377" t="e">
        <f>VLOOKUP($Z377,'oddspedia-matches'!$A:$AD,AA$2,0)</f>
        <v>#N/A</v>
      </c>
      <c r="AB377" t="e">
        <f>VLOOKUP($Z377,'oddspedia-matches'!$A:$AD,AB$2,0)</f>
        <v>#N/A</v>
      </c>
      <c r="AC377" t="e">
        <f>VLOOKUP($Z377,'oddspedia-matches'!$A:$AD,AC$2,0)</f>
        <v>#N/A</v>
      </c>
      <c r="AD377" t="e">
        <f>VLOOKUP($Z377,'oddspedia-matches'!$A:$AD,AD$2,0)</f>
        <v>#N/A</v>
      </c>
      <c r="AE377" t="e">
        <f>VLOOKUP($Z377,'oddspedia-matches'!$A:$AD,AE$2,0)</f>
        <v>#N/A</v>
      </c>
      <c r="AF377" t="e">
        <f>VLOOKUP($Z377,'oddspedia-matches'!$A:$AD,AF$2,0)</f>
        <v>#N/A</v>
      </c>
      <c r="AG377" t="e">
        <f>VLOOKUP($Z377,'oddspedia-matches'!$A:$AD,AG$2,0)</f>
        <v>#N/A</v>
      </c>
      <c r="AH377" t="e">
        <f>VLOOKUP($Z377,'oddspedia-matches'!$A:$AD,AH$2,0)</f>
        <v>#N/A</v>
      </c>
      <c r="AI377" t="e">
        <f>VLOOKUP($Z377,'oddspedia-matches'!$A:$AD,AI$2,0)</f>
        <v>#N/A</v>
      </c>
      <c r="AJ377" t="e">
        <f>VLOOKUP($Z377,'oddspedia-matches'!$A:$AD,AJ$2,0)</f>
        <v>#N/A</v>
      </c>
      <c r="AK377" t="e">
        <f>VLOOKUP($Z377,'oddspedia-matches'!$A:$AD,AK$2,0)</f>
        <v>#N/A</v>
      </c>
      <c r="AL377" t="e">
        <f>VLOOKUP($Z377,'oddspedia-matches'!$A:$AD,AL$2,0)</f>
        <v>#N/A</v>
      </c>
      <c r="AM377" t="e">
        <f>VLOOKUP($Z377,'oddspedia-matches'!$A:$AD,AM$2,0)</f>
        <v>#N/A</v>
      </c>
      <c r="AN377" t="e">
        <f>VLOOKUP($Z377,'oddspedia-matches'!$A:$AD,AN$2,0)</f>
        <v>#N/A</v>
      </c>
      <c r="AO377" t="e">
        <f>VLOOKUP($Z377,'oddspedia-matches'!$A:$AD,AO$2,0)</f>
        <v>#N/A</v>
      </c>
      <c r="AP377" t="e">
        <f>VLOOKUP($Z377,'oddspedia-matches'!$A:$AD,AP$2,0)</f>
        <v>#N/A</v>
      </c>
      <c r="AQ377" t="e">
        <f>VLOOKUP($Z377,'oddspedia-matches'!$A:$AD,AQ$2,0)</f>
        <v>#N/A</v>
      </c>
    </row>
    <row r="378" spans="2:43" x14ac:dyDescent="0.2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tr">
        <f>VLOOKUP(E378,'Transform table'!A:B,2,0)</f>
        <v>Sepsi OSK</v>
      </c>
      <c r="Y378" t="e">
        <f>VLOOKUP(F378,'Transform table'!A:B,2,0)</f>
        <v>#N/A</v>
      </c>
      <c r="Z378" t="e">
        <f t="shared" si="5"/>
        <v>#N/A</v>
      </c>
      <c r="AA378" t="e">
        <f>VLOOKUP($Z378,'oddspedia-matches'!$A:$AD,AA$2,0)</f>
        <v>#N/A</v>
      </c>
      <c r="AB378" t="e">
        <f>VLOOKUP($Z378,'oddspedia-matches'!$A:$AD,AB$2,0)</f>
        <v>#N/A</v>
      </c>
      <c r="AC378" t="e">
        <f>VLOOKUP($Z378,'oddspedia-matches'!$A:$AD,AC$2,0)</f>
        <v>#N/A</v>
      </c>
      <c r="AD378" t="e">
        <f>VLOOKUP($Z378,'oddspedia-matches'!$A:$AD,AD$2,0)</f>
        <v>#N/A</v>
      </c>
      <c r="AE378" t="e">
        <f>VLOOKUP($Z378,'oddspedia-matches'!$A:$AD,AE$2,0)</f>
        <v>#N/A</v>
      </c>
      <c r="AF378" t="e">
        <f>VLOOKUP($Z378,'oddspedia-matches'!$A:$AD,AF$2,0)</f>
        <v>#N/A</v>
      </c>
      <c r="AG378" t="e">
        <f>VLOOKUP($Z378,'oddspedia-matches'!$A:$AD,AG$2,0)</f>
        <v>#N/A</v>
      </c>
      <c r="AH378" t="e">
        <f>VLOOKUP($Z378,'oddspedia-matches'!$A:$AD,AH$2,0)</f>
        <v>#N/A</v>
      </c>
      <c r="AI378" t="e">
        <f>VLOOKUP($Z378,'oddspedia-matches'!$A:$AD,AI$2,0)</f>
        <v>#N/A</v>
      </c>
      <c r="AJ378" t="e">
        <f>VLOOKUP($Z378,'oddspedia-matches'!$A:$AD,AJ$2,0)</f>
        <v>#N/A</v>
      </c>
      <c r="AK378" t="e">
        <f>VLOOKUP($Z378,'oddspedia-matches'!$A:$AD,AK$2,0)</f>
        <v>#N/A</v>
      </c>
      <c r="AL378" t="e">
        <f>VLOOKUP($Z378,'oddspedia-matches'!$A:$AD,AL$2,0)</f>
        <v>#N/A</v>
      </c>
      <c r="AM378" t="e">
        <f>VLOOKUP($Z378,'oddspedia-matches'!$A:$AD,AM$2,0)</f>
        <v>#N/A</v>
      </c>
      <c r="AN378" t="e">
        <f>VLOOKUP($Z378,'oddspedia-matches'!$A:$AD,AN$2,0)</f>
        <v>#N/A</v>
      </c>
      <c r="AO378" t="e">
        <f>VLOOKUP($Z378,'oddspedia-matches'!$A:$AD,AO$2,0)</f>
        <v>#N/A</v>
      </c>
      <c r="AP378" t="e">
        <f>VLOOKUP($Z378,'oddspedia-matches'!$A:$AD,AP$2,0)</f>
        <v>#N/A</v>
      </c>
      <c r="AQ378" t="e">
        <f>VLOOKUP($Z378,'oddspedia-matches'!$A:$AD,AQ$2,0)</f>
        <v>#N/A</v>
      </c>
    </row>
    <row r="379" spans="2:43" x14ac:dyDescent="0.2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tr">
        <f>VLOOKUP(E379,'Transform table'!A:B,2,0)</f>
        <v>GAIS Gothenburg</v>
      </c>
      <c r="Y379" t="e">
        <f>VLOOKUP(F379,'Transform table'!A:B,2,0)</f>
        <v>#N/A</v>
      </c>
      <c r="Z379" t="e">
        <f t="shared" si="5"/>
        <v>#N/A</v>
      </c>
      <c r="AA379" t="e">
        <f>VLOOKUP($Z379,'oddspedia-matches'!$A:$AD,AA$2,0)</f>
        <v>#N/A</v>
      </c>
      <c r="AB379" t="e">
        <f>VLOOKUP($Z379,'oddspedia-matches'!$A:$AD,AB$2,0)</f>
        <v>#N/A</v>
      </c>
      <c r="AC379" t="e">
        <f>VLOOKUP($Z379,'oddspedia-matches'!$A:$AD,AC$2,0)</f>
        <v>#N/A</v>
      </c>
      <c r="AD379" t="e">
        <f>VLOOKUP($Z379,'oddspedia-matches'!$A:$AD,AD$2,0)</f>
        <v>#N/A</v>
      </c>
      <c r="AE379" t="e">
        <f>VLOOKUP($Z379,'oddspedia-matches'!$A:$AD,AE$2,0)</f>
        <v>#N/A</v>
      </c>
      <c r="AF379" t="e">
        <f>VLOOKUP($Z379,'oddspedia-matches'!$A:$AD,AF$2,0)</f>
        <v>#N/A</v>
      </c>
      <c r="AG379" t="e">
        <f>VLOOKUP($Z379,'oddspedia-matches'!$A:$AD,AG$2,0)</f>
        <v>#N/A</v>
      </c>
      <c r="AH379" t="e">
        <f>VLOOKUP($Z379,'oddspedia-matches'!$A:$AD,AH$2,0)</f>
        <v>#N/A</v>
      </c>
      <c r="AI379" t="e">
        <f>VLOOKUP($Z379,'oddspedia-matches'!$A:$AD,AI$2,0)</f>
        <v>#N/A</v>
      </c>
      <c r="AJ379" t="e">
        <f>VLOOKUP($Z379,'oddspedia-matches'!$A:$AD,AJ$2,0)</f>
        <v>#N/A</v>
      </c>
      <c r="AK379" t="e">
        <f>VLOOKUP($Z379,'oddspedia-matches'!$A:$AD,AK$2,0)</f>
        <v>#N/A</v>
      </c>
      <c r="AL379" t="e">
        <f>VLOOKUP($Z379,'oddspedia-matches'!$A:$AD,AL$2,0)</f>
        <v>#N/A</v>
      </c>
      <c r="AM379" t="e">
        <f>VLOOKUP($Z379,'oddspedia-matches'!$A:$AD,AM$2,0)</f>
        <v>#N/A</v>
      </c>
      <c r="AN379" t="e">
        <f>VLOOKUP($Z379,'oddspedia-matches'!$A:$AD,AN$2,0)</f>
        <v>#N/A</v>
      </c>
      <c r="AO379" t="e">
        <f>VLOOKUP($Z379,'oddspedia-matches'!$A:$AD,AO$2,0)</f>
        <v>#N/A</v>
      </c>
      <c r="AP379" t="e">
        <f>VLOOKUP($Z379,'oddspedia-matches'!$A:$AD,AP$2,0)</f>
        <v>#N/A</v>
      </c>
      <c r="AQ379" t="e">
        <f>VLOOKUP($Z379,'oddspedia-matches'!$A:$AD,AQ$2,0)</f>
        <v>#N/A</v>
      </c>
    </row>
    <row r="380" spans="2:43" x14ac:dyDescent="0.2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tr">
        <f>VLOOKUP(E380,'Transform table'!A:B,2,0)</f>
        <v>Malmo</v>
      </c>
      <c r="Y380" t="e">
        <f>VLOOKUP(F380,'Transform table'!A:B,2,0)</f>
        <v>#N/A</v>
      </c>
      <c r="Z380" t="e">
        <f t="shared" si="5"/>
        <v>#N/A</v>
      </c>
      <c r="AA380" t="e">
        <f>VLOOKUP($Z380,'oddspedia-matches'!$A:$AD,AA$2,0)</f>
        <v>#N/A</v>
      </c>
      <c r="AB380" t="e">
        <f>VLOOKUP($Z380,'oddspedia-matches'!$A:$AD,AB$2,0)</f>
        <v>#N/A</v>
      </c>
      <c r="AC380" t="e">
        <f>VLOOKUP($Z380,'oddspedia-matches'!$A:$AD,AC$2,0)</f>
        <v>#N/A</v>
      </c>
      <c r="AD380" t="e">
        <f>VLOOKUP($Z380,'oddspedia-matches'!$A:$AD,AD$2,0)</f>
        <v>#N/A</v>
      </c>
      <c r="AE380" t="e">
        <f>VLOOKUP($Z380,'oddspedia-matches'!$A:$AD,AE$2,0)</f>
        <v>#N/A</v>
      </c>
      <c r="AF380" t="e">
        <f>VLOOKUP($Z380,'oddspedia-matches'!$A:$AD,AF$2,0)</f>
        <v>#N/A</v>
      </c>
      <c r="AG380" t="e">
        <f>VLOOKUP($Z380,'oddspedia-matches'!$A:$AD,AG$2,0)</f>
        <v>#N/A</v>
      </c>
      <c r="AH380" t="e">
        <f>VLOOKUP($Z380,'oddspedia-matches'!$A:$AD,AH$2,0)</f>
        <v>#N/A</v>
      </c>
      <c r="AI380" t="e">
        <f>VLOOKUP($Z380,'oddspedia-matches'!$A:$AD,AI$2,0)</f>
        <v>#N/A</v>
      </c>
      <c r="AJ380" t="e">
        <f>VLOOKUP($Z380,'oddspedia-matches'!$A:$AD,AJ$2,0)</f>
        <v>#N/A</v>
      </c>
      <c r="AK380" t="e">
        <f>VLOOKUP($Z380,'oddspedia-matches'!$A:$AD,AK$2,0)</f>
        <v>#N/A</v>
      </c>
      <c r="AL380" t="e">
        <f>VLOOKUP($Z380,'oddspedia-matches'!$A:$AD,AL$2,0)</f>
        <v>#N/A</v>
      </c>
      <c r="AM380" t="e">
        <f>VLOOKUP($Z380,'oddspedia-matches'!$A:$AD,AM$2,0)</f>
        <v>#N/A</v>
      </c>
      <c r="AN380" t="e">
        <f>VLOOKUP($Z380,'oddspedia-matches'!$A:$AD,AN$2,0)</f>
        <v>#N/A</v>
      </c>
      <c r="AO380" t="e">
        <f>VLOOKUP($Z380,'oddspedia-matches'!$A:$AD,AO$2,0)</f>
        <v>#N/A</v>
      </c>
      <c r="AP380" t="e">
        <f>VLOOKUP($Z380,'oddspedia-matches'!$A:$AD,AP$2,0)</f>
        <v>#N/A</v>
      </c>
      <c r="AQ380" t="e">
        <f>VLOOKUP($Z380,'oddspedia-matches'!$A:$AD,AQ$2,0)</f>
        <v>#N/A</v>
      </c>
    </row>
    <row r="381" spans="2:43" x14ac:dyDescent="0.2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tr">
        <f>VLOOKUP(E381,'Transform table'!A:B,2,0)</f>
        <v>FK Kaspyi Aktau U21</v>
      </c>
      <c r="Y381" t="e">
        <f>VLOOKUP(F381,'Transform table'!A:B,2,0)</f>
        <v>#N/A</v>
      </c>
      <c r="Z381" t="e">
        <f t="shared" si="5"/>
        <v>#N/A</v>
      </c>
      <c r="AA381" t="e">
        <f>VLOOKUP($Z381,'oddspedia-matches'!$A:$AD,AA$2,0)</f>
        <v>#N/A</v>
      </c>
      <c r="AB381" t="e">
        <f>VLOOKUP($Z381,'oddspedia-matches'!$A:$AD,AB$2,0)</f>
        <v>#N/A</v>
      </c>
      <c r="AC381" t="e">
        <f>VLOOKUP($Z381,'oddspedia-matches'!$A:$AD,AC$2,0)</f>
        <v>#N/A</v>
      </c>
      <c r="AD381" t="e">
        <f>VLOOKUP($Z381,'oddspedia-matches'!$A:$AD,AD$2,0)</f>
        <v>#N/A</v>
      </c>
      <c r="AE381" t="e">
        <f>VLOOKUP($Z381,'oddspedia-matches'!$A:$AD,AE$2,0)</f>
        <v>#N/A</v>
      </c>
      <c r="AF381" t="e">
        <f>VLOOKUP($Z381,'oddspedia-matches'!$A:$AD,AF$2,0)</f>
        <v>#N/A</v>
      </c>
      <c r="AG381" t="e">
        <f>VLOOKUP($Z381,'oddspedia-matches'!$A:$AD,AG$2,0)</f>
        <v>#N/A</v>
      </c>
      <c r="AH381" t="e">
        <f>VLOOKUP($Z381,'oddspedia-matches'!$A:$AD,AH$2,0)</f>
        <v>#N/A</v>
      </c>
      <c r="AI381" t="e">
        <f>VLOOKUP($Z381,'oddspedia-matches'!$A:$AD,AI$2,0)</f>
        <v>#N/A</v>
      </c>
      <c r="AJ381" t="e">
        <f>VLOOKUP($Z381,'oddspedia-matches'!$A:$AD,AJ$2,0)</f>
        <v>#N/A</v>
      </c>
      <c r="AK381" t="e">
        <f>VLOOKUP($Z381,'oddspedia-matches'!$A:$AD,AK$2,0)</f>
        <v>#N/A</v>
      </c>
      <c r="AL381" t="e">
        <f>VLOOKUP($Z381,'oddspedia-matches'!$A:$AD,AL$2,0)</f>
        <v>#N/A</v>
      </c>
      <c r="AM381" t="e">
        <f>VLOOKUP($Z381,'oddspedia-matches'!$A:$AD,AM$2,0)</f>
        <v>#N/A</v>
      </c>
      <c r="AN381" t="e">
        <f>VLOOKUP($Z381,'oddspedia-matches'!$A:$AD,AN$2,0)</f>
        <v>#N/A</v>
      </c>
      <c r="AO381" t="e">
        <f>VLOOKUP($Z381,'oddspedia-matches'!$A:$AD,AO$2,0)</f>
        <v>#N/A</v>
      </c>
      <c r="AP381" t="e">
        <f>VLOOKUP($Z381,'oddspedia-matches'!$A:$AD,AP$2,0)</f>
        <v>#N/A</v>
      </c>
      <c r="AQ381" t="e">
        <f>VLOOKUP($Z381,'oddspedia-matches'!$A:$AD,AQ$2,0)</f>
        <v>#N/A</v>
      </c>
    </row>
    <row r="382" spans="2:43" x14ac:dyDescent="0.2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tr">
        <f>VLOOKUP(E382,'Transform table'!A:B,2,0)</f>
        <v>Atlanta United</v>
      </c>
      <c r="Y382" t="str">
        <f>VLOOKUP(F382,'Transform table'!A:B,2,0)</f>
        <v>New York City II</v>
      </c>
      <c r="Z382" t="str">
        <f t="shared" si="5"/>
        <v>26/07/2026Atlanta UnitedNew York City II</v>
      </c>
      <c r="AA382" t="e">
        <f>VLOOKUP($Z382,'oddspedia-matches'!$A:$AD,AA$2,0)</f>
        <v>#N/A</v>
      </c>
      <c r="AB382" t="e">
        <f>VLOOKUP($Z382,'oddspedia-matches'!$A:$AD,AB$2,0)</f>
        <v>#N/A</v>
      </c>
      <c r="AC382" t="e">
        <f>VLOOKUP($Z382,'oddspedia-matches'!$A:$AD,AC$2,0)</f>
        <v>#N/A</v>
      </c>
      <c r="AD382" t="e">
        <f>VLOOKUP($Z382,'oddspedia-matches'!$A:$AD,AD$2,0)</f>
        <v>#N/A</v>
      </c>
      <c r="AE382" t="e">
        <f>VLOOKUP($Z382,'oddspedia-matches'!$A:$AD,AE$2,0)</f>
        <v>#N/A</v>
      </c>
      <c r="AF382" t="e">
        <f>VLOOKUP($Z382,'oddspedia-matches'!$A:$AD,AF$2,0)</f>
        <v>#N/A</v>
      </c>
      <c r="AG382" t="e">
        <f>VLOOKUP($Z382,'oddspedia-matches'!$A:$AD,AG$2,0)</f>
        <v>#N/A</v>
      </c>
      <c r="AH382" t="e">
        <f>VLOOKUP($Z382,'oddspedia-matches'!$A:$AD,AH$2,0)</f>
        <v>#N/A</v>
      </c>
      <c r="AI382" t="e">
        <f>VLOOKUP($Z382,'oddspedia-matches'!$A:$AD,AI$2,0)</f>
        <v>#N/A</v>
      </c>
      <c r="AJ382" t="e">
        <f>VLOOKUP($Z382,'oddspedia-matches'!$A:$AD,AJ$2,0)</f>
        <v>#N/A</v>
      </c>
      <c r="AK382" t="e">
        <f>VLOOKUP($Z382,'oddspedia-matches'!$A:$AD,AK$2,0)</f>
        <v>#N/A</v>
      </c>
      <c r="AL382" t="e">
        <f>VLOOKUP($Z382,'oddspedia-matches'!$A:$AD,AL$2,0)</f>
        <v>#N/A</v>
      </c>
      <c r="AM382" t="e">
        <f>VLOOKUP($Z382,'oddspedia-matches'!$A:$AD,AM$2,0)</f>
        <v>#N/A</v>
      </c>
      <c r="AN382" t="e">
        <f>VLOOKUP($Z382,'oddspedia-matches'!$A:$AD,AN$2,0)</f>
        <v>#N/A</v>
      </c>
      <c r="AO382" t="e">
        <f>VLOOKUP($Z382,'oddspedia-matches'!$A:$AD,AO$2,0)</f>
        <v>#N/A</v>
      </c>
      <c r="AP382" t="e">
        <f>VLOOKUP($Z382,'oddspedia-matches'!$A:$AD,AP$2,0)</f>
        <v>#N/A</v>
      </c>
      <c r="AQ382" t="e">
        <f>VLOOKUP($Z382,'oddspedia-matches'!$A:$AD,AQ$2,0)</f>
        <v>#N/A</v>
      </c>
    </row>
    <row r="383" spans="2:43" x14ac:dyDescent="0.2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tr">
        <f>VLOOKUP(E383,'Transform table'!A:B,2,0)</f>
        <v>ACS ASU Politehnica Timisoara</v>
      </c>
      <c r="Y383" t="e">
        <f>VLOOKUP(F383,'Transform table'!A:B,2,0)</f>
        <v>#N/A</v>
      </c>
      <c r="Z383" t="e">
        <f t="shared" si="5"/>
        <v>#N/A</v>
      </c>
      <c r="AA383" t="e">
        <f>VLOOKUP($Z383,'oddspedia-matches'!$A:$AD,AA$2,0)</f>
        <v>#N/A</v>
      </c>
      <c r="AB383" t="e">
        <f>VLOOKUP($Z383,'oddspedia-matches'!$A:$AD,AB$2,0)</f>
        <v>#N/A</v>
      </c>
      <c r="AC383" t="e">
        <f>VLOOKUP($Z383,'oddspedia-matches'!$A:$AD,AC$2,0)</f>
        <v>#N/A</v>
      </c>
      <c r="AD383" t="e">
        <f>VLOOKUP($Z383,'oddspedia-matches'!$A:$AD,AD$2,0)</f>
        <v>#N/A</v>
      </c>
      <c r="AE383" t="e">
        <f>VLOOKUP($Z383,'oddspedia-matches'!$A:$AD,AE$2,0)</f>
        <v>#N/A</v>
      </c>
      <c r="AF383" t="e">
        <f>VLOOKUP($Z383,'oddspedia-matches'!$A:$AD,AF$2,0)</f>
        <v>#N/A</v>
      </c>
      <c r="AG383" t="e">
        <f>VLOOKUP($Z383,'oddspedia-matches'!$A:$AD,AG$2,0)</f>
        <v>#N/A</v>
      </c>
      <c r="AH383" t="e">
        <f>VLOOKUP($Z383,'oddspedia-matches'!$A:$AD,AH$2,0)</f>
        <v>#N/A</v>
      </c>
      <c r="AI383" t="e">
        <f>VLOOKUP($Z383,'oddspedia-matches'!$A:$AD,AI$2,0)</f>
        <v>#N/A</v>
      </c>
      <c r="AJ383" t="e">
        <f>VLOOKUP($Z383,'oddspedia-matches'!$A:$AD,AJ$2,0)</f>
        <v>#N/A</v>
      </c>
      <c r="AK383" t="e">
        <f>VLOOKUP($Z383,'oddspedia-matches'!$A:$AD,AK$2,0)</f>
        <v>#N/A</v>
      </c>
      <c r="AL383" t="e">
        <f>VLOOKUP($Z383,'oddspedia-matches'!$A:$AD,AL$2,0)</f>
        <v>#N/A</v>
      </c>
      <c r="AM383" t="e">
        <f>VLOOKUP($Z383,'oddspedia-matches'!$A:$AD,AM$2,0)</f>
        <v>#N/A</v>
      </c>
      <c r="AN383" t="e">
        <f>VLOOKUP($Z383,'oddspedia-matches'!$A:$AD,AN$2,0)</f>
        <v>#N/A</v>
      </c>
      <c r="AO383" t="e">
        <f>VLOOKUP($Z383,'oddspedia-matches'!$A:$AD,AO$2,0)</f>
        <v>#N/A</v>
      </c>
      <c r="AP383" t="e">
        <f>VLOOKUP($Z383,'oddspedia-matches'!$A:$AD,AP$2,0)</f>
        <v>#N/A</v>
      </c>
      <c r="AQ383" t="e">
        <f>VLOOKUP($Z383,'oddspedia-matches'!$A:$AD,AQ$2,0)</f>
        <v>#N/A</v>
      </c>
    </row>
    <row r="384" spans="2:43" x14ac:dyDescent="0.2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>
        <f>VLOOKUP(E384,'Transform table'!A:B,2,0)</f>
        <v>0</v>
      </c>
      <c r="Y384" t="e">
        <f>VLOOKUP(F384,'Transform table'!A:B,2,0)</f>
        <v>#N/A</v>
      </c>
      <c r="Z384" t="e">
        <f t="shared" si="5"/>
        <v>#N/A</v>
      </c>
      <c r="AA384" t="e">
        <f>VLOOKUP($Z384,'oddspedia-matches'!$A:$AD,AA$2,0)</f>
        <v>#N/A</v>
      </c>
      <c r="AB384" t="e">
        <f>VLOOKUP($Z384,'oddspedia-matches'!$A:$AD,AB$2,0)</f>
        <v>#N/A</v>
      </c>
      <c r="AC384" t="e">
        <f>VLOOKUP($Z384,'oddspedia-matches'!$A:$AD,AC$2,0)</f>
        <v>#N/A</v>
      </c>
      <c r="AD384" t="e">
        <f>VLOOKUP($Z384,'oddspedia-matches'!$A:$AD,AD$2,0)</f>
        <v>#N/A</v>
      </c>
      <c r="AE384" t="e">
        <f>VLOOKUP($Z384,'oddspedia-matches'!$A:$AD,AE$2,0)</f>
        <v>#N/A</v>
      </c>
      <c r="AF384" t="e">
        <f>VLOOKUP($Z384,'oddspedia-matches'!$A:$AD,AF$2,0)</f>
        <v>#N/A</v>
      </c>
      <c r="AG384" t="e">
        <f>VLOOKUP($Z384,'oddspedia-matches'!$A:$AD,AG$2,0)</f>
        <v>#N/A</v>
      </c>
      <c r="AH384" t="e">
        <f>VLOOKUP($Z384,'oddspedia-matches'!$A:$AD,AH$2,0)</f>
        <v>#N/A</v>
      </c>
      <c r="AI384" t="e">
        <f>VLOOKUP($Z384,'oddspedia-matches'!$A:$AD,AI$2,0)</f>
        <v>#N/A</v>
      </c>
      <c r="AJ384" t="e">
        <f>VLOOKUP($Z384,'oddspedia-matches'!$A:$AD,AJ$2,0)</f>
        <v>#N/A</v>
      </c>
      <c r="AK384" t="e">
        <f>VLOOKUP($Z384,'oddspedia-matches'!$A:$AD,AK$2,0)</f>
        <v>#N/A</v>
      </c>
      <c r="AL384" t="e">
        <f>VLOOKUP($Z384,'oddspedia-matches'!$A:$AD,AL$2,0)</f>
        <v>#N/A</v>
      </c>
      <c r="AM384" t="e">
        <f>VLOOKUP($Z384,'oddspedia-matches'!$A:$AD,AM$2,0)</f>
        <v>#N/A</v>
      </c>
      <c r="AN384" t="e">
        <f>VLOOKUP($Z384,'oddspedia-matches'!$A:$AD,AN$2,0)</f>
        <v>#N/A</v>
      </c>
      <c r="AO384" t="e">
        <f>VLOOKUP($Z384,'oddspedia-matches'!$A:$AD,AO$2,0)</f>
        <v>#N/A</v>
      </c>
      <c r="AP384" t="e">
        <f>VLOOKUP($Z384,'oddspedia-matches'!$A:$AD,AP$2,0)</f>
        <v>#N/A</v>
      </c>
      <c r="AQ384" t="e">
        <f>VLOOKUP($Z384,'oddspedia-matches'!$A:$AD,AQ$2,0)</f>
        <v>#N/A</v>
      </c>
    </row>
    <row r="385" spans="2:43" x14ac:dyDescent="0.2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tr">
        <f>VLOOKUP(E385,'Transform table'!A:B,2,0)</f>
        <v>Sandefjord</v>
      </c>
      <c r="Y385" t="str">
        <f>VLOOKUP(F385,'Transform table'!A:B,2,0)</f>
        <v>Bodo/Glimt</v>
      </c>
      <c r="Z385" t="str">
        <f t="shared" si="5"/>
        <v>26/07/2026SandefjordBodo/Glimt</v>
      </c>
      <c r="AA385" t="e">
        <f>VLOOKUP($Z385,'oddspedia-matches'!$A:$AD,AA$2,0)</f>
        <v>#N/A</v>
      </c>
      <c r="AB385" t="e">
        <f>VLOOKUP($Z385,'oddspedia-matches'!$A:$AD,AB$2,0)</f>
        <v>#N/A</v>
      </c>
      <c r="AC385" t="e">
        <f>VLOOKUP($Z385,'oddspedia-matches'!$A:$AD,AC$2,0)</f>
        <v>#N/A</v>
      </c>
      <c r="AD385" t="e">
        <f>VLOOKUP($Z385,'oddspedia-matches'!$A:$AD,AD$2,0)</f>
        <v>#N/A</v>
      </c>
      <c r="AE385" t="e">
        <f>VLOOKUP($Z385,'oddspedia-matches'!$A:$AD,AE$2,0)</f>
        <v>#N/A</v>
      </c>
      <c r="AF385" t="e">
        <f>VLOOKUP($Z385,'oddspedia-matches'!$A:$AD,AF$2,0)</f>
        <v>#N/A</v>
      </c>
      <c r="AG385" t="e">
        <f>VLOOKUP($Z385,'oddspedia-matches'!$A:$AD,AG$2,0)</f>
        <v>#N/A</v>
      </c>
      <c r="AH385" t="e">
        <f>VLOOKUP($Z385,'oddspedia-matches'!$A:$AD,AH$2,0)</f>
        <v>#N/A</v>
      </c>
      <c r="AI385" t="e">
        <f>VLOOKUP($Z385,'oddspedia-matches'!$A:$AD,AI$2,0)</f>
        <v>#N/A</v>
      </c>
      <c r="AJ385" t="e">
        <f>VLOOKUP($Z385,'oddspedia-matches'!$A:$AD,AJ$2,0)</f>
        <v>#N/A</v>
      </c>
      <c r="AK385" t="e">
        <f>VLOOKUP($Z385,'oddspedia-matches'!$A:$AD,AK$2,0)</f>
        <v>#N/A</v>
      </c>
      <c r="AL385" t="e">
        <f>VLOOKUP($Z385,'oddspedia-matches'!$A:$AD,AL$2,0)</f>
        <v>#N/A</v>
      </c>
      <c r="AM385" t="e">
        <f>VLOOKUP($Z385,'oddspedia-matches'!$A:$AD,AM$2,0)</f>
        <v>#N/A</v>
      </c>
      <c r="AN385" t="e">
        <f>VLOOKUP($Z385,'oddspedia-matches'!$A:$AD,AN$2,0)</f>
        <v>#N/A</v>
      </c>
      <c r="AO385" t="e">
        <f>VLOOKUP($Z385,'oddspedia-matches'!$A:$AD,AO$2,0)</f>
        <v>#N/A</v>
      </c>
      <c r="AP385" t="e">
        <f>VLOOKUP($Z385,'oddspedia-matches'!$A:$AD,AP$2,0)</f>
        <v>#N/A</v>
      </c>
      <c r="AQ385" t="e">
        <f>VLOOKUP($Z385,'oddspedia-matches'!$A:$AD,AQ$2,0)</f>
        <v>#N/A</v>
      </c>
    </row>
    <row r="386" spans="2:43" x14ac:dyDescent="0.2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>
        <f>VLOOKUP(E386,'Transform table'!A:B,2,0)</f>
        <v>0</v>
      </c>
      <c r="Y386" t="str">
        <f>VLOOKUP(F386,'Transform table'!A:B,2,0)</f>
        <v>HamKam</v>
      </c>
      <c r="Z386" t="str">
        <f t="shared" si="5"/>
        <v>26/07/20260HamKam</v>
      </c>
      <c r="AA386" t="e">
        <f>VLOOKUP($Z386,'oddspedia-matches'!$A:$AD,AA$2,0)</f>
        <v>#N/A</v>
      </c>
      <c r="AB386" t="e">
        <f>VLOOKUP($Z386,'oddspedia-matches'!$A:$AD,AB$2,0)</f>
        <v>#N/A</v>
      </c>
      <c r="AC386" t="e">
        <f>VLOOKUP($Z386,'oddspedia-matches'!$A:$AD,AC$2,0)</f>
        <v>#N/A</v>
      </c>
      <c r="AD386" t="e">
        <f>VLOOKUP($Z386,'oddspedia-matches'!$A:$AD,AD$2,0)</f>
        <v>#N/A</v>
      </c>
      <c r="AE386" t="e">
        <f>VLOOKUP($Z386,'oddspedia-matches'!$A:$AD,AE$2,0)</f>
        <v>#N/A</v>
      </c>
      <c r="AF386" t="e">
        <f>VLOOKUP($Z386,'oddspedia-matches'!$A:$AD,AF$2,0)</f>
        <v>#N/A</v>
      </c>
      <c r="AG386" t="e">
        <f>VLOOKUP($Z386,'oddspedia-matches'!$A:$AD,AG$2,0)</f>
        <v>#N/A</v>
      </c>
      <c r="AH386" t="e">
        <f>VLOOKUP($Z386,'oddspedia-matches'!$A:$AD,AH$2,0)</f>
        <v>#N/A</v>
      </c>
      <c r="AI386" t="e">
        <f>VLOOKUP($Z386,'oddspedia-matches'!$A:$AD,AI$2,0)</f>
        <v>#N/A</v>
      </c>
      <c r="AJ386" t="e">
        <f>VLOOKUP($Z386,'oddspedia-matches'!$A:$AD,AJ$2,0)</f>
        <v>#N/A</v>
      </c>
      <c r="AK386" t="e">
        <f>VLOOKUP($Z386,'oddspedia-matches'!$A:$AD,AK$2,0)</f>
        <v>#N/A</v>
      </c>
      <c r="AL386" t="e">
        <f>VLOOKUP($Z386,'oddspedia-matches'!$A:$AD,AL$2,0)</f>
        <v>#N/A</v>
      </c>
      <c r="AM386" t="e">
        <f>VLOOKUP($Z386,'oddspedia-matches'!$A:$AD,AM$2,0)</f>
        <v>#N/A</v>
      </c>
      <c r="AN386" t="e">
        <f>VLOOKUP($Z386,'oddspedia-matches'!$A:$AD,AN$2,0)</f>
        <v>#N/A</v>
      </c>
      <c r="AO386" t="e">
        <f>VLOOKUP($Z386,'oddspedia-matches'!$A:$AD,AO$2,0)</f>
        <v>#N/A</v>
      </c>
      <c r="AP386" t="e">
        <f>VLOOKUP($Z386,'oddspedia-matches'!$A:$AD,AP$2,0)</f>
        <v>#N/A</v>
      </c>
      <c r="AQ386" t="e">
        <f>VLOOKUP($Z386,'oddspedia-matches'!$A:$AD,AQ$2,0)</f>
        <v>#N/A</v>
      </c>
    </row>
    <row r="387" spans="2:43" x14ac:dyDescent="0.2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tr">
        <f>VLOOKUP(E387,'Transform table'!A:B,2,0)</f>
        <v>Asane</v>
      </c>
      <c r="Y387" t="e">
        <f>VLOOKUP(F387,'Transform table'!A:B,2,0)</f>
        <v>#N/A</v>
      </c>
      <c r="Z387" t="e">
        <f t="shared" si="5"/>
        <v>#N/A</v>
      </c>
      <c r="AA387" t="e">
        <f>VLOOKUP($Z387,'oddspedia-matches'!$A:$AD,AA$2,0)</f>
        <v>#N/A</v>
      </c>
      <c r="AB387" t="e">
        <f>VLOOKUP($Z387,'oddspedia-matches'!$A:$AD,AB$2,0)</f>
        <v>#N/A</v>
      </c>
      <c r="AC387" t="e">
        <f>VLOOKUP($Z387,'oddspedia-matches'!$A:$AD,AC$2,0)</f>
        <v>#N/A</v>
      </c>
      <c r="AD387" t="e">
        <f>VLOOKUP($Z387,'oddspedia-matches'!$A:$AD,AD$2,0)</f>
        <v>#N/A</v>
      </c>
      <c r="AE387" t="e">
        <f>VLOOKUP($Z387,'oddspedia-matches'!$A:$AD,AE$2,0)</f>
        <v>#N/A</v>
      </c>
      <c r="AF387" t="e">
        <f>VLOOKUP($Z387,'oddspedia-matches'!$A:$AD,AF$2,0)</f>
        <v>#N/A</v>
      </c>
      <c r="AG387" t="e">
        <f>VLOOKUP($Z387,'oddspedia-matches'!$A:$AD,AG$2,0)</f>
        <v>#N/A</v>
      </c>
      <c r="AH387" t="e">
        <f>VLOOKUP($Z387,'oddspedia-matches'!$A:$AD,AH$2,0)</f>
        <v>#N/A</v>
      </c>
      <c r="AI387" t="e">
        <f>VLOOKUP($Z387,'oddspedia-matches'!$A:$AD,AI$2,0)</f>
        <v>#N/A</v>
      </c>
      <c r="AJ387" t="e">
        <f>VLOOKUP($Z387,'oddspedia-matches'!$A:$AD,AJ$2,0)</f>
        <v>#N/A</v>
      </c>
      <c r="AK387" t="e">
        <f>VLOOKUP($Z387,'oddspedia-matches'!$A:$AD,AK$2,0)</f>
        <v>#N/A</v>
      </c>
      <c r="AL387" t="e">
        <f>VLOOKUP($Z387,'oddspedia-matches'!$A:$AD,AL$2,0)</f>
        <v>#N/A</v>
      </c>
      <c r="AM387" t="e">
        <f>VLOOKUP($Z387,'oddspedia-matches'!$A:$AD,AM$2,0)</f>
        <v>#N/A</v>
      </c>
      <c r="AN387" t="e">
        <f>VLOOKUP($Z387,'oddspedia-matches'!$A:$AD,AN$2,0)</f>
        <v>#N/A</v>
      </c>
      <c r="AO387" t="e">
        <f>VLOOKUP($Z387,'oddspedia-matches'!$A:$AD,AO$2,0)</f>
        <v>#N/A</v>
      </c>
      <c r="AP387" t="e">
        <f>VLOOKUP($Z387,'oddspedia-matches'!$A:$AD,AP$2,0)</f>
        <v>#N/A</v>
      </c>
      <c r="AQ387" t="e">
        <f>VLOOKUP($Z387,'oddspedia-matches'!$A:$AD,AQ$2,0)</f>
        <v>#N/A</v>
      </c>
    </row>
    <row r="388" spans="2:43" x14ac:dyDescent="0.2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tr">
        <f>VLOOKUP(E388,'Transform table'!A:B,2,0)</f>
        <v>MSV Duisburg</v>
      </c>
      <c r="Y388" t="e">
        <f>VLOOKUP(F388,'Transform table'!A:B,2,0)</f>
        <v>#N/A</v>
      </c>
      <c r="Z388" t="e">
        <f t="shared" ref="Z388:Z451" si="6">C388&amp;X388&amp;Y388</f>
        <v>#N/A</v>
      </c>
      <c r="AA388" t="e">
        <f>VLOOKUP($Z388,'oddspedia-matches'!$A:$AD,AA$2,0)</f>
        <v>#N/A</v>
      </c>
      <c r="AB388" t="e">
        <f>VLOOKUP($Z388,'oddspedia-matches'!$A:$AD,AB$2,0)</f>
        <v>#N/A</v>
      </c>
      <c r="AC388" t="e">
        <f>VLOOKUP($Z388,'oddspedia-matches'!$A:$AD,AC$2,0)</f>
        <v>#N/A</v>
      </c>
      <c r="AD388" t="e">
        <f>VLOOKUP($Z388,'oddspedia-matches'!$A:$AD,AD$2,0)</f>
        <v>#N/A</v>
      </c>
      <c r="AE388" t="e">
        <f>VLOOKUP($Z388,'oddspedia-matches'!$A:$AD,AE$2,0)</f>
        <v>#N/A</v>
      </c>
      <c r="AF388" t="e">
        <f>VLOOKUP($Z388,'oddspedia-matches'!$A:$AD,AF$2,0)</f>
        <v>#N/A</v>
      </c>
      <c r="AG388" t="e">
        <f>VLOOKUP($Z388,'oddspedia-matches'!$A:$AD,AG$2,0)</f>
        <v>#N/A</v>
      </c>
      <c r="AH388" t="e">
        <f>VLOOKUP($Z388,'oddspedia-matches'!$A:$AD,AH$2,0)</f>
        <v>#N/A</v>
      </c>
      <c r="AI388" t="e">
        <f>VLOOKUP($Z388,'oddspedia-matches'!$A:$AD,AI$2,0)</f>
        <v>#N/A</v>
      </c>
      <c r="AJ388" t="e">
        <f>VLOOKUP($Z388,'oddspedia-matches'!$A:$AD,AJ$2,0)</f>
        <v>#N/A</v>
      </c>
      <c r="AK388" t="e">
        <f>VLOOKUP($Z388,'oddspedia-matches'!$A:$AD,AK$2,0)</f>
        <v>#N/A</v>
      </c>
      <c r="AL388" t="e">
        <f>VLOOKUP($Z388,'oddspedia-matches'!$A:$AD,AL$2,0)</f>
        <v>#N/A</v>
      </c>
      <c r="AM388" t="e">
        <f>VLOOKUP($Z388,'oddspedia-matches'!$A:$AD,AM$2,0)</f>
        <v>#N/A</v>
      </c>
      <c r="AN388" t="e">
        <f>VLOOKUP($Z388,'oddspedia-matches'!$A:$AD,AN$2,0)</f>
        <v>#N/A</v>
      </c>
      <c r="AO388" t="e">
        <f>VLOOKUP($Z388,'oddspedia-matches'!$A:$AD,AO$2,0)</f>
        <v>#N/A</v>
      </c>
      <c r="AP388" t="e">
        <f>VLOOKUP($Z388,'oddspedia-matches'!$A:$AD,AP$2,0)</f>
        <v>#N/A</v>
      </c>
      <c r="AQ388" t="e">
        <f>VLOOKUP($Z388,'oddspedia-matches'!$A:$AD,AQ$2,0)</f>
        <v>#N/A</v>
      </c>
    </row>
    <row r="389" spans="2:43" x14ac:dyDescent="0.2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tr">
        <f>VLOOKUP(E389,'Transform table'!A:B,2,0)</f>
        <v>Sandnes Ulf</v>
      </c>
      <c r="Y389" t="e">
        <f>VLOOKUP(F389,'Transform table'!A:B,2,0)</f>
        <v>#N/A</v>
      </c>
      <c r="Z389" t="e">
        <f t="shared" si="6"/>
        <v>#N/A</v>
      </c>
      <c r="AA389" t="e">
        <f>VLOOKUP($Z389,'oddspedia-matches'!$A:$AD,AA$2,0)</f>
        <v>#N/A</v>
      </c>
      <c r="AB389" t="e">
        <f>VLOOKUP($Z389,'oddspedia-matches'!$A:$AD,AB$2,0)</f>
        <v>#N/A</v>
      </c>
      <c r="AC389" t="e">
        <f>VLOOKUP($Z389,'oddspedia-matches'!$A:$AD,AC$2,0)</f>
        <v>#N/A</v>
      </c>
      <c r="AD389" t="e">
        <f>VLOOKUP($Z389,'oddspedia-matches'!$A:$AD,AD$2,0)</f>
        <v>#N/A</v>
      </c>
      <c r="AE389" t="e">
        <f>VLOOKUP($Z389,'oddspedia-matches'!$A:$AD,AE$2,0)</f>
        <v>#N/A</v>
      </c>
      <c r="AF389" t="e">
        <f>VLOOKUP($Z389,'oddspedia-matches'!$A:$AD,AF$2,0)</f>
        <v>#N/A</v>
      </c>
      <c r="AG389" t="e">
        <f>VLOOKUP($Z389,'oddspedia-matches'!$A:$AD,AG$2,0)</f>
        <v>#N/A</v>
      </c>
      <c r="AH389" t="e">
        <f>VLOOKUP($Z389,'oddspedia-matches'!$A:$AD,AH$2,0)</f>
        <v>#N/A</v>
      </c>
      <c r="AI389" t="e">
        <f>VLOOKUP($Z389,'oddspedia-matches'!$A:$AD,AI$2,0)</f>
        <v>#N/A</v>
      </c>
      <c r="AJ389" t="e">
        <f>VLOOKUP($Z389,'oddspedia-matches'!$A:$AD,AJ$2,0)</f>
        <v>#N/A</v>
      </c>
      <c r="AK389" t="e">
        <f>VLOOKUP($Z389,'oddspedia-matches'!$A:$AD,AK$2,0)</f>
        <v>#N/A</v>
      </c>
      <c r="AL389" t="e">
        <f>VLOOKUP($Z389,'oddspedia-matches'!$A:$AD,AL$2,0)</f>
        <v>#N/A</v>
      </c>
      <c r="AM389" t="e">
        <f>VLOOKUP($Z389,'oddspedia-matches'!$A:$AD,AM$2,0)</f>
        <v>#N/A</v>
      </c>
      <c r="AN389" t="e">
        <f>VLOOKUP($Z389,'oddspedia-matches'!$A:$AD,AN$2,0)</f>
        <v>#N/A</v>
      </c>
      <c r="AO389" t="e">
        <f>VLOOKUP($Z389,'oddspedia-matches'!$A:$AD,AO$2,0)</f>
        <v>#N/A</v>
      </c>
      <c r="AP389" t="e">
        <f>VLOOKUP($Z389,'oddspedia-matches'!$A:$AD,AP$2,0)</f>
        <v>#N/A</v>
      </c>
      <c r="AQ389" t="e">
        <f>VLOOKUP($Z389,'oddspedia-matches'!$A:$AD,AQ$2,0)</f>
        <v>#N/A</v>
      </c>
    </row>
    <row r="390" spans="2:43" x14ac:dyDescent="0.2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tr">
        <f>VLOOKUP(E390,'Transform table'!A:B,2,0)</f>
        <v>Sogdiana Jizzakh</v>
      </c>
      <c r="Y390" t="e">
        <f>VLOOKUP(F390,'Transform table'!A:B,2,0)</f>
        <v>#N/A</v>
      </c>
      <c r="Z390" t="e">
        <f t="shared" si="6"/>
        <v>#N/A</v>
      </c>
      <c r="AA390" t="e">
        <f>VLOOKUP($Z390,'oddspedia-matches'!$A:$AD,AA$2,0)</f>
        <v>#N/A</v>
      </c>
      <c r="AB390" t="e">
        <f>VLOOKUP($Z390,'oddspedia-matches'!$A:$AD,AB$2,0)</f>
        <v>#N/A</v>
      </c>
      <c r="AC390" t="e">
        <f>VLOOKUP($Z390,'oddspedia-matches'!$A:$AD,AC$2,0)</f>
        <v>#N/A</v>
      </c>
      <c r="AD390" t="e">
        <f>VLOOKUP($Z390,'oddspedia-matches'!$A:$AD,AD$2,0)</f>
        <v>#N/A</v>
      </c>
      <c r="AE390" t="e">
        <f>VLOOKUP($Z390,'oddspedia-matches'!$A:$AD,AE$2,0)</f>
        <v>#N/A</v>
      </c>
      <c r="AF390" t="e">
        <f>VLOOKUP($Z390,'oddspedia-matches'!$A:$AD,AF$2,0)</f>
        <v>#N/A</v>
      </c>
      <c r="AG390" t="e">
        <f>VLOOKUP($Z390,'oddspedia-matches'!$A:$AD,AG$2,0)</f>
        <v>#N/A</v>
      </c>
      <c r="AH390" t="e">
        <f>VLOOKUP($Z390,'oddspedia-matches'!$A:$AD,AH$2,0)</f>
        <v>#N/A</v>
      </c>
      <c r="AI390" t="e">
        <f>VLOOKUP($Z390,'oddspedia-matches'!$A:$AD,AI$2,0)</f>
        <v>#N/A</v>
      </c>
      <c r="AJ390" t="e">
        <f>VLOOKUP($Z390,'oddspedia-matches'!$A:$AD,AJ$2,0)</f>
        <v>#N/A</v>
      </c>
      <c r="AK390" t="e">
        <f>VLOOKUP($Z390,'oddspedia-matches'!$A:$AD,AK$2,0)</f>
        <v>#N/A</v>
      </c>
      <c r="AL390" t="e">
        <f>VLOOKUP($Z390,'oddspedia-matches'!$A:$AD,AL$2,0)</f>
        <v>#N/A</v>
      </c>
      <c r="AM390" t="e">
        <f>VLOOKUP($Z390,'oddspedia-matches'!$A:$AD,AM$2,0)</f>
        <v>#N/A</v>
      </c>
      <c r="AN390" t="e">
        <f>VLOOKUP($Z390,'oddspedia-matches'!$A:$AD,AN$2,0)</f>
        <v>#N/A</v>
      </c>
      <c r="AO390" t="e">
        <f>VLOOKUP($Z390,'oddspedia-matches'!$A:$AD,AO$2,0)</f>
        <v>#N/A</v>
      </c>
      <c r="AP390" t="e">
        <f>VLOOKUP($Z390,'oddspedia-matches'!$A:$AD,AP$2,0)</f>
        <v>#N/A</v>
      </c>
      <c r="AQ390" t="e">
        <f>VLOOKUP($Z390,'oddspedia-matches'!$A:$AD,AQ$2,0)</f>
        <v>#N/A</v>
      </c>
    </row>
    <row r="391" spans="2:43" x14ac:dyDescent="0.2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tr">
        <f>VLOOKUP(E391,'Transform table'!A:B,2,0)</f>
        <v>Strommen</v>
      </c>
      <c r="Y391" t="e">
        <f>VLOOKUP(F391,'Transform table'!A:B,2,0)</f>
        <v>#N/A</v>
      </c>
      <c r="Z391" t="e">
        <f t="shared" si="6"/>
        <v>#N/A</v>
      </c>
      <c r="AA391" t="e">
        <f>VLOOKUP($Z391,'oddspedia-matches'!$A:$AD,AA$2,0)</f>
        <v>#N/A</v>
      </c>
      <c r="AB391" t="e">
        <f>VLOOKUP($Z391,'oddspedia-matches'!$A:$AD,AB$2,0)</f>
        <v>#N/A</v>
      </c>
      <c r="AC391" t="e">
        <f>VLOOKUP($Z391,'oddspedia-matches'!$A:$AD,AC$2,0)</f>
        <v>#N/A</v>
      </c>
      <c r="AD391" t="e">
        <f>VLOOKUP($Z391,'oddspedia-matches'!$A:$AD,AD$2,0)</f>
        <v>#N/A</v>
      </c>
      <c r="AE391" t="e">
        <f>VLOOKUP($Z391,'oddspedia-matches'!$A:$AD,AE$2,0)</f>
        <v>#N/A</v>
      </c>
      <c r="AF391" t="e">
        <f>VLOOKUP($Z391,'oddspedia-matches'!$A:$AD,AF$2,0)</f>
        <v>#N/A</v>
      </c>
      <c r="AG391" t="e">
        <f>VLOOKUP($Z391,'oddspedia-matches'!$A:$AD,AG$2,0)</f>
        <v>#N/A</v>
      </c>
      <c r="AH391" t="e">
        <f>VLOOKUP($Z391,'oddspedia-matches'!$A:$AD,AH$2,0)</f>
        <v>#N/A</v>
      </c>
      <c r="AI391" t="e">
        <f>VLOOKUP($Z391,'oddspedia-matches'!$A:$AD,AI$2,0)</f>
        <v>#N/A</v>
      </c>
      <c r="AJ391" t="e">
        <f>VLOOKUP($Z391,'oddspedia-matches'!$A:$AD,AJ$2,0)</f>
        <v>#N/A</v>
      </c>
      <c r="AK391" t="e">
        <f>VLOOKUP($Z391,'oddspedia-matches'!$A:$AD,AK$2,0)</f>
        <v>#N/A</v>
      </c>
      <c r="AL391" t="e">
        <f>VLOOKUP($Z391,'oddspedia-matches'!$A:$AD,AL$2,0)</f>
        <v>#N/A</v>
      </c>
      <c r="AM391" t="e">
        <f>VLOOKUP($Z391,'oddspedia-matches'!$A:$AD,AM$2,0)</f>
        <v>#N/A</v>
      </c>
      <c r="AN391" t="e">
        <f>VLOOKUP($Z391,'oddspedia-matches'!$A:$AD,AN$2,0)</f>
        <v>#N/A</v>
      </c>
      <c r="AO391" t="e">
        <f>VLOOKUP($Z391,'oddspedia-matches'!$A:$AD,AO$2,0)</f>
        <v>#N/A</v>
      </c>
      <c r="AP391" t="e">
        <f>VLOOKUP($Z391,'oddspedia-matches'!$A:$AD,AP$2,0)</f>
        <v>#N/A</v>
      </c>
      <c r="AQ391" t="e">
        <f>VLOOKUP($Z391,'oddspedia-matches'!$A:$AD,AQ$2,0)</f>
        <v>#N/A</v>
      </c>
    </row>
    <row r="392" spans="2:43" x14ac:dyDescent="0.2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>
        <f>VLOOKUP(E392,'Transform table'!A:B,2,0)</f>
        <v>0</v>
      </c>
      <c r="Y392" t="e">
        <f>VLOOKUP(F392,'Transform table'!A:B,2,0)</f>
        <v>#N/A</v>
      </c>
      <c r="Z392" t="e">
        <f t="shared" si="6"/>
        <v>#N/A</v>
      </c>
      <c r="AA392" t="e">
        <f>VLOOKUP($Z392,'oddspedia-matches'!$A:$AD,AA$2,0)</f>
        <v>#N/A</v>
      </c>
      <c r="AB392" t="e">
        <f>VLOOKUP($Z392,'oddspedia-matches'!$A:$AD,AB$2,0)</f>
        <v>#N/A</v>
      </c>
      <c r="AC392" t="e">
        <f>VLOOKUP($Z392,'oddspedia-matches'!$A:$AD,AC$2,0)</f>
        <v>#N/A</v>
      </c>
      <c r="AD392" t="e">
        <f>VLOOKUP($Z392,'oddspedia-matches'!$A:$AD,AD$2,0)</f>
        <v>#N/A</v>
      </c>
      <c r="AE392" t="e">
        <f>VLOOKUP($Z392,'oddspedia-matches'!$A:$AD,AE$2,0)</f>
        <v>#N/A</v>
      </c>
      <c r="AF392" t="e">
        <f>VLOOKUP($Z392,'oddspedia-matches'!$A:$AD,AF$2,0)</f>
        <v>#N/A</v>
      </c>
      <c r="AG392" t="e">
        <f>VLOOKUP($Z392,'oddspedia-matches'!$A:$AD,AG$2,0)</f>
        <v>#N/A</v>
      </c>
      <c r="AH392" t="e">
        <f>VLOOKUP($Z392,'oddspedia-matches'!$A:$AD,AH$2,0)</f>
        <v>#N/A</v>
      </c>
      <c r="AI392" t="e">
        <f>VLOOKUP($Z392,'oddspedia-matches'!$A:$AD,AI$2,0)</f>
        <v>#N/A</v>
      </c>
      <c r="AJ392" t="e">
        <f>VLOOKUP($Z392,'oddspedia-matches'!$A:$AD,AJ$2,0)</f>
        <v>#N/A</v>
      </c>
      <c r="AK392" t="e">
        <f>VLOOKUP($Z392,'oddspedia-matches'!$A:$AD,AK$2,0)</f>
        <v>#N/A</v>
      </c>
      <c r="AL392" t="e">
        <f>VLOOKUP($Z392,'oddspedia-matches'!$A:$AD,AL$2,0)</f>
        <v>#N/A</v>
      </c>
      <c r="AM392" t="e">
        <f>VLOOKUP($Z392,'oddspedia-matches'!$A:$AD,AM$2,0)</f>
        <v>#N/A</v>
      </c>
      <c r="AN392" t="e">
        <f>VLOOKUP($Z392,'oddspedia-matches'!$A:$AD,AN$2,0)</f>
        <v>#N/A</v>
      </c>
      <c r="AO392" t="e">
        <f>VLOOKUP($Z392,'oddspedia-matches'!$A:$AD,AO$2,0)</f>
        <v>#N/A</v>
      </c>
      <c r="AP392" t="e">
        <f>VLOOKUP($Z392,'oddspedia-matches'!$A:$AD,AP$2,0)</f>
        <v>#N/A</v>
      </c>
      <c r="AQ392" t="e">
        <f>VLOOKUP($Z392,'oddspedia-matches'!$A:$AD,AQ$2,0)</f>
        <v>#N/A</v>
      </c>
    </row>
    <row r="393" spans="2:43" x14ac:dyDescent="0.2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tr">
        <f>VLOOKUP(E393,'Transform table'!A:B,2,0)</f>
        <v>PFC Sochi</v>
      </c>
      <c r="Y393" t="e">
        <f>VLOOKUP(F393,'Transform table'!A:B,2,0)</f>
        <v>#N/A</v>
      </c>
      <c r="Z393" t="e">
        <f t="shared" si="6"/>
        <v>#N/A</v>
      </c>
      <c r="AA393" t="e">
        <f>VLOOKUP($Z393,'oddspedia-matches'!$A:$AD,AA$2,0)</f>
        <v>#N/A</v>
      </c>
      <c r="AB393" t="e">
        <f>VLOOKUP($Z393,'oddspedia-matches'!$A:$AD,AB$2,0)</f>
        <v>#N/A</v>
      </c>
      <c r="AC393" t="e">
        <f>VLOOKUP($Z393,'oddspedia-matches'!$A:$AD,AC$2,0)</f>
        <v>#N/A</v>
      </c>
      <c r="AD393" t="e">
        <f>VLOOKUP($Z393,'oddspedia-matches'!$A:$AD,AD$2,0)</f>
        <v>#N/A</v>
      </c>
      <c r="AE393" t="e">
        <f>VLOOKUP($Z393,'oddspedia-matches'!$A:$AD,AE$2,0)</f>
        <v>#N/A</v>
      </c>
      <c r="AF393" t="e">
        <f>VLOOKUP($Z393,'oddspedia-matches'!$A:$AD,AF$2,0)</f>
        <v>#N/A</v>
      </c>
      <c r="AG393" t="e">
        <f>VLOOKUP($Z393,'oddspedia-matches'!$A:$AD,AG$2,0)</f>
        <v>#N/A</v>
      </c>
      <c r="AH393" t="e">
        <f>VLOOKUP($Z393,'oddspedia-matches'!$A:$AD,AH$2,0)</f>
        <v>#N/A</v>
      </c>
      <c r="AI393" t="e">
        <f>VLOOKUP($Z393,'oddspedia-matches'!$A:$AD,AI$2,0)</f>
        <v>#N/A</v>
      </c>
      <c r="AJ393" t="e">
        <f>VLOOKUP($Z393,'oddspedia-matches'!$A:$AD,AJ$2,0)</f>
        <v>#N/A</v>
      </c>
      <c r="AK393" t="e">
        <f>VLOOKUP($Z393,'oddspedia-matches'!$A:$AD,AK$2,0)</f>
        <v>#N/A</v>
      </c>
      <c r="AL393" t="e">
        <f>VLOOKUP($Z393,'oddspedia-matches'!$A:$AD,AL$2,0)</f>
        <v>#N/A</v>
      </c>
      <c r="AM393" t="e">
        <f>VLOOKUP($Z393,'oddspedia-matches'!$A:$AD,AM$2,0)</f>
        <v>#N/A</v>
      </c>
      <c r="AN393" t="e">
        <f>VLOOKUP($Z393,'oddspedia-matches'!$A:$AD,AN$2,0)</f>
        <v>#N/A</v>
      </c>
      <c r="AO393" t="e">
        <f>VLOOKUP($Z393,'oddspedia-matches'!$A:$AD,AO$2,0)</f>
        <v>#N/A</v>
      </c>
      <c r="AP393" t="e">
        <f>VLOOKUP($Z393,'oddspedia-matches'!$A:$AD,AP$2,0)</f>
        <v>#N/A</v>
      </c>
      <c r="AQ393" t="e">
        <f>VLOOKUP($Z393,'oddspedia-matches'!$A:$AD,AQ$2,0)</f>
        <v>#N/A</v>
      </c>
    </row>
    <row r="394" spans="2:43" x14ac:dyDescent="0.2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tr">
        <f>VLOOKUP(E394,'Transform table'!A:B,2,0)</f>
        <v>Norrby</v>
      </c>
      <c r="Y394" t="e">
        <f>VLOOKUP(F394,'Transform table'!A:B,2,0)</f>
        <v>#N/A</v>
      </c>
      <c r="Z394" t="e">
        <f t="shared" si="6"/>
        <v>#N/A</v>
      </c>
      <c r="AA394" t="e">
        <f>VLOOKUP($Z394,'oddspedia-matches'!$A:$AD,AA$2,0)</f>
        <v>#N/A</v>
      </c>
      <c r="AB394" t="e">
        <f>VLOOKUP($Z394,'oddspedia-matches'!$A:$AD,AB$2,0)</f>
        <v>#N/A</v>
      </c>
      <c r="AC394" t="e">
        <f>VLOOKUP($Z394,'oddspedia-matches'!$A:$AD,AC$2,0)</f>
        <v>#N/A</v>
      </c>
      <c r="AD394" t="e">
        <f>VLOOKUP($Z394,'oddspedia-matches'!$A:$AD,AD$2,0)</f>
        <v>#N/A</v>
      </c>
      <c r="AE394" t="e">
        <f>VLOOKUP($Z394,'oddspedia-matches'!$A:$AD,AE$2,0)</f>
        <v>#N/A</v>
      </c>
      <c r="AF394" t="e">
        <f>VLOOKUP($Z394,'oddspedia-matches'!$A:$AD,AF$2,0)</f>
        <v>#N/A</v>
      </c>
      <c r="AG394" t="e">
        <f>VLOOKUP($Z394,'oddspedia-matches'!$A:$AD,AG$2,0)</f>
        <v>#N/A</v>
      </c>
      <c r="AH394" t="e">
        <f>VLOOKUP($Z394,'oddspedia-matches'!$A:$AD,AH$2,0)</f>
        <v>#N/A</v>
      </c>
      <c r="AI394" t="e">
        <f>VLOOKUP($Z394,'oddspedia-matches'!$A:$AD,AI$2,0)</f>
        <v>#N/A</v>
      </c>
      <c r="AJ394" t="e">
        <f>VLOOKUP($Z394,'oddspedia-matches'!$A:$AD,AJ$2,0)</f>
        <v>#N/A</v>
      </c>
      <c r="AK394" t="e">
        <f>VLOOKUP($Z394,'oddspedia-matches'!$A:$AD,AK$2,0)</f>
        <v>#N/A</v>
      </c>
      <c r="AL394" t="e">
        <f>VLOOKUP($Z394,'oddspedia-matches'!$A:$AD,AL$2,0)</f>
        <v>#N/A</v>
      </c>
      <c r="AM394" t="e">
        <f>VLOOKUP($Z394,'oddspedia-matches'!$A:$AD,AM$2,0)</f>
        <v>#N/A</v>
      </c>
      <c r="AN394" t="e">
        <f>VLOOKUP($Z394,'oddspedia-matches'!$A:$AD,AN$2,0)</f>
        <v>#N/A</v>
      </c>
      <c r="AO394" t="e">
        <f>VLOOKUP($Z394,'oddspedia-matches'!$A:$AD,AO$2,0)</f>
        <v>#N/A</v>
      </c>
      <c r="AP394" t="e">
        <f>VLOOKUP($Z394,'oddspedia-matches'!$A:$AD,AP$2,0)</f>
        <v>#N/A</v>
      </c>
      <c r="AQ394" t="e">
        <f>VLOOKUP($Z394,'oddspedia-matches'!$A:$AD,AQ$2,0)</f>
        <v>#N/A</v>
      </c>
    </row>
    <row r="395" spans="2:43" x14ac:dyDescent="0.2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tr">
        <f>VLOOKUP(E395,'Transform table'!A:B,2,0)</f>
        <v>CA Atenas</v>
      </c>
      <c r="Y395" t="e">
        <f>VLOOKUP(F395,'Transform table'!A:B,2,0)</f>
        <v>#N/A</v>
      </c>
      <c r="Z395" t="e">
        <f t="shared" si="6"/>
        <v>#N/A</v>
      </c>
      <c r="AA395" t="e">
        <f>VLOOKUP($Z395,'oddspedia-matches'!$A:$AD,AA$2,0)</f>
        <v>#N/A</v>
      </c>
      <c r="AB395" t="e">
        <f>VLOOKUP($Z395,'oddspedia-matches'!$A:$AD,AB$2,0)</f>
        <v>#N/A</v>
      </c>
      <c r="AC395" t="e">
        <f>VLOOKUP($Z395,'oddspedia-matches'!$A:$AD,AC$2,0)</f>
        <v>#N/A</v>
      </c>
      <c r="AD395" t="e">
        <f>VLOOKUP($Z395,'oddspedia-matches'!$A:$AD,AD$2,0)</f>
        <v>#N/A</v>
      </c>
      <c r="AE395" t="e">
        <f>VLOOKUP($Z395,'oddspedia-matches'!$A:$AD,AE$2,0)</f>
        <v>#N/A</v>
      </c>
      <c r="AF395" t="e">
        <f>VLOOKUP($Z395,'oddspedia-matches'!$A:$AD,AF$2,0)</f>
        <v>#N/A</v>
      </c>
      <c r="AG395" t="e">
        <f>VLOOKUP($Z395,'oddspedia-matches'!$A:$AD,AG$2,0)</f>
        <v>#N/A</v>
      </c>
      <c r="AH395" t="e">
        <f>VLOOKUP($Z395,'oddspedia-matches'!$A:$AD,AH$2,0)</f>
        <v>#N/A</v>
      </c>
      <c r="AI395" t="e">
        <f>VLOOKUP($Z395,'oddspedia-matches'!$A:$AD,AI$2,0)</f>
        <v>#N/A</v>
      </c>
      <c r="AJ395" t="e">
        <f>VLOOKUP($Z395,'oddspedia-matches'!$A:$AD,AJ$2,0)</f>
        <v>#N/A</v>
      </c>
      <c r="AK395" t="e">
        <f>VLOOKUP($Z395,'oddspedia-matches'!$A:$AD,AK$2,0)</f>
        <v>#N/A</v>
      </c>
      <c r="AL395" t="e">
        <f>VLOOKUP($Z395,'oddspedia-matches'!$A:$AD,AL$2,0)</f>
        <v>#N/A</v>
      </c>
      <c r="AM395" t="e">
        <f>VLOOKUP($Z395,'oddspedia-matches'!$A:$AD,AM$2,0)</f>
        <v>#N/A</v>
      </c>
      <c r="AN395" t="e">
        <f>VLOOKUP($Z395,'oddspedia-matches'!$A:$AD,AN$2,0)</f>
        <v>#N/A</v>
      </c>
      <c r="AO395" t="e">
        <f>VLOOKUP($Z395,'oddspedia-matches'!$A:$AD,AO$2,0)</f>
        <v>#N/A</v>
      </c>
      <c r="AP395" t="e">
        <f>VLOOKUP($Z395,'oddspedia-matches'!$A:$AD,AP$2,0)</f>
        <v>#N/A</v>
      </c>
      <c r="AQ395" t="e">
        <f>VLOOKUP($Z395,'oddspedia-matches'!$A:$AD,AQ$2,0)</f>
        <v>#N/A</v>
      </c>
    </row>
    <row r="396" spans="2:43" x14ac:dyDescent="0.2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tr">
        <f>VLOOKUP(E396,'Transform table'!A:B,2,0)</f>
        <v>Fenerbahce</v>
      </c>
      <c r="Y396" t="str">
        <f>VLOOKUP(F396,'Transform table'!A:B,2,0)</f>
        <v>CA Atenas</v>
      </c>
      <c r="Z396" t="str">
        <f t="shared" si="6"/>
        <v>26/07/2026FenerbahceCA Atenas</v>
      </c>
      <c r="AA396" t="e">
        <f>VLOOKUP($Z396,'oddspedia-matches'!$A:$AD,AA$2,0)</f>
        <v>#N/A</v>
      </c>
      <c r="AB396" t="e">
        <f>VLOOKUP($Z396,'oddspedia-matches'!$A:$AD,AB$2,0)</f>
        <v>#N/A</v>
      </c>
      <c r="AC396" t="e">
        <f>VLOOKUP($Z396,'oddspedia-matches'!$A:$AD,AC$2,0)</f>
        <v>#N/A</v>
      </c>
      <c r="AD396" t="e">
        <f>VLOOKUP($Z396,'oddspedia-matches'!$A:$AD,AD$2,0)</f>
        <v>#N/A</v>
      </c>
      <c r="AE396" t="e">
        <f>VLOOKUP($Z396,'oddspedia-matches'!$A:$AD,AE$2,0)</f>
        <v>#N/A</v>
      </c>
      <c r="AF396" t="e">
        <f>VLOOKUP($Z396,'oddspedia-matches'!$A:$AD,AF$2,0)</f>
        <v>#N/A</v>
      </c>
      <c r="AG396" t="e">
        <f>VLOOKUP($Z396,'oddspedia-matches'!$A:$AD,AG$2,0)</f>
        <v>#N/A</v>
      </c>
      <c r="AH396" t="e">
        <f>VLOOKUP($Z396,'oddspedia-matches'!$A:$AD,AH$2,0)</f>
        <v>#N/A</v>
      </c>
      <c r="AI396" t="e">
        <f>VLOOKUP($Z396,'oddspedia-matches'!$A:$AD,AI$2,0)</f>
        <v>#N/A</v>
      </c>
      <c r="AJ396" t="e">
        <f>VLOOKUP($Z396,'oddspedia-matches'!$A:$AD,AJ$2,0)</f>
        <v>#N/A</v>
      </c>
      <c r="AK396" t="e">
        <f>VLOOKUP($Z396,'oddspedia-matches'!$A:$AD,AK$2,0)</f>
        <v>#N/A</v>
      </c>
      <c r="AL396" t="e">
        <f>VLOOKUP($Z396,'oddspedia-matches'!$A:$AD,AL$2,0)</f>
        <v>#N/A</v>
      </c>
      <c r="AM396" t="e">
        <f>VLOOKUP($Z396,'oddspedia-matches'!$A:$AD,AM$2,0)</f>
        <v>#N/A</v>
      </c>
      <c r="AN396" t="e">
        <f>VLOOKUP($Z396,'oddspedia-matches'!$A:$AD,AN$2,0)</f>
        <v>#N/A</v>
      </c>
      <c r="AO396" t="e">
        <f>VLOOKUP($Z396,'oddspedia-matches'!$A:$AD,AO$2,0)</f>
        <v>#N/A</v>
      </c>
      <c r="AP396" t="e">
        <f>VLOOKUP($Z396,'oddspedia-matches'!$A:$AD,AP$2,0)</f>
        <v>#N/A</v>
      </c>
      <c r="AQ396" t="e">
        <f>VLOOKUP($Z396,'oddspedia-matches'!$A:$AD,AQ$2,0)</f>
        <v>#N/A</v>
      </c>
    </row>
    <row r="397" spans="2:43" x14ac:dyDescent="0.2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tr">
        <f>VLOOKUP(E397,'Transform table'!A:B,2,0)</f>
        <v>Jelgava</v>
      </c>
      <c r="Y397" t="e">
        <f>VLOOKUP(F397,'Transform table'!A:B,2,0)</f>
        <v>#N/A</v>
      </c>
      <c r="Z397" t="e">
        <f t="shared" si="6"/>
        <v>#N/A</v>
      </c>
      <c r="AA397" t="e">
        <f>VLOOKUP($Z397,'oddspedia-matches'!$A:$AD,AA$2,0)</f>
        <v>#N/A</v>
      </c>
      <c r="AB397" t="e">
        <f>VLOOKUP($Z397,'oddspedia-matches'!$A:$AD,AB$2,0)</f>
        <v>#N/A</v>
      </c>
      <c r="AC397" t="e">
        <f>VLOOKUP($Z397,'oddspedia-matches'!$A:$AD,AC$2,0)</f>
        <v>#N/A</v>
      </c>
      <c r="AD397" t="e">
        <f>VLOOKUP($Z397,'oddspedia-matches'!$A:$AD,AD$2,0)</f>
        <v>#N/A</v>
      </c>
      <c r="AE397" t="e">
        <f>VLOOKUP($Z397,'oddspedia-matches'!$A:$AD,AE$2,0)</f>
        <v>#N/A</v>
      </c>
      <c r="AF397" t="e">
        <f>VLOOKUP($Z397,'oddspedia-matches'!$A:$AD,AF$2,0)</f>
        <v>#N/A</v>
      </c>
      <c r="AG397" t="e">
        <f>VLOOKUP($Z397,'oddspedia-matches'!$A:$AD,AG$2,0)</f>
        <v>#N/A</v>
      </c>
      <c r="AH397" t="e">
        <f>VLOOKUP($Z397,'oddspedia-matches'!$A:$AD,AH$2,0)</f>
        <v>#N/A</v>
      </c>
      <c r="AI397" t="e">
        <f>VLOOKUP($Z397,'oddspedia-matches'!$A:$AD,AI$2,0)</f>
        <v>#N/A</v>
      </c>
      <c r="AJ397" t="e">
        <f>VLOOKUP($Z397,'oddspedia-matches'!$A:$AD,AJ$2,0)</f>
        <v>#N/A</v>
      </c>
      <c r="AK397" t="e">
        <f>VLOOKUP($Z397,'oddspedia-matches'!$A:$AD,AK$2,0)</f>
        <v>#N/A</v>
      </c>
      <c r="AL397" t="e">
        <f>VLOOKUP($Z397,'oddspedia-matches'!$A:$AD,AL$2,0)</f>
        <v>#N/A</v>
      </c>
      <c r="AM397" t="e">
        <f>VLOOKUP($Z397,'oddspedia-matches'!$A:$AD,AM$2,0)</f>
        <v>#N/A</v>
      </c>
      <c r="AN397" t="e">
        <f>VLOOKUP($Z397,'oddspedia-matches'!$A:$AD,AN$2,0)</f>
        <v>#N/A</v>
      </c>
      <c r="AO397" t="e">
        <f>VLOOKUP($Z397,'oddspedia-matches'!$A:$AD,AO$2,0)</f>
        <v>#N/A</v>
      </c>
      <c r="AP397" t="e">
        <f>VLOOKUP($Z397,'oddspedia-matches'!$A:$AD,AP$2,0)</f>
        <v>#N/A</v>
      </c>
      <c r="AQ397" t="e">
        <f>VLOOKUP($Z397,'oddspedia-matches'!$A:$AD,AQ$2,0)</f>
        <v>#N/A</v>
      </c>
    </row>
    <row r="398" spans="2:43" x14ac:dyDescent="0.2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tr">
        <f>VLOOKUP(E398,'Transform table'!A:B,2,0)</f>
        <v>Woking</v>
      </c>
      <c r="Y398" t="e">
        <f>VLOOKUP(F398,'Transform table'!A:B,2,0)</f>
        <v>#N/A</v>
      </c>
      <c r="Z398" t="e">
        <f t="shared" si="6"/>
        <v>#N/A</v>
      </c>
      <c r="AA398" t="e">
        <f>VLOOKUP($Z398,'oddspedia-matches'!$A:$AD,AA$2,0)</f>
        <v>#N/A</v>
      </c>
      <c r="AB398" t="e">
        <f>VLOOKUP($Z398,'oddspedia-matches'!$A:$AD,AB$2,0)</f>
        <v>#N/A</v>
      </c>
      <c r="AC398" t="e">
        <f>VLOOKUP($Z398,'oddspedia-matches'!$A:$AD,AC$2,0)</f>
        <v>#N/A</v>
      </c>
      <c r="AD398" t="e">
        <f>VLOOKUP($Z398,'oddspedia-matches'!$A:$AD,AD$2,0)</f>
        <v>#N/A</v>
      </c>
      <c r="AE398" t="e">
        <f>VLOOKUP($Z398,'oddspedia-matches'!$A:$AD,AE$2,0)</f>
        <v>#N/A</v>
      </c>
      <c r="AF398" t="e">
        <f>VLOOKUP($Z398,'oddspedia-matches'!$A:$AD,AF$2,0)</f>
        <v>#N/A</v>
      </c>
      <c r="AG398" t="e">
        <f>VLOOKUP($Z398,'oddspedia-matches'!$A:$AD,AG$2,0)</f>
        <v>#N/A</v>
      </c>
      <c r="AH398" t="e">
        <f>VLOOKUP($Z398,'oddspedia-matches'!$A:$AD,AH$2,0)</f>
        <v>#N/A</v>
      </c>
      <c r="AI398" t="e">
        <f>VLOOKUP($Z398,'oddspedia-matches'!$A:$AD,AI$2,0)</f>
        <v>#N/A</v>
      </c>
      <c r="AJ398" t="e">
        <f>VLOOKUP($Z398,'oddspedia-matches'!$A:$AD,AJ$2,0)</f>
        <v>#N/A</v>
      </c>
      <c r="AK398" t="e">
        <f>VLOOKUP($Z398,'oddspedia-matches'!$A:$AD,AK$2,0)</f>
        <v>#N/A</v>
      </c>
      <c r="AL398" t="e">
        <f>VLOOKUP($Z398,'oddspedia-matches'!$A:$AD,AL$2,0)</f>
        <v>#N/A</v>
      </c>
      <c r="AM398" t="e">
        <f>VLOOKUP($Z398,'oddspedia-matches'!$A:$AD,AM$2,0)</f>
        <v>#N/A</v>
      </c>
      <c r="AN398" t="e">
        <f>VLOOKUP($Z398,'oddspedia-matches'!$A:$AD,AN$2,0)</f>
        <v>#N/A</v>
      </c>
      <c r="AO398" t="e">
        <f>VLOOKUP($Z398,'oddspedia-matches'!$A:$AD,AO$2,0)</f>
        <v>#N/A</v>
      </c>
      <c r="AP398" t="e">
        <f>VLOOKUP($Z398,'oddspedia-matches'!$A:$AD,AP$2,0)</f>
        <v>#N/A</v>
      </c>
      <c r="AQ398" t="e">
        <f>VLOOKUP($Z398,'oddspedia-matches'!$A:$AD,AQ$2,0)</f>
        <v>#N/A</v>
      </c>
    </row>
    <row r="399" spans="2:43" x14ac:dyDescent="0.2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>
        <f>VLOOKUP(E399,'Transform table'!A:B,2,0)</f>
        <v>0</v>
      </c>
      <c r="Y399" t="e">
        <f>VLOOKUP(F399,'Transform table'!A:B,2,0)</f>
        <v>#N/A</v>
      </c>
      <c r="Z399" t="e">
        <f t="shared" si="6"/>
        <v>#N/A</v>
      </c>
      <c r="AA399" t="e">
        <f>VLOOKUP($Z399,'oddspedia-matches'!$A:$AD,AA$2,0)</f>
        <v>#N/A</v>
      </c>
      <c r="AB399" t="e">
        <f>VLOOKUP($Z399,'oddspedia-matches'!$A:$AD,AB$2,0)</f>
        <v>#N/A</v>
      </c>
      <c r="AC399" t="e">
        <f>VLOOKUP($Z399,'oddspedia-matches'!$A:$AD,AC$2,0)</f>
        <v>#N/A</v>
      </c>
      <c r="AD399" t="e">
        <f>VLOOKUP($Z399,'oddspedia-matches'!$A:$AD,AD$2,0)</f>
        <v>#N/A</v>
      </c>
      <c r="AE399" t="e">
        <f>VLOOKUP($Z399,'oddspedia-matches'!$A:$AD,AE$2,0)</f>
        <v>#N/A</v>
      </c>
      <c r="AF399" t="e">
        <f>VLOOKUP($Z399,'oddspedia-matches'!$A:$AD,AF$2,0)</f>
        <v>#N/A</v>
      </c>
      <c r="AG399" t="e">
        <f>VLOOKUP($Z399,'oddspedia-matches'!$A:$AD,AG$2,0)</f>
        <v>#N/A</v>
      </c>
      <c r="AH399" t="e">
        <f>VLOOKUP($Z399,'oddspedia-matches'!$A:$AD,AH$2,0)</f>
        <v>#N/A</v>
      </c>
      <c r="AI399" t="e">
        <f>VLOOKUP($Z399,'oddspedia-matches'!$A:$AD,AI$2,0)</f>
        <v>#N/A</v>
      </c>
      <c r="AJ399" t="e">
        <f>VLOOKUP($Z399,'oddspedia-matches'!$A:$AD,AJ$2,0)</f>
        <v>#N/A</v>
      </c>
      <c r="AK399" t="e">
        <f>VLOOKUP($Z399,'oddspedia-matches'!$A:$AD,AK$2,0)</f>
        <v>#N/A</v>
      </c>
      <c r="AL399" t="e">
        <f>VLOOKUP($Z399,'oddspedia-matches'!$A:$AD,AL$2,0)</f>
        <v>#N/A</v>
      </c>
      <c r="AM399" t="e">
        <f>VLOOKUP($Z399,'oddspedia-matches'!$A:$AD,AM$2,0)</f>
        <v>#N/A</v>
      </c>
      <c r="AN399" t="e">
        <f>VLOOKUP($Z399,'oddspedia-matches'!$A:$AD,AN$2,0)</f>
        <v>#N/A</v>
      </c>
      <c r="AO399" t="e">
        <f>VLOOKUP($Z399,'oddspedia-matches'!$A:$AD,AO$2,0)</f>
        <v>#N/A</v>
      </c>
      <c r="AP399" t="e">
        <f>VLOOKUP($Z399,'oddspedia-matches'!$A:$AD,AP$2,0)</f>
        <v>#N/A</v>
      </c>
      <c r="AQ399" t="e">
        <f>VLOOKUP($Z399,'oddspedia-matches'!$A:$AD,AQ$2,0)</f>
        <v>#N/A</v>
      </c>
    </row>
    <row r="400" spans="2:43" x14ac:dyDescent="0.2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>
        <f>VLOOKUP(E400,'Transform table'!A:B,2,0)</f>
        <v>0</v>
      </c>
      <c r="Y400" t="e">
        <f>VLOOKUP(F400,'Transform table'!A:B,2,0)</f>
        <v>#N/A</v>
      </c>
      <c r="Z400" t="e">
        <f t="shared" si="6"/>
        <v>#N/A</v>
      </c>
      <c r="AA400" t="e">
        <f>VLOOKUP($Z400,'oddspedia-matches'!$A:$AD,AA$2,0)</f>
        <v>#N/A</v>
      </c>
      <c r="AB400" t="e">
        <f>VLOOKUP($Z400,'oddspedia-matches'!$A:$AD,AB$2,0)</f>
        <v>#N/A</v>
      </c>
      <c r="AC400" t="e">
        <f>VLOOKUP($Z400,'oddspedia-matches'!$A:$AD,AC$2,0)</f>
        <v>#N/A</v>
      </c>
      <c r="AD400" t="e">
        <f>VLOOKUP($Z400,'oddspedia-matches'!$A:$AD,AD$2,0)</f>
        <v>#N/A</v>
      </c>
      <c r="AE400" t="e">
        <f>VLOOKUP($Z400,'oddspedia-matches'!$A:$AD,AE$2,0)</f>
        <v>#N/A</v>
      </c>
      <c r="AF400" t="e">
        <f>VLOOKUP($Z400,'oddspedia-matches'!$A:$AD,AF$2,0)</f>
        <v>#N/A</v>
      </c>
      <c r="AG400" t="e">
        <f>VLOOKUP($Z400,'oddspedia-matches'!$A:$AD,AG$2,0)</f>
        <v>#N/A</v>
      </c>
      <c r="AH400" t="e">
        <f>VLOOKUP($Z400,'oddspedia-matches'!$A:$AD,AH$2,0)</f>
        <v>#N/A</v>
      </c>
      <c r="AI400" t="e">
        <f>VLOOKUP($Z400,'oddspedia-matches'!$A:$AD,AI$2,0)</f>
        <v>#N/A</v>
      </c>
      <c r="AJ400" t="e">
        <f>VLOOKUP($Z400,'oddspedia-matches'!$A:$AD,AJ$2,0)</f>
        <v>#N/A</v>
      </c>
      <c r="AK400" t="e">
        <f>VLOOKUP($Z400,'oddspedia-matches'!$A:$AD,AK$2,0)</f>
        <v>#N/A</v>
      </c>
      <c r="AL400" t="e">
        <f>VLOOKUP($Z400,'oddspedia-matches'!$A:$AD,AL$2,0)</f>
        <v>#N/A</v>
      </c>
      <c r="AM400" t="e">
        <f>VLOOKUP($Z400,'oddspedia-matches'!$A:$AD,AM$2,0)</f>
        <v>#N/A</v>
      </c>
      <c r="AN400" t="e">
        <f>VLOOKUP($Z400,'oddspedia-matches'!$A:$AD,AN$2,0)</f>
        <v>#N/A</v>
      </c>
      <c r="AO400" t="e">
        <f>VLOOKUP($Z400,'oddspedia-matches'!$A:$AD,AO$2,0)</f>
        <v>#N/A</v>
      </c>
      <c r="AP400" t="e">
        <f>VLOOKUP($Z400,'oddspedia-matches'!$A:$AD,AP$2,0)</f>
        <v>#N/A</v>
      </c>
      <c r="AQ400" t="e">
        <f>VLOOKUP($Z400,'oddspedia-matches'!$A:$AD,AQ$2,0)</f>
        <v>#N/A</v>
      </c>
    </row>
    <row r="401" spans="2:43" x14ac:dyDescent="0.2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>
        <f>VLOOKUP(E401,'Transform table'!A:B,2,0)</f>
        <v>0</v>
      </c>
      <c r="Y401" t="e">
        <f>VLOOKUP(F401,'Transform table'!A:B,2,0)</f>
        <v>#N/A</v>
      </c>
      <c r="Z401" t="e">
        <f t="shared" si="6"/>
        <v>#N/A</v>
      </c>
      <c r="AA401" t="e">
        <f>VLOOKUP($Z401,'oddspedia-matches'!$A:$AD,AA$2,0)</f>
        <v>#N/A</v>
      </c>
      <c r="AB401" t="e">
        <f>VLOOKUP($Z401,'oddspedia-matches'!$A:$AD,AB$2,0)</f>
        <v>#N/A</v>
      </c>
      <c r="AC401" t="e">
        <f>VLOOKUP($Z401,'oddspedia-matches'!$A:$AD,AC$2,0)</f>
        <v>#N/A</v>
      </c>
      <c r="AD401" t="e">
        <f>VLOOKUP($Z401,'oddspedia-matches'!$A:$AD,AD$2,0)</f>
        <v>#N/A</v>
      </c>
      <c r="AE401" t="e">
        <f>VLOOKUP($Z401,'oddspedia-matches'!$A:$AD,AE$2,0)</f>
        <v>#N/A</v>
      </c>
      <c r="AF401" t="e">
        <f>VLOOKUP($Z401,'oddspedia-matches'!$A:$AD,AF$2,0)</f>
        <v>#N/A</v>
      </c>
      <c r="AG401" t="e">
        <f>VLOOKUP($Z401,'oddspedia-matches'!$A:$AD,AG$2,0)</f>
        <v>#N/A</v>
      </c>
      <c r="AH401" t="e">
        <f>VLOOKUP($Z401,'oddspedia-matches'!$A:$AD,AH$2,0)</f>
        <v>#N/A</v>
      </c>
      <c r="AI401" t="e">
        <f>VLOOKUP($Z401,'oddspedia-matches'!$A:$AD,AI$2,0)</f>
        <v>#N/A</v>
      </c>
      <c r="AJ401" t="e">
        <f>VLOOKUP($Z401,'oddspedia-matches'!$A:$AD,AJ$2,0)</f>
        <v>#N/A</v>
      </c>
      <c r="AK401" t="e">
        <f>VLOOKUP($Z401,'oddspedia-matches'!$A:$AD,AK$2,0)</f>
        <v>#N/A</v>
      </c>
      <c r="AL401" t="e">
        <f>VLOOKUP($Z401,'oddspedia-matches'!$A:$AD,AL$2,0)</f>
        <v>#N/A</v>
      </c>
      <c r="AM401" t="e">
        <f>VLOOKUP($Z401,'oddspedia-matches'!$A:$AD,AM$2,0)</f>
        <v>#N/A</v>
      </c>
      <c r="AN401" t="e">
        <f>VLOOKUP($Z401,'oddspedia-matches'!$A:$AD,AN$2,0)</f>
        <v>#N/A</v>
      </c>
      <c r="AO401" t="e">
        <f>VLOOKUP($Z401,'oddspedia-matches'!$A:$AD,AO$2,0)</f>
        <v>#N/A</v>
      </c>
      <c r="AP401" t="e">
        <f>VLOOKUP($Z401,'oddspedia-matches'!$A:$AD,AP$2,0)</f>
        <v>#N/A</v>
      </c>
      <c r="AQ401" t="e">
        <f>VLOOKUP($Z401,'oddspedia-matches'!$A:$AD,AQ$2,0)</f>
        <v>#N/A</v>
      </c>
    </row>
    <row r="402" spans="2:43" x14ac:dyDescent="0.2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tr">
        <f>VLOOKUP(E402,'Transform table'!A:B,2,0)</f>
        <v>NK Bravo</v>
      </c>
      <c r="Y402" t="e">
        <f>VLOOKUP(F402,'Transform table'!A:B,2,0)</f>
        <v>#N/A</v>
      </c>
      <c r="Z402" t="e">
        <f t="shared" si="6"/>
        <v>#N/A</v>
      </c>
      <c r="AA402" t="e">
        <f>VLOOKUP($Z402,'oddspedia-matches'!$A:$AD,AA$2,0)</f>
        <v>#N/A</v>
      </c>
      <c r="AB402" t="e">
        <f>VLOOKUP($Z402,'oddspedia-matches'!$A:$AD,AB$2,0)</f>
        <v>#N/A</v>
      </c>
      <c r="AC402" t="e">
        <f>VLOOKUP($Z402,'oddspedia-matches'!$A:$AD,AC$2,0)</f>
        <v>#N/A</v>
      </c>
      <c r="AD402" t="e">
        <f>VLOOKUP($Z402,'oddspedia-matches'!$A:$AD,AD$2,0)</f>
        <v>#N/A</v>
      </c>
      <c r="AE402" t="e">
        <f>VLOOKUP($Z402,'oddspedia-matches'!$A:$AD,AE$2,0)</f>
        <v>#N/A</v>
      </c>
      <c r="AF402" t="e">
        <f>VLOOKUP($Z402,'oddspedia-matches'!$A:$AD,AF$2,0)</f>
        <v>#N/A</v>
      </c>
      <c r="AG402" t="e">
        <f>VLOOKUP($Z402,'oddspedia-matches'!$A:$AD,AG$2,0)</f>
        <v>#N/A</v>
      </c>
      <c r="AH402" t="e">
        <f>VLOOKUP($Z402,'oddspedia-matches'!$A:$AD,AH$2,0)</f>
        <v>#N/A</v>
      </c>
      <c r="AI402" t="e">
        <f>VLOOKUP($Z402,'oddspedia-matches'!$A:$AD,AI$2,0)</f>
        <v>#N/A</v>
      </c>
      <c r="AJ402" t="e">
        <f>VLOOKUP($Z402,'oddspedia-matches'!$A:$AD,AJ$2,0)</f>
        <v>#N/A</v>
      </c>
      <c r="AK402" t="e">
        <f>VLOOKUP($Z402,'oddspedia-matches'!$A:$AD,AK$2,0)</f>
        <v>#N/A</v>
      </c>
      <c r="AL402" t="e">
        <f>VLOOKUP($Z402,'oddspedia-matches'!$A:$AD,AL$2,0)</f>
        <v>#N/A</v>
      </c>
      <c r="AM402" t="e">
        <f>VLOOKUP($Z402,'oddspedia-matches'!$A:$AD,AM$2,0)</f>
        <v>#N/A</v>
      </c>
      <c r="AN402" t="e">
        <f>VLOOKUP($Z402,'oddspedia-matches'!$A:$AD,AN$2,0)</f>
        <v>#N/A</v>
      </c>
      <c r="AO402" t="e">
        <f>VLOOKUP($Z402,'oddspedia-matches'!$A:$AD,AO$2,0)</f>
        <v>#N/A</v>
      </c>
      <c r="AP402" t="e">
        <f>VLOOKUP($Z402,'oddspedia-matches'!$A:$AD,AP$2,0)</f>
        <v>#N/A</v>
      </c>
      <c r="AQ402" t="e">
        <f>VLOOKUP($Z402,'oddspedia-matches'!$A:$AD,AQ$2,0)</f>
        <v>#N/A</v>
      </c>
    </row>
    <row r="403" spans="2:43" x14ac:dyDescent="0.2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tr">
        <f>VLOOKUP(E403,'Transform table'!A:B,2,0)</f>
        <v>Debreceni VSC</v>
      </c>
      <c r="Y403" t="e">
        <f>VLOOKUP(F403,'Transform table'!A:B,2,0)</f>
        <v>#N/A</v>
      </c>
      <c r="Z403" t="e">
        <f t="shared" si="6"/>
        <v>#N/A</v>
      </c>
      <c r="AA403" t="e">
        <f>VLOOKUP($Z403,'oddspedia-matches'!$A:$AD,AA$2,0)</f>
        <v>#N/A</v>
      </c>
      <c r="AB403" t="e">
        <f>VLOOKUP($Z403,'oddspedia-matches'!$A:$AD,AB$2,0)</f>
        <v>#N/A</v>
      </c>
      <c r="AC403" t="e">
        <f>VLOOKUP($Z403,'oddspedia-matches'!$A:$AD,AC$2,0)</f>
        <v>#N/A</v>
      </c>
      <c r="AD403" t="e">
        <f>VLOOKUP($Z403,'oddspedia-matches'!$A:$AD,AD$2,0)</f>
        <v>#N/A</v>
      </c>
      <c r="AE403" t="e">
        <f>VLOOKUP($Z403,'oddspedia-matches'!$A:$AD,AE$2,0)</f>
        <v>#N/A</v>
      </c>
      <c r="AF403" t="e">
        <f>VLOOKUP($Z403,'oddspedia-matches'!$A:$AD,AF$2,0)</f>
        <v>#N/A</v>
      </c>
      <c r="AG403" t="e">
        <f>VLOOKUP($Z403,'oddspedia-matches'!$A:$AD,AG$2,0)</f>
        <v>#N/A</v>
      </c>
      <c r="AH403" t="e">
        <f>VLOOKUP($Z403,'oddspedia-matches'!$A:$AD,AH$2,0)</f>
        <v>#N/A</v>
      </c>
      <c r="AI403" t="e">
        <f>VLOOKUP($Z403,'oddspedia-matches'!$A:$AD,AI$2,0)</f>
        <v>#N/A</v>
      </c>
      <c r="AJ403" t="e">
        <f>VLOOKUP($Z403,'oddspedia-matches'!$A:$AD,AJ$2,0)</f>
        <v>#N/A</v>
      </c>
      <c r="AK403" t="e">
        <f>VLOOKUP($Z403,'oddspedia-matches'!$A:$AD,AK$2,0)</f>
        <v>#N/A</v>
      </c>
      <c r="AL403" t="e">
        <f>VLOOKUP($Z403,'oddspedia-matches'!$A:$AD,AL$2,0)</f>
        <v>#N/A</v>
      </c>
      <c r="AM403" t="e">
        <f>VLOOKUP($Z403,'oddspedia-matches'!$A:$AD,AM$2,0)</f>
        <v>#N/A</v>
      </c>
      <c r="AN403" t="e">
        <f>VLOOKUP($Z403,'oddspedia-matches'!$A:$AD,AN$2,0)</f>
        <v>#N/A</v>
      </c>
      <c r="AO403" t="e">
        <f>VLOOKUP($Z403,'oddspedia-matches'!$A:$AD,AO$2,0)</f>
        <v>#N/A</v>
      </c>
      <c r="AP403" t="e">
        <f>VLOOKUP($Z403,'oddspedia-matches'!$A:$AD,AP$2,0)</f>
        <v>#N/A</v>
      </c>
      <c r="AQ403" t="e">
        <f>VLOOKUP($Z403,'oddspedia-matches'!$A:$AD,AQ$2,0)</f>
        <v>#N/A</v>
      </c>
    </row>
    <row r="404" spans="2:43" x14ac:dyDescent="0.2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tr">
        <f>VLOOKUP(E404,'Transform table'!A:B,2,0)</f>
        <v>FK Auda</v>
      </c>
      <c r="Y404" t="e">
        <f>VLOOKUP(F404,'Transform table'!A:B,2,0)</f>
        <v>#N/A</v>
      </c>
      <c r="Z404" t="e">
        <f t="shared" si="6"/>
        <v>#N/A</v>
      </c>
      <c r="AA404" t="e">
        <f>VLOOKUP($Z404,'oddspedia-matches'!$A:$AD,AA$2,0)</f>
        <v>#N/A</v>
      </c>
      <c r="AB404" t="e">
        <f>VLOOKUP($Z404,'oddspedia-matches'!$A:$AD,AB$2,0)</f>
        <v>#N/A</v>
      </c>
      <c r="AC404" t="e">
        <f>VLOOKUP($Z404,'oddspedia-matches'!$A:$AD,AC$2,0)</f>
        <v>#N/A</v>
      </c>
      <c r="AD404" t="e">
        <f>VLOOKUP($Z404,'oddspedia-matches'!$A:$AD,AD$2,0)</f>
        <v>#N/A</v>
      </c>
      <c r="AE404" t="e">
        <f>VLOOKUP($Z404,'oddspedia-matches'!$A:$AD,AE$2,0)</f>
        <v>#N/A</v>
      </c>
      <c r="AF404" t="e">
        <f>VLOOKUP($Z404,'oddspedia-matches'!$A:$AD,AF$2,0)</f>
        <v>#N/A</v>
      </c>
      <c r="AG404" t="e">
        <f>VLOOKUP($Z404,'oddspedia-matches'!$A:$AD,AG$2,0)</f>
        <v>#N/A</v>
      </c>
      <c r="AH404" t="e">
        <f>VLOOKUP($Z404,'oddspedia-matches'!$A:$AD,AH$2,0)</f>
        <v>#N/A</v>
      </c>
      <c r="AI404" t="e">
        <f>VLOOKUP($Z404,'oddspedia-matches'!$A:$AD,AI$2,0)</f>
        <v>#N/A</v>
      </c>
      <c r="AJ404" t="e">
        <f>VLOOKUP($Z404,'oddspedia-matches'!$A:$AD,AJ$2,0)</f>
        <v>#N/A</v>
      </c>
      <c r="AK404" t="e">
        <f>VLOOKUP($Z404,'oddspedia-matches'!$A:$AD,AK$2,0)</f>
        <v>#N/A</v>
      </c>
      <c r="AL404" t="e">
        <f>VLOOKUP($Z404,'oddspedia-matches'!$A:$AD,AL$2,0)</f>
        <v>#N/A</v>
      </c>
      <c r="AM404" t="e">
        <f>VLOOKUP($Z404,'oddspedia-matches'!$A:$AD,AM$2,0)</f>
        <v>#N/A</v>
      </c>
      <c r="AN404" t="e">
        <f>VLOOKUP($Z404,'oddspedia-matches'!$A:$AD,AN$2,0)</f>
        <v>#N/A</v>
      </c>
      <c r="AO404" t="e">
        <f>VLOOKUP($Z404,'oddspedia-matches'!$A:$AD,AO$2,0)</f>
        <v>#N/A</v>
      </c>
      <c r="AP404" t="e">
        <f>VLOOKUP($Z404,'oddspedia-matches'!$A:$AD,AP$2,0)</f>
        <v>#N/A</v>
      </c>
      <c r="AQ404" t="e">
        <f>VLOOKUP($Z404,'oddspedia-matches'!$A:$AD,AQ$2,0)</f>
        <v>#N/A</v>
      </c>
    </row>
    <row r="405" spans="2:43" x14ac:dyDescent="0.2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>
        <f>VLOOKUP(E405,'Transform table'!A:B,2,0)</f>
        <v>0</v>
      </c>
      <c r="Y405" t="e">
        <f>VLOOKUP(F405,'Transform table'!A:B,2,0)</f>
        <v>#N/A</v>
      </c>
      <c r="Z405" t="e">
        <f t="shared" si="6"/>
        <v>#N/A</v>
      </c>
      <c r="AA405" t="e">
        <f>VLOOKUP($Z405,'oddspedia-matches'!$A:$AD,AA$2,0)</f>
        <v>#N/A</v>
      </c>
      <c r="AB405" t="e">
        <f>VLOOKUP($Z405,'oddspedia-matches'!$A:$AD,AB$2,0)</f>
        <v>#N/A</v>
      </c>
      <c r="AC405" t="e">
        <f>VLOOKUP($Z405,'oddspedia-matches'!$A:$AD,AC$2,0)</f>
        <v>#N/A</v>
      </c>
      <c r="AD405" t="e">
        <f>VLOOKUP($Z405,'oddspedia-matches'!$A:$AD,AD$2,0)</f>
        <v>#N/A</v>
      </c>
      <c r="AE405" t="e">
        <f>VLOOKUP($Z405,'oddspedia-matches'!$A:$AD,AE$2,0)</f>
        <v>#N/A</v>
      </c>
      <c r="AF405" t="e">
        <f>VLOOKUP($Z405,'oddspedia-matches'!$A:$AD,AF$2,0)</f>
        <v>#N/A</v>
      </c>
      <c r="AG405" t="e">
        <f>VLOOKUP($Z405,'oddspedia-matches'!$A:$AD,AG$2,0)</f>
        <v>#N/A</v>
      </c>
      <c r="AH405" t="e">
        <f>VLOOKUP($Z405,'oddspedia-matches'!$A:$AD,AH$2,0)</f>
        <v>#N/A</v>
      </c>
      <c r="AI405" t="e">
        <f>VLOOKUP($Z405,'oddspedia-matches'!$A:$AD,AI$2,0)</f>
        <v>#N/A</v>
      </c>
      <c r="AJ405" t="e">
        <f>VLOOKUP($Z405,'oddspedia-matches'!$A:$AD,AJ$2,0)</f>
        <v>#N/A</v>
      </c>
      <c r="AK405" t="e">
        <f>VLOOKUP($Z405,'oddspedia-matches'!$A:$AD,AK$2,0)</f>
        <v>#N/A</v>
      </c>
      <c r="AL405" t="e">
        <f>VLOOKUP($Z405,'oddspedia-matches'!$A:$AD,AL$2,0)</f>
        <v>#N/A</v>
      </c>
      <c r="AM405" t="e">
        <f>VLOOKUP($Z405,'oddspedia-matches'!$A:$AD,AM$2,0)</f>
        <v>#N/A</v>
      </c>
      <c r="AN405" t="e">
        <f>VLOOKUP($Z405,'oddspedia-matches'!$A:$AD,AN$2,0)</f>
        <v>#N/A</v>
      </c>
      <c r="AO405" t="e">
        <f>VLOOKUP($Z405,'oddspedia-matches'!$A:$AD,AO$2,0)</f>
        <v>#N/A</v>
      </c>
      <c r="AP405" t="e">
        <f>VLOOKUP($Z405,'oddspedia-matches'!$A:$AD,AP$2,0)</f>
        <v>#N/A</v>
      </c>
      <c r="AQ405" t="e">
        <f>VLOOKUP($Z405,'oddspedia-matches'!$A:$AD,AQ$2,0)</f>
        <v>#N/A</v>
      </c>
    </row>
    <row r="406" spans="2:43" x14ac:dyDescent="0.2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tr">
        <f>VLOOKUP(E406,'Transform table'!A:B,2,0)</f>
        <v>Puerto Nuevo</v>
      </c>
      <c r="Y406" t="e">
        <f>VLOOKUP(F406,'Transform table'!A:B,2,0)</f>
        <v>#N/A</v>
      </c>
      <c r="Z406" t="e">
        <f t="shared" si="6"/>
        <v>#N/A</v>
      </c>
      <c r="AA406" t="e">
        <f>VLOOKUP($Z406,'oddspedia-matches'!$A:$AD,AA$2,0)</f>
        <v>#N/A</v>
      </c>
      <c r="AB406" t="e">
        <f>VLOOKUP($Z406,'oddspedia-matches'!$A:$AD,AB$2,0)</f>
        <v>#N/A</v>
      </c>
      <c r="AC406" t="e">
        <f>VLOOKUP($Z406,'oddspedia-matches'!$A:$AD,AC$2,0)</f>
        <v>#N/A</v>
      </c>
      <c r="AD406" t="e">
        <f>VLOOKUP($Z406,'oddspedia-matches'!$A:$AD,AD$2,0)</f>
        <v>#N/A</v>
      </c>
      <c r="AE406" t="e">
        <f>VLOOKUP($Z406,'oddspedia-matches'!$A:$AD,AE$2,0)</f>
        <v>#N/A</v>
      </c>
      <c r="AF406" t="e">
        <f>VLOOKUP($Z406,'oddspedia-matches'!$A:$AD,AF$2,0)</f>
        <v>#N/A</v>
      </c>
      <c r="AG406" t="e">
        <f>VLOOKUP($Z406,'oddspedia-matches'!$A:$AD,AG$2,0)</f>
        <v>#N/A</v>
      </c>
      <c r="AH406" t="e">
        <f>VLOOKUP($Z406,'oddspedia-matches'!$A:$AD,AH$2,0)</f>
        <v>#N/A</v>
      </c>
      <c r="AI406" t="e">
        <f>VLOOKUP($Z406,'oddspedia-matches'!$A:$AD,AI$2,0)</f>
        <v>#N/A</v>
      </c>
      <c r="AJ406" t="e">
        <f>VLOOKUP($Z406,'oddspedia-matches'!$A:$AD,AJ$2,0)</f>
        <v>#N/A</v>
      </c>
      <c r="AK406" t="e">
        <f>VLOOKUP($Z406,'oddspedia-matches'!$A:$AD,AK$2,0)</f>
        <v>#N/A</v>
      </c>
      <c r="AL406" t="e">
        <f>VLOOKUP($Z406,'oddspedia-matches'!$A:$AD,AL$2,0)</f>
        <v>#N/A</v>
      </c>
      <c r="AM406" t="e">
        <f>VLOOKUP($Z406,'oddspedia-matches'!$A:$AD,AM$2,0)</f>
        <v>#N/A</v>
      </c>
      <c r="AN406" t="e">
        <f>VLOOKUP($Z406,'oddspedia-matches'!$A:$AD,AN$2,0)</f>
        <v>#N/A</v>
      </c>
      <c r="AO406" t="e">
        <f>VLOOKUP($Z406,'oddspedia-matches'!$A:$AD,AO$2,0)</f>
        <v>#N/A</v>
      </c>
      <c r="AP406" t="e">
        <f>VLOOKUP($Z406,'oddspedia-matches'!$A:$AD,AP$2,0)</f>
        <v>#N/A</v>
      </c>
      <c r="AQ406" t="e">
        <f>VLOOKUP($Z406,'oddspedia-matches'!$A:$AD,AQ$2,0)</f>
        <v>#N/A</v>
      </c>
    </row>
    <row r="407" spans="2:43" x14ac:dyDescent="0.2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>
        <f>VLOOKUP(E407,'Transform table'!A:B,2,0)</f>
        <v>0</v>
      </c>
      <c r="Y407" t="e">
        <f>VLOOKUP(F407,'Transform table'!A:B,2,0)</f>
        <v>#N/A</v>
      </c>
      <c r="Z407" t="e">
        <f t="shared" si="6"/>
        <v>#N/A</v>
      </c>
      <c r="AA407" t="e">
        <f>VLOOKUP($Z407,'oddspedia-matches'!$A:$AD,AA$2,0)</f>
        <v>#N/A</v>
      </c>
      <c r="AB407" t="e">
        <f>VLOOKUP($Z407,'oddspedia-matches'!$A:$AD,AB$2,0)</f>
        <v>#N/A</v>
      </c>
      <c r="AC407" t="e">
        <f>VLOOKUP($Z407,'oddspedia-matches'!$A:$AD,AC$2,0)</f>
        <v>#N/A</v>
      </c>
      <c r="AD407" t="e">
        <f>VLOOKUP($Z407,'oddspedia-matches'!$A:$AD,AD$2,0)</f>
        <v>#N/A</v>
      </c>
      <c r="AE407" t="e">
        <f>VLOOKUP($Z407,'oddspedia-matches'!$A:$AD,AE$2,0)</f>
        <v>#N/A</v>
      </c>
      <c r="AF407" t="e">
        <f>VLOOKUP($Z407,'oddspedia-matches'!$A:$AD,AF$2,0)</f>
        <v>#N/A</v>
      </c>
      <c r="AG407" t="e">
        <f>VLOOKUP($Z407,'oddspedia-matches'!$A:$AD,AG$2,0)</f>
        <v>#N/A</v>
      </c>
      <c r="AH407" t="e">
        <f>VLOOKUP($Z407,'oddspedia-matches'!$A:$AD,AH$2,0)</f>
        <v>#N/A</v>
      </c>
      <c r="AI407" t="e">
        <f>VLOOKUP($Z407,'oddspedia-matches'!$A:$AD,AI$2,0)</f>
        <v>#N/A</v>
      </c>
      <c r="AJ407" t="e">
        <f>VLOOKUP($Z407,'oddspedia-matches'!$A:$AD,AJ$2,0)</f>
        <v>#N/A</v>
      </c>
      <c r="AK407" t="e">
        <f>VLOOKUP($Z407,'oddspedia-matches'!$A:$AD,AK$2,0)</f>
        <v>#N/A</v>
      </c>
      <c r="AL407" t="e">
        <f>VLOOKUP($Z407,'oddspedia-matches'!$A:$AD,AL$2,0)</f>
        <v>#N/A</v>
      </c>
      <c r="AM407" t="e">
        <f>VLOOKUP($Z407,'oddspedia-matches'!$A:$AD,AM$2,0)</f>
        <v>#N/A</v>
      </c>
      <c r="AN407" t="e">
        <f>VLOOKUP($Z407,'oddspedia-matches'!$A:$AD,AN$2,0)</f>
        <v>#N/A</v>
      </c>
      <c r="AO407" t="e">
        <f>VLOOKUP($Z407,'oddspedia-matches'!$A:$AD,AO$2,0)</f>
        <v>#N/A</v>
      </c>
      <c r="AP407" t="e">
        <f>VLOOKUP($Z407,'oddspedia-matches'!$A:$AD,AP$2,0)</f>
        <v>#N/A</v>
      </c>
      <c r="AQ407" t="e">
        <f>VLOOKUP($Z407,'oddspedia-matches'!$A:$AD,AQ$2,0)</f>
        <v>#N/A</v>
      </c>
    </row>
    <row r="408" spans="2:43" x14ac:dyDescent="0.2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>
        <f>VLOOKUP(E408,'Transform table'!A:B,2,0)</f>
        <v>0</v>
      </c>
      <c r="Y408" t="e">
        <f>VLOOKUP(F408,'Transform table'!A:B,2,0)</f>
        <v>#N/A</v>
      </c>
      <c r="Z408" t="e">
        <f t="shared" si="6"/>
        <v>#N/A</v>
      </c>
      <c r="AA408" t="e">
        <f>VLOOKUP($Z408,'oddspedia-matches'!$A:$AD,AA$2,0)</f>
        <v>#N/A</v>
      </c>
      <c r="AB408" t="e">
        <f>VLOOKUP($Z408,'oddspedia-matches'!$A:$AD,AB$2,0)</f>
        <v>#N/A</v>
      </c>
      <c r="AC408" t="e">
        <f>VLOOKUP($Z408,'oddspedia-matches'!$A:$AD,AC$2,0)</f>
        <v>#N/A</v>
      </c>
      <c r="AD408" t="e">
        <f>VLOOKUP($Z408,'oddspedia-matches'!$A:$AD,AD$2,0)</f>
        <v>#N/A</v>
      </c>
      <c r="AE408" t="e">
        <f>VLOOKUP($Z408,'oddspedia-matches'!$A:$AD,AE$2,0)</f>
        <v>#N/A</v>
      </c>
      <c r="AF408" t="e">
        <f>VLOOKUP($Z408,'oddspedia-matches'!$A:$AD,AF$2,0)</f>
        <v>#N/A</v>
      </c>
      <c r="AG408" t="e">
        <f>VLOOKUP($Z408,'oddspedia-matches'!$A:$AD,AG$2,0)</f>
        <v>#N/A</v>
      </c>
      <c r="AH408" t="e">
        <f>VLOOKUP($Z408,'oddspedia-matches'!$A:$AD,AH$2,0)</f>
        <v>#N/A</v>
      </c>
      <c r="AI408" t="e">
        <f>VLOOKUP($Z408,'oddspedia-matches'!$A:$AD,AI$2,0)</f>
        <v>#N/A</v>
      </c>
      <c r="AJ408" t="e">
        <f>VLOOKUP($Z408,'oddspedia-matches'!$A:$AD,AJ$2,0)</f>
        <v>#N/A</v>
      </c>
      <c r="AK408" t="e">
        <f>VLOOKUP($Z408,'oddspedia-matches'!$A:$AD,AK$2,0)</f>
        <v>#N/A</v>
      </c>
      <c r="AL408" t="e">
        <f>VLOOKUP($Z408,'oddspedia-matches'!$A:$AD,AL$2,0)</f>
        <v>#N/A</v>
      </c>
      <c r="AM408" t="e">
        <f>VLOOKUP($Z408,'oddspedia-matches'!$A:$AD,AM$2,0)</f>
        <v>#N/A</v>
      </c>
      <c r="AN408" t="e">
        <f>VLOOKUP($Z408,'oddspedia-matches'!$A:$AD,AN$2,0)</f>
        <v>#N/A</v>
      </c>
      <c r="AO408" t="e">
        <f>VLOOKUP($Z408,'oddspedia-matches'!$A:$AD,AO$2,0)</f>
        <v>#N/A</v>
      </c>
      <c r="AP408" t="e">
        <f>VLOOKUP($Z408,'oddspedia-matches'!$A:$AD,AP$2,0)</f>
        <v>#N/A</v>
      </c>
      <c r="AQ408" t="e">
        <f>VLOOKUP($Z408,'oddspedia-matches'!$A:$AD,AQ$2,0)</f>
        <v>#N/A</v>
      </c>
    </row>
    <row r="409" spans="2:43" x14ac:dyDescent="0.2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>
        <f>VLOOKUP(E409,'Transform table'!A:B,2,0)</f>
        <v>0</v>
      </c>
      <c r="Y409" t="e">
        <f>VLOOKUP(F409,'Transform table'!A:B,2,0)</f>
        <v>#N/A</v>
      </c>
      <c r="Z409" t="e">
        <f t="shared" si="6"/>
        <v>#N/A</v>
      </c>
      <c r="AA409" t="e">
        <f>VLOOKUP($Z409,'oddspedia-matches'!$A:$AD,AA$2,0)</f>
        <v>#N/A</v>
      </c>
      <c r="AB409" t="e">
        <f>VLOOKUP($Z409,'oddspedia-matches'!$A:$AD,AB$2,0)</f>
        <v>#N/A</v>
      </c>
      <c r="AC409" t="e">
        <f>VLOOKUP($Z409,'oddspedia-matches'!$A:$AD,AC$2,0)</f>
        <v>#N/A</v>
      </c>
      <c r="AD409" t="e">
        <f>VLOOKUP($Z409,'oddspedia-matches'!$A:$AD,AD$2,0)</f>
        <v>#N/A</v>
      </c>
      <c r="AE409" t="e">
        <f>VLOOKUP($Z409,'oddspedia-matches'!$A:$AD,AE$2,0)</f>
        <v>#N/A</v>
      </c>
      <c r="AF409" t="e">
        <f>VLOOKUP($Z409,'oddspedia-matches'!$A:$AD,AF$2,0)</f>
        <v>#N/A</v>
      </c>
      <c r="AG409" t="e">
        <f>VLOOKUP($Z409,'oddspedia-matches'!$A:$AD,AG$2,0)</f>
        <v>#N/A</v>
      </c>
      <c r="AH409" t="e">
        <f>VLOOKUP($Z409,'oddspedia-matches'!$A:$AD,AH$2,0)</f>
        <v>#N/A</v>
      </c>
      <c r="AI409" t="e">
        <f>VLOOKUP($Z409,'oddspedia-matches'!$A:$AD,AI$2,0)</f>
        <v>#N/A</v>
      </c>
      <c r="AJ409" t="e">
        <f>VLOOKUP($Z409,'oddspedia-matches'!$A:$AD,AJ$2,0)</f>
        <v>#N/A</v>
      </c>
      <c r="AK409" t="e">
        <f>VLOOKUP($Z409,'oddspedia-matches'!$A:$AD,AK$2,0)</f>
        <v>#N/A</v>
      </c>
      <c r="AL409" t="e">
        <f>VLOOKUP($Z409,'oddspedia-matches'!$A:$AD,AL$2,0)</f>
        <v>#N/A</v>
      </c>
      <c r="AM409" t="e">
        <f>VLOOKUP($Z409,'oddspedia-matches'!$A:$AD,AM$2,0)</f>
        <v>#N/A</v>
      </c>
      <c r="AN409" t="e">
        <f>VLOOKUP($Z409,'oddspedia-matches'!$A:$AD,AN$2,0)</f>
        <v>#N/A</v>
      </c>
      <c r="AO409" t="e">
        <f>VLOOKUP($Z409,'oddspedia-matches'!$A:$AD,AO$2,0)</f>
        <v>#N/A</v>
      </c>
      <c r="AP409" t="e">
        <f>VLOOKUP($Z409,'oddspedia-matches'!$A:$AD,AP$2,0)</f>
        <v>#N/A</v>
      </c>
      <c r="AQ409" t="e">
        <f>VLOOKUP($Z409,'oddspedia-matches'!$A:$AD,AQ$2,0)</f>
        <v>#N/A</v>
      </c>
    </row>
    <row r="410" spans="2:43" x14ac:dyDescent="0.2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>
        <f>VLOOKUP(E410,'Transform table'!A:B,2,0)</f>
        <v>0</v>
      </c>
      <c r="Y410" t="e">
        <f>VLOOKUP(F410,'Transform table'!A:B,2,0)</f>
        <v>#N/A</v>
      </c>
      <c r="Z410" t="e">
        <f t="shared" si="6"/>
        <v>#N/A</v>
      </c>
      <c r="AA410" t="e">
        <f>VLOOKUP($Z410,'oddspedia-matches'!$A:$AD,AA$2,0)</f>
        <v>#N/A</v>
      </c>
      <c r="AB410" t="e">
        <f>VLOOKUP($Z410,'oddspedia-matches'!$A:$AD,AB$2,0)</f>
        <v>#N/A</v>
      </c>
      <c r="AC410" t="e">
        <f>VLOOKUP($Z410,'oddspedia-matches'!$A:$AD,AC$2,0)</f>
        <v>#N/A</v>
      </c>
      <c r="AD410" t="e">
        <f>VLOOKUP($Z410,'oddspedia-matches'!$A:$AD,AD$2,0)</f>
        <v>#N/A</v>
      </c>
      <c r="AE410" t="e">
        <f>VLOOKUP($Z410,'oddspedia-matches'!$A:$AD,AE$2,0)</f>
        <v>#N/A</v>
      </c>
      <c r="AF410" t="e">
        <f>VLOOKUP($Z410,'oddspedia-matches'!$A:$AD,AF$2,0)</f>
        <v>#N/A</v>
      </c>
      <c r="AG410" t="e">
        <f>VLOOKUP($Z410,'oddspedia-matches'!$A:$AD,AG$2,0)</f>
        <v>#N/A</v>
      </c>
      <c r="AH410" t="e">
        <f>VLOOKUP($Z410,'oddspedia-matches'!$A:$AD,AH$2,0)</f>
        <v>#N/A</v>
      </c>
      <c r="AI410" t="e">
        <f>VLOOKUP($Z410,'oddspedia-matches'!$A:$AD,AI$2,0)</f>
        <v>#N/A</v>
      </c>
      <c r="AJ410" t="e">
        <f>VLOOKUP($Z410,'oddspedia-matches'!$A:$AD,AJ$2,0)</f>
        <v>#N/A</v>
      </c>
      <c r="AK410" t="e">
        <f>VLOOKUP($Z410,'oddspedia-matches'!$A:$AD,AK$2,0)</f>
        <v>#N/A</v>
      </c>
      <c r="AL410" t="e">
        <f>VLOOKUP($Z410,'oddspedia-matches'!$A:$AD,AL$2,0)</f>
        <v>#N/A</v>
      </c>
      <c r="AM410" t="e">
        <f>VLOOKUP($Z410,'oddspedia-matches'!$A:$AD,AM$2,0)</f>
        <v>#N/A</v>
      </c>
      <c r="AN410" t="e">
        <f>VLOOKUP($Z410,'oddspedia-matches'!$A:$AD,AN$2,0)</f>
        <v>#N/A</v>
      </c>
      <c r="AO410" t="e">
        <f>VLOOKUP($Z410,'oddspedia-matches'!$A:$AD,AO$2,0)</f>
        <v>#N/A</v>
      </c>
      <c r="AP410" t="e">
        <f>VLOOKUP($Z410,'oddspedia-matches'!$A:$AD,AP$2,0)</f>
        <v>#N/A</v>
      </c>
      <c r="AQ410" t="e">
        <f>VLOOKUP($Z410,'oddspedia-matches'!$A:$AD,AQ$2,0)</f>
        <v>#N/A</v>
      </c>
    </row>
    <row r="411" spans="2:43" x14ac:dyDescent="0.2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tr">
        <f>VLOOKUP(E411,'Transform table'!A:B,2,0)</f>
        <v>Red Star Belgrade</v>
      </c>
      <c r="Y411" t="e">
        <f>VLOOKUP(F411,'Transform table'!A:B,2,0)</f>
        <v>#N/A</v>
      </c>
      <c r="Z411" t="e">
        <f t="shared" si="6"/>
        <v>#N/A</v>
      </c>
      <c r="AA411" t="e">
        <f>VLOOKUP($Z411,'oddspedia-matches'!$A:$AD,AA$2,0)</f>
        <v>#N/A</v>
      </c>
      <c r="AB411" t="e">
        <f>VLOOKUP($Z411,'oddspedia-matches'!$A:$AD,AB$2,0)</f>
        <v>#N/A</v>
      </c>
      <c r="AC411" t="e">
        <f>VLOOKUP($Z411,'oddspedia-matches'!$A:$AD,AC$2,0)</f>
        <v>#N/A</v>
      </c>
      <c r="AD411" t="e">
        <f>VLOOKUP($Z411,'oddspedia-matches'!$A:$AD,AD$2,0)</f>
        <v>#N/A</v>
      </c>
      <c r="AE411" t="e">
        <f>VLOOKUP($Z411,'oddspedia-matches'!$A:$AD,AE$2,0)</f>
        <v>#N/A</v>
      </c>
      <c r="AF411" t="e">
        <f>VLOOKUP($Z411,'oddspedia-matches'!$A:$AD,AF$2,0)</f>
        <v>#N/A</v>
      </c>
      <c r="AG411" t="e">
        <f>VLOOKUP($Z411,'oddspedia-matches'!$A:$AD,AG$2,0)</f>
        <v>#N/A</v>
      </c>
      <c r="AH411" t="e">
        <f>VLOOKUP($Z411,'oddspedia-matches'!$A:$AD,AH$2,0)</f>
        <v>#N/A</v>
      </c>
      <c r="AI411" t="e">
        <f>VLOOKUP($Z411,'oddspedia-matches'!$A:$AD,AI$2,0)</f>
        <v>#N/A</v>
      </c>
      <c r="AJ411" t="e">
        <f>VLOOKUP($Z411,'oddspedia-matches'!$A:$AD,AJ$2,0)</f>
        <v>#N/A</v>
      </c>
      <c r="AK411" t="e">
        <f>VLOOKUP($Z411,'oddspedia-matches'!$A:$AD,AK$2,0)</f>
        <v>#N/A</v>
      </c>
      <c r="AL411" t="e">
        <f>VLOOKUP($Z411,'oddspedia-matches'!$A:$AD,AL$2,0)</f>
        <v>#N/A</v>
      </c>
      <c r="AM411" t="e">
        <f>VLOOKUP($Z411,'oddspedia-matches'!$A:$AD,AM$2,0)</f>
        <v>#N/A</v>
      </c>
      <c r="AN411" t="e">
        <f>VLOOKUP($Z411,'oddspedia-matches'!$A:$AD,AN$2,0)</f>
        <v>#N/A</v>
      </c>
      <c r="AO411" t="e">
        <f>VLOOKUP($Z411,'oddspedia-matches'!$A:$AD,AO$2,0)</f>
        <v>#N/A</v>
      </c>
      <c r="AP411" t="e">
        <f>VLOOKUP($Z411,'oddspedia-matches'!$A:$AD,AP$2,0)</f>
        <v>#N/A</v>
      </c>
      <c r="AQ411" t="e">
        <f>VLOOKUP($Z411,'oddspedia-matches'!$A:$AD,AQ$2,0)</f>
        <v>#N/A</v>
      </c>
    </row>
    <row r="412" spans="2:43" x14ac:dyDescent="0.2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>
        <f>VLOOKUP(E412,'Transform table'!A:B,2,0)</f>
        <v>0</v>
      </c>
      <c r="Y412" t="str">
        <f>VLOOKUP(F412,'Transform table'!A:B,2,0)</f>
        <v>Viking</v>
      </c>
      <c r="Z412" t="str">
        <f t="shared" si="6"/>
        <v>26/07/20260Viking</v>
      </c>
      <c r="AA412" t="e">
        <f>VLOOKUP($Z412,'oddspedia-matches'!$A:$AD,AA$2,0)</f>
        <v>#N/A</v>
      </c>
      <c r="AB412" t="e">
        <f>VLOOKUP($Z412,'oddspedia-matches'!$A:$AD,AB$2,0)</f>
        <v>#N/A</v>
      </c>
      <c r="AC412" t="e">
        <f>VLOOKUP($Z412,'oddspedia-matches'!$A:$AD,AC$2,0)</f>
        <v>#N/A</v>
      </c>
      <c r="AD412" t="e">
        <f>VLOOKUP($Z412,'oddspedia-matches'!$A:$AD,AD$2,0)</f>
        <v>#N/A</v>
      </c>
      <c r="AE412" t="e">
        <f>VLOOKUP($Z412,'oddspedia-matches'!$A:$AD,AE$2,0)</f>
        <v>#N/A</v>
      </c>
      <c r="AF412" t="e">
        <f>VLOOKUP($Z412,'oddspedia-matches'!$A:$AD,AF$2,0)</f>
        <v>#N/A</v>
      </c>
      <c r="AG412" t="e">
        <f>VLOOKUP($Z412,'oddspedia-matches'!$A:$AD,AG$2,0)</f>
        <v>#N/A</v>
      </c>
      <c r="AH412" t="e">
        <f>VLOOKUP($Z412,'oddspedia-matches'!$A:$AD,AH$2,0)</f>
        <v>#N/A</v>
      </c>
      <c r="AI412" t="e">
        <f>VLOOKUP($Z412,'oddspedia-matches'!$A:$AD,AI$2,0)</f>
        <v>#N/A</v>
      </c>
      <c r="AJ412" t="e">
        <f>VLOOKUP($Z412,'oddspedia-matches'!$A:$AD,AJ$2,0)</f>
        <v>#N/A</v>
      </c>
      <c r="AK412" t="e">
        <f>VLOOKUP($Z412,'oddspedia-matches'!$A:$AD,AK$2,0)</f>
        <v>#N/A</v>
      </c>
      <c r="AL412" t="e">
        <f>VLOOKUP($Z412,'oddspedia-matches'!$A:$AD,AL$2,0)</f>
        <v>#N/A</v>
      </c>
      <c r="AM412" t="e">
        <f>VLOOKUP($Z412,'oddspedia-matches'!$A:$AD,AM$2,0)</f>
        <v>#N/A</v>
      </c>
      <c r="AN412" t="e">
        <f>VLOOKUP($Z412,'oddspedia-matches'!$A:$AD,AN$2,0)</f>
        <v>#N/A</v>
      </c>
      <c r="AO412" t="e">
        <f>VLOOKUP($Z412,'oddspedia-matches'!$A:$AD,AO$2,0)</f>
        <v>#N/A</v>
      </c>
      <c r="AP412" t="e">
        <f>VLOOKUP($Z412,'oddspedia-matches'!$A:$AD,AP$2,0)</f>
        <v>#N/A</v>
      </c>
      <c r="AQ412" t="e">
        <f>VLOOKUP($Z412,'oddspedia-matches'!$A:$AD,AQ$2,0)</f>
        <v>#N/A</v>
      </c>
    </row>
    <row r="413" spans="2:43" x14ac:dyDescent="0.2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>
        <f>VLOOKUP(E413,'Transform table'!A:B,2,0)</f>
        <v>0</v>
      </c>
      <c r="Y413" t="e">
        <f>VLOOKUP(F413,'Transform table'!A:B,2,0)</f>
        <v>#N/A</v>
      </c>
      <c r="Z413" t="e">
        <f t="shared" si="6"/>
        <v>#N/A</v>
      </c>
      <c r="AA413" t="e">
        <f>VLOOKUP($Z413,'oddspedia-matches'!$A:$AD,AA$2,0)</f>
        <v>#N/A</v>
      </c>
      <c r="AB413" t="e">
        <f>VLOOKUP($Z413,'oddspedia-matches'!$A:$AD,AB$2,0)</f>
        <v>#N/A</v>
      </c>
      <c r="AC413" t="e">
        <f>VLOOKUP($Z413,'oddspedia-matches'!$A:$AD,AC$2,0)</f>
        <v>#N/A</v>
      </c>
      <c r="AD413" t="e">
        <f>VLOOKUP($Z413,'oddspedia-matches'!$A:$AD,AD$2,0)</f>
        <v>#N/A</v>
      </c>
      <c r="AE413" t="e">
        <f>VLOOKUP($Z413,'oddspedia-matches'!$A:$AD,AE$2,0)</f>
        <v>#N/A</v>
      </c>
      <c r="AF413" t="e">
        <f>VLOOKUP($Z413,'oddspedia-matches'!$A:$AD,AF$2,0)</f>
        <v>#N/A</v>
      </c>
      <c r="AG413" t="e">
        <f>VLOOKUP($Z413,'oddspedia-matches'!$A:$AD,AG$2,0)</f>
        <v>#N/A</v>
      </c>
      <c r="AH413" t="e">
        <f>VLOOKUP($Z413,'oddspedia-matches'!$A:$AD,AH$2,0)</f>
        <v>#N/A</v>
      </c>
      <c r="AI413" t="e">
        <f>VLOOKUP($Z413,'oddspedia-matches'!$A:$AD,AI$2,0)</f>
        <v>#N/A</v>
      </c>
      <c r="AJ413" t="e">
        <f>VLOOKUP($Z413,'oddspedia-matches'!$A:$AD,AJ$2,0)</f>
        <v>#N/A</v>
      </c>
      <c r="AK413" t="e">
        <f>VLOOKUP($Z413,'oddspedia-matches'!$A:$AD,AK$2,0)</f>
        <v>#N/A</v>
      </c>
      <c r="AL413" t="e">
        <f>VLOOKUP($Z413,'oddspedia-matches'!$A:$AD,AL$2,0)</f>
        <v>#N/A</v>
      </c>
      <c r="AM413" t="e">
        <f>VLOOKUP($Z413,'oddspedia-matches'!$A:$AD,AM$2,0)</f>
        <v>#N/A</v>
      </c>
      <c r="AN413" t="e">
        <f>VLOOKUP($Z413,'oddspedia-matches'!$A:$AD,AN$2,0)</f>
        <v>#N/A</v>
      </c>
      <c r="AO413" t="e">
        <f>VLOOKUP($Z413,'oddspedia-matches'!$A:$AD,AO$2,0)</f>
        <v>#N/A</v>
      </c>
      <c r="AP413" t="e">
        <f>VLOOKUP($Z413,'oddspedia-matches'!$A:$AD,AP$2,0)</f>
        <v>#N/A</v>
      </c>
      <c r="AQ413" t="e">
        <f>VLOOKUP($Z413,'oddspedia-matches'!$A:$AD,AQ$2,0)</f>
        <v>#N/A</v>
      </c>
    </row>
    <row r="414" spans="2:43" x14ac:dyDescent="0.2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tr">
        <f>VLOOKUP(E414,'Transform table'!A:B,2,0)</f>
        <v>Csikszereda Miercurea Ciuc</v>
      </c>
      <c r="Y414" t="e">
        <f>VLOOKUP(F414,'Transform table'!A:B,2,0)</f>
        <v>#N/A</v>
      </c>
      <c r="Z414" t="e">
        <f t="shared" si="6"/>
        <v>#N/A</v>
      </c>
      <c r="AA414" t="e">
        <f>VLOOKUP($Z414,'oddspedia-matches'!$A:$AD,AA$2,0)</f>
        <v>#N/A</v>
      </c>
      <c r="AB414" t="e">
        <f>VLOOKUP($Z414,'oddspedia-matches'!$A:$AD,AB$2,0)</f>
        <v>#N/A</v>
      </c>
      <c r="AC414" t="e">
        <f>VLOOKUP($Z414,'oddspedia-matches'!$A:$AD,AC$2,0)</f>
        <v>#N/A</v>
      </c>
      <c r="AD414" t="e">
        <f>VLOOKUP($Z414,'oddspedia-matches'!$A:$AD,AD$2,0)</f>
        <v>#N/A</v>
      </c>
      <c r="AE414" t="e">
        <f>VLOOKUP($Z414,'oddspedia-matches'!$A:$AD,AE$2,0)</f>
        <v>#N/A</v>
      </c>
      <c r="AF414" t="e">
        <f>VLOOKUP($Z414,'oddspedia-matches'!$A:$AD,AF$2,0)</f>
        <v>#N/A</v>
      </c>
      <c r="AG414" t="e">
        <f>VLOOKUP($Z414,'oddspedia-matches'!$A:$AD,AG$2,0)</f>
        <v>#N/A</v>
      </c>
      <c r="AH414" t="e">
        <f>VLOOKUP($Z414,'oddspedia-matches'!$A:$AD,AH$2,0)</f>
        <v>#N/A</v>
      </c>
      <c r="AI414" t="e">
        <f>VLOOKUP($Z414,'oddspedia-matches'!$A:$AD,AI$2,0)</f>
        <v>#N/A</v>
      </c>
      <c r="AJ414" t="e">
        <f>VLOOKUP($Z414,'oddspedia-matches'!$A:$AD,AJ$2,0)</f>
        <v>#N/A</v>
      </c>
      <c r="AK414" t="e">
        <f>VLOOKUP($Z414,'oddspedia-matches'!$A:$AD,AK$2,0)</f>
        <v>#N/A</v>
      </c>
      <c r="AL414" t="e">
        <f>VLOOKUP($Z414,'oddspedia-matches'!$A:$AD,AL$2,0)</f>
        <v>#N/A</v>
      </c>
      <c r="AM414" t="e">
        <f>VLOOKUP($Z414,'oddspedia-matches'!$A:$AD,AM$2,0)</f>
        <v>#N/A</v>
      </c>
      <c r="AN414" t="e">
        <f>VLOOKUP($Z414,'oddspedia-matches'!$A:$AD,AN$2,0)</f>
        <v>#N/A</v>
      </c>
      <c r="AO414" t="e">
        <f>VLOOKUP($Z414,'oddspedia-matches'!$A:$AD,AO$2,0)</f>
        <v>#N/A</v>
      </c>
      <c r="AP414" t="e">
        <f>VLOOKUP($Z414,'oddspedia-matches'!$A:$AD,AP$2,0)</f>
        <v>#N/A</v>
      </c>
      <c r="AQ414" t="e">
        <f>VLOOKUP($Z414,'oddspedia-matches'!$A:$AD,AQ$2,0)</f>
        <v>#N/A</v>
      </c>
    </row>
    <row r="415" spans="2:43" x14ac:dyDescent="0.2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>
        <f>VLOOKUP(E415,'Transform table'!A:B,2,0)</f>
        <v>0</v>
      </c>
      <c r="Y415" t="e">
        <f>VLOOKUP(F415,'Transform table'!A:B,2,0)</f>
        <v>#N/A</v>
      </c>
      <c r="Z415" t="e">
        <f t="shared" si="6"/>
        <v>#N/A</v>
      </c>
      <c r="AA415" t="e">
        <f>VLOOKUP($Z415,'oddspedia-matches'!$A:$AD,AA$2,0)</f>
        <v>#N/A</v>
      </c>
      <c r="AB415" t="e">
        <f>VLOOKUP($Z415,'oddspedia-matches'!$A:$AD,AB$2,0)</f>
        <v>#N/A</v>
      </c>
      <c r="AC415" t="e">
        <f>VLOOKUP($Z415,'oddspedia-matches'!$A:$AD,AC$2,0)</f>
        <v>#N/A</v>
      </c>
      <c r="AD415" t="e">
        <f>VLOOKUP($Z415,'oddspedia-matches'!$A:$AD,AD$2,0)</f>
        <v>#N/A</v>
      </c>
      <c r="AE415" t="e">
        <f>VLOOKUP($Z415,'oddspedia-matches'!$A:$AD,AE$2,0)</f>
        <v>#N/A</v>
      </c>
      <c r="AF415" t="e">
        <f>VLOOKUP($Z415,'oddspedia-matches'!$A:$AD,AF$2,0)</f>
        <v>#N/A</v>
      </c>
      <c r="AG415" t="e">
        <f>VLOOKUP($Z415,'oddspedia-matches'!$A:$AD,AG$2,0)</f>
        <v>#N/A</v>
      </c>
      <c r="AH415" t="e">
        <f>VLOOKUP($Z415,'oddspedia-matches'!$A:$AD,AH$2,0)</f>
        <v>#N/A</v>
      </c>
      <c r="AI415" t="e">
        <f>VLOOKUP($Z415,'oddspedia-matches'!$A:$AD,AI$2,0)</f>
        <v>#N/A</v>
      </c>
      <c r="AJ415" t="e">
        <f>VLOOKUP($Z415,'oddspedia-matches'!$A:$AD,AJ$2,0)</f>
        <v>#N/A</v>
      </c>
      <c r="AK415" t="e">
        <f>VLOOKUP($Z415,'oddspedia-matches'!$A:$AD,AK$2,0)</f>
        <v>#N/A</v>
      </c>
      <c r="AL415" t="e">
        <f>VLOOKUP($Z415,'oddspedia-matches'!$A:$AD,AL$2,0)</f>
        <v>#N/A</v>
      </c>
      <c r="AM415" t="e">
        <f>VLOOKUP($Z415,'oddspedia-matches'!$A:$AD,AM$2,0)</f>
        <v>#N/A</v>
      </c>
      <c r="AN415" t="e">
        <f>VLOOKUP($Z415,'oddspedia-matches'!$A:$AD,AN$2,0)</f>
        <v>#N/A</v>
      </c>
      <c r="AO415" t="e">
        <f>VLOOKUP($Z415,'oddspedia-matches'!$A:$AD,AO$2,0)</f>
        <v>#N/A</v>
      </c>
      <c r="AP415" t="e">
        <f>VLOOKUP($Z415,'oddspedia-matches'!$A:$AD,AP$2,0)</f>
        <v>#N/A</v>
      </c>
      <c r="AQ415" t="e">
        <f>VLOOKUP($Z415,'oddspedia-matches'!$A:$AD,AQ$2,0)</f>
        <v>#N/A</v>
      </c>
    </row>
    <row r="416" spans="2:43" x14ac:dyDescent="0.2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>
        <f>VLOOKUP(E416,'Transform table'!A:B,2,0)</f>
        <v>0</v>
      </c>
      <c r="Y416" t="str">
        <f>VLOOKUP(F416,'Transform table'!A:B,2,0)</f>
        <v>San Martin de San Juan</v>
      </c>
      <c r="Z416" t="str">
        <f t="shared" si="6"/>
        <v>26/07/20260San Martin de San Juan</v>
      </c>
      <c r="AA416" t="e">
        <f>VLOOKUP($Z416,'oddspedia-matches'!$A:$AD,AA$2,0)</f>
        <v>#N/A</v>
      </c>
      <c r="AB416" t="e">
        <f>VLOOKUP($Z416,'oddspedia-matches'!$A:$AD,AB$2,0)</f>
        <v>#N/A</v>
      </c>
      <c r="AC416" t="e">
        <f>VLOOKUP($Z416,'oddspedia-matches'!$A:$AD,AC$2,0)</f>
        <v>#N/A</v>
      </c>
      <c r="AD416" t="e">
        <f>VLOOKUP($Z416,'oddspedia-matches'!$A:$AD,AD$2,0)</f>
        <v>#N/A</v>
      </c>
      <c r="AE416" t="e">
        <f>VLOOKUP($Z416,'oddspedia-matches'!$A:$AD,AE$2,0)</f>
        <v>#N/A</v>
      </c>
      <c r="AF416" t="e">
        <f>VLOOKUP($Z416,'oddspedia-matches'!$A:$AD,AF$2,0)</f>
        <v>#N/A</v>
      </c>
      <c r="AG416" t="e">
        <f>VLOOKUP($Z416,'oddspedia-matches'!$A:$AD,AG$2,0)</f>
        <v>#N/A</v>
      </c>
      <c r="AH416" t="e">
        <f>VLOOKUP($Z416,'oddspedia-matches'!$A:$AD,AH$2,0)</f>
        <v>#N/A</v>
      </c>
      <c r="AI416" t="e">
        <f>VLOOKUP($Z416,'oddspedia-matches'!$A:$AD,AI$2,0)</f>
        <v>#N/A</v>
      </c>
      <c r="AJ416" t="e">
        <f>VLOOKUP($Z416,'oddspedia-matches'!$A:$AD,AJ$2,0)</f>
        <v>#N/A</v>
      </c>
      <c r="AK416" t="e">
        <f>VLOOKUP($Z416,'oddspedia-matches'!$A:$AD,AK$2,0)</f>
        <v>#N/A</v>
      </c>
      <c r="AL416" t="e">
        <f>VLOOKUP($Z416,'oddspedia-matches'!$A:$AD,AL$2,0)</f>
        <v>#N/A</v>
      </c>
      <c r="AM416" t="e">
        <f>VLOOKUP($Z416,'oddspedia-matches'!$A:$AD,AM$2,0)</f>
        <v>#N/A</v>
      </c>
      <c r="AN416" t="e">
        <f>VLOOKUP($Z416,'oddspedia-matches'!$A:$AD,AN$2,0)</f>
        <v>#N/A</v>
      </c>
      <c r="AO416" t="e">
        <f>VLOOKUP($Z416,'oddspedia-matches'!$A:$AD,AO$2,0)</f>
        <v>#N/A</v>
      </c>
      <c r="AP416" t="e">
        <f>VLOOKUP($Z416,'oddspedia-matches'!$A:$AD,AP$2,0)</f>
        <v>#N/A</v>
      </c>
      <c r="AQ416" t="e">
        <f>VLOOKUP($Z416,'oddspedia-matches'!$A:$AD,AQ$2,0)</f>
        <v>#N/A</v>
      </c>
    </row>
    <row r="417" spans="2:43" x14ac:dyDescent="0.2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>
        <f>VLOOKUP(E417,'Transform table'!A:B,2,0)</f>
        <v>0</v>
      </c>
      <c r="Y417" t="e">
        <f>VLOOKUP(F417,'Transform table'!A:B,2,0)</f>
        <v>#N/A</v>
      </c>
      <c r="Z417" t="e">
        <f t="shared" si="6"/>
        <v>#N/A</v>
      </c>
      <c r="AA417" t="e">
        <f>VLOOKUP($Z417,'oddspedia-matches'!$A:$AD,AA$2,0)</f>
        <v>#N/A</v>
      </c>
      <c r="AB417" t="e">
        <f>VLOOKUP($Z417,'oddspedia-matches'!$A:$AD,AB$2,0)</f>
        <v>#N/A</v>
      </c>
      <c r="AC417" t="e">
        <f>VLOOKUP($Z417,'oddspedia-matches'!$A:$AD,AC$2,0)</f>
        <v>#N/A</v>
      </c>
      <c r="AD417" t="e">
        <f>VLOOKUP($Z417,'oddspedia-matches'!$A:$AD,AD$2,0)</f>
        <v>#N/A</v>
      </c>
      <c r="AE417" t="e">
        <f>VLOOKUP($Z417,'oddspedia-matches'!$A:$AD,AE$2,0)</f>
        <v>#N/A</v>
      </c>
      <c r="AF417" t="e">
        <f>VLOOKUP($Z417,'oddspedia-matches'!$A:$AD,AF$2,0)</f>
        <v>#N/A</v>
      </c>
      <c r="AG417" t="e">
        <f>VLOOKUP($Z417,'oddspedia-matches'!$A:$AD,AG$2,0)</f>
        <v>#N/A</v>
      </c>
      <c r="AH417" t="e">
        <f>VLOOKUP($Z417,'oddspedia-matches'!$A:$AD,AH$2,0)</f>
        <v>#N/A</v>
      </c>
      <c r="AI417" t="e">
        <f>VLOOKUP($Z417,'oddspedia-matches'!$A:$AD,AI$2,0)</f>
        <v>#N/A</v>
      </c>
      <c r="AJ417" t="e">
        <f>VLOOKUP($Z417,'oddspedia-matches'!$A:$AD,AJ$2,0)</f>
        <v>#N/A</v>
      </c>
      <c r="AK417" t="e">
        <f>VLOOKUP($Z417,'oddspedia-matches'!$A:$AD,AK$2,0)</f>
        <v>#N/A</v>
      </c>
      <c r="AL417" t="e">
        <f>VLOOKUP($Z417,'oddspedia-matches'!$A:$AD,AL$2,0)</f>
        <v>#N/A</v>
      </c>
      <c r="AM417" t="e">
        <f>VLOOKUP($Z417,'oddspedia-matches'!$A:$AD,AM$2,0)</f>
        <v>#N/A</v>
      </c>
      <c r="AN417" t="e">
        <f>VLOOKUP($Z417,'oddspedia-matches'!$A:$AD,AN$2,0)</f>
        <v>#N/A</v>
      </c>
      <c r="AO417" t="e">
        <f>VLOOKUP($Z417,'oddspedia-matches'!$A:$AD,AO$2,0)</f>
        <v>#N/A</v>
      </c>
      <c r="AP417" t="e">
        <f>VLOOKUP($Z417,'oddspedia-matches'!$A:$AD,AP$2,0)</f>
        <v>#N/A</v>
      </c>
      <c r="AQ417" t="e">
        <f>VLOOKUP($Z417,'oddspedia-matches'!$A:$AD,AQ$2,0)</f>
        <v>#N/A</v>
      </c>
    </row>
    <row r="418" spans="2:43" x14ac:dyDescent="0.2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>
        <f>VLOOKUP(E418,'Transform table'!A:B,2,0)</f>
        <v>0</v>
      </c>
      <c r="Y418" t="e">
        <f>VLOOKUP(F418,'Transform table'!A:B,2,0)</f>
        <v>#N/A</v>
      </c>
      <c r="Z418" t="e">
        <f t="shared" si="6"/>
        <v>#N/A</v>
      </c>
      <c r="AA418" t="e">
        <f>VLOOKUP($Z418,'oddspedia-matches'!$A:$AD,AA$2,0)</f>
        <v>#N/A</v>
      </c>
      <c r="AB418" t="e">
        <f>VLOOKUP($Z418,'oddspedia-matches'!$A:$AD,AB$2,0)</f>
        <v>#N/A</v>
      </c>
      <c r="AC418" t="e">
        <f>VLOOKUP($Z418,'oddspedia-matches'!$A:$AD,AC$2,0)</f>
        <v>#N/A</v>
      </c>
      <c r="AD418" t="e">
        <f>VLOOKUP($Z418,'oddspedia-matches'!$A:$AD,AD$2,0)</f>
        <v>#N/A</v>
      </c>
      <c r="AE418" t="e">
        <f>VLOOKUP($Z418,'oddspedia-matches'!$A:$AD,AE$2,0)</f>
        <v>#N/A</v>
      </c>
      <c r="AF418" t="e">
        <f>VLOOKUP($Z418,'oddspedia-matches'!$A:$AD,AF$2,0)</f>
        <v>#N/A</v>
      </c>
      <c r="AG418" t="e">
        <f>VLOOKUP($Z418,'oddspedia-matches'!$A:$AD,AG$2,0)</f>
        <v>#N/A</v>
      </c>
      <c r="AH418" t="e">
        <f>VLOOKUP($Z418,'oddspedia-matches'!$A:$AD,AH$2,0)</f>
        <v>#N/A</v>
      </c>
      <c r="AI418" t="e">
        <f>VLOOKUP($Z418,'oddspedia-matches'!$A:$AD,AI$2,0)</f>
        <v>#N/A</v>
      </c>
      <c r="AJ418" t="e">
        <f>VLOOKUP($Z418,'oddspedia-matches'!$A:$AD,AJ$2,0)</f>
        <v>#N/A</v>
      </c>
      <c r="AK418" t="e">
        <f>VLOOKUP($Z418,'oddspedia-matches'!$A:$AD,AK$2,0)</f>
        <v>#N/A</v>
      </c>
      <c r="AL418" t="e">
        <f>VLOOKUP($Z418,'oddspedia-matches'!$A:$AD,AL$2,0)</f>
        <v>#N/A</v>
      </c>
      <c r="AM418" t="e">
        <f>VLOOKUP($Z418,'oddspedia-matches'!$A:$AD,AM$2,0)</f>
        <v>#N/A</v>
      </c>
      <c r="AN418" t="e">
        <f>VLOOKUP($Z418,'oddspedia-matches'!$A:$AD,AN$2,0)</f>
        <v>#N/A</v>
      </c>
      <c r="AO418" t="e">
        <f>VLOOKUP($Z418,'oddspedia-matches'!$A:$AD,AO$2,0)</f>
        <v>#N/A</v>
      </c>
      <c r="AP418" t="e">
        <f>VLOOKUP($Z418,'oddspedia-matches'!$A:$AD,AP$2,0)</f>
        <v>#N/A</v>
      </c>
      <c r="AQ418" t="e">
        <f>VLOOKUP($Z418,'oddspedia-matches'!$A:$AD,AQ$2,0)</f>
        <v>#N/A</v>
      </c>
    </row>
    <row r="419" spans="2:43" x14ac:dyDescent="0.2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tr">
        <f>VLOOKUP(E419,'Transform table'!A:B,2,0)</f>
        <v>Los Andes</v>
      </c>
      <c r="Y419" t="e">
        <f>VLOOKUP(F419,'Transform table'!A:B,2,0)</f>
        <v>#N/A</v>
      </c>
      <c r="Z419" t="e">
        <f t="shared" si="6"/>
        <v>#N/A</v>
      </c>
      <c r="AA419" t="e">
        <f>VLOOKUP($Z419,'oddspedia-matches'!$A:$AD,AA$2,0)</f>
        <v>#N/A</v>
      </c>
      <c r="AB419" t="e">
        <f>VLOOKUP($Z419,'oddspedia-matches'!$A:$AD,AB$2,0)</f>
        <v>#N/A</v>
      </c>
      <c r="AC419" t="e">
        <f>VLOOKUP($Z419,'oddspedia-matches'!$A:$AD,AC$2,0)</f>
        <v>#N/A</v>
      </c>
      <c r="AD419" t="e">
        <f>VLOOKUP($Z419,'oddspedia-matches'!$A:$AD,AD$2,0)</f>
        <v>#N/A</v>
      </c>
      <c r="AE419" t="e">
        <f>VLOOKUP($Z419,'oddspedia-matches'!$A:$AD,AE$2,0)</f>
        <v>#N/A</v>
      </c>
      <c r="AF419" t="e">
        <f>VLOOKUP($Z419,'oddspedia-matches'!$A:$AD,AF$2,0)</f>
        <v>#N/A</v>
      </c>
      <c r="AG419" t="e">
        <f>VLOOKUP($Z419,'oddspedia-matches'!$A:$AD,AG$2,0)</f>
        <v>#N/A</v>
      </c>
      <c r="AH419" t="e">
        <f>VLOOKUP($Z419,'oddspedia-matches'!$A:$AD,AH$2,0)</f>
        <v>#N/A</v>
      </c>
      <c r="AI419" t="e">
        <f>VLOOKUP($Z419,'oddspedia-matches'!$A:$AD,AI$2,0)</f>
        <v>#N/A</v>
      </c>
      <c r="AJ419" t="e">
        <f>VLOOKUP($Z419,'oddspedia-matches'!$A:$AD,AJ$2,0)</f>
        <v>#N/A</v>
      </c>
      <c r="AK419" t="e">
        <f>VLOOKUP($Z419,'oddspedia-matches'!$A:$AD,AK$2,0)</f>
        <v>#N/A</v>
      </c>
      <c r="AL419" t="e">
        <f>VLOOKUP($Z419,'oddspedia-matches'!$A:$AD,AL$2,0)</f>
        <v>#N/A</v>
      </c>
      <c r="AM419" t="e">
        <f>VLOOKUP($Z419,'oddspedia-matches'!$A:$AD,AM$2,0)</f>
        <v>#N/A</v>
      </c>
      <c r="AN419" t="e">
        <f>VLOOKUP($Z419,'oddspedia-matches'!$A:$AD,AN$2,0)</f>
        <v>#N/A</v>
      </c>
      <c r="AO419" t="e">
        <f>VLOOKUP($Z419,'oddspedia-matches'!$A:$AD,AO$2,0)</f>
        <v>#N/A</v>
      </c>
      <c r="AP419" t="e">
        <f>VLOOKUP($Z419,'oddspedia-matches'!$A:$AD,AP$2,0)</f>
        <v>#N/A</v>
      </c>
      <c r="AQ419" t="e">
        <f>VLOOKUP($Z419,'oddspedia-matches'!$A:$AD,AQ$2,0)</f>
        <v>#N/A</v>
      </c>
    </row>
    <row r="420" spans="2:43" x14ac:dyDescent="0.2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>
        <f>VLOOKUP(E420,'Transform table'!A:B,2,0)</f>
        <v>0</v>
      </c>
      <c r="Y420">
        <f>VLOOKUP(F420,'Transform table'!A:B,2,0)</f>
        <v>0</v>
      </c>
      <c r="Z420" t="str">
        <f t="shared" si="6"/>
        <v>26/07/202600</v>
      </c>
      <c r="AA420" t="e">
        <f>VLOOKUP($Z420,'oddspedia-matches'!$A:$AD,AA$2,0)</f>
        <v>#N/A</v>
      </c>
      <c r="AB420" t="e">
        <f>VLOOKUP($Z420,'oddspedia-matches'!$A:$AD,AB$2,0)</f>
        <v>#N/A</v>
      </c>
      <c r="AC420" t="e">
        <f>VLOOKUP($Z420,'oddspedia-matches'!$A:$AD,AC$2,0)</f>
        <v>#N/A</v>
      </c>
      <c r="AD420" t="e">
        <f>VLOOKUP($Z420,'oddspedia-matches'!$A:$AD,AD$2,0)</f>
        <v>#N/A</v>
      </c>
      <c r="AE420" t="e">
        <f>VLOOKUP($Z420,'oddspedia-matches'!$A:$AD,AE$2,0)</f>
        <v>#N/A</v>
      </c>
      <c r="AF420" t="e">
        <f>VLOOKUP($Z420,'oddspedia-matches'!$A:$AD,AF$2,0)</f>
        <v>#N/A</v>
      </c>
      <c r="AG420" t="e">
        <f>VLOOKUP($Z420,'oddspedia-matches'!$A:$AD,AG$2,0)</f>
        <v>#N/A</v>
      </c>
      <c r="AH420" t="e">
        <f>VLOOKUP($Z420,'oddspedia-matches'!$A:$AD,AH$2,0)</f>
        <v>#N/A</v>
      </c>
      <c r="AI420" t="e">
        <f>VLOOKUP($Z420,'oddspedia-matches'!$A:$AD,AI$2,0)</f>
        <v>#N/A</v>
      </c>
      <c r="AJ420" t="e">
        <f>VLOOKUP($Z420,'oddspedia-matches'!$A:$AD,AJ$2,0)</f>
        <v>#N/A</v>
      </c>
      <c r="AK420" t="e">
        <f>VLOOKUP($Z420,'oddspedia-matches'!$A:$AD,AK$2,0)</f>
        <v>#N/A</v>
      </c>
      <c r="AL420" t="e">
        <f>VLOOKUP($Z420,'oddspedia-matches'!$A:$AD,AL$2,0)</f>
        <v>#N/A</v>
      </c>
      <c r="AM420" t="e">
        <f>VLOOKUP($Z420,'oddspedia-matches'!$A:$AD,AM$2,0)</f>
        <v>#N/A</v>
      </c>
      <c r="AN420" t="e">
        <f>VLOOKUP($Z420,'oddspedia-matches'!$A:$AD,AN$2,0)</f>
        <v>#N/A</v>
      </c>
      <c r="AO420" t="e">
        <f>VLOOKUP($Z420,'oddspedia-matches'!$A:$AD,AO$2,0)</f>
        <v>#N/A</v>
      </c>
      <c r="AP420" t="e">
        <f>VLOOKUP($Z420,'oddspedia-matches'!$A:$AD,AP$2,0)</f>
        <v>#N/A</v>
      </c>
      <c r="AQ420" t="e">
        <f>VLOOKUP($Z420,'oddspedia-matches'!$A:$AD,AQ$2,0)</f>
        <v>#N/A</v>
      </c>
    </row>
    <row r="421" spans="2:43" x14ac:dyDescent="0.2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str">
        <f>VLOOKUP(E421,'Transform table'!A:B,2,0)</f>
        <v>Juventud Unida San Miguel</v>
      </c>
      <c r="Y421">
        <f>VLOOKUP(F421,'Transform table'!A:B,2,0)</f>
        <v>0</v>
      </c>
      <c r="Z421" t="str">
        <f t="shared" si="6"/>
        <v>26/07/2026Juventud Unida San Miguel0</v>
      </c>
      <c r="AA421" t="e">
        <f>VLOOKUP($Z421,'oddspedia-matches'!$A:$AD,AA$2,0)</f>
        <v>#N/A</v>
      </c>
      <c r="AB421" t="e">
        <f>VLOOKUP($Z421,'oddspedia-matches'!$A:$AD,AB$2,0)</f>
        <v>#N/A</v>
      </c>
      <c r="AC421" t="e">
        <f>VLOOKUP($Z421,'oddspedia-matches'!$A:$AD,AC$2,0)</f>
        <v>#N/A</v>
      </c>
      <c r="AD421" t="e">
        <f>VLOOKUP($Z421,'oddspedia-matches'!$A:$AD,AD$2,0)</f>
        <v>#N/A</v>
      </c>
      <c r="AE421" t="e">
        <f>VLOOKUP($Z421,'oddspedia-matches'!$A:$AD,AE$2,0)</f>
        <v>#N/A</v>
      </c>
      <c r="AF421" t="e">
        <f>VLOOKUP($Z421,'oddspedia-matches'!$A:$AD,AF$2,0)</f>
        <v>#N/A</v>
      </c>
      <c r="AG421" t="e">
        <f>VLOOKUP($Z421,'oddspedia-matches'!$A:$AD,AG$2,0)</f>
        <v>#N/A</v>
      </c>
      <c r="AH421" t="e">
        <f>VLOOKUP($Z421,'oddspedia-matches'!$A:$AD,AH$2,0)</f>
        <v>#N/A</v>
      </c>
      <c r="AI421" t="e">
        <f>VLOOKUP($Z421,'oddspedia-matches'!$A:$AD,AI$2,0)</f>
        <v>#N/A</v>
      </c>
      <c r="AJ421" t="e">
        <f>VLOOKUP($Z421,'oddspedia-matches'!$A:$AD,AJ$2,0)</f>
        <v>#N/A</v>
      </c>
      <c r="AK421" t="e">
        <f>VLOOKUP($Z421,'oddspedia-matches'!$A:$AD,AK$2,0)</f>
        <v>#N/A</v>
      </c>
      <c r="AL421" t="e">
        <f>VLOOKUP($Z421,'oddspedia-matches'!$A:$AD,AL$2,0)</f>
        <v>#N/A</v>
      </c>
      <c r="AM421" t="e">
        <f>VLOOKUP($Z421,'oddspedia-matches'!$A:$AD,AM$2,0)</f>
        <v>#N/A</v>
      </c>
      <c r="AN421" t="e">
        <f>VLOOKUP($Z421,'oddspedia-matches'!$A:$AD,AN$2,0)</f>
        <v>#N/A</v>
      </c>
      <c r="AO421" t="e">
        <f>VLOOKUP($Z421,'oddspedia-matches'!$A:$AD,AO$2,0)</f>
        <v>#N/A</v>
      </c>
      <c r="AP421" t="e">
        <f>VLOOKUP($Z421,'oddspedia-matches'!$A:$AD,AP$2,0)</f>
        <v>#N/A</v>
      </c>
      <c r="AQ421" t="e">
        <f>VLOOKUP($Z421,'oddspedia-matches'!$A:$AD,AQ$2,0)</f>
        <v>#N/A</v>
      </c>
    </row>
    <row r="422" spans="2:43" x14ac:dyDescent="0.2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>
        <f>VLOOKUP(E422,'Transform table'!A:B,2,0)</f>
        <v>0</v>
      </c>
      <c r="Y422" t="e">
        <f>VLOOKUP(F422,'Transform table'!A:B,2,0)</f>
        <v>#N/A</v>
      </c>
      <c r="Z422" t="e">
        <f t="shared" si="6"/>
        <v>#N/A</v>
      </c>
      <c r="AA422" t="e">
        <f>VLOOKUP($Z422,'oddspedia-matches'!$A:$AD,AA$2,0)</f>
        <v>#N/A</v>
      </c>
      <c r="AB422" t="e">
        <f>VLOOKUP($Z422,'oddspedia-matches'!$A:$AD,AB$2,0)</f>
        <v>#N/A</v>
      </c>
      <c r="AC422" t="e">
        <f>VLOOKUP($Z422,'oddspedia-matches'!$A:$AD,AC$2,0)</f>
        <v>#N/A</v>
      </c>
      <c r="AD422" t="e">
        <f>VLOOKUP($Z422,'oddspedia-matches'!$A:$AD,AD$2,0)</f>
        <v>#N/A</v>
      </c>
      <c r="AE422" t="e">
        <f>VLOOKUP($Z422,'oddspedia-matches'!$A:$AD,AE$2,0)</f>
        <v>#N/A</v>
      </c>
      <c r="AF422" t="e">
        <f>VLOOKUP($Z422,'oddspedia-matches'!$A:$AD,AF$2,0)</f>
        <v>#N/A</v>
      </c>
      <c r="AG422" t="e">
        <f>VLOOKUP($Z422,'oddspedia-matches'!$A:$AD,AG$2,0)</f>
        <v>#N/A</v>
      </c>
      <c r="AH422" t="e">
        <f>VLOOKUP($Z422,'oddspedia-matches'!$A:$AD,AH$2,0)</f>
        <v>#N/A</v>
      </c>
      <c r="AI422" t="e">
        <f>VLOOKUP($Z422,'oddspedia-matches'!$A:$AD,AI$2,0)</f>
        <v>#N/A</v>
      </c>
      <c r="AJ422" t="e">
        <f>VLOOKUP($Z422,'oddspedia-matches'!$A:$AD,AJ$2,0)</f>
        <v>#N/A</v>
      </c>
      <c r="AK422" t="e">
        <f>VLOOKUP($Z422,'oddspedia-matches'!$A:$AD,AK$2,0)</f>
        <v>#N/A</v>
      </c>
      <c r="AL422" t="e">
        <f>VLOOKUP($Z422,'oddspedia-matches'!$A:$AD,AL$2,0)</f>
        <v>#N/A</v>
      </c>
      <c r="AM422" t="e">
        <f>VLOOKUP($Z422,'oddspedia-matches'!$A:$AD,AM$2,0)</f>
        <v>#N/A</v>
      </c>
      <c r="AN422" t="e">
        <f>VLOOKUP($Z422,'oddspedia-matches'!$A:$AD,AN$2,0)</f>
        <v>#N/A</v>
      </c>
      <c r="AO422" t="e">
        <f>VLOOKUP($Z422,'oddspedia-matches'!$A:$AD,AO$2,0)</f>
        <v>#N/A</v>
      </c>
      <c r="AP422" t="e">
        <f>VLOOKUP($Z422,'oddspedia-matches'!$A:$AD,AP$2,0)</f>
        <v>#N/A</v>
      </c>
      <c r="AQ422" t="e">
        <f>VLOOKUP($Z422,'oddspedia-matches'!$A:$AD,AQ$2,0)</f>
        <v>#N/A</v>
      </c>
    </row>
    <row r="423" spans="2:43" x14ac:dyDescent="0.2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tr">
        <f>VLOOKUP(E423,'Transform table'!A:B,2,0)</f>
        <v>Paksi SE</v>
      </c>
      <c r="Y423" t="e">
        <f>VLOOKUP(F423,'Transform table'!A:B,2,0)</f>
        <v>#N/A</v>
      </c>
      <c r="Z423" t="e">
        <f t="shared" si="6"/>
        <v>#N/A</v>
      </c>
      <c r="AA423" t="e">
        <f>VLOOKUP($Z423,'oddspedia-matches'!$A:$AD,AA$2,0)</f>
        <v>#N/A</v>
      </c>
      <c r="AB423" t="e">
        <f>VLOOKUP($Z423,'oddspedia-matches'!$A:$AD,AB$2,0)</f>
        <v>#N/A</v>
      </c>
      <c r="AC423" t="e">
        <f>VLOOKUP($Z423,'oddspedia-matches'!$A:$AD,AC$2,0)</f>
        <v>#N/A</v>
      </c>
      <c r="AD423" t="e">
        <f>VLOOKUP($Z423,'oddspedia-matches'!$A:$AD,AD$2,0)</f>
        <v>#N/A</v>
      </c>
      <c r="AE423" t="e">
        <f>VLOOKUP($Z423,'oddspedia-matches'!$A:$AD,AE$2,0)</f>
        <v>#N/A</v>
      </c>
      <c r="AF423" t="e">
        <f>VLOOKUP($Z423,'oddspedia-matches'!$A:$AD,AF$2,0)</f>
        <v>#N/A</v>
      </c>
      <c r="AG423" t="e">
        <f>VLOOKUP($Z423,'oddspedia-matches'!$A:$AD,AG$2,0)</f>
        <v>#N/A</v>
      </c>
      <c r="AH423" t="e">
        <f>VLOOKUP($Z423,'oddspedia-matches'!$A:$AD,AH$2,0)</f>
        <v>#N/A</v>
      </c>
      <c r="AI423" t="e">
        <f>VLOOKUP($Z423,'oddspedia-matches'!$A:$AD,AI$2,0)</f>
        <v>#N/A</v>
      </c>
      <c r="AJ423" t="e">
        <f>VLOOKUP($Z423,'oddspedia-matches'!$A:$AD,AJ$2,0)</f>
        <v>#N/A</v>
      </c>
      <c r="AK423" t="e">
        <f>VLOOKUP($Z423,'oddspedia-matches'!$A:$AD,AK$2,0)</f>
        <v>#N/A</v>
      </c>
      <c r="AL423" t="e">
        <f>VLOOKUP($Z423,'oddspedia-matches'!$A:$AD,AL$2,0)</f>
        <v>#N/A</v>
      </c>
      <c r="AM423" t="e">
        <f>VLOOKUP($Z423,'oddspedia-matches'!$A:$AD,AM$2,0)</f>
        <v>#N/A</v>
      </c>
      <c r="AN423" t="e">
        <f>VLOOKUP($Z423,'oddspedia-matches'!$A:$AD,AN$2,0)</f>
        <v>#N/A</v>
      </c>
      <c r="AO423" t="e">
        <f>VLOOKUP($Z423,'oddspedia-matches'!$A:$AD,AO$2,0)</f>
        <v>#N/A</v>
      </c>
      <c r="AP423" t="e">
        <f>VLOOKUP($Z423,'oddspedia-matches'!$A:$AD,AP$2,0)</f>
        <v>#N/A</v>
      </c>
      <c r="AQ423" t="e">
        <f>VLOOKUP($Z423,'oddspedia-matches'!$A:$AD,AQ$2,0)</f>
        <v>#N/A</v>
      </c>
    </row>
    <row r="424" spans="2:43" x14ac:dyDescent="0.2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>
        <f>VLOOKUP(E424,'Transform table'!A:B,2,0)</f>
        <v>0</v>
      </c>
      <c r="Y424" t="e">
        <f>VLOOKUP(F424,'Transform table'!A:B,2,0)</f>
        <v>#N/A</v>
      </c>
      <c r="Z424" t="e">
        <f t="shared" si="6"/>
        <v>#N/A</v>
      </c>
      <c r="AA424" t="e">
        <f>VLOOKUP($Z424,'oddspedia-matches'!$A:$AD,AA$2,0)</f>
        <v>#N/A</v>
      </c>
      <c r="AB424" t="e">
        <f>VLOOKUP($Z424,'oddspedia-matches'!$A:$AD,AB$2,0)</f>
        <v>#N/A</v>
      </c>
      <c r="AC424" t="e">
        <f>VLOOKUP($Z424,'oddspedia-matches'!$A:$AD,AC$2,0)</f>
        <v>#N/A</v>
      </c>
      <c r="AD424" t="e">
        <f>VLOOKUP($Z424,'oddspedia-matches'!$A:$AD,AD$2,0)</f>
        <v>#N/A</v>
      </c>
      <c r="AE424" t="e">
        <f>VLOOKUP($Z424,'oddspedia-matches'!$A:$AD,AE$2,0)</f>
        <v>#N/A</v>
      </c>
      <c r="AF424" t="e">
        <f>VLOOKUP($Z424,'oddspedia-matches'!$A:$AD,AF$2,0)</f>
        <v>#N/A</v>
      </c>
      <c r="AG424" t="e">
        <f>VLOOKUP($Z424,'oddspedia-matches'!$A:$AD,AG$2,0)</f>
        <v>#N/A</v>
      </c>
      <c r="AH424" t="e">
        <f>VLOOKUP($Z424,'oddspedia-matches'!$A:$AD,AH$2,0)</f>
        <v>#N/A</v>
      </c>
      <c r="AI424" t="e">
        <f>VLOOKUP($Z424,'oddspedia-matches'!$A:$AD,AI$2,0)</f>
        <v>#N/A</v>
      </c>
      <c r="AJ424" t="e">
        <f>VLOOKUP($Z424,'oddspedia-matches'!$A:$AD,AJ$2,0)</f>
        <v>#N/A</v>
      </c>
      <c r="AK424" t="e">
        <f>VLOOKUP($Z424,'oddspedia-matches'!$A:$AD,AK$2,0)</f>
        <v>#N/A</v>
      </c>
      <c r="AL424" t="e">
        <f>VLOOKUP($Z424,'oddspedia-matches'!$A:$AD,AL$2,0)</f>
        <v>#N/A</v>
      </c>
      <c r="AM424" t="e">
        <f>VLOOKUP($Z424,'oddspedia-matches'!$A:$AD,AM$2,0)</f>
        <v>#N/A</v>
      </c>
      <c r="AN424" t="e">
        <f>VLOOKUP($Z424,'oddspedia-matches'!$A:$AD,AN$2,0)</f>
        <v>#N/A</v>
      </c>
      <c r="AO424" t="e">
        <f>VLOOKUP($Z424,'oddspedia-matches'!$A:$AD,AO$2,0)</f>
        <v>#N/A</v>
      </c>
      <c r="AP424" t="e">
        <f>VLOOKUP($Z424,'oddspedia-matches'!$A:$AD,AP$2,0)</f>
        <v>#N/A</v>
      </c>
      <c r="AQ424" t="e">
        <f>VLOOKUP($Z424,'oddspedia-matches'!$A:$AD,AQ$2,0)</f>
        <v>#N/A</v>
      </c>
    </row>
    <row r="425" spans="2:43" x14ac:dyDescent="0.2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tr">
        <f>VLOOKUP(E425,'Transform table'!A:B,2,0)</f>
        <v>Alftanes</v>
      </c>
      <c r="Y425" t="e">
        <f>VLOOKUP(F425,'Transform table'!A:B,2,0)</f>
        <v>#N/A</v>
      </c>
      <c r="Z425" t="e">
        <f t="shared" si="6"/>
        <v>#N/A</v>
      </c>
      <c r="AA425" t="e">
        <f>VLOOKUP($Z425,'oddspedia-matches'!$A:$AD,AA$2,0)</f>
        <v>#N/A</v>
      </c>
      <c r="AB425" t="e">
        <f>VLOOKUP($Z425,'oddspedia-matches'!$A:$AD,AB$2,0)</f>
        <v>#N/A</v>
      </c>
      <c r="AC425" t="e">
        <f>VLOOKUP($Z425,'oddspedia-matches'!$A:$AD,AC$2,0)</f>
        <v>#N/A</v>
      </c>
      <c r="AD425" t="e">
        <f>VLOOKUP($Z425,'oddspedia-matches'!$A:$AD,AD$2,0)</f>
        <v>#N/A</v>
      </c>
      <c r="AE425" t="e">
        <f>VLOOKUP($Z425,'oddspedia-matches'!$A:$AD,AE$2,0)</f>
        <v>#N/A</v>
      </c>
      <c r="AF425" t="e">
        <f>VLOOKUP($Z425,'oddspedia-matches'!$A:$AD,AF$2,0)</f>
        <v>#N/A</v>
      </c>
      <c r="AG425" t="e">
        <f>VLOOKUP($Z425,'oddspedia-matches'!$A:$AD,AG$2,0)</f>
        <v>#N/A</v>
      </c>
      <c r="AH425" t="e">
        <f>VLOOKUP($Z425,'oddspedia-matches'!$A:$AD,AH$2,0)</f>
        <v>#N/A</v>
      </c>
      <c r="AI425" t="e">
        <f>VLOOKUP($Z425,'oddspedia-matches'!$A:$AD,AI$2,0)</f>
        <v>#N/A</v>
      </c>
      <c r="AJ425" t="e">
        <f>VLOOKUP($Z425,'oddspedia-matches'!$A:$AD,AJ$2,0)</f>
        <v>#N/A</v>
      </c>
      <c r="AK425" t="e">
        <f>VLOOKUP($Z425,'oddspedia-matches'!$A:$AD,AK$2,0)</f>
        <v>#N/A</v>
      </c>
      <c r="AL425" t="e">
        <f>VLOOKUP($Z425,'oddspedia-matches'!$A:$AD,AL$2,0)</f>
        <v>#N/A</v>
      </c>
      <c r="AM425" t="e">
        <f>VLOOKUP($Z425,'oddspedia-matches'!$A:$AD,AM$2,0)</f>
        <v>#N/A</v>
      </c>
      <c r="AN425" t="e">
        <f>VLOOKUP($Z425,'oddspedia-matches'!$A:$AD,AN$2,0)</f>
        <v>#N/A</v>
      </c>
      <c r="AO425" t="e">
        <f>VLOOKUP($Z425,'oddspedia-matches'!$A:$AD,AO$2,0)</f>
        <v>#N/A</v>
      </c>
      <c r="AP425" t="e">
        <f>VLOOKUP($Z425,'oddspedia-matches'!$A:$AD,AP$2,0)</f>
        <v>#N/A</v>
      </c>
      <c r="AQ425" t="e">
        <f>VLOOKUP($Z425,'oddspedia-matches'!$A:$AD,AQ$2,0)</f>
        <v>#N/A</v>
      </c>
    </row>
    <row r="426" spans="2:43" x14ac:dyDescent="0.2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tr">
        <f>VLOOKUP(E426,'Transform table'!A:B,2,0)</f>
        <v>Cerro</v>
      </c>
      <c r="Y426">
        <f>VLOOKUP(F426,'Transform table'!A:B,2,0)</f>
        <v>0</v>
      </c>
      <c r="Z426" t="str">
        <f t="shared" si="6"/>
        <v>26/07/2026Cerro0</v>
      </c>
      <c r="AA426" t="e">
        <f>VLOOKUP($Z426,'oddspedia-matches'!$A:$AD,AA$2,0)</f>
        <v>#N/A</v>
      </c>
      <c r="AB426" t="e">
        <f>VLOOKUP($Z426,'oddspedia-matches'!$A:$AD,AB$2,0)</f>
        <v>#N/A</v>
      </c>
      <c r="AC426" t="e">
        <f>VLOOKUP($Z426,'oddspedia-matches'!$A:$AD,AC$2,0)</f>
        <v>#N/A</v>
      </c>
      <c r="AD426" t="e">
        <f>VLOOKUP($Z426,'oddspedia-matches'!$A:$AD,AD$2,0)</f>
        <v>#N/A</v>
      </c>
      <c r="AE426" t="e">
        <f>VLOOKUP($Z426,'oddspedia-matches'!$A:$AD,AE$2,0)</f>
        <v>#N/A</v>
      </c>
      <c r="AF426" t="e">
        <f>VLOOKUP($Z426,'oddspedia-matches'!$A:$AD,AF$2,0)</f>
        <v>#N/A</v>
      </c>
      <c r="AG426" t="e">
        <f>VLOOKUP($Z426,'oddspedia-matches'!$A:$AD,AG$2,0)</f>
        <v>#N/A</v>
      </c>
      <c r="AH426" t="e">
        <f>VLOOKUP($Z426,'oddspedia-matches'!$A:$AD,AH$2,0)</f>
        <v>#N/A</v>
      </c>
      <c r="AI426" t="e">
        <f>VLOOKUP($Z426,'oddspedia-matches'!$A:$AD,AI$2,0)</f>
        <v>#N/A</v>
      </c>
      <c r="AJ426" t="e">
        <f>VLOOKUP($Z426,'oddspedia-matches'!$A:$AD,AJ$2,0)</f>
        <v>#N/A</v>
      </c>
      <c r="AK426" t="e">
        <f>VLOOKUP($Z426,'oddspedia-matches'!$A:$AD,AK$2,0)</f>
        <v>#N/A</v>
      </c>
      <c r="AL426" t="e">
        <f>VLOOKUP($Z426,'oddspedia-matches'!$A:$AD,AL$2,0)</f>
        <v>#N/A</v>
      </c>
      <c r="AM426" t="e">
        <f>VLOOKUP($Z426,'oddspedia-matches'!$A:$AD,AM$2,0)</f>
        <v>#N/A</v>
      </c>
      <c r="AN426" t="e">
        <f>VLOOKUP($Z426,'oddspedia-matches'!$A:$AD,AN$2,0)</f>
        <v>#N/A</v>
      </c>
      <c r="AO426" t="e">
        <f>VLOOKUP($Z426,'oddspedia-matches'!$A:$AD,AO$2,0)</f>
        <v>#N/A</v>
      </c>
      <c r="AP426" t="e">
        <f>VLOOKUP($Z426,'oddspedia-matches'!$A:$AD,AP$2,0)</f>
        <v>#N/A</v>
      </c>
      <c r="AQ426" t="e">
        <f>VLOOKUP($Z426,'oddspedia-matches'!$A:$AD,AQ$2,0)</f>
        <v>#N/A</v>
      </c>
    </row>
    <row r="427" spans="2:43" x14ac:dyDescent="0.2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tr">
        <f>VLOOKUP(E427,'Transform table'!A:B,2,0)</f>
        <v>Cordoba</v>
      </c>
      <c r="Y427" t="str">
        <f>VLOOKUP(F427,'Transform table'!A:B,2,0)</f>
        <v>Fenerbahce</v>
      </c>
      <c r="Z427" t="str">
        <f t="shared" si="6"/>
        <v>26/07/2026CordobaFenerbahce</v>
      </c>
      <c r="AA427" t="e">
        <f>VLOOKUP($Z427,'oddspedia-matches'!$A:$AD,AA$2,0)</f>
        <v>#N/A</v>
      </c>
      <c r="AB427" t="e">
        <f>VLOOKUP($Z427,'oddspedia-matches'!$A:$AD,AB$2,0)</f>
        <v>#N/A</v>
      </c>
      <c r="AC427" t="e">
        <f>VLOOKUP($Z427,'oddspedia-matches'!$A:$AD,AC$2,0)</f>
        <v>#N/A</v>
      </c>
      <c r="AD427" t="e">
        <f>VLOOKUP($Z427,'oddspedia-matches'!$A:$AD,AD$2,0)</f>
        <v>#N/A</v>
      </c>
      <c r="AE427" t="e">
        <f>VLOOKUP($Z427,'oddspedia-matches'!$A:$AD,AE$2,0)</f>
        <v>#N/A</v>
      </c>
      <c r="AF427" t="e">
        <f>VLOOKUP($Z427,'oddspedia-matches'!$A:$AD,AF$2,0)</f>
        <v>#N/A</v>
      </c>
      <c r="AG427" t="e">
        <f>VLOOKUP($Z427,'oddspedia-matches'!$A:$AD,AG$2,0)</f>
        <v>#N/A</v>
      </c>
      <c r="AH427" t="e">
        <f>VLOOKUP($Z427,'oddspedia-matches'!$A:$AD,AH$2,0)</f>
        <v>#N/A</v>
      </c>
      <c r="AI427" t="e">
        <f>VLOOKUP($Z427,'oddspedia-matches'!$A:$AD,AI$2,0)</f>
        <v>#N/A</v>
      </c>
      <c r="AJ427" t="e">
        <f>VLOOKUP($Z427,'oddspedia-matches'!$A:$AD,AJ$2,0)</f>
        <v>#N/A</v>
      </c>
      <c r="AK427" t="e">
        <f>VLOOKUP($Z427,'oddspedia-matches'!$A:$AD,AK$2,0)</f>
        <v>#N/A</v>
      </c>
      <c r="AL427" t="e">
        <f>VLOOKUP($Z427,'oddspedia-matches'!$A:$AD,AL$2,0)</f>
        <v>#N/A</v>
      </c>
      <c r="AM427" t="e">
        <f>VLOOKUP($Z427,'oddspedia-matches'!$A:$AD,AM$2,0)</f>
        <v>#N/A</v>
      </c>
      <c r="AN427" t="e">
        <f>VLOOKUP($Z427,'oddspedia-matches'!$A:$AD,AN$2,0)</f>
        <v>#N/A</v>
      </c>
      <c r="AO427" t="e">
        <f>VLOOKUP($Z427,'oddspedia-matches'!$A:$AD,AO$2,0)</f>
        <v>#N/A</v>
      </c>
      <c r="AP427" t="e">
        <f>VLOOKUP($Z427,'oddspedia-matches'!$A:$AD,AP$2,0)</f>
        <v>#N/A</v>
      </c>
      <c r="AQ427" t="e">
        <f>VLOOKUP($Z427,'oddspedia-matches'!$A:$AD,AQ$2,0)</f>
        <v>#N/A</v>
      </c>
    </row>
    <row r="428" spans="2:43" x14ac:dyDescent="0.2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tr">
        <f>VLOOKUP(E428,'Transform table'!A:B,2,0)</f>
        <v>Lokomotiv Sofia</v>
      </c>
      <c r="Y428" t="e">
        <f>VLOOKUP(F428,'Transform table'!A:B,2,0)</f>
        <v>#N/A</v>
      </c>
      <c r="Z428" t="e">
        <f t="shared" si="6"/>
        <v>#N/A</v>
      </c>
      <c r="AA428" t="e">
        <f>VLOOKUP($Z428,'oddspedia-matches'!$A:$AD,AA$2,0)</f>
        <v>#N/A</v>
      </c>
      <c r="AB428" t="e">
        <f>VLOOKUP($Z428,'oddspedia-matches'!$A:$AD,AB$2,0)</f>
        <v>#N/A</v>
      </c>
      <c r="AC428" t="e">
        <f>VLOOKUP($Z428,'oddspedia-matches'!$A:$AD,AC$2,0)</f>
        <v>#N/A</v>
      </c>
      <c r="AD428" t="e">
        <f>VLOOKUP($Z428,'oddspedia-matches'!$A:$AD,AD$2,0)</f>
        <v>#N/A</v>
      </c>
      <c r="AE428" t="e">
        <f>VLOOKUP($Z428,'oddspedia-matches'!$A:$AD,AE$2,0)</f>
        <v>#N/A</v>
      </c>
      <c r="AF428" t="e">
        <f>VLOOKUP($Z428,'oddspedia-matches'!$A:$AD,AF$2,0)</f>
        <v>#N/A</v>
      </c>
      <c r="AG428" t="e">
        <f>VLOOKUP($Z428,'oddspedia-matches'!$A:$AD,AG$2,0)</f>
        <v>#N/A</v>
      </c>
      <c r="AH428" t="e">
        <f>VLOOKUP($Z428,'oddspedia-matches'!$A:$AD,AH$2,0)</f>
        <v>#N/A</v>
      </c>
      <c r="AI428" t="e">
        <f>VLOOKUP($Z428,'oddspedia-matches'!$A:$AD,AI$2,0)</f>
        <v>#N/A</v>
      </c>
      <c r="AJ428" t="e">
        <f>VLOOKUP($Z428,'oddspedia-matches'!$A:$AD,AJ$2,0)</f>
        <v>#N/A</v>
      </c>
      <c r="AK428" t="e">
        <f>VLOOKUP($Z428,'oddspedia-matches'!$A:$AD,AK$2,0)</f>
        <v>#N/A</v>
      </c>
      <c r="AL428" t="e">
        <f>VLOOKUP($Z428,'oddspedia-matches'!$A:$AD,AL$2,0)</f>
        <v>#N/A</v>
      </c>
      <c r="AM428" t="e">
        <f>VLOOKUP($Z428,'oddspedia-matches'!$A:$AD,AM$2,0)</f>
        <v>#N/A</v>
      </c>
      <c r="AN428" t="e">
        <f>VLOOKUP($Z428,'oddspedia-matches'!$A:$AD,AN$2,0)</f>
        <v>#N/A</v>
      </c>
      <c r="AO428" t="e">
        <f>VLOOKUP($Z428,'oddspedia-matches'!$A:$AD,AO$2,0)</f>
        <v>#N/A</v>
      </c>
      <c r="AP428" t="e">
        <f>VLOOKUP($Z428,'oddspedia-matches'!$A:$AD,AP$2,0)</f>
        <v>#N/A</v>
      </c>
      <c r="AQ428" t="e">
        <f>VLOOKUP($Z428,'oddspedia-matches'!$A:$AD,AQ$2,0)</f>
        <v>#N/A</v>
      </c>
    </row>
    <row r="429" spans="2:43" x14ac:dyDescent="0.2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tr">
        <f>VLOOKUP(E429,'Transform table'!A:B,2,0)</f>
        <v>SD Aucas</v>
      </c>
      <c r="Y429" t="str">
        <f>VLOOKUP(F429,'Transform table'!A:B,2,0)</f>
        <v>CSD Macara</v>
      </c>
      <c r="Z429" t="str">
        <f t="shared" si="6"/>
        <v>26/07/2026SD AucasCSD Macara</v>
      </c>
      <c r="AA429" t="e">
        <f>VLOOKUP($Z429,'oddspedia-matches'!$A:$AD,AA$2,0)</f>
        <v>#N/A</v>
      </c>
      <c r="AB429" t="e">
        <f>VLOOKUP($Z429,'oddspedia-matches'!$A:$AD,AB$2,0)</f>
        <v>#N/A</v>
      </c>
      <c r="AC429" t="e">
        <f>VLOOKUP($Z429,'oddspedia-matches'!$A:$AD,AC$2,0)</f>
        <v>#N/A</v>
      </c>
      <c r="AD429" t="e">
        <f>VLOOKUP($Z429,'oddspedia-matches'!$A:$AD,AD$2,0)</f>
        <v>#N/A</v>
      </c>
      <c r="AE429" t="e">
        <f>VLOOKUP($Z429,'oddspedia-matches'!$A:$AD,AE$2,0)</f>
        <v>#N/A</v>
      </c>
      <c r="AF429" t="e">
        <f>VLOOKUP($Z429,'oddspedia-matches'!$A:$AD,AF$2,0)</f>
        <v>#N/A</v>
      </c>
      <c r="AG429" t="e">
        <f>VLOOKUP($Z429,'oddspedia-matches'!$A:$AD,AG$2,0)</f>
        <v>#N/A</v>
      </c>
      <c r="AH429" t="e">
        <f>VLOOKUP($Z429,'oddspedia-matches'!$A:$AD,AH$2,0)</f>
        <v>#N/A</v>
      </c>
      <c r="AI429" t="e">
        <f>VLOOKUP($Z429,'oddspedia-matches'!$A:$AD,AI$2,0)</f>
        <v>#N/A</v>
      </c>
      <c r="AJ429" t="e">
        <f>VLOOKUP($Z429,'oddspedia-matches'!$A:$AD,AJ$2,0)</f>
        <v>#N/A</v>
      </c>
      <c r="AK429" t="e">
        <f>VLOOKUP($Z429,'oddspedia-matches'!$A:$AD,AK$2,0)</f>
        <v>#N/A</v>
      </c>
      <c r="AL429" t="e">
        <f>VLOOKUP($Z429,'oddspedia-matches'!$A:$AD,AL$2,0)</f>
        <v>#N/A</v>
      </c>
      <c r="AM429" t="e">
        <f>VLOOKUP($Z429,'oddspedia-matches'!$A:$AD,AM$2,0)</f>
        <v>#N/A</v>
      </c>
      <c r="AN429" t="e">
        <f>VLOOKUP($Z429,'oddspedia-matches'!$A:$AD,AN$2,0)</f>
        <v>#N/A</v>
      </c>
      <c r="AO429" t="e">
        <f>VLOOKUP($Z429,'oddspedia-matches'!$A:$AD,AO$2,0)</f>
        <v>#N/A</v>
      </c>
      <c r="AP429" t="e">
        <f>VLOOKUP($Z429,'oddspedia-matches'!$A:$AD,AP$2,0)</f>
        <v>#N/A</v>
      </c>
      <c r="AQ429" t="e">
        <f>VLOOKUP($Z429,'oddspedia-matches'!$A:$AD,AQ$2,0)</f>
        <v>#N/A</v>
      </c>
    </row>
    <row r="430" spans="2:43" x14ac:dyDescent="0.2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tr">
        <f>VLOOKUP(E430,'Transform table'!A:B,2,0)</f>
        <v>Delfin SC</v>
      </c>
      <c r="Y430" t="str">
        <f>VLOOKUP(F430,'Transform table'!A:B,2,0)</f>
        <v>CD Leones Del Norte</v>
      </c>
      <c r="Z430" t="str">
        <f t="shared" si="6"/>
        <v>26/07/2026Delfin SCCD Leones Del Norte</v>
      </c>
      <c r="AA430" t="e">
        <f>VLOOKUP($Z430,'oddspedia-matches'!$A:$AD,AA$2,0)</f>
        <v>#N/A</v>
      </c>
      <c r="AB430" t="e">
        <f>VLOOKUP($Z430,'oddspedia-matches'!$A:$AD,AB$2,0)</f>
        <v>#N/A</v>
      </c>
      <c r="AC430" t="e">
        <f>VLOOKUP($Z430,'oddspedia-matches'!$A:$AD,AC$2,0)</f>
        <v>#N/A</v>
      </c>
      <c r="AD430" t="e">
        <f>VLOOKUP($Z430,'oddspedia-matches'!$A:$AD,AD$2,0)</f>
        <v>#N/A</v>
      </c>
      <c r="AE430" t="e">
        <f>VLOOKUP($Z430,'oddspedia-matches'!$A:$AD,AE$2,0)</f>
        <v>#N/A</v>
      </c>
      <c r="AF430" t="e">
        <f>VLOOKUP($Z430,'oddspedia-matches'!$A:$AD,AF$2,0)</f>
        <v>#N/A</v>
      </c>
      <c r="AG430" t="e">
        <f>VLOOKUP($Z430,'oddspedia-matches'!$A:$AD,AG$2,0)</f>
        <v>#N/A</v>
      </c>
      <c r="AH430" t="e">
        <f>VLOOKUP($Z430,'oddspedia-matches'!$A:$AD,AH$2,0)</f>
        <v>#N/A</v>
      </c>
      <c r="AI430" t="e">
        <f>VLOOKUP($Z430,'oddspedia-matches'!$A:$AD,AI$2,0)</f>
        <v>#N/A</v>
      </c>
      <c r="AJ430" t="e">
        <f>VLOOKUP($Z430,'oddspedia-matches'!$A:$AD,AJ$2,0)</f>
        <v>#N/A</v>
      </c>
      <c r="AK430" t="e">
        <f>VLOOKUP($Z430,'oddspedia-matches'!$A:$AD,AK$2,0)</f>
        <v>#N/A</v>
      </c>
      <c r="AL430" t="e">
        <f>VLOOKUP($Z430,'oddspedia-matches'!$A:$AD,AL$2,0)</f>
        <v>#N/A</v>
      </c>
      <c r="AM430" t="e">
        <f>VLOOKUP($Z430,'oddspedia-matches'!$A:$AD,AM$2,0)</f>
        <v>#N/A</v>
      </c>
      <c r="AN430" t="e">
        <f>VLOOKUP($Z430,'oddspedia-matches'!$A:$AD,AN$2,0)</f>
        <v>#N/A</v>
      </c>
      <c r="AO430" t="e">
        <f>VLOOKUP($Z430,'oddspedia-matches'!$A:$AD,AO$2,0)</f>
        <v>#N/A</v>
      </c>
      <c r="AP430" t="e">
        <f>VLOOKUP($Z430,'oddspedia-matches'!$A:$AD,AP$2,0)</f>
        <v>#N/A</v>
      </c>
      <c r="AQ430" t="e">
        <f>VLOOKUP($Z430,'oddspedia-matches'!$A:$AD,AQ$2,0)</f>
        <v>#N/A</v>
      </c>
    </row>
    <row r="431" spans="2:43" x14ac:dyDescent="0.2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tr">
        <f>VLOOKUP(E431,'Transform table'!A:B,2,0)</f>
        <v>Koper</v>
      </c>
      <c r="Y431" t="e">
        <f>VLOOKUP(F431,'Transform table'!A:B,2,0)</f>
        <v>#N/A</v>
      </c>
      <c r="Z431" t="e">
        <f t="shared" si="6"/>
        <v>#N/A</v>
      </c>
      <c r="AA431" t="e">
        <f>VLOOKUP($Z431,'oddspedia-matches'!$A:$AD,AA$2,0)</f>
        <v>#N/A</v>
      </c>
      <c r="AB431" t="e">
        <f>VLOOKUP($Z431,'oddspedia-matches'!$A:$AD,AB$2,0)</f>
        <v>#N/A</v>
      </c>
      <c r="AC431" t="e">
        <f>VLOOKUP($Z431,'oddspedia-matches'!$A:$AD,AC$2,0)</f>
        <v>#N/A</v>
      </c>
      <c r="AD431" t="e">
        <f>VLOOKUP($Z431,'oddspedia-matches'!$A:$AD,AD$2,0)</f>
        <v>#N/A</v>
      </c>
      <c r="AE431" t="e">
        <f>VLOOKUP($Z431,'oddspedia-matches'!$A:$AD,AE$2,0)</f>
        <v>#N/A</v>
      </c>
      <c r="AF431" t="e">
        <f>VLOOKUP($Z431,'oddspedia-matches'!$A:$AD,AF$2,0)</f>
        <v>#N/A</v>
      </c>
      <c r="AG431" t="e">
        <f>VLOOKUP($Z431,'oddspedia-matches'!$A:$AD,AG$2,0)</f>
        <v>#N/A</v>
      </c>
      <c r="AH431" t="e">
        <f>VLOOKUP($Z431,'oddspedia-matches'!$A:$AD,AH$2,0)</f>
        <v>#N/A</v>
      </c>
      <c r="AI431" t="e">
        <f>VLOOKUP($Z431,'oddspedia-matches'!$A:$AD,AI$2,0)</f>
        <v>#N/A</v>
      </c>
      <c r="AJ431" t="e">
        <f>VLOOKUP($Z431,'oddspedia-matches'!$A:$AD,AJ$2,0)</f>
        <v>#N/A</v>
      </c>
      <c r="AK431" t="e">
        <f>VLOOKUP($Z431,'oddspedia-matches'!$A:$AD,AK$2,0)</f>
        <v>#N/A</v>
      </c>
      <c r="AL431" t="e">
        <f>VLOOKUP($Z431,'oddspedia-matches'!$A:$AD,AL$2,0)</f>
        <v>#N/A</v>
      </c>
      <c r="AM431" t="e">
        <f>VLOOKUP($Z431,'oddspedia-matches'!$A:$AD,AM$2,0)</f>
        <v>#N/A</v>
      </c>
      <c r="AN431" t="e">
        <f>VLOOKUP($Z431,'oddspedia-matches'!$A:$AD,AN$2,0)</f>
        <v>#N/A</v>
      </c>
      <c r="AO431" t="e">
        <f>VLOOKUP($Z431,'oddspedia-matches'!$A:$AD,AO$2,0)</f>
        <v>#N/A</v>
      </c>
      <c r="AP431" t="e">
        <f>VLOOKUP($Z431,'oddspedia-matches'!$A:$AD,AP$2,0)</f>
        <v>#N/A</v>
      </c>
      <c r="AQ431" t="e">
        <f>VLOOKUP($Z431,'oddspedia-matches'!$A:$AD,AQ$2,0)</f>
        <v>#N/A</v>
      </c>
    </row>
    <row r="432" spans="2:43" x14ac:dyDescent="0.2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tr">
        <f>VLOOKUP(E432,'Transform table'!A:B,2,0)</f>
        <v>Walsall</v>
      </c>
      <c r="Y432" t="e">
        <f>VLOOKUP(F432,'Transform table'!A:B,2,0)</f>
        <v>#N/A</v>
      </c>
      <c r="Z432" t="e">
        <f t="shared" si="6"/>
        <v>#N/A</v>
      </c>
      <c r="AA432" t="e">
        <f>VLOOKUP($Z432,'oddspedia-matches'!$A:$AD,AA$2,0)</f>
        <v>#N/A</v>
      </c>
      <c r="AB432" t="e">
        <f>VLOOKUP($Z432,'oddspedia-matches'!$A:$AD,AB$2,0)</f>
        <v>#N/A</v>
      </c>
      <c r="AC432" t="e">
        <f>VLOOKUP($Z432,'oddspedia-matches'!$A:$AD,AC$2,0)</f>
        <v>#N/A</v>
      </c>
      <c r="AD432" t="e">
        <f>VLOOKUP($Z432,'oddspedia-matches'!$A:$AD,AD$2,0)</f>
        <v>#N/A</v>
      </c>
      <c r="AE432" t="e">
        <f>VLOOKUP($Z432,'oddspedia-matches'!$A:$AD,AE$2,0)</f>
        <v>#N/A</v>
      </c>
      <c r="AF432" t="e">
        <f>VLOOKUP($Z432,'oddspedia-matches'!$A:$AD,AF$2,0)</f>
        <v>#N/A</v>
      </c>
      <c r="AG432" t="e">
        <f>VLOOKUP($Z432,'oddspedia-matches'!$A:$AD,AG$2,0)</f>
        <v>#N/A</v>
      </c>
      <c r="AH432" t="e">
        <f>VLOOKUP($Z432,'oddspedia-matches'!$A:$AD,AH$2,0)</f>
        <v>#N/A</v>
      </c>
      <c r="AI432" t="e">
        <f>VLOOKUP($Z432,'oddspedia-matches'!$A:$AD,AI$2,0)</f>
        <v>#N/A</v>
      </c>
      <c r="AJ432" t="e">
        <f>VLOOKUP($Z432,'oddspedia-matches'!$A:$AD,AJ$2,0)</f>
        <v>#N/A</v>
      </c>
      <c r="AK432" t="e">
        <f>VLOOKUP($Z432,'oddspedia-matches'!$A:$AD,AK$2,0)</f>
        <v>#N/A</v>
      </c>
      <c r="AL432" t="e">
        <f>VLOOKUP($Z432,'oddspedia-matches'!$A:$AD,AL$2,0)</f>
        <v>#N/A</v>
      </c>
      <c r="AM432" t="e">
        <f>VLOOKUP($Z432,'oddspedia-matches'!$A:$AD,AM$2,0)</f>
        <v>#N/A</v>
      </c>
      <c r="AN432" t="e">
        <f>VLOOKUP($Z432,'oddspedia-matches'!$A:$AD,AN$2,0)</f>
        <v>#N/A</v>
      </c>
      <c r="AO432" t="e">
        <f>VLOOKUP($Z432,'oddspedia-matches'!$A:$AD,AO$2,0)</f>
        <v>#N/A</v>
      </c>
      <c r="AP432" t="e">
        <f>VLOOKUP($Z432,'oddspedia-matches'!$A:$AD,AP$2,0)</f>
        <v>#N/A</v>
      </c>
      <c r="AQ432" t="e">
        <f>VLOOKUP($Z432,'oddspedia-matches'!$A:$AD,AQ$2,0)</f>
        <v>#N/A</v>
      </c>
    </row>
    <row r="433" spans="2:43" x14ac:dyDescent="0.2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tr">
        <f>VLOOKUP(E433,'Transform table'!A:B,2,0)</f>
        <v>Colon de Santa Fe</v>
      </c>
      <c r="Y433" t="e">
        <f>VLOOKUP(F433,'Transform table'!A:B,2,0)</f>
        <v>#N/A</v>
      </c>
      <c r="Z433" t="e">
        <f t="shared" si="6"/>
        <v>#N/A</v>
      </c>
      <c r="AA433" t="e">
        <f>VLOOKUP($Z433,'oddspedia-matches'!$A:$AD,AA$2,0)</f>
        <v>#N/A</v>
      </c>
      <c r="AB433" t="e">
        <f>VLOOKUP($Z433,'oddspedia-matches'!$A:$AD,AB$2,0)</f>
        <v>#N/A</v>
      </c>
      <c r="AC433" t="e">
        <f>VLOOKUP($Z433,'oddspedia-matches'!$A:$AD,AC$2,0)</f>
        <v>#N/A</v>
      </c>
      <c r="AD433" t="e">
        <f>VLOOKUP($Z433,'oddspedia-matches'!$A:$AD,AD$2,0)</f>
        <v>#N/A</v>
      </c>
      <c r="AE433" t="e">
        <f>VLOOKUP($Z433,'oddspedia-matches'!$A:$AD,AE$2,0)</f>
        <v>#N/A</v>
      </c>
      <c r="AF433" t="e">
        <f>VLOOKUP($Z433,'oddspedia-matches'!$A:$AD,AF$2,0)</f>
        <v>#N/A</v>
      </c>
      <c r="AG433" t="e">
        <f>VLOOKUP($Z433,'oddspedia-matches'!$A:$AD,AG$2,0)</f>
        <v>#N/A</v>
      </c>
      <c r="AH433" t="e">
        <f>VLOOKUP($Z433,'oddspedia-matches'!$A:$AD,AH$2,0)</f>
        <v>#N/A</v>
      </c>
      <c r="AI433" t="e">
        <f>VLOOKUP($Z433,'oddspedia-matches'!$A:$AD,AI$2,0)</f>
        <v>#N/A</v>
      </c>
      <c r="AJ433" t="e">
        <f>VLOOKUP($Z433,'oddspedia-matches'!$A:$AD,AJ$2,0)</f>
        <v>#N/A</v>
      </c>
      <c r="AK433" t="e">
        <f>VLOOKUP($Z433,'oddspedia-matches'!$A:$AD,AK$2,0)</f>
        <v>#N/A</v>
      </c>
      <c r="AL433" t="e">
        <f>VLOOKUP($Z433,'oddspedia-matches'!$A:$AD,AL$2,0)</f>
        <v>#N/A</v>
      </c>
      <c r="AM433" t="e">
        <f>VLOOKUP($Z433,'oddspedia-matches'!$A:$AD,AM$2,0)</f>
        <v>#N/A</v>
      </c>
      <c r="AN433" t="e">
        <f>VLOOKUP($Z433,'oddspedia-matches'!$A:$AD,AN$2,0)</f>
        <v>#N/A</v>
      </c>
      <c r="AO433" t="e">
        <f>VLOOKUP($Z433,'oddspedia-matches'!$A:$AD,AO$2,0)</f>
        <v>#N/A</v>
      </c>
      <c r="AP433" t="e">
        <f>VLOOKUP($Z433,'oddspedia-matches'!$A:$AD,AP$2,0)</f>
        <v>#N/A</v>
      </c>
      <c r="AQ433" t="e">
        <f>VLOOKUP($Z433,'oddspedia-matches'!$A:$AD,AQ$2,0)</f>
        <v>#N/A</v>
      </c>
    </row>
    <row r="434" spans="2:43" x14ac:dyDescent="0.2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tr">
        <f>VLOOKUP(E434,'Transform table'!A:B,2,0)</f>
        <v>CA San Miguel</v>
      </c>
      <c r="Y434" t="str">
        <f>VLOOKUP(F434,'Transform table'!A:B,2,0)</f>
        <v>Club Atletico Acassuso</v>
      </c>
      <c r="Z434" t="str">
        <f t="shared" si="6"/>
        <v>26/07/2026CA San MiguelClub Atletico Acassuso</v>
      </c>
      <c r="AA434" t="e">
        <f>VLOOKUP($Z434,'oddspedia-matches'!$A:$AD,AA$2,0)</f>
        <v>#N/A</v>
      </c>
      <c r="AB434" t="e">
        <f>VLOOKUP($Z434,'oddspedia-matches'!$A:$AD,AB$2,0)</f>
        <v>#N/A</v>
      </c>
      <c r="AC434" t="e">
        <f>VLOOKUP($Z434,'oddspedia-matches'!$A:$AD,AC$2,0)</f>
        <v>#N/A</v>
      </c>
      <c r="AD434" t="e">
        <f>VLOOKUP($Z434,'oddspedia-matches'!$A:$AD,AD$2,0)</f>
        <v>#N/A</v>
      </c>
      <c r="AE434" t="e">
        <f>VLOOKUP($Z434,'oddspedia-matches'!$A:$AD,AE$2,0)</f>
        <v>#N/A</v>
      </c>
      <c r="AF434" t="e">
        <f>VLOOKUP($Z434,'oddspedia-matches'!$A:$AD,AF$2,0)</f>
        <v>#N/A</v>
      </c>
      <c r="AG434" t="e">
        <f>VLOOKUP($Z434,'oddspedia-matches'!$A:$AD,AG$2,0)</f>
        <v>#N/A</v>
      </c>
      <c r="AH434" t="e">
        <f>VLOOKUP($Z434,'oddspedia-matches'!$A:$AD,AH$2,0)</f>
        <v>#N/A</v>
      </c>
      <c r="AI434" t="e">
        <f>VLOOKUP($Z434,'oddspedia-matches'!$A:$AD,AI$2,0)</f>
        <v>#N/A</v>
      </c>
      <c r="AJ434" t="e">
        <f>VLOOKUP($Z434,'oddspedia-matches'!$A:$AD,AJ$2,0)</f>
        <v>#N/A</v>
      </c>
      <c r="AK434" t="e">
        <f>VLOOKUP($Z434,'oddspedia-matches'!$A:$AD,AK$2,0)</f>
        <v>#N/A</v>
      </c>
      <c r="AL434" t="e">
        <f>VLOOKUP($Z434,'oddspedia-matches'!$A:$AD,AL$2,0)</f>
        <v>#N/A</v>
      </c>
      <c r="AM434" t="e">
        <f>VLOOKUP($Z434,'oddspedia-matches'!$A:$AD,AM$2,0)</f>
        <v>#N/A</v>
      </c>
      <c r="AN434" t="e">
        <f>VLOOKUP($Z434,'oddspedia-matches'!$A:$AD,AN$2,0)</f>
        <v>#N/A</v>
      </c>
      <c r="AO434" t="e">
        <f>VLOOKUP($Z434,'oddspedia-matches'!$A:$AD,AO$2,0)</f>
        <v>#N/A</v>
      </c>
      <c r="AP434" t="e">
        <f>VLOOKUP($Z434,'oddspedia-matches'!$A:$AD,AP$2,0)</f>
        <v>#N/A</v>
      </c>
      <c r="AQ434" t="e">
        <f>VLOOKUP($Z434,'oddspedia-matches'!$A:$AD,AQ$2,0)</f>
        <v>#N/A</v>
      </c>
    </row>
    <row r="435" spans="2:43" x14ac:dyDescent="0.2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>
        <f>VLOOKUP(E435,'Transform table'!A:B,2,0)</f>
        <v>0</v>
      </c>
      <c r="Y435" t="e">
        <f>VLOOKUP(F435,'Transform table'!A:B,2,0)</f>
        <v>#N/A</v>
      </c>
      <c r="Z435" t="e">
        <f t="shared" si="6"/>
        <v>#N/A</v>
      </c>
      <c r="AA435" t="e">
        <f>VLOOKUP($Z435,'oddspedia-matches'!$A:$AD,AA$2,0)</f>
        <v>#N/A</v>
      </c>
      <c r="AB435" t="e">
        <f>VLOOKUP($Z435,'oddspedia-matches'!$A:$AD,AB$2,0)</f>
        <v>#N/A</v>
      </c>
      <c r="AC435" t="e">
        <f>VLOOKUP($Z435,'oddspedia-matches'!$A:$AD,AC$2,0)</f>
        <v>#N/A</v>
      </c>
      <c r="AD435" t="e">
        <f>VLOOKUP($Z435,'oddspedia-matches'!$A:$AD,AD$2,0)</f>
        <v>#N/A</v>
      </c>
      <c r="AE435" t="e">
        <f>VLOOKUP($Z435,'oddspedia-matches'!$A:$AD,AE$2,0)</f>
        <v>#N/A</v>
      </c>
      <c r="AF435" t="e">
        <f>VLOOKUP($Z435,'oddspedia-matches'!$A:$AD,AF$2,0)</f>
        <v>#N/A</v>
      </c>
      <c r="AG435" t="e">
        <f>VLOOKUP($Z435,'oddspedia-matches'!$A:$AD,AG$2,0)</f>
        <v>#N/A</v>
      </c>
      <c r="AH435" t="e">
        <f>VLOOKUP($Z435,'oddspedia-matches'!$A:$AD,AH$2,0)</f>
        <v>#N/A</v>
      </c>
      <c r="AI435" t="e">
        <f>VLOOKUP($Z435,'oddspedia-matches'!$A:$AD,AI$2,0)</f>
        <v>#N/A</v>
      </c>
      <c r="AJ435" t="e">
        <f>VLOOKUP($Z435,'oddspedia-matches'!$A:$AD,AJ$2,0)</f>
        <v>#N/A</v>
      </c>
      <c r="AK435" t="e">
        <f>VLOOKUP($Z435,'oddspedia-matches'!$A:$AD,AK$2,0)</f>
        <v>#N/A</v>
      </c>
      <c r="AL435" t="e">
        <f>VLOOKUP($Z435,'oddspedia-matches'!$A:$AD,AL$2,0)</f>
        <v>#N/A</v>
      </c>
      <c r="AM435" t="e">
        <f>VLOOKUP($Z435,'oddspedia-matches'!$A:$AD,AM$2,0)</f>
        <v>#N/A</v>
      </c>
      <c r="AN435" t="e">
        <f>VLOOKUP($Z435,'oddspedia-matches'!$A:$AD,AN$2,0)</f>
        <v>#N/A</v>
      </c>
      <c r="AO435" t="e">
        <f>VLOOKUP($Z435,'oddspedia-matches'!$A:$AD,AO$2,0)</f>
        <v>#N/A</v>
      </c>
      <c r="AP435" t="e">
        <f>VLOOKUP($Z435,'oddspedia-matches'!$A:$AD,AP$2,0)</f>
        <v>#N/A</v>
      </c>
      <c r="AQ435" t="e">
        <f>VLOOKUP($Z435,'oddspedia-matches'!$A:$AD,AQ$2,0)</f>
        <v>#N/A</v>
      </c>
    </row>
    <row r="436" spans="2:43" x14ac:dyDescent="0.2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>
        <f>VLOOKUP(E436,'Transform table'!A:B,2,0)</f>
        <v>0</v>
      </c>
      <c r="Y436" t="e">
        <f>VLOOKUP(F436,'Transform table'!A:B,2,0)</f>
        <v>#N/A</v>
      </c>
      <c r="Z436" t="e">
        <f t="shared" si="6"/>
        <v>#N/A</v>
      </c>
      <c r="AA436" t="e">
        <f>VLOOKUP($Z436,'oddspedia-matches'!$A:$AD,AA$2,0)</f>
        <v>#N/A</v>
      </c>
      <c r="AB436" t="e">
        <f>VLOOKUP($Z436,'oddspedia-matches'!$A:$AD,AB$2,0)</f>
        <v>#N/A</v>
      </c>
      <c r="AC436" t="e">
        <f>VLOOKUP($Z436,'oddspedia-matches'!$A:$AD,AC$2,0)</f>
        <v>#N/A</v>
      </c>
      <c r="AD436" t="e">
        <f>VLOOKUP($Z436,'oddspedia-matches'!$A:$AD,AD$2,0)</f>
        <v>#N/A</v>
      </c>
      <c r="AE436" t="e">
        <f>VLOOKUP($Z436,'oddspedia-matches'!$A:$AD,AE$2,0)</f>
        <v>#N/A</v>
      </c>
      <c r="AF436" t="e">
        <f>VLOOKUP($Z436,'oddspedia-matches'!$A:$AD,AF$2,0)</f>
        <v>#N/A</v>
      </c>
      <c r="AG436" t="e">
        <f>VLOOKUP($Z436,'oddspedia-matches'!$A:$AD,AG$2,0)</f>
        <v>#N/A</v>
      </c>
      <c r="AH436" t="e">
        <f>VLOOKUP($Z436,'oddspedia-matches'!$A:$AD,AH$2,0)</f>
        <v>#N/A</v>
      </c>
      <c r="AI436" t="e">
        <f>VLOOKUP($Z436,'oddspedia-matches'!$A:$AD,AI$2,0)</f>
        <v>#N/A</v>
      </c>
      <c r="AJ436" t="e">
        <f>VLOOKUP($Z436,'oddspedia-matches'!$A:$AD,AJ$2,0)</f>
        <v>#N/A</v>
      </c>
      <c r="AK436" t="e">
        <f>VLOOKUP($Z436,'oddspedia-matches'!$A:$AD,AK$2,0)</f>
        <v>#N/A</v>
      </c>
      <c r="AL436" t="e">
        <f>VLOOKUP($Z436,'oddspedia-matches'!$A:$AD,AL$2,0)</f>
        <v>#N/A</v>
      </c>
      <c r="AM436" t="e">
        <f>VLOOKUP($Z436,'oddspedia-matches'!$A:$AD,AM$2,0)</f>
        <v>#N/A</v>
      </c>
      <c r="AN436" t="e">
        <f>VLOOKUP($Z436,'oddspedia-matches'!$A:$AD,AN$2,0)</f>
        <v>#N/A</v>
      </c>
      <c r="AO436" t="e">
        <f>VLOOKUP($Z436,'oddspedia-matches'!$A:$AD,AO$2,0)</f>
        <v>#N/A</v>
      </c>
      <c r="AP436" t="e">
        <f>VLOOKUP($Z436,'oddspedia-matches'!$A:$AD,AP$2,0)</f>
        <v>#N/A</v>
      </c>
      <c r="AQ436" t="e">
        <f>VLOOKUP($Z436,'oddspedia-matches'!$A:$AD,AQ$2,0)</f>
        <v>#N/A</v>
      </c>
    </row>
    <row r="437" spans="2:43" x14ac:dyDescent="0.2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tr">
        <f>VLOOKUP(E437,'Transform table'!A:B,2,0)</f>
        <v>Gimnasia Jujuy</v>
      </c>
      <c r="Y437" t="e">
        <f>VLOOKUP(F437,'Transform table'!A:B,2,0)</f>
        <v>#N/A</v>
      </c>
      <c r="Z437" t="e">
        <f t="shared" si="6"/>
        <v>#N/A</v>
      </c>
      <c r="AA437" t="e">
        <f>VLOOKUP($Z437,'oddspedia-matches'!$A:$AD,AA$2,0)</f>
        <v>#N/A</v>
      </c>
      <c r="AB437" t="e">
        <f>VLOOKUP($Z437,'oddspedia-matches'!$A:$AD,AB$2,0)</f>
        <v>#N/A</v>
      </c>
      <c r="AC437" t="e">
        <f>VLOOKUP($Z437,'oddspedia-matches'!$A:$AD,AC$2,0)</f>
        <v>#N/A</v>
      </c>
      <c r="AD437" t="e">
        <f>VLOOKUP($Z437,'oddspedia-matches'!$A:$AD,AD$2,0)</f>
        <v>#N/A</v>
      </c>
      <c r="AE437" t="e">
        <f>VLOOKUP($Z437,'oddspedia-matches'!$A:$AD,AE$2,0)</f>
        <v>#N/A</v>
      </c>
      <c r="AF437" t="e">
        <f>VLOOKUP($Z437,'oddspedia-matches'!$A:$AD,AF$2,0)</f>
        <v>#N/A</v>
      </c>
      <c r="AG437" t="e">
        <f>VLOOKUP($Z437,'oddspedia-matches'!$A:$AD,AG$2,0)</f>
        <v>#N/A</v>
      </c>
      <c r="AH437" t="e">
        <f>VLOOKUP($Z437,'oddspedia-matches'!$A:$AD,AH$2,0)</f>
        <v>#N/A</v>
      </c>
      <c r="AI437" t="e">
        <f>VLOOKUP($Z437,'oddspedia-matches'!$A:$AD,AI$2,0)</f>
        <v>#N/A</v>
      </c>
      <c r="AJ437" t="e">
        <f>VLOOKUP($Z437,'oddspedia-matches'!$A:$AD,AJ$2,0)</f>
        <v>#N/A</v>
      </c>
      <c r="AK437" t="e">
        <f>VLOOKUP($Z437,'oddspedia-matches'!$A:$AD,AK$2,0)</f>
        <v>#N/A</v>
      </c>
      <c r="AL437" t="e">
        <f>VLOOKUP($Z437,'oddspedia-matches'!$A:$AD,AL$2,0)</f>
        <v>#N/A</v>
      </c>
      <c r="AM437" t="e">
        <f>VLOOKUP($Z437,'oddspedia-matches'!$A:$AD,AM$2,0)</f>
        <v>#N/A</v>
      </c>
      <c r="AN437" t="e">
        <f>VLOOKUP($Z437,'oddspedia-matches'!$A:$AD,AN$2,0)</f>
        <v>#N/A</v>
      </c>
      <c r="AO437" t="e">
        <f>VLOOKUP($Z437,'oddspedia-matches'!$A:$AD,AO$2,0)</f>
        <v>#N/A</v>
      </c>
      <c r="AP437" t="e">
        <f>VLOOKUP($Z437,'oddspedia-matches'!$A:$AD,AP$2,0)</f>
        <v>#N/A</v>
      </c>
      <c r="AQ437" t="e">
        <f>VLOOKUP($Z437,'oddspedia-matches'!$A:$AD,AQ$2,0)</f>
        <v>#N/A</v>
      </c>
    </row>
    <row r="438" spans="2:43" x14ac:dyDescent="0.2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tr">
        <f>VLOOKUP(E438,'Transform table'!A:B,2,0)</f>
        <v>Ferrocarril Midland</v>
      </c>
      <c r="Y438" t="e">
        <f>VLOOKUP(F438,'Transform table'!A:B,2,0)</f>
        <v>#N/A</v>
      </c>
      <c r="Z438" t="e">
        <f t="shared" si="6"/>
        <v>#N/A</v>
      </c>
      <c r="AA438" t="e">
        <f>VLOOKUP($Z438,'oddspedia-matches'!$A:$AD,AA$2,0)</f>
        <v>#N/A</v>
      </c>
      <c r="AB438" t="e">
        <f>VLOOKUP($Z438,'oddspedia-matches'!$A:$AD,AB$2,0)</f>
        <v>#N/A</v>
      </c>
      <c r="AC438" t="e">
        <f>VLOOKUP($Z438,'oddspedia-matches'!$A:$AD,AC$2,0)</f>
        <v>#N/A</v>
      </c>
      <c r="AD438" t="e">
        <f>VLOOKUP($Z438,'oddspedia-matches'!$A:$AD,AD$2,0)</f>
        <v>#N/A</v>
      </c>
      <c r="AE438" t="e">
        <f>VLOOKUP($Z438,'oddspedia-matches'!$A:$AD,AE$2,0)</f>
        <v>#N/A</v>
      </c>
      <c r="AF438" t="e">
        <f>VLOOKUP($Z438,'oddspedia-matches'!$A:$AD,AF$2,0)</f>
        <v>#N/A</v>
      </c>
      <c r="AG438" t="e">
        <f>VLOOKUP($Z438,'oddspedia-matches'!$A:$AD,AG$2,0)</f>
        <v>#N/A</v>
      </c>
      <c r="AH438" t="e">
        <f>VLOOKUP($Z438,'oddspedia-matches'!$A:$AD,AH$2,0)</f>
        <v>#N/A</v>
      </c>
      <c r="AI438" t="e">
        <f>VLOOKUP($Z438,'oddspedia-matches'!$A:$AD,AI$2,0)</f>
        <v>#N/A</v>
      </c>
      <c r="AJ438" t="e">
        <f>VLOOKUP($Z438,'oddspedia-matches'!$A:$AD,AJ$2,0)</f>
        <v>#N/A</v>
      </c>
      <c r="AK438" t="e">
        <f>VLOOKUP($Z438,'oddspedia-matches'!$A:$AD,AK$2,0)</f>
        <v>#N/A</v>
      </c>
      <c r="AL438" t="e">
        <f>VLOOKUP($Z438,'oddspedia-matches'!$A:$AD,AL$2,0)</f>
        <v>#N/A</v>
      </c>
      <c r="AM438" t="e">
        <f>VLOOKUP($Z438,'oddspedia-matches'!$A:$AD,AM$2,0)</f>
        <v>#N/A</v>
      </c>
      <c r="AN438" t="e">
        <f>VLOOKUP($Z438,'oddspedia-matches'!$A:$AD,AN$2,0)</f>
        <v>#N/A</v>
      </c>
      <c r="AO438" t="e">
        <f>VLOOKUP($Z438,'oddspedia-matches'!$A:$AD,AO$2,0)</f>
        <v>#N/A</v>
      </c>
      <c r="AP438" t="e">
        <f>VLOOKUP($Z438,'oddspedia-matches'!$A:$AD,AP$2,0)</f>
        <v>#N/A</v>
      </c>
      <c r="AQ438" t="e">
        <f>VLOOKUP($Z438,'oddspedia-matches'!$A:$AD,AQ$2,0)</f>
        <v>#N/A</v>
      </c>
    </row>
    <row r="439" spans="2:43" x14ac:dyDescent="0.2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>
        <f>VLOOKUP(E439,'Transform table'!A:B,2,0)</f>
        <v>0</v>
      </c>
      <c r="Y439" t="e">
        <f>VLOOKUP(F439,'Transform table'!A:B,2,0)</f>
        <v>#N/A</v>
      </c>
      <c r="Z439" t="e">
        <f t="shared" si="6"/>
        <v>#N/A</v>
      </c>
      <c r="AA439" t="e">
        <f>VLOOKUP($Z439,'oddspedia-matches'!$A:$AD,AA$2,0)</f>
        <v>#N/A</v>
      </c>
      <c r="AB439" t="e">
        <f>VLOOKUP($Z439,'oddspedia-matches'!$A:$AD,AB$2,0)</f>
        <v>#N/A</v>
      </c>
      <c r="AC439" t="e">
        <f>VLOOKUP($Z439,'oddspedia-matches'!$A:$AD,AC$2,0)</f>
        <v>#N/A</v>
      </c>
      <c r="AD439" t="e">
        <f>VLOOKUP($Z439,'oddspedia-matches'!$A:$AD,AD$2,0)</f>
        <v>#N/A</v>
      </c>
      <c r="AE439" t="e">
        <f>VLOOKUP($Z439,'oddspedia-matches'!$A:$AD,AE$2,0)</f>
        <v>#N/A</v>
      </c>
      <c r="AF439" t="e">
        <f>VLOOKUP($Z439,'oddspedia-matches'!$A:$AD,AF$2,0)</f>
        <v>#N/A</v>
      </c>
      <c r="AG439" t="e">
        <f>VLOOKUP($Z439,'oddspedia-matches'!$A:$AD,AG$2,0)</f>
        <v>#N/A</v>
      </c>
      <c r="AH439" t="e">
        <f>VLOOKUP($Z439,'oddspedia-matches'!$A:$AD,AH$2,0)</f>
        <v>#N/A</v>
      </c>
      <c r="AI439" t="e">
        <f>VLOOKUP($Z439,'oddspedia-matches'!$A:$AD,AI$2,0)</f>
        <v>#N/A</v>
      </c>
      <c r="AJ439" t="e">
        <f>VLOOKUP($Z439,'oddspedia-matches'!$A:$AD,AJ$2,0)</f>
        <v>#N/A</v>
      </c>
      <c r="AK439" t="e">
        <f>VLOOKUP($Z439,'oddspedia-matches'!$A:$AD,AK$2,0)</f>
        <v>#N/A</v>
      </c>
      <c r="AL439" t="e">
        <f>VLOOKUP($Z439,'oddspedia-matches'!$A:$AD,AL$2,0)</f>
        <v>#N/A</v>
      </c>
      <c r="AM439" t="e">
        <f>VLOOKUP($Z439,'oddspedia-matches'!$A:$AD,AM$2,0)</f>
        <v>#N/A</v>
      </c>
      <c r="AN439" t="e">
        <f>VLOOKUP($Z439,'oddspedia-matches'!$A:$AD,AN$2,0)</f>
        <v>#N/A</v>
      </c>
      <c r="AO439" t="e">
        <f>VLOOKUP($Z439,'oddspedia-matches'!$A:$AD,AO$2,0)</f>
        <v>#N/A</v>
      </c>
      <c r="AP439" t="e">
        <f>VLOOKUP($Z439,'oddspedia-matches'!$A:$AD,AP$2,0)</f>
        <v>#N/A</v>
      </c>
      <c r="AQ439" t="e">
        <f>VLOOKUP($Z439,'oddspedia-matches'!$A:$AD,AQ$2,0)</f>
        <v>#N/A</v>
      </c>
    </row>
    <row r="440" spans="2:43" x14ac:dyDescent="0.2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tr">
        <f>VLOOKUP(E440,'Transform table'!A:B,2,0)</f>
        <v>Quilmes</v>
      </c>
      <c r="Y440" t="e">
        <f>VLOOKUP(F440,'Transform table'!A:B,2,0)</f>
        <v>#N/A</v>
      </c>
      <c r="Z440" t="e">
        <f t="shared" si="6"/>
        <v>#N/A</v>
      </c>
      <c r="AA440" t="e">
        <f>VLOOKUP($Z440,'oddspedia-matches'!$A:$AD,AA$2,0)</f>
        <v>#N/A</v>
      </c>
      <c r="AB440" t="e">
        <f>VLOOKUP($Z440,'oddspedia-matches'!$A:$AD,AB$2,0)</f>
        <v>#N/A</v>
      </c>
      <c r="AC440" t="e">
        <f>VLOOKUP($Z440,'oddspedia-matches'!$A:$AD,AC$2,0)</f>
        <v>#N/A</v>
      </c>
      <c r="AD440" t="e">
        <f>VLOOKUP($Z440,'oddspedia-matches'!$A:$AD,AD$2,0)</f>
        <v>#N/A</v>
      </c>
      <c r="AE440" t="e">
        <f>VLOOKUP($Z440,'oddspedia-matches'!$A:$AD,AE$2,0)</f>
        <v>#N/A</v>
      </c>
      <c r="AF440" t="e">
        <f>VLOOKUP($Z440,'oddspedia-matches'!$A:$AD,AF$2,0)</f>
        <v>#N/A</v>
      </c>
      <c r="AG440" t="e">
        <f>VLOOKUP($Z440,'oddspedia-matches'!$A:$AD,AG$2,0)</f>
        <v>#N/A</v>
      </c>
      <c r="AH440" t="e">
        <f>VLOOKUP($Z440,'oddspedia-matches'!$A:$AD,AH$2,0)</f>
        <v>#N/A</v>
      </c>
      <c r="AI440" t="e">
        <f>VLOOKUP($Z440,'oddspedia-matches'!$A:$AD,AI$2,0)</f>
        <v>#N/A</v>
      </c>
      <c r="AJ440" t="e">
        <f>VLOOKUP($Z440,'oddspedia-matches'!$A:$AD,AJ$2,0)</f>
        <v>#N/A</v>
      </c>
      <c r="AK440" t="e">
        <f>VLOOKUP($Z440,'oddspedia-matches'!$A:$AD,AK$2,0)</f>
        <v>#N/A</v>
      </c>
      <c r="AL440" t="e">
        <f>VLOOKUP($Z440,'oddspedia-matches'!$A:$AD,AL$2,0)</f>
        <v>#N/A</v>
      </c>
      <c r="AM440" t="e">
        <f>VLOOKUP($Z440,'oddspedia-matches'!$A:$AD,AM$2,0)</f>
        <v>#N/A</v>
      </c>
      <c r="AN440" t="e">
        <f>VLOOKUP($Z440,'oddspedia-matches'!$A:$AD,AN$2,0)</f>
        <v>#N/A</v>
      </c>
      <c r="AO440" t="e">
        <f>VLOOKUP($Z440,'oddspedia-matches'!$A:$AD,AO$2,0)</f>
        <v>#N/A</v>
      </c>
      <c r="AP440" t="e">
        <f>VLOOKUP($Z440,'oddspedia-matches'!$A:$AD,AP$2,0)</f>
        <v>#N/A</v>
      </c>
      <c r="AQ440" t="e">
        <f>VLOOKUP($Z440,'oddspedia-matches'!$A:$AD,AQ$2,0)</f>
        <v>#N/A</v>
      </c>
    </row>
    <row r="441" spans="2:43" x14ac:dyDescent="0.2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>
        <f>VLOOKUP(E441,'Transform table'!A:B,2,0)</f>
        <v>0</v>
      </c>
      <c r="Y441" t="e">
        <f>VLOOKUP(F441,'Transform table'!A:B,2,0)</f>
        <v>#N/A</v>
      </c>
      <c r="Z441" t="e">
        <f t="shared" si="6"/>
        <v>#N/A</v>
      </c>
      <c r="AA441" t="e">
        <f>VLOOKUP($Z441,'oddspedia-matches'!$A:$AD,AA$2,0)</f>
        <v>#N/A</v>
      </c>
      <c r="AB441" t="e">
        <f>VLOOKUP($Z441,'oddspedia-matches'!$A:$AD,AB$2,0)</f>
        <v>#N/A</v>
      </c>
      <c r="AC441" t="e">
        <f>VLOOKUP($Z441,'oddspedia-matches'!$A:$AD,AC$2,0)</f>
        <v>#N/A</v>
      </c>
      <c r="AD441" t="e">
        <f>VLOOKUP($Z441,'oddspedia-matches'!$A:$AD,AD$2,0)</f>
        <v>#N/A</v>
      </c>
      <c r="AE441" t="e">
        <f>VLOOKUP($Z441,'oddspedia-matches'!$A:$AD,AE$2,0)</f>
        <v>#N/A</v>
      </c>
      <c r="AF441" t="e">
        <f>VLOOKUP($Z441,'oddspedia-matches'!$A:$AD,AF$2,0)</f>
        <v>#N/A</v>
      </c>
      <c r="AG441" t="e">
        <f>VLOOKUP($Z441,'oddspedia-matches'!$A:$AD,AG$2,0)</f>
        <v>#N/A</v>
      </c>
      <c r="AH441" t="e">
        <f>VLOOKUP($Z441,'oddspedia-matches'!$A:$AD,AH$2,0)</f>
        <v>#N/A</v>
      </c>
      <c r="AI441" t="e">
        <f>VLOOKUP($Z441,'oddspedia-matches'!$A:$AD,AI$2,0)</f>
        <v>#N/A</v>
      </c>
      <c r="AJ441" t="e">
        <f>VLOOKUP($Z441,'oddspedia-matches'!$A:$AD,AJ$2,0)</f>
        <v>#N/A</v>
      </c>
      <c r="AK441" t="e">
        <f>VLOOKUP($Z441,'oddspedia-matches'!$A:$AD,AK$2,0)</f>
        <v>#N/A</v>
      </c>
      <c r="AL441" t="e">
        <f>VLOOKUP($Z441,'oddspedia-matches'!$A:$AD,AL$2,0)</f>
        <v>#N/A</v>
      </c>
      <c r="AM441" t="e">
        <f>VLOOKUP($Z441,'oddspedia-matches'!$A:$AD,AM$2,0)</f>
        <v>#N/A</v>
      </c>
      <c r="AN441" t="e">
        <f>VLOOKUP($Z441,'oddspedia-matches'!$A:$AD,AN$2,0)</f>
        <v>#N/A</v>
      </c>
      <c r="AO441" t="e">
        <f>VLOOKUP($Z441,'oddspedia-matches'!$A:$AD,AO$2,0)</f>
        <v>#N/A</v>
      </c>
      <c r="AP441" t="e">
        <f>VLOOKUP($Z441,'oddspedia-matches'!$A:$AD,AP$2,0)</f>
        <v>#N/A</v>
      </c>
      <c r="AQ441" t="e">
        <f>VLOOKUP($Z441,'oddspedia-matches'!$A:$AD,AQ$2,0)</f>
        <v>#N/A</v>
      </c>
    </row>
    <row r="442" spans="2:43" x14ac:dyDescent="0.2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tr">
        <f>VLOOKUP(E442,'Transform table'!A:B,2,0)</f>
        <v>Nacional Potosi</v>
      </c>
      <c r="Y442" t="e">
        <f>VLOOKUP(F442,'Transform table'!A:B,2,0)</f>
        <v>#N/A</v>
      </c>
      <c r="Z442" t="e">
        <f t="shared" si="6"/>
        <v>#N/A</v>
      </c>
      <c r="AA442" t="e">
        <f>VLOOKUP($Z442,'oddspedia-matches'!$A:$AD,AA$2,0)</f>
        <v>#N/A</v>
      </c>
      <c r="AB442" t="e">
        <f>VLOOKUP($Z442,'oddspedia-matches'!$A:$AD,AB$2,0)</f>
        <v>#N/A</v>
      </c>
      <c r="AC442" t="e">
        <f>VLOOKUP($Z442,'oddspedia-matches'!$A:$AD,AC$2,0)</f>
        <v>#N/A</v>
      </c>
      <c r="AD442" t="e">
        <f>VLOOKUP($Z442,'oddspedia-matches'!$A:$AD,AD$2,0)</f>
        <v>#N/A</v>
      </c>
      <c r="AE442" t="e">
        <f>VLOOKUP($Z442,'oddspedia-matches'!$A:$AD,AE$2,0)</f>
        <v>#N/A</v>
      </c>
      <c r="AF442" t="e">
        <f>VLOOKUP($Z442,'oddspedia-matches'!$A:$AD,AF$2,0)</f>
        <v>#N/A</v>
      </c>
      <c r="AG442" t="e">
        <f>VLOOKUP($Z442,'oddspedia-matches'!$A:$AD,AG$2,0)</f>
        <v>#N/A</v>
      </c>
      <c r="AH442" t="e">
        <f>VLOOKUP($Z442,'oddspedia-matches'!$A:$AD,AH$2,0)</f>
        <v>#N/A</v>
      </c>
      <c r="AI442" t="e">
        <f>VLOOKUP($Z442,'oddspedia-matches'!$A:$AD,AI$2,0)</f>
        <v>#N/A</v>
      </c>
      <c r="AJ442" t="e">
        <f>VLOOKUP($Z442,'oddspedia-matches'!$A:$AD,AJ$2,0)</f>
        <v>#N/A</v>
      </c>
      <c r="AK442" t="e">
        <f>VLOOKUP($Z442,'oddspedia-matches'!$A:$AD,AK$2,0)</f>
        <v>#N/A</v>
      </c>
      <c r="AL442" t="e">
        <f>VLOOKUP($Z442,'oddspedia-matches'!$A:$AD,AL$2,0)</f>
        <v>#N/A</v>
      </c>
      <c r="AM442" t="e">
        <f>VLOOKUP($Z442,'oddspedia-matches'!$A:$AD,AM$2,0)</f>
        <v>#N/A</v>
      </c>
      <c r="AN442" t="e">
        <f>VLOOKUP($Z442,'oddspedia-matches'!$A:$AD,AN$2,0)</f>
        <v>#N/A</v>
      </c>
      <c r="AO442" t="e">
        <f>VLOOKUP($Z442,'oddspedia-matches'!$A:$AD,AO$2,0)</f>
        <v>#N/A</v>
      </c>
      <c r="AP442" t="e">
        <f>VLOOKUP($Z442,'oddspedia-matches'!$A:$AD,AP$2,0)</f>
        <v>#N/A</v>
      </c>
      <c r="AQ442" t="e">
        <f>VLOOKUP($Z442,'oddspedia-matches'!$A:$AD,AQ$2,0)</f>
        <v>#N/A</v>
      </c>
    </row>
    <row r="443" spans="2:43" x14ac:dyDescent="0.2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tr">
        <f>VLOOKUP(E443,'Transform table'!A:B,2,0)</f>
        <v>Bahia</v>
      </c>
      <c r="Y443" t="str">
        <f>VLOOKUP(F443,'Transform table'!A:B,2,0)</f>
        <v>Corinthians</v>
      </c>
      <c r="Z443" t="str">
        <f t="shared" si="6"/>
        <v>26/07/2026BahiaCorinthians</v>
      </c>
      <c r="AA443" t="e">
        <f>VLOOKUP($Z443,'oddspedia-matches'!$A:$AD,AA$2,0)</f>
        <v>#N/A</v>
      </c>
      <c r="AB443" t="e">
        <f>VLOOKUP($Z443,'oddspedia-matches'!$A:$AD,AB$2,0)</f>
        <v>#N/A</v>
      </c>
      <c r="AC443" t="e">
        <f>VLOOKUP($Z443,'oddspedia-matches'!$A:$AD,AC$2,0)</f>
        <v>#N/A</v>
      </c>
      <c r="AD443" t="e">
        <f>VLOOKUP($Z443,'oddspedia-matches'!$A:$AD,AD$2,0)</f>
        <v>#N/A</v>
      </c>
      <c r="AE443" t="e">
        <f>VLOOKUP($Z443,'oddspedia-matches'!$A:$AD,AE$2,0)</f>
        <v>#N/A</v>
      </c>
      <c r="AF443" t="e">
        <f>VLOOKUP($Z443,'oddspedia-matches'!$A:$AD,AF$2,0)</f>
        <v>#N/A</v>
      </c>
      <c r="AG443" t="e">
        <f>VLOOKUP($Z443,'oddspedia-matches'!$A:$AD,AG$2,0)</f>
        <v>#N/A</v>
      </c>
      <c r="AH443" t="e">
        <f>VLOOKUP($Z443,'oddspedia-matches'!$A:$AD,AH$2,0)</f>
        <v>#N/A</v>
      </c>
      <c r="AI443" t="e">
        <f>VLOOKUP($Z443,'oddspedia-matches'!$A:$AD,AI$2,0)</f>
        <v>#N/A</v>
      </c>
      <c r="AJ443" t="e">
        <f>VLOOKUP($Z443,'oddspedia-matches'!$A:$AD,AJ$2,0)</f>
        <v>#N/A</v>
      </c>
      <c r="AK443" t="e">
        <f>VLOOKUP($Z443,'oddspedia-matches'!$A:$AD,AK$2,0)</f>
        <v>#N/A</v>
      </c>
      <c r="AL443" t="e">
        <f>VLOOKUP($Z443,'oddspedia-matches'!$A:$AD,AL$2,0)</f>
        <v>#N/A</v>
      </c>
      <c r="AM443" t="e">
        <f>VLOOKUP($Z443,'oddspedia-matches'!$A:$AD,AM$2,0)</f>
        <v>#N/A</v>
      </c>
      <c r="AN443" t="e">
        <f>VLOOKUP($Z443,'oddspedia-matches'!$A:$AD,AN$2,0)</f>
        <v>#N/A</v>
      </c>
      <c r="AO443" t="e">
        <f>VLOOKUP($Z443,'oddspedia-matches'!$A:$AD,AO$2,0)</f>
        <v>#N/A</v>
      </c>
      <c r="AP443" t="e">
        <f>VLOOKUP($Z443,'oddspedia-matches'!$A:$AD,AP$2,0)</f>
        <v>#N/A</v>
      </c>
      <c r="AQ443" t="e">
        <f>VLOOKUP($Z443,'oddspedia-matches'!$A:$AD,AQ$2,0)</f>
        <v>#N/A</v>
      </c>
    </row>
    <row r="444" spans="2:43" x14ac:dyDescent="0.2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tr">
        <f>VLOOKUP(E444,'Transform table'!A:B,2,0)</f>
        <v>Cruzeiro</v>
      </c>
      <c r="Y444" t="str">
        <f>VLOOKUP(F444,'Transform table'!A:B,2,0)</f>
        <v>Botafogo RJ</v>
      </c>
      <c r="Z444" t="str">
        <f t="shared" si="6"/>
        <v>26/07/2026CruzeiroBotafogo RJ</v>
      </c>
      <c r="AA444" t="e">
        <f>VLOOKUP($Z444,'oddspedia-matches'!$A:$AD,AA$2,0)</f>
        <v>#N/A</v>
      </c>
      <c r="AB444" t="e">
        <f>VLOOKUP($Z444,'oddspedia-matches'!$A:$AD,AB$2,0)</f>
        <v>#N/A</v>
      </c>
      <c r="AC444" t="e">
        <f>VLOOKUP($Z444,'oddspedia-matches'!$A:$AD,AC$2,0)</f>
        <v>#N/A</v>
      </c>
      <c r="AD444" t="e">
        <f>VLOOKUP($Z444,'oddspedia-matches'!$A:$AD,AD$2,0)</f>
        <v>#N/A</v>
      </c>
      <c r="AE444" t="e">
        <f>VLOOKUP($Z444,'oddspedia-matches'!$A:$AD,AE$2,0)</f>
        <v>#N/A</v>
      </c>
      <c r="AF444" t="e">
        <f>VLOOKUP($Z444,'oddspedia-matches'!$A:$AD,AF$2,0)</f>
        <v>#N/A</v>
      </c>
      <c r="AG444" t="e">
        <f>VLOOKUP($Z444,'oddspedia-matches'!$A:$AD,AG$2,0)</f>
        <v>#N/A</v>
      </c>
      <c r="AH444" t="e">
        <f>VLOOKUP($Z444,'oddspedia-matches'!$A:$AD,AH$2,0)</f>
        <v>#N/A</v>
      </c>
      <c r="AI444" t="e">
        <f>VLOOKUP($Z444,'oddspedia-matches'!$A:$AD,AI$2,0)</f>
        <v>#N/A</v>
      </c>
      <c r="AJ444" t="e">
        <f>VLOOKUP($Z444,'oddspedia-matches'!$A:$AD,AJ$2,0)</f>
        <v>#N/A</v>
      </c>
      <c r="AK444" t="e">
        <f>VLOOKUP($Z444,'oddspedia-matches'!$A:$AD,AK$2,0)</f>
        <v>#N/A</v>
      </c>
      <c r="AL444" t="e">
        <f>VLOOKUP($Z444,'oddspedia-matches'!$A:$AD,AL$2,0)</f>
        <v>#N/A</v>
      </c>
      <c r="AM444" t="e">
        <f>VLOOKUP($Z444,'oddspedia-matches'!$A:$AD,AM$2,0)</f>
        <v>#N/A</v>
      </c>
      <c r="AN444" t="e">
        <f>VLOOKUP($Z444,'oddspedia-matches'!$A:$AD,AN$2,0)</f>
        <v>#N/A</v>
      </c>
      <c r="AO444" t="e">
        <f>VLOOKUP($Z444,'oddspedia-matches'!$A:$AD,AO$2,0)</f>
        <v>#N/A</v>
      </c>
      <c r="AP444" t="e">
        <f>VLOOKUP($Z444,'oddspedia-matches'!$A:$AD,AP$2,0)</f>
        <v>#N/A</v>
      </c>
      <c r="AQ444" t="e">
        <f>VLOOKUP($Z444,'oddspedia-matches'!$A:$AD,AQ$2,0)</f>
        <v>#N/A</v>
      </c>
    </row>
    <row r="445" spans="2:43" x14ac:dyDescent="0.2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tr">
        <f>VLOOKUP(E445,'Transform table'!A:B,2,0)</f>
        <v>Criciuma</v>
      </c>
      <c r="Y445" t="str">
        <f>VLOOKUP(F445,'Transform table'!A:B,2,0)</f>
        <v>Nautico</v>
      </c>
      <c r="Z445" t="str">
        <f t="shared" si="6"/>
        <v>26/07/2026CriciumaNautico</v>
      </c>
      <c r="AA445" t="e">
        <f>VLOOKUP($Z445,'oddspedia-matches'!$A:$AD,AA$2,0)</f>
        <v>#N/A</v>
      </c>
      <c r="AB445" t="e">
        <f>VLOOKUP($Z445,'oddspedia-matches'!$A:$AD,AB$2,0)</f>
        <v>#N/A</v>
      </c>
      <c r="AC445" t="e">
        <f>VLOOKUP($Z445,'oddspedia-matches'!$A:$AD,AC$2,0)</f>
        <v>#N/A</v>
      </c>
      <c r="AD445" t="e">
        <f>VLOOKUP($Z445,'oddspedia-matches'!$A:$AD,AD$2,0)</f>
        <v>#N/A</v>
      </c>
      <c r="AE445" t="e">
        <f>VLOOKUP($Z445,'oddspedia-matches'!$A:$AD,AE$2,0)</f>
        <v>#N/A</v>
      </c>
      <c r="AF445" t="e">
        <f>VLOOKUP($Z445,'oddspedia-matches'!$A:$AD,AF$2,0)</f>
        <v>#N/A</v>
      </c>
      <c r="AG445" t="e">
        <f>VLOOKUP($Z445,'oddspedia-matches'!$A:$AD,AG$2,0)</f>
        <v>#N/A</v>
      </c>
      <c r="AH445" t="e">
        <f>VLOOKUP($Z445,'oddspedia-matches'!$A:$AD,AH$2,0)</f>
        <v>#N/A</v>
      </c>
      <c r="AI445" t="e">
        <f>VLOOKUP($Z445,'oddspedia-matches'!$A:$AD,AI$2,0)</f>
        <v>#N/A</v>
      </c>
      <c r="AJ445" t="e">
        <f>VLOOKUP($Z445,'oddspedia-matches'!$A:$AD,AJ$2,0)</f>
        <v>#N/A</v>
      </c>
      <c r="AK445" t="e">
        <f>VLOOKUP($Z445,'oddspedia-matches'!$A:$AD,AK$2,0)</f>
        <v>#N/A</v>
      </c>
      <c r="AL445" t="e">
        <f>VLOOKUP($Z445,'oddspedia-matches'!$A:$AD,AL$2,0)</f>
        <v>#N/A</v>
      </c>
      <c r="AM445" t="e">
        <f>VLOOKUP($Z445,'oddspedia-matches'!$A:$AD,AM$2,0)</f>
        <v>#N/A</v>
      </c>
      <c r="AN445" t="e">
        <f>VLOOKUP($Z445,'oddspedia-matches'!$A:$AD,AN$2,0)</f>
        <v>#N/A</v>
      </c>
      <c r="AO445" t="e">
        <f>VLOOKUP($Z445,'oddspedia-matches'!$A:$AD,AO$2,0)</f>
        <v>#N/A</v>
      </c>
      <c r="AP445" t="e">
        <f>VLOOKUP($Z445,'oddspedia-matches'!$A:$AD,AP$2,0)</f>
        <v>#N/A</v>
      </c>
      <c r="AQ445" t="e">
        <f>VLOOKUP($Z445,'oddspedia-matches'!$A:$AD,AQ$2,0)</f>
        <v>#N/A</v>
      </c>
    </row>
    <row r="446" spans="2:43" x14ac:dyDescent="0.2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tr">
        <f>VLOOKUP(E446,'Transform table'!A:B,2,0)</f>
        <v>Sao Bernardo FC SP</v>
      </c>
      <c r="Y446" t="str">
        <f>VLOOKUP(F446,'Transform table'!A:B,2,0)</f>
        <v>Ceara</v>
      </c>
      <c r="Z446" t="str">
        <f t="shared" si="6"/>
        <v>26/07/2026Sao Bernardo FC SPCeara</v>
      </c>
      <c r="AA446" t="e">
        <f>VLOOKUP($Z446,'oddspedia-matches'!$A:$AD,AA$2,0)</f>
        <v>#N/A</v>
      </c>
      <c r="AB446" t="e">
        <f>VLOOKUP($Z446,'oddspedia-matches'!$A:$AD,AB$2,0)</f>
        <v>#N/A</v>
      </c>
      <c r="AC446" t="e">
        <f>VLOOKUP($Z446,'oddspedia-matches'!$A:$AD,AC$2,0)</f>
        <v>#N/A</v>
      </c>
      <c r="AD446" t="e">
        <f>VLOOKUP($Z446,'oddspedia-matches'!$A:$AD,AD$2,0)</f>
        <v>#N/A</v>
      </c>
      <c r="AE446" t="e">
        <f>VLOOKUP($Z446,'oddspedia-matches'!$A:$AD,AE$2,0)</f>
        <v>#N/A</v>
      </c>
      <c r="AF446" t="e">
        <f>VLOOKUP($Z446,'oddspedia-matches'!$A:$AD,AF$2,0)</f>
        <v>#N/A</v>
      </c>
      <c r="AG446" t="e">
        <f>VLOOKUP($Z446,'oddspedia-matches'!$A:$AD,AG$2,0)</f>
        <v>#N/A</v>
      </c>
      <c r="AH446" t="e">
        <f>VLOOKUP($Z446,'oddspedia-matches'!$A:$AD,AH$2,0)</f>
        <v>#N/A</v>
      </c>
      <c r="AI446" t="e">
        <f>VLOOKUP($Z446,'oddspedia-matches'!$A:$AD,AI$2,0)</f>
        <v>#N/A</v>
      </c>
      <c r="AJ446" t="e">
        <f>VLOOKUP($Z446,'oddspedia-matches'!$A:$AD,AJ$2,0)</f>
        <v>#N/A</v>
      </c>
      <c r="AK446" t="e">
        <f>VLOOKUP($Z446,'oddspedia-matches'!$A:$AD,AK$2,0)</f>
        <v>#N/A</v>
      </c>
      <c r="AL446" t="e">
        <f>VLOOKUP($Z446,'oddspedia-matches'!$A:$AD,AL$2,0)</f>
        <v>#N/A</v>
      </c>
      <c r="AM446" t="e">
        <f>VLOOKUP($Z446,'oddspedia-matches'!$A:$AD,AM$2,0)</f>
        <v>#N/A</v>
      </c>
      <c r="AN446" t="e">
        <f>VLOOKUP($Z446,'oddspedia-matches'!$A:$AD,AN$2,0)</f>
        <v>#N/A</v>
      </c>
      <c r="AO446" t="e">
        <f>VLOOKUP($Z446,'oddspedia-matches'!$A:$AD,AO$2,0)</f>
        <v>#N/A</v>
      </c>
      <c r="AP446" t="e">
        <f>VLOOKUP($Z446,'oddspedia-matches'!$A:$AD,AP$2,0)</f>
        <v>#N/A</v>
      </c>
      <c r="AQ446" t="e">
        <f>VLOOKUP($Z446,'oddspedia-matches'!$A:$AD,AQ$2,0)</f>
        <v>#N/A</v>
      </c>
    </row>
    <row r="447" spans="2:43" x14ac:dyDescent="0.2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tr">
        <f>VLOOKUP(E447,'Transform table'!A:B,2,0)</f>
        <v>Brest</v>
      </c>
      <c r="Y447" t="e">
        <f>VLOOKUP(F447,'Transform table'!A:B,2,0)</f>
        <v>#N/A</v>
      </c>
      <c r="Z447" t="e">
        <f t="shared" si="6"/>
        <v>#N/A</v>
      </c>
      <c r="AA447" t="e">
        <f>VLOOKUP($Z447,'oddspedia-matches'!$A:$AD,AA$2,0)</f>
        <v>#N/A</v>
      </c>
      <c r="AB447" t="e">
        <f>VLOOKUP($Z447,'oddspedia-matches'!$A:$AD,AB$2,0)</f>
        <v>#N/A</v>
      </c>
      <c r="AC447" t="e">
        <f>VLOOKUP($Z447,'oddspedia-matches'!$A:$AD,AC$2,0)</f>
        <v>#N/A</v>
      </c>
      <c r="AD447" t="e">
        <f>VLOOKUP($Z447,'oddspedia-matches'!$A:$AD,AD$2,0)</f>
        <v>#N/A</v>
      </c>
      <c r="AE447" t="e">
        <f>VLOOKUP($Z447,'oddspedia-matches'!$A:$AD,AE$2,0)</f>
        <v>#N/A</v>
      </c>
      <c r="AF447" t="e">
        <f>VLOOKUP($Z447,'oddspedia-matches'!$A:$AD,AF$2,0)</f>
        <v>#N/A</v>
      </c>
      <c r="AG447" t="e">
        <f>VLOOKUP($Z447,'oddspedia-matches'!$A:$AD,AG$2,0)</f>
        <v>#N/A</v>
      </c>
      <c r="AH447" t="e">
        <f>VLOOKUP($Z447,'oddspedia-matches'!$A:$AD,AH$2,0)</f>
        <v>#N/A</v>
      </c>
      <c r="AI447" t="e">
        <f>VLOOKUP($Z447,'oddspedia-matches'!$A:$AD,AI$2,0)</f>
        <v>#N/A</v>
      </c>
      <c r="AJ447" t="e">
        <f>VLOOKUP($Z447,'oddspedia-matches'!$A:$AD,AJ$2,0)</f>
        <v>#N/A</v>
      </c>
      <c r="AK447" t="e">
        <f>VLOOKUP($Z447,'oddspedia-matches'!$A:$AD,AK$2,0)</f>
        <v>#N/A</v>
      </c>
      <c r="AL447" t="e">
        <f>VLOOKUP($Z447,'oddspedia-matches'!$A:$AD,AL$2,0)</f>
        <v>#N/A</v>
      </c>
      <c r="AM447" t="e">
        <f>VLOOKUP($Z447,'oddspedia-matches'!$A:$AD,AM$2,0)</f>
        <v>#N/A</v>
      </c>
      <c r="AN447" t="e">
        <f>VLOOKUP($Z447,'oddspedia-matches'!$A:$AD,AN$2,0)</f>
        <v>#N/A</v>
      </c>
      <c r="AO447" t="e">
        <f>VLOOKUP($Z447,'oddspedia-matches'!$A:$AD,AO$2,0)</f>
        <v>#N/A</v>
      </c>
      <c r="AP447" t="e">
        <f>VLOOKUP($Z447,'oddspedia-matches'!$A:$AD,AP$2,0)</f>
        <v>#N/A</v>
      </c>
      <c r="AQ447" t="e">
        <f>VLOOKUP($Z447,'oddspedia-matches'!$A:$AD,AQ$2,0)</f>
        <v>#N/A</v>
      </c>
    </row>
    <row r="448" spans="2:43" x14ac:dyDescent="0.2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tr">
        <f>VLOOKUP(E448,'Transform table'!A:B,2,0)</f>
        <v>YPA</v>
      </c>
      <c r="Y448" t="e">
        <f>VLOOKUP(F448,'Transform table'!A:B,2,0)</f>
        <v>#N/A</v>
      </c>
      <c r="Z448" t="e">
        <f t="shared" si="6"/>
        <v>#N/A</v>
      </c>
      <c r="AA448" t="e">
        <f>VLOOKUP($Z448,'oddspedia-matches'!$A:$AD,AA$2,0)</f>
        <v>#N/A</v>
      </c>
      <c r="AB448" t="e">
        <f>VLOOKUP($Z448,'oddspedia-matches'!$A:$AD,AB$2,0)</f>
        <v>#N/A</v>
      </c>
      <c r="AC448" t="e">
        <f>VLOOKUP($Z448,'oddspedia-matches'!$A:$AD,AC$2,0)</f>
        <v>#N/A</v>
      </c>
      <c r="AD448" t="e">
        <f>VLOOKUP($Z448,'oddspedia-matches'!$A:$AD,AD$2,0)</f>
        <v>#N/A</v>
      </c>
      <c r="AE448" t="e">
        <f>VLOOKUP($Z448,'oddspedia-matches'!$A:$AD,AE$2,0)</f>
        <v>#N/A</v>
      </c>
      <c r="AF448" t="e">
        <f>VLOOKUP($Z448,'oddspedia-matches'!$A:$AD,AF$2,0)</f>
        <v>#N/A</v>
      </c>
      <c r="AG448" t="e">
        <f>VLOOKUP($Z448,'oddspedia-matches'!$A:$AD,AG$2,0)</f>
        <v>#N/A</v>
      </c>
      <c r="AH448" t="e">
        <f>VLOOKUP($Z448,'oddspedia-matches'!$A:$AD,AH$2,0)</f>
        <v>#N/A</v>
      </c>
      <c r="AI448" t="e">
        <f>VLOOKUP($Z448,'oddspedia-matches'!$A:$AD,AI$2,0)</f>
        <v>#N/A</v>
      </c>
      <c r="AJ448" t="e">
        <f>VLOOKUP($Z448,'oddspedia-matches'!$A:$AD,AJ$2,0)</f>
        <v>#N/A</v>
      </c>
      <c r="AK448" t="e">
        <f>VLOOKUP($Z448,'oddspedia-matches'!$A:$AD,AK$2,0)</f>
        <v>#N/A</v>
      </c>
      <c r="AL448" t="e">
        <f>VLOOKUP($Z448,'oddspedia-matches'!$A:$AD,AL$2,0)</f>
        <v>#N/A</v>
      </c>
      <c r="AM448" t="e">
        <f>VLOOKUP($Z448,'oddspedia-matches'!$A:$AD,AM$2,0)</f>
        <v>#N/A</v>
      </c>
      <c r="AN448" t="e">
        <f>VLOOKUP($Z448,'oddspedia-matches'!$A:$AD,AN$2,0)</f>
        <v>#N/A</v>
      </c>
      <c r="AO448" t="e">
        <f>VLOOKUP($Z448,'oddspedia-matches'!$A:$AD,AO$2,0)</f>
        <v>#N/A</v>
      </c>
      <c r="AP448" t="e">
        <f>VLOOKUP($Z448,'oddspedia-matches'!$A:$AD,AP$2,0)</f>
        <v>#N/A</v>
      </c>
      <c r="AQ448" t="e">
        <f>VLOOKUP($Z448,'oddspedia-matches'!$A:$AD,AQ$2,0)</f>
        <v>#N/A</v>
      </c>
    </row>
    <row r="449" spans="2:43" x14ac:dyDescent="0.2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tr">
        <f>VLOOKUP(E449,'Transform table'!A:B,2,0)</f>
        <v>CSKA</v>
      </c>
      <c r="Y449" t="e">
        <f>VLOOKUP(F449,'Transform table'!A:B,2,0)</f>
        <v>#N/A</v>
      </c>
      <c r="Z449" t="e">
        <f t="shared" si="6"/>
        <v>#N/A</v>
      </c>
      <c r="AA449" t="e">
        <f>VLOOKUP($Z449,'oddspedia-matches'!$A:$AD,AA$2,0)</f>
        <v>#N/A</v>
      </c>
      <c r="AB449" t="e">
        <f>VLOOKUP($Z449,'oddspedia-matches'!$A:$AD,AB$2,0)</f>
        <v>#N/A</v>
      </c>
      <c r="AC449" t="e">
        <f>VLOOKUP($Z449,'oddspedia-matches'!$A:$AD,AC$2,0)</f>
        <v>#N/A</v>
      </c>
      <c r="AD449" t="e">
        <f>VLOOKUP($Z449,'oddspedia-matches'!$A:$AD,AD$2,0)</f>
        <v>#N/A</v>
      </c>
      <c r="AE449" t="e">
        <f>VLOOKUP($Z449,'oddspedia-matches'!$A:$AD,AE$2,0)</f>
        <v>#N/A</v>
      </c>
      <c r="AF449" t="e">
        <f>VLOOKUP($Z449,'oddspedia-matches'!$A:$AD,AF$2,0)</f>
        <v>#N/A</v>
      </c>
      <c r="AG449" t="e">
        <f>VLOOKUP($Z449,'oddspedia-matches'!$A:$AD,AG$2,0)</f>
        <v>#N/A</v>
      </c>
      <c r="AH449" t="e">
        <f>VLOOKUP($Z449,'oddspedia-matches'!$A:$AD,AH$2,0)</f>
        <v>#N/A</v>
      </c>
      <c r="AI449" t="e">
        <f>VLOOKUP($Z449,'oddspedia-matches'!$A:$AD,AI$2,0)</f>
        <v>#N/A</v>
      </c>
      <c r="AJ449" t="e">
        <f>VLOOKUP($Z449,'oddspedia-matches'!$A:$AD,AJ$2,0)</f>
        <v>#N/A</v>
      </c>
      <c r="AK449" t="e">
        <f>VLOOKUP($Z449,'oddspedia-matches'!$A:$AD,AK$2,0)</f>
        <v>#N/A</v>
      </c>
      <c r="AL449" t="e">
        <f>VLOOKUP($Z449,'oddspedia-matches'!$A:$AD,AL$2,0)</f>
        <v>#N/A</v>
      </c>
      <c r="AM449" t="e">
        <f>VLOOKUP($Z449,'oddspedia-matches'!$A:$AD,AM$2,0)</f>
        <v>#N/A</v>
      </c>
      <c r="AN449" t="e">
        <f>VLOOKUP($Z449,'oddspedia-matches'!$A:$AD,AN$2,0)</f>
        <v>#N/A</v>
      </c>
      <c r="AO449" t="e">
        <f>VLOOKUP($Z449,'oddspedia-matches'!$A:$AD,AO$2,0)</f>
        <v>#N/A</v>
      </c>
      <c r="AP449" t="e">
        <f>VLOOKUP($Z449,'oddspedia-matches'!$A:$AD,AP$2,0)</f>
        <v>#N/A</v>
      </c>
      <c r="AQ449" t="e">
        <f>VLOOKUP($Z449,'oddspedia-matches'!$A:$AD,AQ$2,0)</f>
        <v>#N/A</v>
      </c>
    </row>
    <row r="450" spans="2:43" x14ac:dyDescent="0.2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>
        <f>VLOOKUP(E450,'Transform table'!A:B,2,0)</f>
        <v>0</v>
      </c>
      <c r="Y450" t="e">
        <f>VLOOKUP(F450,'Transform table'!A:B,2,0)</f>
        <v>#N/A</v>
      </c>
      <c r="Z450" t="e">
        <f t="shared" si="6"/>
        <v>#N/A</v>
      </c>
      <c r="AA450" t="e">
        <f>VLOOKUP($Z450,'oddspedia-matches'!$A:$AD,AA$2,0)</f>
        <v>#N/A</v>
      </c>
      <c r="AB450" t="e">
        <f>VLOOKUP($Z450,'oddspedia-matches'!$A:$AD,AB$2,0)</f>
        <v>#N/A</v>
      </c>
      <c r="AC450" t="e">
        <f>VLOOKUP($Z450,'oddspedia-matches'!$A:$AD,AC$2,0)</f>
        <v>#N/A</v>
      </c>
      <c r="AD450" t="e">
        <f>VLOOKUP($Z450,'oddspedia-matches'!$A:$AD,AD$2,0)</f>
        <v>#N/A</v>
      </c>
      <c r="AE450" t="e">
        <f>VLOOKUP($Z450,'oddspedia-matches'!$A:$AD,AE$2,0)</f>
        <v>#N/A</v>
      </c>
      <c r="AF450" t="e">
        <f>VLOOKUP($Z450,'oddspedia-matches'!$A:$AD,AF$2,0)</f>
        <v>#N/A</v>
      </c>
      <c r="AG450" t="e">
        <f>VLOOKUP($Z450,'oddspedia-matches'!$A:$AD,AG$2,0)</f>
        <v>#N/A</v>
      </c>
      <c r="AH450" t="e">
        <f>VLOOKUP($Z450,'oddspedia-matches'!$A:$AD,AH$2,0)</f>
        <v>#N/A</v>
      </c>
      <c r="AI450" t="e">
        <f>VLOOKUP($Z450,'oddspedia-matches'!$A:$AD,AI$2,0)</f>
        <v>#N/A</v>
      </c>
      <c r="AJ450" t="e">
        <f>VLOOKUP($Z450,'oddspedia-matches'!$A:$AD,AJ$2,0)</f>
        <v>#N/A</v>
      </c>
      <c r="AK450" t="e">
        <f>VLOOKUP($Z450,'oddspedia-matches'!$A:$AD,AK$2,0)</f>
        <v>#N/A</v>
      </c>
      <c r="AL450" t="e">
        <f>VLOOKUP($Z450,'oddspedia-matches'!$A:$AD,AL$2,0)</f>
        <v>#N/A</v>
      </c>
      <c r="AM450" t="e">
        <f>VLOOKUP($Z450,'oddspedia-matches'!$A:$AD,AM$2,0)</f>
        <v>#N/A</v>
      </c>
      <c r="AN450" t="e">
        <f>VLOOKUP($Z450,'oddspedia-matches'!$A:$AD,AN$2,0)</f>
        <v>#N/A</v>
      </c>
      <c r="AO450" t="e">
        <f>VLOOKUP($Z450,'oddspedia-matches'!$A:$AD,AO$2,0)</f>
        <v>#N/A</v>
      </c>
      <c r="AP450" t="e">
        <f>VLOOKUP($Z450,'oddspedia-matches'!$A:$AD,AP$2,0)</f>
        <v>#N/A</v>
      </c>
      <c r="AQ450" t="e">
        <f>VLOOKUP($Z450,'oddspedia-matches'!$A:$AD,AQ$2,0)</f>
        <v>#N/A</v>
      </c>
    </row>
    <row r="451" spans="2:43" x14ac:dyDescent="0.2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>
        <f>VLOOKUP(E451,'Transform table'!A:B,2,0)</f>
        <v>0</v>
      </c>
      <c r="Y451" t="e">
        <f>VLOOKUP(F451,'Transform table'!A:B,2,0)</f>
        <v>#N/A</v>
      </c>
      <c r="Z451" t="e">
        <f t="shared" si="6"/>
        <v>#N/A</v>
      </c>
      <c r="AA451" t="e">
        <f>VLOOKUP($Z451,'oddspedia-matches'!$A:$AD,AA$2,0)</f>
        <v>#N/A</v>
      </c>
      <c r="AB451" t="e">
        <f>VLOOKUP($Z451,'oddspedia-matches'!$A:$AD,AB$2,0)</f>
        <v>#N/A</v>
      </c>
      <c r="AC451" t="e">
        <f>VLOOKUP($Z451,'oddspedia-matches'!$A:$AD,AC$2,0)</f>
        <v>#N/A</v>
      </c>
      <c r="AD451" t="e">
        <f>VLOOKUP($Z451,'oddspedia-matches'!$A:$AD,AD$2,0)</f>
        <v>#N/A</v>
      </c>
      <c r="AE451" t="e">
        <f>VLOOKUP($Z451,'oddspedia-matches'!$A:$AD,AE$2,0)</f>
        <v>#N/A</v>
      </c>
      <c r="AF451" t="e">
        <f>VLOOKUP($Z451,'oddspedia-matches'!$A:$AD,AF$2,0)</f>
        <v>#N/A</v>
      </c>
      <c r="AG451" t="e">
        <f>VLOOKUP($Z451,'oddspedia-matches'!$A:$AD,AG$2,0)</f>
        <v>#N/A</v>
      </c>
      <c r="AH451" t="e">
        <f>VLOOKUP($Z451,'oddspedia-matches'!$A:$AD,AH$2,0)</f>
        <v>#N/A</v>
      </c>
      <c r="AI451" t="e">
        <f>VLOOKUP($Z451,'oddspedia-matches'!$A:$AD,AI$2,0)</f>
        <v>#N/A</v>
      </c>
      <c r="AJ451" t="e">
        <f>VLOOKUP($Z451,'oddspedia-matches'!$A:$AD,AJ$2,0)</f>
        <v>#N/A</v>
      </c>
      <c r="AK451" t="e">
        <f>VLOOKUP($Z451,'oddspedia-matches'!$A:$AD,AK$2,0)</f>
        <v>#N/A</v>
      </c>
      <c r="AL451" t="e">
        <f>VLOOKUP($Z451,'oddspedia-matches'!$A:$AD,AL$2,0)</f>
        <v>#N/A</v>
      </c>
      <c r="AM451" t="e">
        <f>VLOOKUP($Z451,'oddspedia-matches'!$A:$AD,AM$2,0)</f>
        <v>#N/A</v>
      </c>
      <c r="AN451" t="e">
        <f>VLOOKUP($Z451,'oddspedia-matches'!$A:$AD,AN$2,0)</f>
        <v>#N/A</v>
      </c>
      <c r="AO451" t="e">
        <f>VLOOKUP($Z451,'oddspedia-matches'!$A:$AD,AO$2,0)</f>
        <v>#N/A</v>
      </c>
      <c r="AP451" t="e">
        <f>VLOOKUP($Z451,'oddspedia-matches'!$A:$AD,AP$2,0)</f>
        <v>#N/A</v>
      </c>
      <c r="AQ451" t="e">
        <f>VLOOKUP($Z451,'oddspedia-matches'!$A:$AD,AQ$2,0)</f>
        <v>#N/A</v>
      </c>
    </row>
    <row r="452" spans="2:43" x14ac:dyDescent="0.2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tr">
        <f>VLOOKUP(E452,'Transform table'!A:B,2,0)</f>
        <v>Inter Bogota</v>
      </c>
      <c r="Y452" t="e">
        <f>VLOOKUP(F452,'Transform table'!A:B,2,0)</f>
        <v>#N/A</v>
      </c>
      <c r="Z452" t="e">
        <f t="shared" ref="Z452:Z515" si="7">C452&amp;X452&amp;Y452</f>
        <v>#N/A</v>
      </c>
      <c r="AA452" t="e">
        <f>VLOOKUP($Z452,'oddspedia-matches'!$A:$AD,AA$2,0)</f>
        <v>#N/A</v>
      </c>
      <c r="AB452" t="e">
        <f>VLOOKUP($Z452,'oddspedia-matches'!$A:$AD,AB$2,0)</f>
        <v>#N/A</v>
      </c>
      <c r="AC452" t="e">
        <f>VLOOKUP($Z452,'oddspedia-matches'!$A:$AD,AC$2,0)</f>
        <v>#N/A</v>
      </c>
      <c r="AD452" t="e">
        <f>VLOOKUP($Z452,'oddspedia-matches'!$A:$AD,AD$2,0)</f>
        <v>#N/A</v>
      </c>
      <c r="AE452" t="e">
        <f>VLOOKUP($Z452,'oddspedia-matches'!$A:$AD,AE$2,0)</f>
        <v>#N/A</v>
      </c>
      <c r="AF452" t="e">
        <f>VLOOKUP($Z452,'oddspedia-matches'!$A:$AD,AF$2,0)</f>
        <v>#N/A</v>
      </c>
      <c r="AG452" t="e">
        <f>VLOOKUP($Z452,'oddspedia-matches'!$A:$AD,AG$2,0)</f>
        <v>#N/A</v>
      </c>
      <c r="AH452" t="e">
        <f>VLOOKUP($Z452,'oddspedia-matches'!$A:$AD,AH$2,0)</f>
        <v>#N/A</v>
      </c>
      <c r="AI452" t="e">
        <f>VLOOKUP($Z452,'oddspedia-matches'!$A:$AD,AI$2,0)</f>
        <v>#N/A</v>
      </c>
      <c r="AJ452" t="e">
        <f>VLOOKUP($Z452,'oddspedia-matches'!$A:$AD,AJ$2,0)</f>
        <v>#N/A</v>
      </c>
      <c r="AK452" t="e">
        <f>VLOOKUP($Z452,'oddspedia-matches'!$A:$AD,AK$2,0)</f>
        <v>#N/A</v>
      </c>
      <c r="AL452" t="e">
        <f>VLOOKUP($Z452,'oddspedia-matches'!$A:$AD,AL$2,0)</f>
        <v>#N/A</v>
      </c>
      <c r="AM452" t="e">
        <f>VLOOKUP($Z452,'oddspedia-matches'!$A:$AD,AM$2,0)</f>
        <v>#N/A</v>
      </c>
      <c r="AN452" t="e">
        <f>VLOOKUP($Z452,'oddspedia-matches'!$A:$AD,AN$2,0)</f>
        <v>#N/A</v>
      </c>
      <c r="AO452" t="e">
        <f>VLOOKUP($Z452,'oddspedia-matches'!$A:$AD,AO$2,0)</f>
        <v>#N/A</v>
      </c>
      <c r="AP452" t="e">
        <f>VLOOKUP($Z452,'oddspedia-matches'!$A:$AD,AP$2,0)</f>
        <v>#N/A</v>
      </c>
      <c r="AQ452" t="e">
        <f>VLOOKUP($Z452,'oddspedia-matches'!$A:$AD,AQ$2,0)</f>
        <v>#N/A</v>
      </c>
    </row>
    <row r="453" spans="2:43" x14ac:dyDescent="0.2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>
        <f>VLOOKUP(E453,'Transform table'!A:B,2,0)</f>
        <v>0</v>
      </c>
      <c r="Y453" t="e">
        <f>VLOOKUP(F453,'Transform table'!A:B,2,0)</f>
        <v>#N/A</v>
      </c>
      <c r="Z453" t="e">
        <f t="shared" si="7"/>
        <v>#N/A</v>
      </c>
      <c r="AA453" t="e">
        <f>VLOOKUP($Z453,'oddspedia-matches'!$A:$AD,AA$2,0)</f>
        <v>#N/A</v>
      </c>
      <c r="AB453" t="e">
        <f>VLOOKUP($Z453,'oddspedia-matches'!$A:$AD,AB$2,0)</f>
        <v>#N/A</v>
      </c>
      <c r="AC453" t="e">
        <f>VLOOKUP($Z453,'oddspedia-matches'!$A:$AD,AC$2,0)</f>
        <v>#N/A</v>
      </c>
      <c r="AD453" t="e">
        <f>VLOOKUP($Z453,'oddspedia-matches'!$A:$AD,AD$2,0)</f>
        <v>#N/A</v>
      </c>
      <c r="AE453" t="e">
        <f>VLOOKUP($Z453,'oddspedia-matches'!$A:$AD,AE$2,0)</f>
        <v>#N/A</v>
      </c>
      <c r="AF453" t="e">
        <f>VLOOKUP($Z453,'oddspedia-matches'!$A:$AD,AF$2,0)</f>
        <v>#N/A</v>
      </c>
      <c r="AG453" t="e">
        <f>VLOOKUP($Z453,'oddspedia-matches'!$A:$AD,AG$2,0)</f>
        <v>#N/A</v>
      </c>
      <c r="AH453" t="e">
        <f>VLOOKUP($Z453,'oddspedia-matches'!$A:$AD,AH$2,0)</f>
        <v>#N/A</v>
      </c>
      <c r="AI453" t="e">
        <f>VLOOKUP($Z453,'oddspedia-matches'!$A:$AD,AI$2,0)</f>
        <v>#N/A</v>
      </c>
      <c r="AJ453" t="e">
        <f>VLOOKUP($Z453,'oddspedia-matches'!$A:$AD,AJ$2,0)</f>
        <v>#N/A</v>
      </c>
      <c r="AK453" t="e">
        <f>VLOOKUP($Z453,'oddspedia-matches'!$A:$AD,AK$2,0)</f>
        <v>#N/A</v>
      </c>
      <c r="AL453" t="e">
        <f>VLOOKUP($Z453,'oddspedia-matches'!$A:$AD,AL$2,0)</f>
        <v>#N/A</v>
      </c>
      <c r="AM453" t="e">
        <f>VLOOKUP($Z453,'oddspedia-matches'!$A:$AD,AM$2,0)</f>
        <v>#N/A</v>
      </c>
      <c r="AN453" t="e">
        <f>VLOOKUP($Z453,'oddspedia-matches'!$A:$AD,AN$2,0)</f>
        <v>#N/A</v>
      </c>
      <c r="AO453" t="e">
        <f>VLOOKUP($Z453,'oddspedia-matches'!$A:$AD,AO$2,0)</f>
        <v>#N/A</v>
      </c>
      <c r="AP453" t="e">
        <f>VLOOKUP($Z453,'oddspedia-matches'!$A:$AD,AP$2,0)</f>
        <v>#N/A</v>
      </c>
      <c r="AQ453" t="e">
        <f>VLOOKUP($Z453,'oddspedia-matches'!$A:$AD,AQ$2,0)</f>
        <v>#N/A</v>
      </c>
    </row>
    <row r="454" spans="2:43" x14ac:dyDescent="0.2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>
        <f>VLOOKUP(E454,'Transform table'!A:B,2,0)</f>
        <v>0</v>
      </c>
      <c r="Y454" t="e">
        <f>VLOOKUP(F454,'Transform table'!A:B,2,0)</f>
        <v>#N/A</v>
      </c>
      <c r="Z454" t="e">
        <f t="shared" si="7"/>
        <v>#N/A</v>
      </c>
      <c r="AA454" t="e">
        <f>VLOOKUP($Z454,'oddspedia-matches'!$A:$AD,AA$2,0)</f>
        <v>#N/A</v>
      </c>
      <c r="AB454" t="e">
        <f>VLOOKUP($Z454,'oddspedia-matches'!$A:$AD,AB$2,0)</f>
        <v>#N/A</v>
      </c>
      <c r="AC454" t="e">
        <f>VLOOKUP($Z454,'oddspedia-matches'!$A:$AD,AC$2,0)</f>
        <v>#N/A</v>
      </c>
      <c r="AD454" t="e">
        <f>VLOOKUP($Z454,'oddspedia-matches'!$A:$AD,AD$2,0)</f>
        <v>#N/A</v>
      </c>
      <c r="AE454" t="e">
        <f>VLOOKUP($Z454,'oddspedia-matches'!$A:$AD,AE$2,0)</f>
        <v>#N/A</v>
      </c>
      <c r="AF454" t="e">
        <f>VLOOKUP($Z454,'oddspedia-matches'!$A:$AD,AF$2,0)</f>
        <v>#N/A</v>
      </c>
      <c r="AG454" t="e">
        <f>VLOOKUP($Z454,'oddspedia-matches'!$A:$AD,AG$2,0)</f>
        <v>#N/A</v>
      </c>
      <c r="AH454" t="e">
        <f>VLOOKUP($Z454,'oddspedia-matches'!$A:$AD,AH$2,0)</f>
        <v>#N/A</v>
      </c>
      <c r="AI454" t="e">
        <f>VLOOKUP($Z454,'oddspedia-matches'!$A:$AD,AI$2,0)</f>
        <v>#N/A</v>
      </c>
      <c r="AJ454" t="e">
        <f>VLOOKUP($Z454,'oddspedia-matches'!$A:$AD,AJ$2,0)</f>
        <v>#N/A</v>
      </c>
      <c r="AK454" t="e">
        <f>VLOOKUP($Z454,'oddspedia-matches'!$A:$AD,AK$2,0)</f>
        <v>#N/A</v>
      </c>
      <c r="AL454" t="e">
        <f>VLOOKUP($Z454,'oddspedia-matches'!$A:$AD,AL$2,0)</f>
        <v>#N/A</v>
      </c>
      <c r="AM454" t="e">
        <f>VLOOKUP($Z454,'oddspedia-matches'!$A:$AD,AM$2,0)</f>
        <v>#N/A</v>
      </c>
      <c r="AN454" t="e">
        <f>VLOOKUP($Z454,'oddspedia-matches'!$A:$AD,AN$2,0)</f>
        <v>#N/A</v>
      </c>
      <c r="AO454" t="e">
        <f>VLOOKUP($Z454,'oddspedia-matches'!$A:$AD,AO$2,0)</f>
        <v>#N/A</v>
      </c>
      <c r="AP454" t="e">
        <f>VLOOKUP($Z454,'oddspedia-matches'!$A:$AD,AP$2,0)</f>
        <v>#N/A</v>
      </c>
      <c r="AQ454" t="e">
        <f>VLOOKUP($Z454,'oddspedia-matches'!$A:$AD,AQ$2,0)</f>
        <v>#N/A</v>
      </c>
    </row>
    <row r="455" spans="2:43" x14ac:dyDescent="0.2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tr">
        <f>VLOOKUP(E455,'Transform table'!A:B,2,0)</f>
        <v>Fylkir</v>
      </c>
      <c r="Y455" t="str">
        <f>VLOOKUP(F455,'Transform table'!A:B,2,0)</f>
        <v>Hafnarfjordur</v>
      </c>
      <c r="Z455" t="str">
        <f t="shared" si="7"/>
        <v>26/07/2026FylkirHafnarfjordur</v>
      </c>
      <c r="AA455" t="e">
        <f>VLOOKUP($Z455,'oddspedia-matches'!$A:$AD,AA$2,0)</f>
        <v>#N/A</v>
      </c>
      <c r="AB455" t="e">
        <f>VLOOKUP($Z455,'oddspedia-matches'!$A:$AD,AB$2,0)</f>
        <v>#N/A</v>
      </c>
      <c r="AC455" t="e">
        <f>VLOOKUP($Z455,'oddspedia-matches'!$A:$AD,AC$2,0)</f>
        <v>#N/A</v>
      </c>
      <c r="AD455" t="e">
        <f>VLOOKUP($Z455,'oddspedia-matches'!$A:$AD,AD$2,0)</f>
        <v>#N/A</v>
      </c>
      <c r="AE455" t="e">
        <f>VLOOKUP($Z455,'oddspedia-matches'!$A:$AD,AE$2,0)</f>
        <v>#N/A</v>
      </c>
      <c r="AF455" t="e">
        <f>VLOOKUP($Z455,'oddspedia-matches'!$A:$AD,AF$2,0)</f>
        <v>#N/A</v>
      </c>
      <c r="AG455" t="e">
        <f>VLOOKUP($Z455,'oddspedia-matches'!$A:$AD,AG$2,0)</f>
        <v>#N/A</v>
      </c>
      <c r="AH455" t="e">
        <f>VLOOKUP($Z455,'oddspedia-matches'!$A:$AD,AH$2,0)</f>
        <v>#N/A</v>
      </c>
      <c r="AI455" t="e">
        <f>VLOOKUP($Z455,'oddspedia-matches'!$A:$AD,AI$2,0)</f>
        <v>#N/A</v>
      </c>
      <c r="AJ455" t="e">
        <f>VLOOKUP($Z455,'oddspedia-matches'!$A:$AD,AJ$2,0)</f>
        <v>#N/A</v>
      </c>
      <c r="AK455" t="e">
        <f>VLOOKUP($Z455,'oddspedia-matches'!$A:$AD,AK$2,0)</f>
        <v>#N/A</v>
      </c>
      <c r="AL455" t="e">
        <f>VLOOKUP($Z455,'oddspedia-matches'!$A:$AD,AL$2,0)</f>
        <v>#N/A</v>
      </c>
      <c r="AM455" t="e">
        <f>VLOOKUP($Z455,'oddspedia-matches'!$A:$AD,AM$2,0)</f>
        <v>#N/A</v>
      </c>
      <c r="AN455" t="e">
        <f>VLOOKUP($Z455,'oddspedia-matches'!$A:$AD,AN$2,0)</f>
        <v>#N/A</v>
      </c>
      <c r="AO455" t="e">
        <f>VLOOKUP($Z455,'oddspedia-matches'!$A:$AD,AO$2,0)</f>
        <v>#N/A</v>
      </c>
      <c r="AP455" t="e">
        <f>VLOOKUP($Z455,'oddspedia-matches'!$A:$AD,AP$2,0)</f>
        <v>#N/A</v>
      </c>
      <c r="AQ455" t="e">
        <f>VLOOKUP($Z455,'oddspedia-matches'!$A:$AD,AQ$2,0)</f>
        <v>#N/A</v>
      </c>
    </row>
    <row r="456" spans="2:43" x14ac:dyDescent="0.2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tr">
        <f>VLOOKUP(E456,'Transform table'!A:B,2,0)</f>
        <v>IA Akranes</v>
      </c>
      <c r="Y456" t="e">
        <f>VLOOKUP(F456,'Transform table'!A:B,2,0)</f>
        <v>#N/A</v>
      </c>
      <c r="Z456" t="e">
        <f t="shared" si="7"/>
        <v>#N/A</v>
      </c>
      <c r="AA456" t="e">
        <f>VLOOKUP($Z456,'oddspedia-matches'!$A:$AD,AA$2,0)</f>
        <v>#N/A</v>
      </c>
      <c r="AB456" t="e">
        <f>VLOOKUP($Z456,'oddspedia-matches'!$A:$AD,AB$2,0)</f>
        <v>#N/A</v>
      </c>
      <c r="AC456" t="e">
        <f>VLOOKUP($Z456,'oddspedia-matches'!$A:$AD,AC$2,0)</f>
        <v>#N/A</v>
      </c>
      <c r="AD456" t="e">
        <f>VLOOKUP($Z456,'oddspedia-matches'!$A:$AD,AD$2,0)</f>
        <v>#N/A</v>
      </c>
      <c r="AE456" t="e">
        <f>VLOOKUP($Z456,'oddspedia-matches'!$A:$AD,AE$2,0)</f>
        <v>#N/A</v>
      </c>
      <c r="AF456" t="e">
        <f>VLOOKUP($Z456,'oddspedia-matches'!$A:$AD,AF$2,0)</f>
        <v>#N/A</v>
      </c>
      <c r="AG456" t="e">
        <f>VLOOKUP($Z456,'oddspedia-matches'!$A:$AD,AG$2,0)</f>
        <v>#N/A</v>
      </c>
      <c r="AH456" t="e">
        <f>VLOOKUP($Z456,'oddspedia-matches'!$A:$AD,AH$2,0)</f>
        <v>#N/A</v>
      </c>
      <c r="AI456" t="e">
        <f>VLOOKUP($Z456,'oddspedia-matches'!$A:$AD,AI$2,0)</f>
        <v>#N/A</v>
      </c>
      <c r="AJ456" t="e">
        <f>VLOOKUP($Z456,'oddspedia-matches'!$A:$AD,AJ$2,0)</f>
        <v>#N/A</v>
      </c>
      <c r="AK456" t="e">
        <f>VLOOKUP($Z456,'oddspedia-matches'!$A:$AD,AK$2,0)</f>
        <v>#N/A</v>
      </c>
      <c r="AL456" t="e">
        <f>VLOOKUP($Z456,'oddspedia-matches'!$A:$AD,AL$2,0)</f>
        <v>#N/A</v>
      </c>
      <c r="AM456" t="e">
        <f>VLOOKUP($Z456,'oddspedia-matches'!$A:$AD,AM$2,0)</f>
        <v>#N/A</v>
      </c>
      <c r="AN456" t="e">
        <f>VLOOKUP($Z456,'oddspedia-matches'!$A:$AD,AN$2,0)</f>
        <v>#N/A</v>
      </c>
      <c r="AO456" t="e">
        <f>VLOOKUP($Z456,'oddspedia-matches'!$A:$AD,AO$2,0)</f>
        <v>#N/A</v>
      </c>
      <c r="AP456" t="e">
        <f>VLOOKUP($Z456,'oddspedia-matches'!$A:$AD,AP$2,0)</f>
        <v>#N/A</v>
      </c>
      <c r="AQ456" t="e">
        <f>VLOOKUP($Z456,'oddspedia-matches'!$A:$AD,AQ$2,0)</f>
        <v>#N/A</v>
      </c>
    </row>
    <row r="457" spans="2:43" x14ac:dyDescent="0.2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tr">
        <f>VLOOKUP(E457,'Transform table'!A:B,2,0)</f>
        <v>Godoy Cruz</v>
      </c>
      <c r="Y457" t="e">
        <f>VLOOKUP(F457,'Transform table'!A:B,2,0)</f>
        <v>#N/A</v>
      </c>
      <c r="Z457" t="e">
        <f t="shared" si="7"/>
        <v>#N/A</v>
      </c>
      <c r="AA457" t="e">
        <f>VLOOKUP($Z457,'oddspedia-matches'!$A:$AD,AA$2,0)</f>
        <v>#N/A</v>
      </c>
      <c r="AB457" t="e">
        <f>VLOOKUP($Z457,'oddspedia-matches'!$A:$AD,AB$2,0)</f>
        <v>#N/A</v>
      </c>
      <c r="AC457" t="e">
        <f>VLOOKUP($Z457,'oddspedia-matches'!$A:$AD,AC$2,0)</f>
        <v>#N/A</v>
      </c>
      <c r="AD457" t="e">
        <f>VLOOKUP($Z457,'oddspedia-matches'!$A:$AD,AD$2,0)</f>
        <v>#N/A</v>
      </c>
      <c r="AE457" t="e">
        <f>VLOOKUP($Z457,'oddspedia-matches'!$A:$AD,AE$2,0)</f>
        <v>#N/A</v>
      </c>
      <c r="AF457" t="e">
        <f>VLOOKUP($Z457,'oddspedia-matches'!$A:$AD,AF$2,0)</f>
        <v>#N/A</v>
      </c>
      <c r="AG457" t="e">
        <f>VLOOKUP($Z457,'oddspedia-matches'!$A:$AD,AG$2,0)</f>
        <v>#N/A</v>
      </c>
      <c r="AH457" t="e">
        <f>VLOOKUP($Z457,'oddspedia-matches'!$A:$AD,AH$2,0)</f>
        <v>#N/A</v>
      </c>
      <c r="AI457" t="e">
        <f>VLOOKUP($Z457,'oddspedia-matches'!$A:$AD,AI$2,0)</f>
        <v>#N/A</v>
      </c>
      <c r="AJ457" t="e">
        <f>VLOOKUP($Z457,'oddspedia-matches'!$A:$AD,AJ$2,0)</f>
        <v>#N/A</v>
      </c>
      <c r="AK457" t="e">
        <f>VLOOKUP($Z457,'oddspedia-matches'!$A:$AD,AK$2,0)</f>
        <v>#N/A</v>
      </c>
      <c r="AL457" t="e">
        <f>VLOOKUP($Z457,'oddspedia-matches'!$A:$AD,AL$2,0)</f>
        <v>#N/A</v>
      </c>
      <c r="AM457" t="e">
        <f>VLOOKUP($Z457,'oddspedia-matches'!$A:$AD,AM$2,0)</f>
        <v>#N/A</v>
      </c>
      <c r="AN457" t="e">
        <f>VLOOKUP($Z457,'oddspedia-matches'!$A:$AD,AN$2,0)</f>
        <v>#N/A</v>
      </c>
      <c r="AO457" t="e">
        <f>VLOOKUP($Z457,'oddspedia-matches'!$A:$AD,AO$2,0)</f>
        <v>#N/A</v>
      </c>
      <c r="AP457" t="e">
        <f>VLOOKUP($Z457,'oddspedia-matches'!$A:$AD,AP$2,0)</f>
        <v>#N/A</v>
      </c>
      <c r="AQ457" t="e">
        <f>VLOOKUP($Z457,'oddspedia-matches'!$A:$AD,AQ$2,0)</f>
        <v>#N/A</v>
      </c>
    </row>
    <row r="458" spans="2:43" x14ac:dyDescent="0.2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>
        <f>VLOOKUP(E458,'Transform table'!A:B,2,0)</f>
        <v>0</v>
      </c>
      <c r="Y458" t="e">
        <f>VLOOKUP(F458,'Transform table'!A:B,2,0)</f>
        <v>#N/A</v>
      </c>
      <c r="Z458" t="e">
        <f t="shared" si="7"/>
        <v>#N/A</v>
      </c>
      <c r="AA458" t="e">
        <f>VLOOKUP($Z458,'oddspedia-matches'!$A:$AD,AA$2,0)</f>
        <v>#N/A</v>
      </c>
      <c r="AB458" t="e">
        <f>VLOOKUP($Z458,'oddspedia-matches'!$A:$AD,AB$2,0)</f>
        <v>#N/A</v>
      </c>
      <c r="AC458" t="e">
        <f>VLOOKUP($Z458,'oddspedia-matches'!$A:$AD,AC$2,0)</f>
        <v>#N/A</v>
      </c>
      <c r="AD458" t="e">
        <f>VLOOKUP($Z458,'oddspedia-matches'!$A:$AD,AD$2,0)</f>
        <v>#N/A</v>
      </c>
      <c r="AE458" t="e">
        <f>VLOOKUP($Z458,'oddspedia-matches'!$A:$AD,AE$2,0)</f>
        <v>#N/A</v>
      </c>
      <c r="AF458" t="e">
        <f>VLOOKUP($Z458,'oddspedia-matches'!$A:$AD,AF$2,0)</f>
        <v>#N/A</v>
      </c>
      <c r="AG458" t="e">
        <f>VLOOKUP($Z458,'oddspedia-matches'!$A:$AD,AG$2,0)</f>
        <v>#N/A</v>
      </c>
      <c r="AH458" t="e">
        <f>VLOOKUP($Z458,'oddspedia-matches'!$A:$AD,AH$2,0)</f>
        <v>#N/A</v>
      </c>
      <c r="AI458" t="e">
        <f>VLOOKUP($Z458,'oddspedia-matches'!$A:$AD,AI$2,0)</f>
        <v>#N/A</v>
      </c>
      <c r="AJ458" t="e">
        <f>VLOOKUP($Z458,'oddspedia-matches'!$A:$AD,AJ$2,0)</f>
        <v>#N/A</v>
      </c>
      <c r="AK458" t="e">
        <f>VLOOKUP($Z458,'oddspedia-matches'!$A:$AD,AK$2,0)</f>
        <v>#N/A</v>
      </c>
      <c r="AL458" t="e">
        <f>VLOOKUP($Z458,'oddspedia-matches'!$A:$AD,AL$2,0)</f>
        <v>#N/A</v>
      </c>
      <c r="AM458" t="e">
        <f>VLOOKUP($Z458,'oddspedia-matches'!$A:$AD,AM$2,0)</f>
        <v>#N/A</v>
      </c>
      <c r="AN458" t="e">
        <f>VLOOKUP($Z458,'oddspedia-matches'!$A:$AD,AN$2,0)</f>
        <v>#N/A</v>
      </c>
      <c r="AO458" t="e">
        <f>VLOOKUP($Z458,'oddspedia-matches'!$A:$AD,AO$2,0)</f>
        <v>#N/A</v>
      </c>
      <c r="AP458" t="e">
        <f>VLOOKUP($Z458,'oddspedia-matches'!$A:$AD,AP$2,0)</f>
        <v>#N/A</v>
      </c>
      <c r="AQ458" t="e">
        <f>VLOOKUP($Z458,'oddspedia-matches'!$A:$AD,AQ$2,0)</f>
        <v>#N/A</v>
      </c>
    </row>
    <row r="459" spans="2:43" x14ac:dyDescent="0.2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tr">
        <f>VLOOKUP(E459,'Transform table'!A:B,2,0)</f>
        <v>AS Avellino</v>
      </c>
      <c r="Y459" t="e">
        <f>VLOOKUP(F459,'Transform table'!A:B,2,0)</f>
        <v>#N/A</v>
      </c>
      <c r="Z459" t="e">
        <f t="shared" si="7"/>
        <v>#N/A</v>
      </c>
      <c r="AA459" t="e">
        <f>VLOOKUP($Z459,'oddspedia-matches'!$A:$AD,AA$2,0)</f>
        <v>#N/A</v>
      </c>
      <c r="AB459" t="e">
        <f>VLOOKUP($Z459,'oddspedia-matches'!$A:$AD,AB$2,0)</f>
        <v>#N/A</v>
      </c>
      <c r="AC459" t="e">
        <f>VLOOKUP($Z459,'oddspedia-matches'!$A:$AD,AC$2,0)</f>
        <v>#N/A</v>
      </c>
      <c r="AD459" t="e">
        <f>VLOOKUP($Z459,'oddspedia-matches'!$A:$AD,AD$2,0)</f>
        <v>#N/A</v>
      </c>
      <c r="AE459" t="e">
        <f>VLOOKUP($Z459,'oddspedia-matches'!$A:$AD,AE$2,0)</f>
        <v>#N/A</v>
      </c>
      <c r="AF459" t="e">
        <f>VLOOKUP($Z459,'oddspedia-matches'!$A:$AD,AF$2,0)</f>
        <v>#N/A</v>
      </c>
      <c r="AG459" t="e">
        <f>VLOOKUP($Z459,'oddspedia-matches'!$A:$AD,AG$2,0)</f>
        <v>#N/A</v>
      </c>
      <c r="AH459" t="e">
        <f>VLOOKUP($Z459,'oddspedia-matches'!$A:$AD,AH$2,0)</f>
        <v>#N/A</v>
      </c>
      <c r="AI459" t="e">
        <f>VLOOKUP($Z459,'oddspedia-matches'!$A:$AD,AI$2,0)</f>
        <v>#N/A</v>
      </c>
      <c r="AJ459" t="e">
        <f>VLOOKUP($Z459,'oddspedia-matches'!$A:$AD,AJ$2,0)</f>
        <v>#N/A</v>
      </c>
      <c r="AK459" t="e">
        <f>VLOOKUP($Z459,'oddspedia-matches'!$A:$AD,AK$2,0)</f>
        <v>#N/A</v>
      </c>
      <c r="AL459" t="e">
        <f>VLOOKUP($Z459,'oddspedia-matches'!$A:$AD,AL$2,0)</f>
        <v>#N/A</v>
      </c>
      <c r="AM459" t="e">
        <f>VLOOKUP($Z459,'oddspedia-matches'!$A:$AD,AM$2,0)</f>
        <v>#N/A</v>
      </c>
      <c r="AN459" t="e">
        <f>VLOOKUP($Z459,'oddspedia-matches'!$A:$AD,AN$2,0)</f>
        <v>#N/A</v>
      </c>
      <c r="AO459" t="e">
        <f>VLOOKUP($Z459,'oddspedia-matches'!$A:$AD,AO$2,0)</f>
        <v>#N/A</v>
      </c>
      <c r="AP459" t="e">
        <f>VLOOKUP($Z459,'oddspedia-matches'!$A:$AD,AP$2,0)</f>
        <v>#N/A</v>
      </c>
      <c r="AQ459" t="e">
        <f>VLOOKUP($Z459,'oddspedia-matches'!$A:$AD,AQ$2,0)</f>
        <v>#N/A</v>
      </c>
    </row>
    <row r="460" spans="2:43" x14ac:dyDescent="0.2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tr">
        <f>VLOOKUP(E460,'Transform table'!A:B,2,0)</f>
        <v>Ferrocarril Midland</v>
      </c>
      <c r="Y460" t="e">
        <f>VLOOKUP(F460,'Transform table'!A:B,2,0)</f>
        <v>#N/A</v>
      </c>
      <c r="Z460" t="e">
        <f t="shared" si="7"/>
        <v>#N/A</v>
      </c>
      <c r="AA460" t="e">
        <f>VLOOKUP($Z460,'oddspedia-matches'!$A:$AD,AA$2,0)</f>
        <v>#N/A</v>
      </c>
      <c r="AB460" t="e">
        <f>VLOOKUP($Z460,'oddspedia-matches'!$A:$AD,AB$2,0)</f>
        <v>#N/A</v>
      </c>
      <c r="AC460" t="e">
        <f>VLOOKUP($Z460,'oddspedia-matches'!$A:$AD,AC$2,0)</f>
        <v>#N/A</v>
      </c>
      <c r="AD460" t="e">
        <f>VLOOKUP($Z460,'oddspedia-matches'!$A:$AD,AD$2,0)</f>
        <v>#N/A</v>
      </c>
      <c r="AE460" t="e">
        <f>VLOOKUP($Z460,'oddspedia-matches'!$A:$AD,AE$2,0)</f>
        <v>#N/A</v>
      </c>
      <c r="AF460" t="e">
        <f>VLOOKUP($Z460,'oddspedia-matches'!$A:$AD,AF$2,0)</f>
        <v>#N/A</v>
      </c>
      <c r="AG460" t="e">
        <f>VLOOKUP($Z460,'oddspedia-matches'!$A:$AD,AG$2,0)</f>
        <v>#N/A</v>
      </c>
      <c r="AH460" t="e">
        <f>VLOOKUP($Z460,'oddspedia-matches'!$A:$AD,AH$2,0)</f>
        <v>#N/A</v>
      </c>
      <c r="AI460" t="e">
        <f>VLOOKUP($Z460,'oddspedia-matches'!$A:$AD,AI$2,0)</f>
        <v>#N/A</v>
      </c>
      <c r="AJ460" t="e">
        <f>VLOOKUP($Z460,'oddspedia-matches'!$A:$AD,AJ$2,0)</f>
        <v>#N/A</v>
      </c>
      <c r="AK460" t="e">
        <f>VLOOKUP($Z460,'oddspedia-matches'!$A:$AD,AK$2,0)</f>
        <v>#N/A</v>
      </c>
      <c r="AL460" t="e">
        <f>VLOOKUP($Z460,'oddspedia-matches'!$A:$AD,AL$2,0)</f>
        <v>#N/A</v>
      </c>
      <c r="AM460" t="e">
        <f>VLOOKUP($Z460,'oddspedia-matches'!$A:$AD,AM$2,0)</f>
        <v>#N/A</v>
      </c>
      <c r="AN460" t="e">
        <f>VLOOKUP($Z460,'oddspedia-matches'!$A:$AD,AN$2,0)</f>
        <v>#N/A</v>
      </c>
      <c r="AO460" t="e">
        <f>VLOOKUP($Z460,'oddspedia-matches'!$A:$AD,AO$2,0)</f>
        <v>#N/A</v>
      </c>
      <c r="AP460" t="e">
        <f>VLOOKUP($Z460,'oddspedia-matches'!$A:$AD,AP$2,0)</f>
        <v>#N/A</v>
      </c>
      <c r="AQ460" t="e">
        <f>VLOOKUP($Z460,'oddspedia-matches'!$A:$AD,AQ$2,0)</f>
        <v>#N/A</v>
      </c>
    </row>
    <row r="461" spans="2:43" x14ac:dyDescent="0.2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tr">
        <f>VLOOKUP(E461,'Transform table'!A:B,2,0)</f>
        <v>Treibach</v>
      </c>
      <c r="Y461" t="e">
        <f>VLOOKUP(F461,'Transform table'!A:B,2,0)</f>
        <v>#N/A</v>
      </c>
      <c r="Z461" t="e">
        <f t="shared" si="7"/>
        <v>#N/A</v>
      </c>
      <c r="AA461" t="e">
        <f>VLOOKUP($Z461,'oddspedia-matches'!$A:$AD,AA$2,0)</f>
        <v>#N/A</v>
      </c>
      <c r="AB461" t="e">
        <f>VLOOKUP($Z461,'oddspedia-matches'!$A:$AD,AB$2,0)</f>
        <v>#N/A</v>
      </c>
      <c r="AC461" t="e">
        <f>VLOOKUP($Z461,'oddspedia-matches'!$A:$AD,AC$2,0)</f>
        <v>#N/A</v>
      </c>
      <c r="AD461" t="e">
        <f>VLOOKUP($Z461,'oddspedia-matches'!$A:$AD,AD$2,0)</f>
        <v>#N/A</v>
      </c>
      <c r="AE461" t="e">
        <f>VLOOKUP($Z461,'oddspedia-matches'!$A:$AD,AE$2,0)</f>
        <v>#N/A</v>
      </c>
      <c r="AF461" t="e">
        <f>VLOOKUP($Z461,'oddspedia-matches'!$A:$AD,AF$2,0)</f>
        <v>#N/A</v>
      </c>
      <c r="AG461" t="e">
        <f>VLOOKUP($Z461,'oddspedia-matches'!$A:$AD,AG$2,0)</f>
        <v>#N/A</v>
      </c>
      <c r="AH461" t="e">
        <f>VLOOKUP($Z461,'oddspedia-matches'!$A:$AD,AH$2,0)</f>
        <v>#N/A</v>
      </c>
      <c r="AI461" t="e">
        <f>VLOOKUP($Z461,'oddspedia-matches'!$A:$AD,AI$2,0)</f>
        <v>#N/A</v>
      </c>
      <c r="AJ461" t="e">
        <f>VLOOKUP($Z461,'oddspedia-matches'!$A:$AD,AJ$2,0)</f>
        <v>#N/A</v>
      </c>
      <c r="AK461" t="e">
        <f>VLOOKUP($Z461,'oddspedia-matches'!$A:$AD,AK$2,0)</f>
        <v>#N/A</v>
      </c>
      <c r="AL461" t="e">
        <f>VLOOKUP($Z461,'oddspedia-matches'!$A:$AD,AL$2,0)</f>
        <v>#N/A</v>
      </c>
      <c r="AM461" t="e">
        <f>VLOOKUP($Z461,'oddspedia-matches'!$A:$AD,AM$2,0)</f>
        <v>#N/A</v>
      </c>
      <c r="AN461" t="e">
        <f>VLOOKUP($Z461,'oddspedia-matches'!$A:$AD,AN$2,0)</f>
        <v>#N/A</v>
      </c>
      <c r="AO461" t="e">
        <f>VLOOKUP($Z461,'oddspedia-matches'!$A:$AD,AO$2,0)</f>
        <v>#N/A</v>
      </c>
      <c r="AP461" t="e">
        <f>VLOOKUP($Z461,'oddspedia-matches'!$A:$AD,AP$2,0)</f>
        <v>#N/A</v>
      </c>
      <c r="AQ461" t="e">
        <f>VLOOKUP($Z461,'oddspedia-matches'!$A:$AD,AQ$2,0)</f>
        <v>#N/A</v>
      </c>
    </row>
    <row r="462" spans="2:43" x14ac:dyDescent="0.2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tr">
        <f>VLOOKUP(E462,'Transform table'!A:B,2,0)</f>
        <v>Barcelona SC</v>
      </c>
      <c r="Y462" t="str">
        <f>VLOOKUP(F462,'Transform table'!A:B,2,0)</f>
        <v>LDU Quito</v>
      </c>
      <c r="Z462" t="str">
        <f t="shared" si="7"/>
        <v>26/07/2026Barcelona SCLDU Quito</v>
      </c>
      <c r="AA462" t="e">
        <f>VLOOKUP($Z462,'oddspedia-matches'!$A:$AD,AA$2,0)</f>
        <v>#N/A</v>
      </c>
      <c r="AB462" t="e">
        <f>VLOOKUP($Z462,'oddspedia-matches'!$A:$AD,AB$2,0)</f>
        <v>#N/A</v>
      </c>
      <c r="AC462" t="e">
        <f>VLOOKUP($Z462,'oddspedia-matches'!$A:$AD,AC$2,0)</f>
        <v>#N/A</v>
      </c>
      <c r="AD462" t="e">
        <f>VLOOKUP($Z462,'oddspedia-matches'!$A:$AD,AD$2,0)</f>
        <v>#N/A</v>
      </c>
      <c r="AE462" t="e">
        <f>VLOOKUP($Z462,'oddspedia-matches'!$A:$AD,AE$2,0)</f>
        <v>#N/A</v>
      </c>
      <c r="AF462" t="e">
        <f>VLOOKUP($Z462,'oddspedia-matches'!$A:$AD,AF$2,0)</f>
        <v>#N/A</v>
      </c>
      <c r="AG462" t="e">
        <f>VLOOKUP($Z462,'oddspedia-matches'!$A:$AD,AG$2,0)</f>
        <v>#N/A</v>
      </c>
      <c r="AH462" t="e">
        <f>VLOOKUP($Z462,'oddspedia-matches'!$A:$AD,AH$2,0)</f>
        <v>#N/A</v>
      </c>
      <c r="AI462" t="e">
        <f>VLOOKUP($Z462,'oddspedia-matches'!$A:$AD,AI$2,0)</f>
        <v>#N/A</v>
      </c>
      <c r="AJ462" t="e">
        <f>VLOOKUP($Z462,'oddspedia-matches'!$A:$AD,AJ$2,0)</f>
        <v>#N/A</v>
      </c>
      <c r="AK462" t="e">
        <f>VLOOKUP($Z462,'oddspedia-matches'!$A:$AD,AK$2,0)</f>
        <v>#N/A</v>
      </c>
      <c r="AL462" t="e">
        <f>VLOOKUP($Z462,'oddspedia-matches'!$A:$AD,AL$2,0)</f>
        <v>#N/A</v>
      </c>
      <c r="AM462" t="e">
        <f>VLOOKUP($Z462,'oddspedia-matches'!$A:$AD,AM$2,0)</f>
        <v>#N/A</v>
      </c>
      <c r="AN462" t="e">
        <f>VLOOKUP($Z462,'oddspedia-matches'!$A:$AD,AN$2,0)</f>
        <v>#N/A</v>
      </c>
      <c r="AO462" t="e">
        <f>VLOOKUP($Z462,'oddspedia-matches'!$A:$AD,AO$2,0)</f>
        <v>#N/A</v>
      </c>
      <c r="AP462" t="e">
        <f>VLOOKUP($Z462,'oddspedia-matches'!$A:$AD,AP$2,0)</f>
        <v>#N/A</v>
      </c>
      <c r="AQ462" t="e">
        <f>VLOOKUP($Z462,'oddspedia-matches'!$A:$AD,AQ$2,0)</f>
        <v>#N/A</v>
      </c>
    </row>
    <row r="463" spans="2:43" x14ac:dyDescent="0.2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tr">
        <f>VLOOKUP(E463,'Transform table'!A:B,2,0)</f>
        <v>Tecnico Universitario</v>
      </c>
      <c r="Y463" t="str">
        <f>VLOOKUP(F463,'Transform table'!A:B,2,0)</f>
        <v>Manta FC</v>
      </c>
      <c r="Z463" t="str">
        <f t="shared" si="7"/>
        <v>26/07/2026Tecnico UniversitarioManta FC</v>
      </c>
      <c r="AA463" t="e">
        <f>VLOOKUP($Z463,'oddspedia-matches'!$A:$AD,AA$2,0)</f>
        <v>#N/A</v>
      </c>
      <c r="AB463" t="e">
        <f>VLOOKUP($Z463,'oddspedia-matches'!$A:$AD,AB$2,0)</f>
        <v>#N/A</v>
      </c>
      <c r="AC463" t="e">
        <f>VLOOKUP($Z463,'oddspedia-matches'!$A:$AD,AC$2,0)</f>
        <v>#N/A</v>
      </c>
      <c r="AD463" t="e">
        <f>VLOOKUP($Z463,'oddspedia-matches'!$A:$AD,AD$2,0)</f>
        <v>#N/A</v>
      </c>
      <c r="AE463" t="e">
        <f>VLOOKUP($Z463,'oddspedia-matches'!$A:$AD,AE$2,0)</f>
        <v>#N/A</v>
      </c>
      <c r="AF463" t="e">
        <f>VLOOKUP($Z463,'oddspedia-matches'!$A:$AD,AF$2,0)</f>
        <v>#N/A</v>
      </c>
      <c r="AG463" t="e">
        <f>VLOOKUP($Z463,'oddspedia-matches'!$A:$AD,AG$2,0)</f>
        <v>#N/A</v>
      </c>
      <c r="AH463" t="e">
        <f>VLOOKUP($Z463,'oddspedia-matches'!$A:$AD,AH$2,0)</f>
        <v>#N/A</v>
      </c>
      <c r="AI463" t="e">
        <f>VLOOKUP($Z463,'oddspedia-matches'!$A:$AD,AI$2,0)</f>
        <v>#N/A</v>
      </c>
      <c r="AJ463" t="e">
        <f>VLOOKUP($Z463,'oddspedia-matches'!$A:$AD,AJ$2,0)</f>
        <v>#N/A</v>
      </c>
      <c r="AK463" t="e">
        <f>VLOOKUP($Z463,'oddspedia-matches'!$A:$AD,AK$2,0)</f>
        <v>#N/A</v>
      </c>
      <c r="AL463" t="e">
        <f>VLOOKUP($Z463,'oddspedia-matches'!$A:$AD,AL$2,0)</f>
        <v>#N/A</v>
      </c>
      <c r="AM463" t="e">
        <f>VLOOKUP($Z463,'oddspedia-matches'!$A:$AD,AM$2,0)</f>
        <v>#N/A</v>
      </c>
      <c r="AN463" t="e">
        <f>VLOOKUP($Z463,'oddspedia-matches'!$A:$AD,AN$2,0)</f>
        <v>#N/A</v>
      </c>
      <c r="AO463" t="e">
        <f>VLOOKUP($Z463,'oddspedia-matches'!$A:$AD,AO$2,0)</f>
        <v>#N/A</v>
      </c>
      <c r="AP463" t="e">
        <f>VLOOKUP($Z463,'oddspedia-matches'!$A:$AD,AP$2,0)</f>
        <v>#N/A</v>
      </c>
      <c r="AQ463" t="e">
        <f>VLOOKUP($Z463,'oddspedia-matches'!$A:$AD,AQ$2,0)</f>
        <v>#N/A</v>
      </c>
    </row>
    <row r="464" spans="2:43" x14ac:dyDescent="0.2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tr">
        <f>VLOOKUP(E464,'Transform table'!A:B,2,0)</f>
        <v>Portland Hearts of Pine</v>
      </c>
      <c r="Y464" t="e">
        <f>VLOOKUP(F464,'Transform table'!A:B,2,0)</f>
        <v>#N/A</v>
      </c>
      <c r="Z464" t="e">
        <f t="shared" si="7"/>
        <v>#N/A</v>
      </c>
      <c r="AA464" t="e">
        <f>VLOOKUP($Z464,'oddspedia-matches'!$A:$AD,AA$2,0)</f>
        <v>#N/A</v>
      </c>
      <c r="AB464" t="e">
        <f>VLOOKUP($Z464,'oddspedia-matches'!$A:$AD,AB$2,0)</f>
        <v>#N/A</v>
      </c>
      <c r="AC464" t="e">
        <f>VLOOKUP($Z464,'oddspedia-matches'!$A:$AD,AC$2,0)</f>
        <v>#N/A</v>
      </c>
      <c r="AD464" t="e">
        <f>VLOOKUP($Z464,'oddspedia-matches'!$A:$AD,AD$2,0)</f>
        <v>#N/A</v>
      </c>
      <c r="AE464" t="e">
        <f>VLOOKUP($Z464,'oddspedia-matches'!$A:$AD,AE$2,0)</f>
        <v>#N/A</v>
      </c>
      <c r="AF464" t="e">
        <f>VLOOKUP($Z464,'oddspedia-matches'!$A:$AD,AF$2,0)</f>
        <v>#N/A</v>
      </c>
      <c r="AG464" t="e">
        <f>VLOOKUP($Z464,'oddspedia-matches'!$A:$AD,AG$2,0)</f>
        <v>#N/A</v>
      </c>
      <c r="AH464" t="e">
        <f>VLOOKUP($Z464,'oddspedia-matches'!$A:$AD,AH$2,0)</f>
        <v>#N/A</v>
      </c>
      <c r="AI464" t="e">
        <f>VLOOKUP($Z464,'oddspedia-matches'!$A:$AD,AI$2,0)</f>
        <v>#N/A</v>
      </c>
      <c r="AJ464" t="e">
        <f>VLOOKUP($Z464,'oddspedia-matches'!$A:$AD,AJ$2,0)</f>
        <v>#N/A</v>
      </c>
      <c r="AK464" t="e">
        <f>VLOOKUP($Z464,'oddspedia-matches'!$A:$AD,AK$2,0)</f>
        <v>#N/A</v>
      </c>
      <c r="AL464" t="e">
        <f>VLOOKUP($Z464,'oddspedia-matches'!$A:$AD,AL$2,0)</f>
        <v>#N/A</v>
      </c>
      <c r="AM464" t="e">
        <f>VLOOKUP($Z464,'oddspedia-matches'!$A:$AD,AM$2,0)</f>
        <v>#N/A</v>
      </c>
      <c r="AN464" t="e">
        <f>VLOOKUP($Z464,'oddspedia-matches'!$A:$AD,AN$2,0)</f>
        <v>#N/A</v>
      </c>
      <c r="AO464" t="e">
        <f>VLOOKUP($Z464,'oddspedia-matches'!$A:$AD,AO$2,0)</f>
        <v>#N/A</v>
      </c>
      <c r="AP464" t="e">
        <f>VLOOKUP($Z464,'oddspedia-matches'!$A:$AD,AP$2,0)</f>
        <v>#N/A</v>
      </c>
      <c r="AQ464" t="e">
        <f>VLOOKUP($Z464,'oddspedia-matches'!$A:$AD,AQ$2,0)</f>
        <v>#N/A</v>
      </c>
    </row>
    <row r="465" spans="2:43" x14ac:dyDescent="0.2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tr">
        <f>VLOOKUP(E465,'Transform table'!A:B,2,0)</f>
        <v>Estudiantes de La Plata</v>
      </c>
      <c r="Y465" t="e">
        <f>VLOOKUP(F465,'Transform table'!A:B,2,0)</f>
        <v>#N/A</v>
      </c>
      <c r="Z465" t="e">
        <f t="shared" si="7"/>
        <v>#N/A</v>
      </c>
      <c r="AA465" t="e">
        <f>VLOOKUP($Z465,'oddspedia-matches'!$A:$AD,AA$2,0)</f>
        <v>#N/A</v>
      </c>
      <c r="AB465" t="e">
        <f>VLOOKUP($Z465,'oddspedia-matches'!$A:$AD,AB$2,0)</f>
        <v>#N/A</v>
      </c>
      <c r="AC465" t="e">
        <f>VLOOKUP($Z465,'oddspedia-matches'!$A:$AD,AC$2,0)</f>
        <v>#N/A</v>
      </c>
      <c r="AD465" t="e">
        <f>VLOOKUP($Z465,'oddspedia-matches'!$A:$AD,AD$2,0)</f>
        <v>#N/A</v>
      </c>
      <c r="AE465" t="e">
        <f>VLOOKUP($Z465,'oddspedia-matches'!$A:$AD,AE$2,0)</f>
        <v>#N/A</v>
      </c>
      <c r="AF465" t="e">
        <f>VLOOKUP($Z465,'oddspedia-matches'!$A:$AD,AF$2,0)</f>
        <v>#N/A</v>
      </c>
      <c r="AG465" t="e">
        <f>VLOOKUP($Z465,'oddspedia-matches'!$A:$AD,AG$2,0)</f>
        <v>#N/A</v>
      </c>
      <c r="AH465" t="e">
        <f>VLOOKUP($Z465,'oddspedia-matches'!$A:$AD,AH$2,0)</f>
        <v>#N/A</v>
      </c>
      <c r="AI465" t="e">
        <f>VLOOKUP($Z465,'oddspedia-matches'!$A:$AD,AI$2,0)</f>
        <v>#N/A</v>
      </c>
      <c r="AJ465" t="e">
        <f>VLOOKUP($Z465,'oddspedia-matches'!$A:$AD,AJ$2,0)</f>
        <v>#N/A</v>
      </c>
      <c r="AK465" t="e">
        <f>VLOOKUP($Z465,'oddspedia-matches'!$A:$AD,AK$2,0)</f>
        <v>#N/A</v>
      </c>
      <c r="AL465" t="e">
        <f>VLOOKUP($Z465,'oddspedia-matches'!$A:$AD,AL$2,0)</f>
        <v>#N/A</v>
      </c>
      <c r="AM465" t="e">
        <f>VLOOKUP($Z465,'oddspedia-matches'!$A:$AD,AM$2,0)</f>
        <v>#N/A</v>
      </c>
      <c r="AN465" t="e">
        <f>VLOOKUP($Z465,'oddspedia-matches'!$A:$AD,AN$2,0)</f>
        <v>#N/A</v>
      </c>
      <c r="AO465" t="e">
        <f>VLOOKUP($Z465,'oddspedia-matches'!$A:$AD,AO$2,0)</f>
        <v>#N/A</v>
      </c>
      <c r="AP465" t="e">
        <f>VLOOKUP($Z465,'oddspedia-matches'!$A:$AD,AP$2,0)</f>
        <v>#N/A</v>
      </c>
      <c r="AQ465" t="e">
        <f>VLOOKUP($Z465,'oddspedia-matches'!$A:$AD,AQ$2,0)</f>
        <v>#N/A</v>
      </c>
    </row>
    <row r="466" spans="2:43" x14ac:dyDescent="0.2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tr">
        <f>VLOOKUP(E466,'Transform table'!A:B,2,0)</f>
        <v>Cienciano</v>
      </c>
      <c r="Y466" t="e">
        <f>VLOOKUP(F466,'Transform table'!A:B,2,0)</f>
        <v>#N/A</v>
      </c>
      <c r="Z466" t="e">
        <f t="shared" si="7"/>
        <v>#N/A</v>
      </c>
      <c r="AA466" t="e">
        <f>VLOOKUP($Z466,'oddspedia-matches'!$A:$AD,AA$2,0)</f>
        <v>#N/A</v>
      </c>
      <c r="AB466" t="e">
        <f>VLOOKUP($Z466,'oddspedia-matches'!$A:$AD,AB$2,0)</f>
        <v>#N/A</v>
      </c>
      <c r="AC466" t="e">
        <f>VLOOKUP($Z466,'oddspedia-matches'!$A:$AD,AC$2,0)</f>
        <v>#N/A</v>
      </c>
      <c r="AD466" t="e">
        <f>VLOOKUP($Z466,'oddspedia-matches'!$A:$AD,AD$2,0)</f>
        <v>#N/A</v>
      </c>
      <c r="AE466" t="e">
        <f>VLOOKUP($Z466,'oddspedia-matches'!$A:$AD,AE$2,0)</f>
        <v>#N/A</v>
      </c>
      <c r="AF466" t="e">
        <f>VLOOKUP($Z466,'oddspedia-matches'!$A:$AD,AF$2,0)</f>
        <v>#N/A</v>
      </c>
      <c r="AG466" t="e">
        <f>VLOOKUP($Z466,'oddspedia-matches'!$A:$AD,AG$2,0)</f>
        <v>#N/A</v>
      </c>
      <c r="AH466" t="e">
        <f>VLOOKUP($Z466,'oddspedia-matches'!$A:$AD,AH$2,0)</f>
        <v>#N/A</v>
      </c>
      <c r="AI466" t="e">
        <f>VLOOKUP($Z466,'oddspedia-matches'!$A:$AD,AI$2,0)</f>
        <v>#N/A</v>
      </c>
      <c r="AJ466" t="e">
        <f>VLOOKUP($Z466,'oddspedia-matches'!$A:$AD,AJ$2,0)</f>
        <v>#N/A</v>
      </c>
      <c r="AK466" t="e">
        <f>VLOOKUP($Z466,'oddspedia-matches'!$A:$AD,AK$2,0)</f>
        <v>#N/A</v>
      </c>
      <c r="AL466" t="e">
        <f>VLOOKUP($Z466,'oddspedia-matches'!$A:$AD,AL$2,0)</f>
        <v>#N/A</v>
      </c>
      <c r="AM466" t="e">
        <f>VLOOKUP($Z466,'oddspedia-matches'!$A:$AD,AM$2,0)</f>
        <v>#N/A</v>
      </c>
      <c r="AN466" t="e">
        <f>VLOOKUP($Z466,'oddspedia-matches'!$A:$AD,AN$2,0)</f>
        <v>#N/A</v>
      </c>
      <c r="AO466" t="e">
        <f>VLOOKUP($Z466,'oddspedia-matches'!$A:$AD,AO$2,0)</f>
        <v>#N/A</v>
      </c>
      <c r="AP466" t="e">
        <f>VLOOKUP($Z466,'oddspedia-matches'!$A:$AD,AP$2,0)</f>
        <v>#N/A</v>
      </c>
      <c r="AQ466" t="e">
        <f>VLOOKUP($Z466,'oddspedia-matches'!$A:$AD,AQ$2,0)</f>
        <v>#N/A</v>
      </c>
    </row>
    <row r="467" spans="2:43" x14ac:dyDescent="0.2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tr">
        <f>VLOOKUP(E467,'Transform table'!A:B,2,0)</f>
        <v>Orense SC</v>
      </c>
      <c r="Y467" t="str">
        <f>VLOOKUP(F467,'Transform table'!A:B,2,0)</f>
        <v>Independiente del Valle</v>
      </c>
      <c r="Z467" t="str">
        <f t="shared" si="7"/>
        <v>26/07/2026Orense SCIndependiente del Valle</v>
      </c>
      <c r="AA467" t="e">
        <f>VLOOKUP($Z467,'oddspedia-matches'!$A:$AD,AA$2,0)</f>
        <v>#N/A</v>
      </c>
      <c r="AB467" t="e">
        <f>VLOOKUP($Z467,'oddspedia-matches'!$A:$AD,AB$2,0)</f>
        <v>#N/A</v>
      </c>
      <c r="AC467" t="e">
        <f>VLOOKUP($Z467,'oddspedia-matches'!$A:$AD,AC$2,0)</f>
        <v>#N/A</v>
      </c>
      <c r="AD467" t="e">
        <f>VLOOKUP($Z467,'oddspedia-matches'!$A:$AD,AD$2,0)</f>
        <v>#N/A</v>
      </c>
      <c r="AE467" t="e">
        <f>VLOOKUP($Z467,'oddspedia-matches'!$A:$AD,AE$2,0)</f>
        <v>#N/A</v>
      </c>
      <c r="AF467" t="e">
        <f>VLOOKUP($Z467,'oddspedia-matches'!$A:$AD,AF$2,0)</f>
        <v>#N/A</v>
      </c>
      <c r="AG467" t="e">
        <f>VLOOKUP($Z467,'oddspedia-matches'!$A:$AD,AG$2,0)</f>
        <v>#N/A</v>
      </c>
      <c r="AH467" t="e">
        <f>VLOOKUP($Z467,'oddspedia-matches'!$A:$AD,AH$2,0)</f>
        <v>#N/A</v>
      </c>
      <c r="AI467" t="e">
        <f>VLOOKUP($Z467,'oddspedia-matches'!$A:$AD,AI$2,0)</f>
        <v>#N/A</v>
      </c>
      <c r="AJ467" t="e">
        <f>VLOOKUP($Z467,'oddspedia-matches'!$A:$AD,AJ$2,0)</f>
        <v>#N/A</v>
      </c>
      <c r="AK467" t="e">
        <f>VLOOKUP($Z467,'oddspedia-matches'!$A:$AD,AK$2,0)</f>
        <v>#N/A</v>
      </c>
      <c r="AL467" t="e">
        <f>VLOOKUP($Z467,'oddspedia-matches'!$A:$AD,AL$2,0)</f>
        <v>#N/A</v>
      </c>
      <c r="AM467" t="e">
        <f>VLOOKUP($Z467,'oddspedia-matches'!$A:$AD,AM$2,0)</f>
        <v>#N/A</v>
      </c>
      <c r="AN467" t="e">
        <f>VLOOKUP($Z467,'oddspedia-matches'!$A:$AD,AN$2,0)</f>
        <v>#N/A</v>
      </c>
      <c r="AO467" t="e">
        <f>VLOOKUP($Z467,'oddspedia-matches'!$A:$AD,AO$2,0)</f>
        <v>#N/A</v>
      </c>
      <c r="AP467" t="e">
        <f>VLOOKUP($Z467,'oddspedia-matches'!$A:$AD,AP$2,0)</f>
        <v>#N/A</v>
      </c>
      <c r="AQ467" t="e">
        <f>VLOOKUP($Z467,'oddspedia-matches'!$A:$AD,AQ$2,0)</f>
        <v>#N/A</v>
      </c>
    </row>
    <row r="468" spans="2:43" x14ac:dyDescent="0.2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tr">
        <f>VLOOKUP(E468,'Transform table'!A:B,2,0)</f>
        <v>Gimnasia y Tiro</v>
      </c>
      <c r="Y468" t="e">
        <f>VLOOKUP(F468,'Transform table'!A:B,2,0)</f>
        <v>#N/A</v>
      </c>
      <c r="Z468" t="e">
        <f t="shared" si="7"/>
        <v>#N/A</v>
      </c>
      <c r="AA468" t="e">
        <f>VLOOKUP($Z468,'oddspedia-matches'!$A:$AD,AA$2,0)</f>
        <v>#N/A</v>
      </c>
      <c r="AB468" t="e">
        <f>VLOOKUP($Z468,'oddspedia-matches'!$A:$AD,AB$2,0)</f>
        <v>#N/A</v>
      </c>
      <c r="AC468" t="e">
        <f>VLOOKUP($Z468,'oddspedia-matches'!$A:$AD,AC$2,0)</f>
        <v>#N/A</v>
      </c>
      <c r="AD468" t="e">
        <f>VLOOKUP($Z468,'oddspedia-matches'!$A:$AD,AD$2,0)</f>
        <v>#N/A</v>
      </c>
      <c r="AE468" t="e">
        <f>VLOOKUP($Z468,'oddspedia-matches'!$A:$AD,AE$2,0)</f>
        <v>#N/A</v>
      </c>
      <c r="AF468" t="e">
        <f>VLOOKUP($Z468,'oddspedia-matches'!$A:$AD,AF$2,0)</f>
        <v>#N/A</v>
      </c>
      <c r="AG468" t="e">
        <f>VLOOKUP($Z468,'oddspedia-matches'!$A:$AD,AG$2,0)</f>
        <v>#N/A</v>
      </c>
      <c r="AH468" t="e">
        <f>VLOOKUP($Z468,'oddspedia-matches'!$A:$AD,AH$2,0)</f>
        <v>#N/A</v>
      </c>
      <c r="AI468" t="e">
        <f>VLOOKUP($Z468,'oddspedia-matches'!$A:$AD,AI$2,0)</f>
        <v>#N/A</v>
      </c>
      <c r="AJ468" t="e">
        <f>VLOOKUP($Z468,'oddspedia-matches'!$A:$AD,AJ$2,0)</f>
        <v>#N/A</v>
      </c>
      <c r="AK468" t="e">
        <f>VLOOKUP($Z468,'oddspedia-matches'!$A:$AD,AK$2,0)</f>
        <v>#N/A</v>
      </c>
      <c r="AL468" t="e">
        <f>VLOOKUP($Z468,'oddspedia-matches'!$A:$AD,AL$2,0)</f>
        <v>#N/A</v>
      </c>
      <c r="AM468" t="e">
        <f>VLOOKUP($Z468,'oddspedia-matches'!$A:$AD,AM$2,0)</f>
        <v>#N/A</v>
      </c>
      <c r="AN468" t="e">
        <f>VLOOKUP($Z468,'oddspedia-matches'!$A:$AD,AN$2,0)</f>
        <v>#N/A</v>
      </c>
      <c r="AO468" t="e">
        <f>VLOOKUP($Z468,'oddspedia-matches'!$A:$AD,AO$2,0)</f>
        <v>#N/A</v>
      </c>
      <c r="AP468" t="e">
        <f>VLOOKUP($Z468,'oddspedia-matches'!$A:$AD,AP$2,0)</f>
        <v>#N/A</v>
      </c>
      <c r="AQ468" t="e">
        <f>VLOOKUP($Z468,'oddspedia-matches'!$A:$AD,AQ$2,0)</f>
        <v>#N/A</v>
      </c>
    </row>
    <row r="469" spans="2:43" x14ac:dyDescent="0.2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>
        <f>VLOOKUP(E469,'Transform table'!A:B,2,0)</f>
        <v>0</v>
      </c>
      <c r="Y469" t="e">
        <f>VLOOKUP(F469,'Transform table'!A:B,2,0)</f>
        <v>#N/A</v>
      </c>
      <c r="Z469" t="e">
        <f t="shared" si="7"/>
        <v>#N/A</v>
      </c>
      <c r="AA469" t="e">
        <f>VLOOKUP($Z469,'oddspedia-matches'!$A:$AD,AA$2,0)</f>
        <v>#N/A</v>
      </c>
      <c r="AB469" t="e">
        <f>VLOOKUP($Z469,'oddspedia-matches'!$A:$AD,AB$2,0)</f>
        <v>#N/A</v>
      </c>
      <c r="AC469" t="e">
        <f>VLOOKUP($Z469,'oddspedia-matches'!$A:$AD,AC$2,0)</f>
        <v>#N/A</v>
      </c>
      <c r="AD469" t="e">
        <f>VLOOKUP($Z469,'oddspedia-matches'!$A:$AD,AD$2,0)</f>
        <v>#N/A</v>
      </c>
      <c r="AE469" t="e">
        <f>VLOOKUP($Z469,'oddspedia-matches'!$A:$AD,AE$2,0)</f>
        <v>#N/A</v>
      </c>
      <c r="AF469" t="e">
        <f>VLOOKUP($Z469,'oddspedia-matches'!$A:$AD,AF$2,0)</f>
        <v>#N/A</v>
      </c>
      <c r="AG469" t="e">
        <f>VLOOKUP($Z469,'oddspedia-matches'!$A:$AD,AG$2,0)</f>
        <v>#N/A</v>
      </c>
      <c r="AH469" t="e">
        <f>VLOOKUP($Z469,'oddspedia-matches'!$A:$AD,AH$2,0)</f>
        <v>#N/A</v>
      </c>
      <c r="AI469" t="e">
        <f>VLOOKUP($Z469,'oddspedia-matches'!$A:$AD,AI$2,0)</f>
        <v>#N/A</v>
      </c>
      <c r="AJ469" t="e">
        <f>VLOOKUP($Z469,'oddspedia-matches'!$A:$AD,AJ$2,0)</f>
        <v>#N/A</v>
      </c>
      <c r="AK469" t="e">
        <f>VLOOKUP($Z469,'oddspedia-matches'!$A:$AD,AK$2,0)</f>
        <v>#N/A</v>
      </c>
      <c r="AL469" t="e">
        <f>VLOOKUP($Z469,'oddspedia-matches'!$A:$AD,AL$2,0)</f>
        <v>#N/A</v>
      </c>
      <c r="AM469" t="e">
        <f>VLOOKUP($Z469,'oddspedia-matches'!$A:$AD,AM$2,0)</f>
        <v>#N/A</v>
      </c>
      <c r="AN469" t="e">
        <f>VLOOKUP($Z469,'oddspedia-matches'!$A:$AD,AN$2,0)</f>
        <v>#N/A</v>
      </c>
      <c r="AO469" t="e">
        <f>VLOOKUP($Z469,'oddspedia-matches'!$A:$AD,AO$2,0)</f>
        <v>#N/A</v>
      </c>
      <c r="AP469" t="e">
        <f>VLOOKUP($Z469,'oddspedia-matches'!$A:$AD,AP$2,0)</f>
        <v>#N/A</v>
      </c>
      <c r="AQ469" t="e">
        <f>VLOOKUP($Z469,'oddspedia-matches'!$A:$AD,AQ$2,0)</f>
        <v>#N/A</v>
      </c>
    </row>
    <row r="470" spans="2:43" x14ac:dyDescent="0.2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tr">
        <f>VLOOKUP(E470,'Transform table'!A:B,2,0)</f>
        <v>Peterborough United</v>
      </c>
      <c r="Y470" t="e">
        <f>VLOOKUP(F470,'Transform table'!A:B,2,0)</f>
        <v>#N/A</v>
      </c>
      <c r="Z470" t="e">
        <f t="shared" si="7"/>
        <v>#N/A</v>
      </c>
      <c r="AA470" t="e">
        <f>VLOOKUP($Z470,'oddspedia-matches'!$A:$AD,AA$2,0)</f>
        <v>#N/A</v>
      </c>
      <c r="AB470" t="e">
        <f>VLOOKUP($Z470,'oddspedia-matches'!$A:$AD,AB$2,0)</f>
        <v>#N/A</v>
      </c>
      <c r="AC470" t="e">
        <f>VLOOKUP($Z470,'oddspedia-matches'!$A:$AD,AC$2,0)</f>
        <v>#N/A</v>
      </c>
      <c r="AD470" t="e">
        <f>VLOOKUP($Z470,'oddspedia-matches'!$A:$AD,AD$2,0)</f>
        <v>#N/A</v>
      </c>
      <c r="AE470" t="e">
        <f>VLOOKUP($Z470,'oddspedia-matches'!$A:$AD,AE$2,0)</f>
        <v>#N/A</v>
      </c>
      <c r="AF470" t="e">
        <f>VLOOKUP($Z470,'oddspedia-matches'!$A:$AD,AF$2,0)</f>
        <v>#N/A</v>
      </c>
      <c r="AG470" t="e">
        <f>VLOOKUP($Z470,'oddspedia-matches'!$A:$AD,AG$2,0)</f>
        <v>#N/A</v>
      </c>
      <c r="AH470" t="e">
        <f>VLOOKUP($Z470,'oddspedia-matches'!$A:$AD,AH$2,0)</f>
        <v>#N/A</v>
      </c>
      <c r="AI470" t="e">
        <f>VLOOKUP($Z470,'oddspedia-matches'!$A:$AD,AI$2,0)</f>
        <v>#N/A</v>
      </c>
      <c r="AJ470" t="e">
        <f>VLOOKUP($Z470,'oddspedia-matches'!$A:$AD,AJ$2,0)</f>
        <v>#N/A</v>
      </c>
      <c r="AK470" t="e">
        <f>VLOOKUP($Z470,'oddspedia-matches'!$A:$AD,AK$2,0)</f>
        <v>#N/A</v>
      </c>
      <c r="AL470" t="e">
        <f>VLOOKUP($Z470,'oddspedia-matches'!$A:$AD,AL$2,0)</f>
        <v>#N/A</v>
      </c>
      <c r="AM470" t="e">
        <f>VLOOKUP($Z470,'oddspedia-matches'!$A:$AD,AM$2,0)</f>
        <v>#N/A</v>
      </c>
      <c r="AN470" t="e">
        <f>VLOOKUP($Z470,'oddspedia-matches'!$A:$AD,AN$2,0)</f>
        <v>#N/A</v>
      </c>
      <c r="AO470" t="e">
        <f>VLOOKUP($Z470,'oddspedia-matches'!$A:$AD,AO$2,0)</f>
        <v>#N/A</v>
      </c>
      <c r="AP470" t="e">
        <f>VLOOKUP($Z470,'oddspedia-matches'!$A:$AD,AP$2,0)</f>
        <v>#N/A</v>
      </c>
      <c r="AQ470" t="e">
        <f>VLOOKUP($Z470,'oddspedia-matches'!$A:$AD,AQ$2,0)</f>
        <v>#N/A</v>
      </c>
    </row>
    <row r="471" spans="2:43" x14ac:dyDescent="0.2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tr">
        <f>VLOOKUP(E471,'Transform table'!A:B,2,0)</f>
        <v>Hertha BSC</v>
      </c>
      <c r="Y471" t="e">
        <f>VLOOKUP(F471,'Transform table'!A:B,2,0)</f>
        <v>#N/A</v>
      </c>
      <c r="Z471" t="e">
        <f t="shared" si="7"/>
        <v>#N/A</v>
      </c>
      <c r="AA471" t="e">
        <f>VLOOKUP($Z471,'oddspedia-matches'!$A:$AD,AA$2,0)</f>
        <v>#N/A</v>
      </c>
      <c r="AB471" t="e">
        <f>VLOOKUP($Z471,'oddspedia-matches'!$A:$AD,AB$2,0)</f>
        <v>#N/A</v>
      </c>
      <c r="AC471" t="e">
        <f>VLOOKUP($Z471,'oddspedia-matches'!$A:$AD,AC$2,0)</f>
        <v>#N/A</v>
      </c>
      <c r="AD471" t="e">
        <f>VLOOKUP($Z471,'oddspedia-matches'!$A:$AD,AD$2,0)</f>
        <v>#N/A</v>
      </c>
      <c r="AE471" t="e">
        <f>VLOOKUP($Z471,'oddspedia-matches'!$A:$AD,AE$2,0)</f>
        <v>#N/A</v>
      </c>
      <c r="AF471" t="e">
        <f>VLOOKUP($Z471,'oddspedia-matches'!$A:$AD,AF$2,0)</f>
        <v>#N/A</v>
      </c>
      <c r="AG471" t="e">
        <f>VLOOKUP($Z471,'oddspedia-matches'!$A:$AD,AG$2,0)</f>
        <v>#N/A</v>
      </c>
      <c r="AH471" t="e">
        <f>VLOOKUP($Z471,'oddspedia-matches'!$A:$AD,AH$2,0)</f>
        <v>#N/A</v>
      </c>
      <c r="AI471" t="e">
        <f>VLOOKUP($Z471,'oddspedia-matches'!$A:$AD,AI$2,0)</f>
        <v>#N/A</v>
      </c>
      <c r="AJ471" t="e">
        <f>VLOOKUP($Z471,'oddspedia-matches'!$A:$AD,AJ$2,0)</f>
        <v>#N/A</v>
      </c>
      <c r="AK471" t="e">
        <f>VLOOKUP($Z471,'oddspedia-matches'!$A:$AD,AK$2,0)</f>
        <v>#N/A</v>
      </c>
      <c r="AL471" t="e">
        <f>VLOOKUP($Z471,'oddspedia-matches'!$A:$AD,AL$2,0)</f>
        <v>#N/A</v>
      </c>
      <c r="AM471" t="e">
        <f>VLOOKUP($Z471,'oddspedia-matches'!$A:$AD,AM$2,0)</f>
        <v>#N/A</v>
      </c>
      <c r="AN471" t="e">
        <f>VLOOKUP($Z471,'oddspedia-matches'!$A:$AD,AN$2,0)</f>
        <v>#N/A</v>
      </c>
      <c r="AO471" t="e">
        <f>VLOOKUP($Z471,'oddspedia-matches'!$A:$AD,AO$2,0)</f>
        <v>#N/A</v>
      </c>
      <c r="AP471" t="e">
        <f>VLOOKUP($Z471,'oddspedia-matches'!$A:$AD,AP$2,0)</f>
        <v>#N/A</v>
      </c>
      <c r="AQ471" t="e">
        <f>VLOOKUP($Z471,'oddspedia-matches'!$A:$AD,AQ$2,0)</f>
        <v>#N/A</v>
      </c>
    </row>
    <row r="472" spans="2:43" x14ac:dyDescent="0.2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tr">
        <f>VLOOKUP(E472,'Transform table'!A:B,2,0)</f>
        <v>Riga FC</v>
      </c>
      <c r="Y472" t="e">
        <f>VLOOKUP(F472,'Transform table'!A:B,2,0)</f>
        <v>#N/A</v>
      </c>
      <c r="Z472" t="e">
        <f t="shared" si="7"/>
        <v>#N/A</v>
      </c>
      <c r="AA472" t="e">
        <f>VLOOKUP($Z472,'oddspedia-matches'!$A:$AD,AA$2,0)</f>
        <v>#N/A</v>
      </c>
      <c r="AB472" t="e">
        <f>VLOOKUP($Z472,'oddspedia-matches'!$A:$AD,AB$2,0)</f>
        <v>#N/A</v>
      </c>
      <c r="AC472" t="e">
        <f>VLOOKUP($Z472,'oddspedia-matches'!$A:$AD,AC$2,0)</f>
        <v>#N/A</v>
      </c>
      <c r="AD472" t="e">
        <f>VLOOKUP($Z472,'oddspedia-matches'!$A:$AD,AD$2,0)</f>
        <v>#N/A</v>
      </c>
      <c r="AE472" t="e">
        <f>VLOOKUP($Z472,'oddspedia-matches'!$A:$AD,AE$2,0)</f>
        <v>#N/A</v>
      </c>
      <c r="AF472" t="e">
        <f>VLOOKUP($Z472,'oddspedia-matches'!$A:$AD,AF$2,0)</f>
        <v>#N/A</v>
      </c>
      <c r="AG472" t="e">
        <f>VLOOKUP($Z472,'oddspedia-matches'!$A:$AD,AG$2,0)</f>
        <v>#N/A</v>
      </c>
      <c r="AH472" t="e">
        <f>VLOOKUP($Z472,'oddspedia-matches'!$A:$AD,AH$2,0)</f>
        <v>#N/A</v>
      </c>
      <c r="AI472" t="e">
        <f>VLOOKUP($Z472,'oddspedia-matches'!$A:$AD,AI$2,0)</f>
        <v>#N/A</v>
      </c>
      <c r="AJ472" t="e">
        <f>VLOOKUP($Z472,'oddspedia-matches'!$A:$AD,AJ$2,0)</f>
        <v>#N/A</v>
      </c>
      <c r="AK472" t="e">
        <f>VLOOKUP($Z472,'oddspedia-matches'!$A:$AD,AK$2,0)</f>
        <v>#N/A</v>
      </c>
      <c r="AL472" t="e">
        <f>VLOOKUP($Z472,'oddspedia-matches'!$A:$AD,AL$2,0)</f>
        <v>#N/A</v>
      </c>
      <c r="AM472" t="e">
        <f>VLOOKUP($Z472,'oddspedia-matches'!$A:$AD,AM$2,0)</f>
        <v>#N/A</v>
      </c>
      <c r="AN472" t="e">
        <f>VLOOKUP($Z472,'oddspedia-matches'!$A:$AD,AN$2,0)</f>
        <v>#N/A</v>
      </c>
      <c r="AO472" t="e">
        <f>VLOOKUP($Z472,'oddspedia-matches'!$A:$AD,AO$2,0)</f>
        <v>#N/A</v>
      </c>
      <c r="AP472" t="e">
        <f>VLOOKUP($Z472,'oddspedia-matches'!$A:$AD,AP$2,0)</f>
        <v>#N/A</v>
      </c>
      <c r="AQ472" t="e">
        <f>VLOOKUP($Z472,'oddspedia-matches'!$A:$AD,AQ$2,0)</f>
        <v>#N/A</v>
      </c>
    </row>
    <row r="473" spans="2:43" x14ac:dyDescent="0.2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tr">
        <f>VLOOKUP(E473,'Transform table'!A:B,2,0)</f>
        <v>Club Bolivar</v>
      </c>
      <c r="Y473" t="str">
        <f>VLOOKUP(F473,'Transform table'!A:B,2,0)</f>
        <v>Real Potosi</v>
      </c>
      <c r="Z473" t="str">
        <f t="shared" si="7"/>
        <v>26/07/2026Club BolivarReal Potosi</v>
      </c>
      <c r="AA473" t="e">
        <f>VLOOKUP($Z473,'oddspedia-matches'!$A:$AD,AA$2,0)</f>
        <v>#N/A</v>
      </c>
      <c r="AB473" t="e">
        <f>VLOOKUP($Z473,'oddspedia-matches'!$A:$AD,AB$2,0)</f>
        <v>#N/A</v>
      </c>
      <c r="AC473" t="e">
        <f>VLOOKUP($Z473,'oddspedia-matches'!$A:$AD,AC$2,0)</f>
        <v>#N/A</v>
      </c>
      <c r="AD473" t="e">
        <f>VLOOKUP($Z473,'oddspedia-matches'!$A:$AD,AD$2,0)</f>
        <v>#N/A</v>
      </c>
      <c r="AE473" t="e">
        <f>VLOOKUP($Z473,'oddspedia-matches'!$A:$AD,AE$2,0)</f>
        <v>#N/A</v>
      </c>
      <c r="AF473" t="e">
        <f>VLOOKUP($Z473,'oddspedia-matches'!$A:$AD,AF$2,0)</f>
        <v>#N/A</v>
      </c>
      <c r="AG473" t="e">
        <f>VLOOKUP($Z473,'oddspedia-matches'!$A:$AD,AG$2,0)</f>
        <v>#N/A</v>
      </c>
      <c r="AH473" t="e">
        <f>VLOOKUP($Z473,'oddspedia-matches'!$A:$AD,AH$2,0)</f>
        <v>#N/A</v>
      </c>
      <c r="AI473" t="e">
        <f>VLOOKUP($Z473,'oddspedia-matches'!$A:$AD,AI$2,0)</f>
        <v>#N/A</v>
      </c>
      <c r="AJ473" t="e">
        <f>VLOOKUP($Z473,'oddspedia-matches'!$A:$AD,AJ$2,0)</f>
        <v>#N/A</v>
      </c>
      <c r="AK473" t="e">
        <f>VLOOKUP($Z473,'oddspedia-matches'!$A:$AD,AK$2,0)</f>
        <v>#N/A</v>
      </c>
      <c r="AL473" t="e">
        <f>VLOOKUP($Z473,'oddspedia-matches'!$A:$AD,AL$2,0)</f>
        <v>#N/A</v>
      </c>
      <c r="AM473" t="e">
        <f>VLOOKUP($Z473,'oddspedia-matches'!$A:$AD,AM$2,0)</f>
        <v>#N/A</v>
      </c>
      <c r="AN473" t="e">
        <f>VLOOKUP($Z473,'oddspedia-matches'!$A:$AD,AN$2,0)</f>
        <v>#N/A</v>
      </c>
      <c r="AO473" t="e">
        <f>VLOOKUP($Z473,'oddspedia-matches'!$A:$AD,AO$2,0)</f>
        <v>#N/A</v>
      </c>
      <c r="AP473" t="e">
        <f>VLOOKUP($Z473,'oddspedia-matches'!$A:$AD,AP$2,0)</f>
        <v>#N/A</v>
      </c>
      <c r="AQ473" t="e">
        <f>VLOOKUP($Z473,'oddspedia-matches'!$A:$AD,AQ$2,0)</f>
        <v>#N/A</v>
      </c>
    </row>
    <row r="474" spans="2:43" x14ac:dyDescent="0.2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tr">
        <f>VLOOKUP(E474,'Transform table'!A:B,2,0)</f>
        <v>Red Bull Bragantino</v>
      </c>
      <c r="Y474" t="str">
        <f>VLOOKUP(F474,'Transform table'!A:B,2,0)</f>
        <v>Coritiba PR</v>
      </c>
      <c r="Z474" t="str">
        <f t="shared" si="7"/>
        <v>26/07/2026Red Bull BragantinoCoritiba PR</v>
      </c>
      <c r="AA474" t="e">
        <f>VLOOKUP($Z474,'oddspedia-matches'!$A:$AD,AA$2,0)</f>
        <v>#N/A</v>
      </c>
      <c r="AB474" t="e">
        <f>VLOOKUP($Z474,'oddspedia-matches'!$A:$AD,AB$2,0)</f>
        <v>#N/A</v>
      </c>
      <c r="AC474" t="e">
        <f>VLOOKUP($Z474,'oddspedia-matches'!$A:$AD,AC$2,0)</f>
        <v>#N/A</v>
      </c>
      <c r="AD474" t="e">
        <f>VLOOKUP($Z474,'oddspedia-matches'!$A:$AD,AD$2,0)</f>
        <v>#N/A</v>
      </c>
      <c r="AE474" t="e">
        <f>VLOOKUP($Z474,'oddspedia-matches'!$A:$AD,AE$2,0)</f>
        <v>#N/A</v>
      </c>
      <c r="AF474" t="e">
        <f>VLOOKUP($Z474,'oddspedia-matches'!$A:$AD,AF$2,0)</f>
        <v>#N/A</v>
      </c>
      <c r="AG474" t="e">
        <f>VLOOKUP($Z474,'oddspedia-matches'!$A:$AD,AG$2,0)</f>
        <v>#N/A</v>
      </c>
      <c r="AH474" t="e">
        <f>VLOOKUP($Z474,'oddspedia-matches'!$A:$AD,AH$2,0)</f>
        <v>#N/A</v>
      </c>
      <c r="AI474" t="e">
        <f>VLOOKUP($Z474,'oddspedia-matches'!$A:$AD,AI$2,0)</f>
        <v>#N/A</v>
      </c>
      <c r="AJ474" t="e">
        <f>VLOOKUP($Z474,'oddspedia-matches'!$A:$AD,AJ$2,0)</f>
        <v>#N/A</v>
      </c>
      <c r="AK474" t="e">
        <f>VLOOKUP($Z474,'oddspedia-matches'!$A:$AD,AK$2,0)</f>
        <v>#N/A</v>
      </c>
      <c r="AL474" t="e">
        <f>VLOOKUP($Z474,'oddspedia-matches'!$A:$AD,AL$2,0)</f>
        <v>#N/A</v>
      </c>
      <c r="AM474" t="e">
        <f>VLOOKUP($Z474,'oddspedia-matches'!$A:$AD,AM$2,0)</f>
        <v>#N/A</v>
      </c>
      <c r="AN474" t="e">
        <f>VLOOKUP($Z474,'oddspedia-matches'!$A:$AD,AN$2,0)</f>
        <v>#N/A</v>
      </c>
      <c r="AO474" t="e">
        <f>VLOOKUP($Z474,'oddspedia-matches'!$A:$AD,AO$2,0)</f>
        <v>#N/A</v>
      </c>
      <c r="AP474" t="e">
        <f>VLOOKUP($Z474,'oddspedia-matches'!$A:$AD,AP$2,0)</f>
        <v>#N/A</v>
      </c>
      <c r="AQ474" t="e">
        <f>VLOOKUP($Z474,'oddspedia-matches'!$A:$AD,AQ$2,0)</f>
        <v>#N/A</v>
      </c>
    </row>
    <row r="475" spans="2:43" x14ac:dyDescent="0.2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tr">
        <f>VLOOKUP(E475,'Transform table'!A:B,2,0)</f>
        <v>Flamengo RJ</v>
      </c>
      <c r="Y475" t="str">
        <f>VLOOKUP(F475,'Transform table'!A:B,2,0)</f>
        <v>Sao Paulo</v>
      </c>
      <c r="Z475" t="str">
        <f t="shared" si="7"/>
        <v>26/07/2026Flamengo RJSao Paulo</v>
      </c>
      <c r="AA475" t="e">
        <f>VLOOKUP($Z475,'oddspedia-matches'!$A:$AD,AA$2,0)</f>
        <v>#N/A</v>
      </c>
      <c r="AB475" t="e">
        <f>VLOOKUP($Z475,'oddspedia-matches'!$A:$AD,AB$2,0)</f>
        <v>#N/A</v>
      </c>
      <c r="AC475" t="e">
        <f>VLOOKUP($Z475,'oddspedia-matches'!$A:$AD,AC$2,0)</f>
        <v>#N/A</v>
      </c>
      <c r="AD475" t="e">
        <f>VLOOKUP($Z475,'oddspedia-matches'!$A:$AD,AD$2,0)</f>
        <v>#N/A</v>
      </c>
      <c r="AE475" t="e">
        <f>VLOOKUP($Z475,'oddspedia-matches'!$A:$AD,AE$2,0)</f>
        <v>#N/A</v>
      </c>
      <c r="AF475" t="e">
        <f>VLOOKUP($Z475,'oddspedia-matches'!$A:$AD,AF$2,0)</f>
        <v>#N/A</v>
      </c>
      <c r="AG475" t="e">
        <f>VLOOKUP($Z475,'oddspedia-matches'!$A:$AD,AG$2,0)</f>
        <v>#N/A</v>
      </c>
      <c r="AH475" t="e">
        <f>VLOOKUP($Z475,'oddspedia-matches'!$A:$AD,AH$2,0)</f>
        <v>#N/A</v>
      </c>
      <c r="AI475" t="e">
        <f>VLOOKUP($Z475,'oddspedia-matches'!$A:$AD,AI$2,0)</f>
        <v>#N/A</v>
      </c>
      <c r="AJ475" t="e">
        <f>VLOOKUP($Z475,'oddspedia-matches'!$A:$AD,AJ$2,0)</f>
        <v>#N/A</v>
      </c>
      <c r="AK475" t="e">
        <f>VLOOKUP($Z475,'oddspedia-matches'!$A:$AD,AK$2,0)</f>
        <v>#N/A</v>
      </c>
      <c r="AL475" t="e">
        <f>VLOOKUP($Z475,'oddspedia-matches'!$A:$AD,AL$2,0)</f>
        <v>#N/A</v>
      </c>
      <c r="AM475" t="e">
        <f>VLOOKUP($Z475,'oddspedia-matches'!$A:$AD,AM$2,0)</f>
        <v>#N/A</v>
      </c>
      <c r="AN475" t="e">
        <f>VLOOKUP($Z475,'oddspedia-matches'!$A:$AD,AN$2,0)</f>
        <v>#N/A</v>
      </c>
      <c r="AO475" t="e">
        <f>VLOOKUP($Z475,'oddspedia-matches'!$A:$AD,AO$2,0)</f>
        <v>#N/A</v>
      </c>
      <c r="AP475" t="e">
        <f>VLOOKUP($Z475,'oddspedia-matches'!$A:$AD,AP$2,0)</f>
        <v>#N/A</v>
      </c>
      <c r="AQ475" t="e">
        <f>VLOOKUP($Z475,'oddspedia-matches'!$A:$AD,AQ$2,0)</f>
        <v>#N/A</v>
      </c>
    </row>
    <row r="476" spans="2:43" x14ac:dyDescent="0.2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tr">
        <f>VLOOKUP(E476,'Transform table'!A:B,2,0)</f>
        <v>Gremio RS</v>
      </c>
      <c r="Y476" t="e">
        <f>VLOOKUP(F476,'Transform table'!A:B,2,0)</f>
        <v>#N/A</v>
      </c>
      <c r="Z476" t="e">
        <f t="shared" si="7"/>
        <v>#N/A</v>
      </c>
      <c r="AA476" t="e">
        <f>VLOOKUP($Z476,'oddspedia-matches'!$A:$AD,AA$2,0)</f>
        <v>#N/A</v>
      </c>
      <c r="AB476" t="e">
        <f>VLOOKUP($Z476,'oddspedia-matches'!$A:$AD,AB$2,0)</f>
        <v>#N/A</v>
      </c>
      <c r="AC476" t="e">
        <f>VLOOKUP($Z476,'oddspedia-matches'!$A:$AD,AC$2,0)</f>
        <v>#N/A</v>
      </c>
      <c r="AD476" t="e">
        <f>VLOOKUP($Z476,'oddspedia-matches'!$A:$AD,AD$2,0)</f>
        <v>#N/A</v>
      </c>
      <c r="AE476" t="e">
        <f>VLOOKUP($Z476,'oddspedia-matches'!$A:$AD,AE$2,0)</f>
        <v>#N/A</v>
      </c>
      <c r="AF476" t="e">
        <f>VLOOKUP($Z476,'oddspedia-matches'!$A:$AD,AF$2,0)</f>
        <v>#N/A</v>
      </c>
      <c r="AG476" t="e">
        <f>VLOOKUP($Z476,'oddspedia-matches'!$A:$AD,AG$2,0)</f>
        <v>#N/A</v>
      </c>
      <c r="AH476" t="e">
        <f>VLOOKUP($Z476,'oddspedia-matches'!$A:$AD,AH$2,0)</f>
        <v>#N/A</v>
      </c>
      <c r="AI476" t="e">
        <f>VLOOKUP($Z476,'oddspedia-matches'!$A:$AD,AI$2,0)</f>
        <v>#N/A</v>
      </c>
      <c r="AJ476" t="e">
        <f>VLOOKUP($Z476,'oddspedia-matches'!$A:$AD,AJ$2,0)</f>
        <v>#N/A</v>
      </c>
      <c r="AK476" t="e">
        <f>VLOOKUP($Z476,'oddspedia-matches'!$A:$AD,AK$2,0)</f>
        <v>#N/A</v>
      </c>
      <c r="AL476" t="e">
        <f>VLOOKUP($Z476,'oddspedia-matches'!$A:$AD,AL$2,0)</f>
        <v>#N/A</v>
      </c>
      <c r="AM476" t="e">
        <f>VLOOKUP($Z476,'oddspedia-matches'!$A:$AD,AM$2,0)</f>
        <v>#N/A</v>
      </c>
      <c r="AN476" t="e">
        <f>VLOOKUP($Z476,'oddspedia-matches'!$A:$AD,AN$2,0)</f>
        <v>#N/A</v>
      </c>
      <c r="AO476" t="e">
        <f>VLOOKUP($Z476,'oddspedia-matches'!$A:$AD,AO$2,0)</f>
        <v>#N/A</v>
      </c>
      <c r="AP476" t="e">
        <f>VLOOKUP($Z476,'oddspedia-matches'!$A:$AD,AP$2,0)</f>
        <v>#N/A</v>
      </c>
      <c r="AQ476" t="e">
        <f>VLOOKUP($Z476,'oddspedia-matches'!$A:$AD,AQ$2,0)</f>
        <v>#N/A</v>
      </c>
    </row>
    <row r="477" spans="2:43" x14ac:dyDescent="0.2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tr">
        <f>VLOOKUP(E477,'Transform table'!A:B,2,0)</f>
        <v>America Mineiro</v>
      </c>
      <c r="Y477" t="str">
        <f>VLOOKUP(F477,'Transform table'!A:B,2,0)</f>
        <v>Goias</v>
      </c>
      <c r="Z477" t="str">
        <f t="shared" si="7"/>
        <v>26/07/2026America MineiroGoias</v>
      </c>
      <c r="AA477" t="e">
        <f>VLOOKUP($Z477,'oddspedia-matches'!$A:$AD,AA$2,0)</f>
        <v>#N/A</v>
      </c>
      <c r="AB477" t="e">
        <f>VLOOKUP($Z477,'oddspedia-matches'!$A:$AD,AB$2,0)</f>
        <v>#N/A</v>
      </c>
      <c r="AC477" t="e">
        <f>VLOOKUP($Z477,'oddspedia-matches'!$A:$AD,AC$2,0)</f>
        <v>#N/A</v>
      </c>
      <c r="AD477" t="e">
        <f>VLOOKUP($Z477,'oddspedia-matches'!$A:$AD,AD$2,0)</f>
        <v>#N/A</v>
      </c>
      <c r="AE477" t="e">
        <f>VLOOKUP($Z477,'oddspedia-matches'!$A:$AD,AE$2,0)</f>
        <v>#N/A</v>
      </c>
      <c r="AF477" t="e">
        <f>VLOOKUP($Z477,'oddspedia-matches'!$A:$AD,AF$2,0)</f>
        <v>#N/A</v>
      </c>
      <c r="AG477" t="e">
        <f>VLOOKUP($Z477,'oddspedia-matches'!$A:$AD,AG$2,0)</f>
        <v>#N/A</v>
      </c>
      <c r="AH477" t="e">
        <f>VLOOKUP($Z477,'oddspedia-matches'!$A:$AD,AH$2,0)</f>
        <v>#N/A</v>
      </c>
      <c r="AI477" t="e">
        <f>VLOOKUP($Z477,'oddspedia-matches'!$A:$AD,AI$2,0)</f>
        <v>#N/A</v>
      </c>
      <c r="AJ477" t="e">
        <f>VLOOKUP($Z477,'oddspedia-matches'!$A:$AD,AJ$2,0)</f>
        <v>#N/A</v>
      </c>
      <c r="AK477" t="e">
        <f>VLOOKUP($Z477,'oddspedia-matches'!$A:$AD,AK$2,0)</f>
        <v>#N/A</v>
      </c>
      <c r="AL477" t="e">
        <f>VLOOKUP($Z477,'oddspedia-matches'!$A:$AD,AL$2,0)</f>
        <v>#N/A</v>
      </c>
      <c r="AM477" t="e">
        <f>VLOOKUP($Z477,'oddspedia-matches'!$A:$AD,AM$2,0)</f>
        <v>#N/A</v>
      </c>
      <c r="AN477" t="e">
        <f>VLOOKUP($Z477,'oddspedia-matches'!$A:$AD,AN$2,0)</f>
        <v>#N/A</v>
      </c>
      <c r="AO477" t="e">
        <f>VLOOKUP($Z477,'oddspedia-matches'!$A:$AD,AO$2,0)</f>
        <v>#N/A</v>
      </c>
      <c r="AP477" t="e">
        <f>VLOOKUP($Z477,'oddspedia-matches'!$A:$AD,AP$2,0)</f>
        <v>#N/A</v>
      </c>
      <c r="AQ477" t="e">
        <f>VLOOKUP($Z477,'oddspedia-matches'!$A:$AD,AQ$2,0)</f>
        <v>#N/A</v>
      </c>
    </row>
    <row r="478" spans="2:43" x14ac:dyDescent="0.2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tr">
        <f>VLOOKUP(E478,'Transform table'!A:B,2,0)</f>
        <v>Londrina EC</v>
      </c>
      <c r="Y478" t="str">
        <f>VLOOKUP(F478,'Transform table'!A:B,2,0)</f>
        <v>Novorizontino SP</v>
      </c>
      <c r="Z478" t="str">
        <f t="shared" si="7"/>
        <v>26/07/2026Londrina ECNovorizontino SP</v>
      </c>
      <c r="AA478" t="e">
        <f>VLOOKUP($Z478,'oddspedia-matches'!$A:$AD,AA$2,0)</f>
        <v>#N/A</v>
      </c>
      <c r="AB478" t="e">
        <f>VLOOKUP($Z478,'oddspedia-matches'!$A:$AD,AB$2,0)</f>
        <v>#N/A</v>
      </c>
      <c r="AC478" t="e">
        <f>VLOOKUP($Z478,'oddspedia-matches'!$A:$AD,AC$2,0)</f>
        <v>#N/A</v>
      </c>
      <c r="AD478" t="e">
        <f>VLOOKUP($Z478,'oddspedia-matches'!$A:$AD,AD$2,0)</f>
        <v>#N/A</v>
      </c>
      <c r="AE478" t="e">
        <f>VLOOKUP($Z478,'oddspedia-matches'!$A:$AD,AE$2,0)</f>
        <v>#N/A</v>
      </c>
      <c r="AF478" t="e">
        <f>VLOOKUP($Z478,'oddspedia-matches'!$A:$AD,AF$2,0)</f>
        <v>#N/A</v>
      </c>
      <c r="AG478" t="e">
        <f>VLOOKUP($Z478,'oddspedia-matches'!$A:$AD,AG$2,0)</f>
        <v>#N/A</v>
      </c>
      <c r="AH478" t="e">
        <f>VLOOKUP($Z478,'oddspedia-matches'!$A:$AD,AH$2,0)</f>
        <v>#N/A</v>
      </c>
      <c r="AI478" t="e">
        <f>VLOOKUP($Z478,'oddspedia-matches'!$A:$AD,AI$2,0)</f>
        <v>#N/A</v>
      </c>
      <c r="AJ478" t="e">
        <f>VLOOKUP($Z478,'oddspedia-matches'!$A:$AD,AJ$2,0)</f>
        <v>#N/A</v>
      </c>
      <c r="AK478" t="e">
        <f>VLOOKUP($Z478,'oddspedia-matches'!$A:$AD,AK$2,0)</f>
        <v>#N/A</v>
      </c>
      <c r="AL478" t="e">
        <f>VLOOKUP($Z478,'oddspedia-matches'!$A:$AD,AL$2,0)</f>
        <v>#N/A</v>
      </c>
      <c r="AM478" t="e">
        <f>VLOOKUP($Z478,'oddspedia-matches'!$A:$AD,AM$2,0)</f>
        <v>#N/A</v>
      </c>
      <c r="AN478" t="e">
        <f>VLOOKUP($Z478,'oddspedia-matches'!$A:$AD,AN$2,0)</f>
        <v>#N/A</v>
      </c>
      <c r="AO478" t="e">
        <f>VLOOKUP($Z478,'oddspedia-matches'!$A:$AD,AO$2,0)</f>
        <v>#N/A</v>
      </c>
      <c r="AP478" t="e">
        <f>VLOOKUP($Z478,'oddspedia-matches'!$A:$AD,AP$2,0)</f>
        <v>#N/A</v>
      </c>
      <c r="AQ478" t="e">
        <f>VLOOKUP($Z478,'oddspedia-matches'!$A:$AD,AQ$2,0)</f>
        <v>#N/A</v>
      </c>
    </row>
    <row r="479" spans="2:43" x14ac:dyDescent="0.2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>
        <f>VLOOKUP(E479,'Transform table'!A:B,2,0)</f>
        <v>0</v>
      </c>
      <c r="Y479" t="e">
        <f>VLOOKUP(F479,'Transform table'!A:B,2,0)</f>
        <v>#N/A</v>
      </c>
      <c r="Z479" t="e">
        <f t="shared" si="7"/>
        <v>#N/A</v>
      </c>
      <c r="AA479" t="e">
        <f>VLOOKUP($Z479,'oddspedia-matches'!$A:$AD,AA$2,0)</f>
        <v>#N/A</v>
      </c>
      <c r="AB479" t="e">
        <f>VLOOKUP($Z479,'oddspedia-matches'!$A:$AD,AB$2,0)</f>
        <v>#N/A</v>
      </c>
      <c r="AC479" t="e">
        <f>VLOOKUP($Z479,'oddspedia-matches'!$A:$AD,AC$2,0)</f>
        <v>#N/A</v>
      </c>
      <c r="AD479" t="e">
        <f>VLOOKUP($Z479,'oddspedia-matches'!$A:$AD,AD$2,0)</f>
        <v>#N/A</v>
      </c>
      <c r="AE479" t="e">
        <f>VLOOKUP($Z479,'oddspedia-matches'!$A:$AD,AE$2,0)</f>
        <v>#N/A</v>
      </c>
      <c r="AF479" t="e">
        <f>VLOOKUP($Z479,'oddspedia-matches'!$A:$AD,AF$2,0)</f>
        <v>#N/A</v>
      </c>
      <c r="AG479" t="e">
        <f>VLOOKUP($Z479,'oddspedia-matches'!$A:$AD,AG$2,0)</f>
        <v>#N/A</v>
      </c>
      <c r="AH479" t="e">
        <f>VLOOKUP($Z479,'oddspedia-matches'!$A:$AD,AH$2,0)</f>
        <v>#N/A</v>
      </c>
      <c r="AI479" t="e">
        <f>VLOOKUP($Z479,'oddspedia-matches'!$A:$AD,AI$2,0)</f>
        <v>#N/A</v>
      </c>
      <c r="AJ479" t="e">
        <f>VLOOKUP($Z479,'oddspedia-matches'!$A:$AD,AJ$2,0)</f>
        <v>#N/A</v>
      </c>
      <c r="AK479" t="e">
        <f>VLOOKUP($Z479,'oddspedia-matches'!$A:$AD,AK$2,0)</f>
        <v>#N/A</v>
      </c>
      <c r="AL479" t="e">
        <f>VLOOKUP($Z479,'oddspedia-matches'!$A:$AD,AL$2,0)</f>
        <v>#N/A</v>
      </c>
      <c r="AM479" t="e">
        <f>VLOOKUP($Z479,'oddspedia-matches'!$A:$AD,AM$2,0)</f>
        <v>#N/A</v>
      </c>
      <c r="AN479" t="e">
        <f>VLOOKUP($Z479,'oddspedia-matches'!$A:$AD,AN$2,0)</f>
        <v>#N/A</v>
      </c>
      <c r="AO479" t="e">
        <f>VLOOKUP($Z479,'oddspedia-matches'!$A:$AD,AO$2,0)</f>
        <v>#N/A</v>
      </c>
      <c r="AP479" t="e">
        <f>VLOOKUP($Z479,'oddspedia-matches'!$A:$AD,AP$2,0)</f>
        <v>#N/A</v>
      </c>
      <c r="AQ479" t="e">
        <f>VLOOKUP($Z479,'oddspedia-matches'!$A:$AD,AQ$2,0)</f>
        <v>#N/A</v>
      </c>
    </row>
    <row r="480" spans="2:43" x14ac:dyDescent="0.2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tr">
        <f>VLOOKUP(E480,'Transform table'!A:B,2,0)</f>
        <v>Audax Sao Mateus</v>
      </c>
      <c r="Y480" t="e">
        <f>VLOOKUP(F480,'Transform table'!A:B,2,0)</f>
        <v>#N/A</v>
      </c>
      <c r="Z480" t="e">
        <f t="shared" si="7"/>
        <v>#N/A</v>
      </c>
      <c r="AA480" t="e">
        <f>VLOOKUP($Z480,'oddspedia-matches'!$A:$AD,AA$2,0)</f>
        <v>#N/A</v>
      </c>
      <c r="AB480" t="e">
        <f>VLOOKUP($Z480,'oddspedia-matches'!$A:$AD,AB$2,0)</f>
        <v>#N/A</v>
      </c>
      <c r="AC480" t="e">
        <f>VLOOKUP($Z480,'oddspedia-matches'!$A:$AD,AC$2,0)</f>
        <v>#N/A</v>
      </c>
      <c r="AD480" t="e">
        <f>VLOOKUP($Z480,'oddspedia-matches'!$A:$AD,AD$2,0)</f>
        <v>#N/A</v>
      </c>
      <c r="AE480" t="e">
        <f>VLOOKUP($Z480,'oddspedia-matches'!$A:$AD,AE$2,0)</f>
        <v>#N/A</v>
      </c>
      <c r="AF480" t="e">
        <f>VLOOKUP($Z480,'oddspedia-matches'!$A:$AD,AF$2,0)</f>
        <v>#N/A</v>
      </c>
      <c r="AG480" t="e">
        <f>VLOOKUP($Z480,'oddspedia-matches'!$A:$AD,AG$2,0)</f>
        <v>#N/A</v>
      </c>
      <c r="AH480" t="e">
        <f>VLOOKUP($Z480,'oddspedia-matches'!$A:$AD,AH$2,0)</f>
        <v>#N/A</v>
      </c>
      <c r="AI480" t="e">
        <f>VLOOKUP($Z480,'oddspedia-matches'!$A:$AD,AI$2,0)</f>
        <v>#N/A</v>
      </c>
      <c r="AJ480" t="e">
        <f>VLOOKUP($Z480,'oddspedia-matches'!$A:$AD,AJ$2,0)</f>
        <v>#N/A</v>
      </c>
      <c r="AK480" t="e">
        <f>VLOOKUP($Z480,'oddspedia-matches'!$A:$AD,AK$2,0)</f>
        <v>#N/A</v>
      </c>
      <c r="AL480" t="e">
        <f>VLOOKUP($Z480,'oddspedia-matches'!$A:$AD,AL$2,0)</f>
        <v>#N/A</v>
      </c>
      <c r="AM480" t="e">
        <f>VLOOKUP($Z480,'oddspedia-matches'!$A:$AD,AM$2,0)</f>
        <v>#N/A</v>
      </c>
      <c r="AN480" t="e">
        <f>VLOOKUP($Z480,'oddspedia-matches'!$A:$AD,AN$2,0)</f>
        <v>#N/A</v>
      </c>
      <c r="AO480" t="e">
        <f>VLOOKUP($Z480,'oddspedia-matches'!$A:$AD,AO$2,0)</f>
        <v>#N/A</v>
      </c>
      <c r="AP480" t="e">
        <f>VLOOKUP($Z480,'oddspedia-matches'!$A:$AD,AP$2,0)</f>
        <v>#N/A</v>
      </c>
      <c r="AQ480" t="e">
        <f>VLOOKUP($Z480,'oddspedia-matches'!$A:$AD,AQ$2,0)</f>
        <v>#N/A</v>
      </c>
    </row>
    <row r="481" spans="2:43" x14ac:dyDescent="0.2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>
        <f>VLOOKUP(E481,'Transform table'!A:B,2,0)</f>
        <v>0</v>
      </c>
      <c r="Y481" t="e">
        <f>VLOOKUP(F481,'Transform table'!A:B,2,0)</f>
        <v>#N/A</v>
      </c>
      <c r="Z481" t="e">
        <f t="shared" si="7"/>
        <v>#N/A</v>
      </c>
      <c r="AA481" t="e">
        <f>VLOOKUP($Z481,'oddspedia-matches'!$A:$AD,AA$2,0)</f>
        <v>#N/A</v>
      </c>
      <c r="AB481" t="e">
        <f>VLOOKUP($Z481,'oddspedia-matches'!$A:$AD,AB$2,0)</f>
        <v>#N/A</v>
      </c>
      <c r="AC481" t="e">
        <f>VLOOKUP($Z481,'oddspedia-matches'!$A:$AD,AC$2,0)</f>
        <v>#N/A</v>
      </c>
      <c r="AD481" t="e">
        <f>VLOOKUP($Z481,'oddspedia-matches'!$A:$AD,AD$2,0)</f>
        <v>#N/A</v>
      </c>
      <c r="AE481" t="e">
        <f>VLOOKUP($Z481,'oddspedia-matches'!$A:$AD,AE$2,0)</f>
        <v>#N/A</v>
      </c>
      <c r="AF481" t="e">
        <f>VLOOKUP($Z481,'oddspedia-matches'!$A:$AD,AF$2,0)</f>
        <v>#N/A</v>
      </c>
      <c r="AG481" t="e">
        <f>VLOOKUP($Z481,'oddspedia-matches'!$A:$AD,AG$2,0)</f>
        <v>#N/A</v>
      </c>
      <c r="AH481" t="e">
        <f>VLOOKUP($Z481,'oddspedia-matches'!$A:$AD,AH$2,0)</f>
        <v>#N/A</v>
      </c>
      <c r="AI481" t="e">
        <f>VLOOKUP($Z481,'oddspedia-matches'!$A:$AD,AI$2,0)</f>
        <v>#N/A</v>
      </c>
      <c r="AJ481" t="e">
        <f>VLOOKUP($Z481,'oddspedia-matches'!$A:$AD,AJ$2,0)</f>
        <v>#N/A</v>
      </c>
      <c r="AK481" t="e">
        <f>VLOOKUP($Z481,'oddspedia-matches'!$A:$AD,AK$2,0)</f>
        <v>#N/A</v>
      </c>
      <c r="AL481" t="e">
        <f>VLOOKUP($Z481,'oddspedia-matches'!$A:$AD,AL$2,0)</f>
        <v>#N/A</v>
      </c>
      <c r="AM481" t="e">
        <f>VLOOKUP($Z481,'oddspedia-matches'!$A:$AD,AM$2,0)</f>
        <v>#N/A</v>
      </c>
      <c r="AN481" t="e">
        <f>VLOOKUP($Z481,'oddspedia-matches'!$A:$AD,AN$2,0)</f>
        <v>#N/A</v>
      </c>
      <c r="AO481" t="e">
        <f>VLOOKUP($Z481,'oddspedia-matches'!$A:$AD,AO$2,0)</f>
        <v>#N/A</v>
      </c>
      <c r="AP481" t="e">
        <f>VLOOKUP($Z481,'oddspedia-matches'!$A:$AD,AP$2,0)</f>
        <v>#N/A</v>
      </c>
      <c r="AQ481" t="e">
        <f>VLOOKUP($Z481,'oddspedia-matches'!$A:$AD,AQ$2,0)</f>
        <v>#N/A</v>
      </c>
    </row>
    <row r="482" spans="2:43" x14ac:dyDescent="0.2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tr">
        <f>VLOOKUP(E482,'Transform table'!A:B,2,0)</f>
        <v>Guairena FC</v>
      </c>
      <c r="Y482" t="e">
        <f>VLOOKUP(F482,'Transform table'!A:B,2,0)</f>
        <v>#N/A</v>
      </c>
      <c r="Z482" t="e">
        <f t="shared" si="7"/>
        <v>#N/A</v>
      </c>
      <c r="AA482" t="e">
        <f>VLOOKUP($Z482,'oddspedia-matches'!$A:$AD,AA$2,0)</f>
        <v>#N/A</v>
      </c>
      <c r="AB482" t="e">
        <f>VLOOKUP($Z482,'oddspedia-matches'!$A:$AD,AB$2,0)</f>
        <v>#N/A</v>
      </c>
      <c r="AC482" t="e">
        <f>VLOOKUP($Z482,'oddspedia-matches'!$A:$AD,AC$2,0)</f>
        <v>#N/A</v>
      </c>
      <c r="AD482" t="e">
        <f>VLOOKUP($Z482,'oddspedia-matches'!$A:$AD,AD$2,0)</f>
        <v>#N/A</v>
      </c>
      <c r="AE482" t="e">
        <f>VLOOKUP($Z482,'oddspedia-matches'!$A:$AD,AE$2,0)</f>
        <v>#N/A</v>
      </c>
      <c r="AF482" t="e">
        <f>VLOOKUP($Z482,'oddspedia-matches'!$A:$AD,AF$2,0)</f>
        <v>#N/A</v>
      </c>
      <c r="AG482" t="e">
        <f>VLOOKUP($Z482,'oddspedia-matches'!$A:$AD,AG$2,0)</f>
        <v>#N/A</v>
      </c>
      <c r="AH482" t="e">
        <f>VLOOKUP($Z482,'oddspedia-matches'!$A:$AD,AH$2,0)</f>
        <v>#N/A</v>
      </c>
      <c r="AI482" t="e">
        <f>VLOOKUP($Z482,'oddspedia-matches'!$A:$AD,AI$2,0)</f>
        <v>#N/A</v>
      </c>
      <c r="AJ482" t="e">
        <f>VLOOKUP($Z482,'oddspedia-matches'!$A:$AD,AJ$2,0)</f>
        <v>#N/A</v>
      </c>
      <c r="AK482" t="e">
        <f>VLOOKUP($Z482,'oddspedia-matches'!$A:$AD,AK$2,0)</f>
        <v>#N/A</v>
      </c>
      <c r="AL482" t="e">
        <f>VLOOKUP($Z482,'oddspedia-matches'!$A:$AD,AL$2,0)</f>
        <v>#N/A</v>
      </c>
      <c r="AM482" t="e">
        <f>VLOOKUP($Z482,'oddspedia-matches'!$A:$AD,AM$2,0)</f>
        <v>#N/A</v>
      </c>
      <c r="AN482" t="e">
        <f>VLOOKUP($Z482,'oddspedia-matches'!$A:$AD,AN$2,0)</f>
        <v>#N/A</v>
      </c>
      <c r="AO482" t="e">
        <f>VLOOKUP($Z482,'oddspedia-matches'!$A:$AD,AO$2,0)</f>
        <v>#N/A</v>
      </c>
      <c r="AP482" t="e">
        <f>VLOOKUP($Z482,'oddspedia-matches'!$A:$AD,AP$2,0)</f>
        <v>#N/A</v>
      </c>
      <c r="AQ482" t="e">
        <f>VLOOKUP($Z482,'oddspedia-matches'!$A:$AD,AQ$2,0)</f>
        <v>#N/A</v>
      </c>
    </row>
    <row r="483" spans="2:43" x14ac:dyDescent="0.2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>
        <f>VLOOKUP(E483,'Transform table'!A:B,2,0)</f>
        <v>0</v>
      </c>
      <c r="Y483" t="e">
        <f>VLOOKUP(F483,'Transform table'!A:B,2,0)</f>
        <v>#N/A</v>
      </c>
      <c r="Z483" t="e">
        <f t="shared" si="7"/>
        <v>#N/A</v>
      </c>
      <c r="AA483" t="e">
        <f>VLOOKUP($Z483,'oddspedia-matches'!$A:$AD,AA$2,0)</f>
        <v>#N/A</v>
      </c>
      <c r="AB483" t="e">
        <f>VLOOKUP($Z483,'oddspedia-matches'!$A:$AD,AB$2,0)</f>
        <v>#N/A</v>
      </c>
      <c r="AC483" t="e">
        <f>VLOOKUP($Z483,'oddspedia-matches'!$A:$AD,AC$2,0)</f>
        <v>#N/A</v>
      </c>
      <c r="AD483" t="e">
        <f>VLOOKUP($Z483,'oddspedia-matches'!$A:$AD,AD$2,0)</f>
        <v>#N/A</v>
      </c>
      <c r="AE483" t="e">
        <f>VLOOKUP($Z483,'oddspedia-matches'!$A:$AD,AE$2,0)</f>
        <v>#N/A</v>
      </c>
      <c r="AF483" t="e">
        <f>VLOOKUP($Z483,'oddspedia-matches'!$A:$AD,AF$2,0)</f>
        <v>#N/A</v>
      </c>
      <c r="AG483" t="e">
        <f>VLOOKUP($Z483,'oddspedia-matches'!$A:$AD,AG$2,0)</f>
        <v>#N/A</v>
      </c>
      <c r="AH483" t="e">
        <f>VLOOKUP($Z483,'oddspedia-matches'!$A:$AD,AH$2,0)</f>
        <v>#N/A</v>
      </c>
      <c r="AI483" t="e">
        <f>VLOOKUP($Z483,'oddspedia-matches'!$A:$AD,AI$2,0)</f>
        <v>#N/A</v>
      </c>
      <c r="AJ483" t="e">
        <f>VLOOKUP($Z483,'oddspedia-matches'!$A:$AD,AJ$2,0)</f>
        <v>#N/A</v>
      </c>
      <c r="AK483" t="e">
        <f>VLOOKUP($Z483,'oddspedia-matches'!$A:$AD,AK$2,0)</f>
        <v>#N/A</v>
      </c>
      <c r="AL483" t="e">
        <f>VLOOKUP($Z483,'oddspedia-matches'!$A:$AD,AL$2,0)</f>
        <v>#N/A</v>
      </c>
      <c r="AM483" t="e">
        <f>VLOOKUP($Z483,'oddspedia-matches'!$A:$AD,AM$2,0)</f>
        <v>#N/A</v>
      </c>
      <c r="AN483" t="e">
        <f>VLOOKUP($Z483,'oddspedia-matches'!$A:$AD,AN$2,0)</f>
        <v>#N/A</v>
      </c>
      <c r="AO483" t="e">
        <f>VLOOKUP($Z483,'oddspedia-matches'!$A:$AD,AO$2,0)</f>
        <v>#N/A</v>
      </c>
      <c r="AP483" t="e">
        <f>VLOOKUP($Z483,'oddspedia-matches'!$A:$AD,AP$2,0)</f>
        <v>#N/A</v>
      </c>
      <c r="AQ483" t="e">
        <f>VLOOKUP($Z483,'oddspedia-matches'!$A:$AD,AQ$2,0)</f>
        <v>#N/A</v>
      </c>
    </row>
    <row r="484" spans="2:43" x14ac:dyDescent="0.2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>
        <f>VLOOKUP(E484,'Transform table'!A:B,2,0)</f>
        <v>0</v>
      </c>
      <c r="Y484" t="e">
        <f>VLOOKUP(F484,'Transform table'!A:B,2,0)</f>
        <v>#N/A</v>
      </c>
      <c r="Z484" t="e">
        <f t="shared" si="7"/>
        <v>#N/A</v>
      </c>
      <c r="AA484" t="e">
        <f>VLOOKUP($Z484,'oddspedia-matches'!$A:$AD,AA$2,0)</f>
        <v>#N/A</v>
      </c>
      <c r="AB484" t="e">
        <f>VLOOKUP($Z484,'oddspedia-matches'!$A:$AD,AB$2,0)</f>
        <v>#N/A</v>
      </c>
      <c r="AC484" t="e">
        <f>VLOOKUP($Z484,'oddspedia-matches'!$A:$AD,AC$2,0)</f>
        <v>#N/A</v>
      </c>
      <c r="AD484" t="e">
        <f>VLOOKUP($Z484,'oddspedia-matches'!$A:$AD,AD$2,0)</f>
        <v>#N/A</v>
      </c>
      <c r="AE484" t="e">
        <f>VLOOKUP($Z484,'oddspedia-matches'!$A:$AD,AE$2,0)</f>
        <v>#N/A</v>
      </c>
      <c r="AF484" t="e">
        <f>VLOOKUP($Z484,'oddspedia-matches'!$A:$AD,AF$2,0)</f>
        <v>#N/A</v>
      </c>
      <c r="AG484" t="e">
        <f>VLOOKUP($Z484,'oddspedia-matches'!$A:$AD,AG$2,0)</f>
        <v>#N/A</v>
      </c>
      <c r="AH484" t="e">
        <f>VLOOKUP($Z484,'oddspedia-matches'!$A:$AD,AH$2,0)</f>
        <v>#N/A</v>
      </c>
      <c r="AI484" t="e">
        <f>VLOOKUP($Z484,'oddspedia-matches'!$A:$AD,AI$2,0)</f>
        <v>#N/A</v>
      </c>
      <c r="AJ484" t="e">
        <f>VLOOKUP($Z484,'oddspedia-matches'!$A:$AD,AJ$2,0)</f>
        <v>#N/A</v>
      </c>
      <c r="AK484" t="e">
        <f>VLOOKUP($Z484,'oddspedia-matches'!$A:$AD,AK$2,0)</f>
        <v>#N/A</v>
      </c>
      <c r="AL484" t="e">
        <f>VLOOKUP($Z484,'oddspedia-matches'!$A:$AD,AL$2,0)</f>
        <v>#N/A</v>
      </c>
      <c r="AM484" t="e">
        <f>VLOOKUP($Z484,'oddspedia-matches'!$A:$AD,AM$2,0)</f>
        <v>#N/A</v>
      </c>
      <c r="AN484" t="e">
        <f>VLOOKUP($Z484,'oddspedia-matches'!$A:$AD,AN$2,0)</f>
        <v>#N/A</v>
      </c>
      <c r="AO484" t="e">
        <f>VLOOKUP($Z484,'oddspedia-matches'!$A:$AD,AO$2,0)</f>
        <v>#N/A</v>
      </c>
      <c r="AP484" t="e">
        <f>VLOOKUP($Z484,'oddspedia-matches'!$A:$AD,AP$2,0)</f>
        <v>#N/A</v>
      </c>
      <c r="AQ484" t="e">
        <f>VLOOKUP($Z484,'oddspedia-matches'!$A:$AD,AQ$2,0)</f>
        <v>#N/A</v>
      </c>
    </row>
    <row r="485" spans="2:43" x14ac:dyDescent="0.2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>
        <f>VLOOKUP(E485,'Transform table'!A:B,2,0)</f>
        <v>0</v>
      </c>
      <c r="Y485" t="str">
        <f>VLOOKUP(F485,'Transform table'!A:B,2,0)</f>
        <v>New England Revolution II</v>
      </c>
      <c r="Z485" t="str">
        <f t="shared" si="7"/>
        <v>26/07/20260New England Revolution II</v>
      </c>
      <c r="AA485" t="e">
        <f>VLOOKUP($Z485,'oddspedia-matches'!$A:$AD,AA$2,0)</f>
        <v>#N/A</v>
      </c>
      <c r="AB485" t="e">
        <f>VLOOKUP($Z485,'oddspedia-matches'!$A:$AD,AB$2,0)</f>
        <v>#N/A</v>
      </c>
      <c r="AC485" t="e">
        <f>VLOOKUP($Z485,'oddspedia-matches'!$A:$AD,AC$2,0)</f>
        <v>#N/A</v>
      </c>
      <c r="AD485" t="e">
        <f>VLOOKUP($Z485,'oddspedia-matches'!$A:$AD,AD$2,0)</f>
        <v>#N/A</v>
      </c>
      <c r="AE485" t="e">
        <f>VLOOKUP($Z485,'oddspedia-matches'!$A:$AD,AE$2,0)</f>
        <v>#N/A</v>
      </c>
      <c r="AF485" t="e">
        <f>VLOOKUP($Z485,'oddspedia-matches'!$A:$AD,AF$2,0)</f>
        <v>#N/A</v>
      </c>
      <c r="AG485" t="e">
        <f>VLOOKUP($Z485,'oddspedia-matches'!$A:$AD,AG$2,0)</f>
        <v>#N/A</v>
      </c>
      <c r="AH485" t="e">
        <f>VLOOKUP($Z485,'oddspedia-matches'!$A:$AD,AH$2,0)</f>
        <v>#N/A</v>
      </c>
      <c r="AI485" t="e">
        <f>VLOOKUP($Z485,'oddspedia-matches'!$A:$AD,AI$2,0)</f>
        <v>#N/A</v>
      </c>
      <c r="AJ485" t="e">
        <f>VLOOKUP($Z485,'oddspedia-matches'!$A:$AD,AJ$2,0)</f>
        <v>#N/A</v>
      </c>
      <c r="AK485" t="e">
        <f>VLOOKUP($Z485,'oddspedia-matches'!$A:$AD,AK$2,0)</f>
        <v>#N/A</v>
      </c>
      <c r="AL485" t="e">
        <f>VLOOKUP($Z485,'oddspedia-matches'!$A:$AD,AL$2,0)</f>
        <v>#N/A</v>
      </c>
      <c r="AM485" t="e">
        <f>VLOOKUP($Z485,'oddspedia-matches'!$A:$AD,AM$2,0)</f>
        <v>#N/A</v>
      </c>
      <c r="AN485" t="e">
        <f>VLOOKUP($Z485,'oddspedia-matches'!$A:$AD,AN$2,0)</f>
        <v>#N/A</v>
      </c>
      <c r="AO485" t="e">
        <f>VLOOKUP($Z485,'oddspedia-matches'!$A:$AD,AO$2,0)</f>
        <v>#N/A</v>
      </c>
      <c r="AP485" t="e">
        <f>VLOOKUP($Z485,'oddspedia-matches'!$A:$AD,AP$2,0)</f>
        <v>#N/A</v>
      </c>
      <c r="AQ485" t="e">
        <f>VLOOKUP($Z485,'oddspedia-matches'!$A:$AD,AQ$2,0)</f>
        <v>#N/A</v>
      </c>
    </row>
    <row r="486" spans="2:43" x14ac:dyDescent="0.2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>
        <f>VLOOKUP(E486,'Transform table'!A:B,2,0)</f>
        <v>0</v>
      </c>
      <c r="Y486" t="e">
        <f>VLOOKUP(F486,'Transform table'!A:B,2,0)</f>
        <v>#N/A</v>
      </c>
      <c r="Z486" t="e">
        <f t="shared" si="7"/>
        <v>#N/A</v>
      </c>
      <c r="AA486" t="e">
        <f>VLOOKUP($Z486,'oddspedia-matches'!$A:$AD,AA$2,0)</f>
        <v>#N/A</v>
      </c>
      <c r="AB486" t="e">
        <f>VLOOKUP($Z486,'oddspedia-matches'!$A:$AD,AB$2,0)</f>
        <v>#N/A</v>
      </c>
      <c r="AC486" t="e">
        <f>VLOOKUP($Z486,'oddspedia-matches'!$A:$AD,AC$2,0)</f>
        <v>#N/A</v>
      </c>
      <c r="AD486" t="e">
        <f>VLOOKUP($Z486,'oddspedia-matches'!$A:$AD,AD$2,0)</f>
        <v>#N/A</v>
      </c>
      <c r="AE486" t="e">
        <f>VLOOKUP($Z486,'oddspedia-matches'!$A:$AD,AE$2,0)</f>
        <v>#N/A</v>
      </c>
      <c r="AF486" t="e">
        <f>VLOOKUP($Z486,'oddspedia-matches'!$A:$AD,AF$2,0)</f>
        <v>#N/A</v>
      </c>
      <c r="AG486" t="e">
        <f>VLOOKUP($Z486,'oddspedia-matches'!$A:$AD,AG$2,0)</f>
        <v>#N/A</v>
      </c>
      <c r="AH486" t="e">
        <f>VLOOKUP($Z486,'oddspedia-matches'!$A:$AD,AH$2,0)</f>
        <v>#N/A</v>
      </c>
      <c r="AI486" t="e">
        <f>VLOOKUP($Z486,'oddspedia-matches'!$A:$AD,AI$2,0)</f>
        <v>#N/A</v>
      </c>
      <c r="AJ486" t="e">
        <f>VLOOKUP($Z486,'oddspedia-matches'!$A:$AD,AJ$2,0)</f>
        <v>#N/A</v>
      </c>
      <c r="AK486" t="e">
        <f>VLOOKUP($Z486,'oddspedia-matches'!$A:$AD,AK$2,0)</f>
        <v>#N/A</v>
      </c>
      <c r="AL486" t="e">
        <f>VLOOKUP($Z486,'oddspedia-matches'!$A:$AD,AL$2,0)</f>
        <v>#N/A</v>
      </c>
      <c r="AM486" t="e">
        <f>VLOOKUP($Z486,'oddspedia-matches'!$A:$AD,AM$2,0)</f>
        <v>#N/A</v>
      </c>
      <c r="AN486" t="e">
        <f>VLOOKUP($Z486,'oddspedia-matches'!$A:$AD,AN$2,0)</f>
        <v>#N/A</v>
      </c>
      <c r="AO486" t="e">
        <f>VLOOKUP($Z486,'oddspedia-matches'!$A:$AD,AO$2,0)</f>
        <v>#N/A</v>
      </c>
      <c r="AP486" t="e">
        <f>VLOOKUP($Z486,'oddspedia-matches'!$A:$AD,AP$2,0)</f>
        <v>#N/A</v>
      </c>
      <c r="AQ486" t="e">
        <f>VLOOKUP($Z486,'oddspedia-matches'!$A:$AD,AQ$2,0)</f>
        <v>#N/A</v>
      </c>
    </row>
    <row r="487" spans="2:43" x14ac:dyDescent="0.2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tr">
        <f>VLOOKUP(E487,'Transform table'!A:B,2,0)</f>
        <v>Palmeiras</v>
      </c>
      <c r="Y487" t="str">
        <f>VLOOKUP(F487,'Transform table'!A:B,2,0)</f>
        <v>Atletico Mineiro</v>
      </c>
      <c r="Z487" t="str">
        <f t="shared" si="7"/>
        <v>26/07/2026PalmeirasAtletico Mineiro</v>
      </c>
      <c r="AA487" t="e">
        <f>VLOOKUP($Z487,'oddspedia-matches'!$A:$AD,AA$2,0)</f>
        <v>#N/A</v>
      </c>
      <c r="AB487" t="e">
        <f>VLOOKUP($Z487,'oddspedia-matches'!$A:$AD,AB$2,0)</f>
        <v>#N/A</v>
      </c>
      <c r="AC487" t="e">
        <f>VLOOKUP($Z487,'oddspedia-matches'!$A:$AD,AC$2,0)</f>
        <v>#N/A</v>
      </c>
      <c r="AD487" t="e">
        <f>VLOOKUP($Z487,'oddspedia-matches'!$A:$AD,AD$2,0)</f>
        <v>#N/A</v>
      </c>
      <c r="AE487" t="e">
        <f>VLOOKUP($Z487,'oddspedia-matches'!$A:$AD,AE$2,0)</f>
        <v>#N/A</v>
      </c>
      <c r="AF487" t="e">
        <f>VLOOKUP($Z487,'oddspedia-matches'!$A:$AD,AF$2,0)</f>
        <v>#N/A</v>
      </c>
      <c r="AG487" t="e">
        <f>VLOOKUP($Z487,'oddspedia-matches'!$A:$AD,AG$2,0)</f>
        <v>#N/A</v>
      </c>
      <c r="AH487" t="e">
        <f>VLOOKUP($Z487,'oddspedia-matches'!$A:$AD,AH$2,0)</f>
        <v>#N/A</v>
      </c>
      <c r="AI487" t="e">
        <f>VLOOKUP($Z487,'oddspedia-matches'!$A:$AD,AI$2,0)</f>
        <v>#N/A</v>
      </c>
      <c r="AJ487" t="e">
        <f>VLOOKUP($Z487,'oddspedia-matches'!$A:$AD,AJ$2,0)</f>
        <v>#N/A</v>
      </c>
      <c r="AK487" t="e">
        <f>VLOOKUP($Z487,'oddspedia-matches'!$A:$AD,AK$2,0)</f>
        <v>#N/A</v>
      </c>
      <c r="AL487" t="e">
        <f>VLOOKUP($Z487,'oddspedia-matches'!$A:$AD,AL$2,0)</f>
        <v>#N/A</v>
      </c>
      <c r="AM487" t="e">
        <f>VLOOKUP($Z487,'oddspedia-matches'!$A:$AD,AM$2,0)</f>
        <v>#N/A</v>
      </c>
      <c r="AN487" t="e">
        <f>VLOOKUP($Z487,'oddspedia-matches'!$A:$AD,AN$2,0)</f>
        <v>#N/A</v>
      </c>
      <c r="AO487" t="e">
        <f>VLOOKUP($Z487,'oddspedia-matches'!$A:$AD,AO$2,0)</f>
        <v>#N/A</v>
      </c>
      <c r="AP487" t="e">
        <f>VLOOKUP($Z487,'oddspedia-matches'!$A:$AD,AP$2,0)</f>
        <v>#N/A</v>
      </c>
      <c r="AQ487" t="e">
        <f>VLOOKUP($Z487,'oddspedia-matches'!$A:$AD,AQ$2,0)</f>
        <v>#N/A</v>
      </c>
    </row>
    <row r="488" spans="2:43" x14ac:dyDescent="0.2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tr">
        <f>VLOOKUP(E488,'Transform table'!A:B,2,0)</f>
        <v>Clube Do Remo</v>
      </c>
      <c r="Y488" t="str">
        <f>VLOOKUP(F488,'Transform table'!A:B,2,0)</f>
        <v>Vitoria BA</v>
      </c>
      <c r="Z488" t="str">
        <f t="shared" si="7"/>
        <v>26/07/2026Clube Do RemoVitoria BA</v>
      </c>
      <c r="AA488" t="e">
        <f>VLOOKUP($Z488,'oddspedia-matches'!$A:$AD,AA$2,0)</f>
        <v>#N/A</v>
      </c>
      <c r="AB488" t="e">
        <f>VLOOKUP($Z488,'oddspedia-matches'!$A:$AD,AB$2,0)</f>
        <v>#N/A</v>
      </c>
      <c r="AC488" t="e">
        <f>VLOOKUP($Z488,'oddspedia-matches'!$A:$AD,AC$2,0)</f>
        <v>#N/A</v>
      </c>
      <c r="AD488" t="e">
        <f>VLOOKUP($Z488,'oddspedia-matches'!$A:$AD,AD$2,0)</f>
        <v>#N/A</v>
      </c>
      <c r="AE488" t="e">
        <f>VLOOKUP($Z488,'oddspedia-matches'!$A:$AD,AE$2,0)</f>
        <v>#N/A</v>
      </c>
      <c r="AF488" t="e">
        <f>VLOOKUP($Z488,'oddspedia-matches'!$A:$AD,AF$2,0)</f>
        <v>#N/A</v>
      </c>
      <c r="AG488" t="e">
        <f>VLOOKUP($Z488,'oddspedia-matches'!$A:$AD,AG$2,0)</f>
        <v>#N/A</v>
      </c>
      <c r="AH488" t="e">
        <f>VLOOKUP($Z488,'oddspedia-matches'!$A:$AD,AH$2,0)</f>
        <v>#N/A</v>
      </c>
      <c r="AI488" t="e">
        <f>VLOOKUP($Z488,'oddspedia-matches'!$A:$AD,AI$2,0)</f>
        <v>#N/A</v>
      </c>
      <c r="AJ488" t="e">
        <f>VLOOKUP($Z488,'oddspedia-matches'!$A:$AD,AJ$2,0)</f>
        <v>#N/A</v>
      </c>
      <c r="AK488" t="e">
        <f>VLOOKUP($Z488,'oddspedia-matches'!$A:$AD,AK$2,0)</f>
        <v>#N/A</v>
      </c>
      <c r="AL488" t="e">
        <f>VLOOKUP($Z488,'oddspedia-matches'!$A:$AD,AL$2,0)</f>
        <v>#N/A</v>
      </c>
      <c r="AM488" t="e">
        <f>VLOOKUP($Z488,'oddspedia-matches'!$A:$AD,AM$2,0)</f>
        <v>#N/A</v>
      </c>
      <c r="AN488" t="e">
        <f>VLOOKUP($Z488,'oddspedia-matches'!$A:$AD,AN$2,0)</f>
        <v>#N/A</v>
      </c>
      <c r="AO488" t="e">
        <f>VLOOKUP($Z488,'oddspedia-matches'!$A:$AD,AO$2,0)</f>
        <v>#N/A</v>
      </c>
      <c r="AP488" t="e">
        <f>VLOOKUP($Z488,'oddspedia-matches'!$A:$AD,AP$2,0)</f>
        <v>#N/A</v>
      </c>
      <c r="AQ488" t="e">
        <f>VLOOKUP($Z488,'oddspedia-matches'!$A:$AD,AQ$2,0)</f>
        <v>#N/A</v>
      </c>
    </row>
    <row r="489" spans="2:43" x14ac:dyDescent="0.2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>
        <f>VLOOKUP(E489,'Transform table'!A:B,2,0)</f>
        <v>0</v>
      </c>
      <c r="Y489" t="e">
        <f>VLOOKUP(F489,'Transform table'!A:B,2,0)</f>
        <v>#N/A</v>
      </c>
      <c r="Z489" t="e">
        <f t="shared" si="7"/>
        <v>#N/A</v>
      </c>
      <c r="AA489" t="e">
        <f>VLOOKUP($Z489,'oddspedia-matches'!$A:$AD,AA$2,0)</f>
        <v>#N/A</v>
      </c>
      <c r="AB489" t="e">
        <f>VLOOKUP($Z489,'oddspedia-matches'!$A:$AD,AB$2,0)</f>
        <v>#N/A</v>
      </c>
      <c r="AC489" t="e">
        <f>VLOOKUP($Z489,'oddspedia-matches'!$A:$AD,AC$2,0)</f>
        <v>#N/A</v>
      </c>
      <c r="AD489" t="e">
        <f>VLOOKUP($Z489,'oddspedia-matches'!$A:$AD,AD$2,0)</f>
        <v>#N/A</v>
      </c>
      <c r="AE489" t="e">
        <f>VLOOKUP($Z489,'oddspedia-matches'!$A:$AD,AE$2,0)</f>
        <v>#N/A</v>
      </c>
      <c r="AF489" t="e">
        <f>VLOOKUP($Z489,'oddspedia-matches'!$A:$AD,AF$2,0)</f>
        <v>#N/A</v>
      </c>
      <c r="AG489" t="e">
        <f>VLOOKUP($Z489,'oddspedia-matches'!$A:$AD,AG$2,0)</f>
        <v>#N/A</v>
      </c>
      <c r="AH489" t="e">
        <f>VLOOKUP($Z489,'oddspedia-matches'!$A:$AD,AH$2,0)</f>
        <v>#N/A</v>
      </c>
      <c r="AI489" t="e">
        <f>VLOOKUP($Z489,'oddspedia-matches'!$A:$AD,AI$2,0)</f>
        <v>#N/A</v>
      </c>
      <c r="AJ489" t="e">
        <f>VLOOKUP($Z489,'oddspedia-matches'!$A:$AD,AJ$2,0)</f>
        <v>#N/A</v>
      </c>
      <c r="AK489" t="e">
        <f>VLOOKUP($Z489,'oddspedia-matches'!$A:$AD,AK$2,0)</f>
        <v>#N/A</v>
      </c>
      <c r="AL489" t="e">
        <f>VLOOKUP($Z489,'oddspedia-matches'!$A:$AD,AL$2,0)</f>
        <v>#N/A</v>
      </c>
      <c r="AM489" t="e">
        <f>VLOOKUP($Z489,'oddspedia-matches'!$A:$AD,AM$2,0)</f>
        <v>#N/A</v>
      </c>
      <c r="AN489" t="e">
        <f>VLOOKUP($Z489,'oddspedia-matches'!$A:$AD,AN$2,0)</f>
        <v>#N/A</v>
      </c>
      <c r="AO489" t="e">
        <f>VLOOKUP($Z489,'oddspedia-matches'!$A:$AD,AO$2,0)</f>
        <v>#N/A</v>
      </c>
      <c r="AP489" t="e">
        <f>VLOOKUP($Z489,'oddspedia-matches'!$A:$AD,AP$2,0)</f>
        <v>#N/A</v>
      </c>
      <c r="AQ489" t="e">
        <f>VLOOKUP($Z489,'oddspedia-matches'!$A:$AD,AQ$2,0)</f>
        <v>#N/A</v>
      </c>
    </row>
    <row r="490" spans="2:43" x14ac:dyDescent="0.2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>
        <f>VLOOKUP(E490,'Transform table'!A:B,2,0)</f>
        <v>0</v>
      </c>
      <c r="Y490" t="str">
        <f>VLOOKUP(F490,'Transform table'!A:B,2,0)</f>
        <v>Austin FC II</v>
      </c>
      <c r="Z490" t="str">
        <f t="shared" si="7"/>
        <v>26/07/20260Austin FC II</v>
      </c>
      <c r="AA490" t="e">
        <f>VLOOKUP($Z490,'oddspedia-matches'!$A:$AD,AA$2,0)</f>
        <v>#N/A</v>
      </c>
      <c r="AB490" t="e">
        <f>VLOOKUP($Z490,'oddspedia-matches'!$A:$AD,AB$2,0)</f>
        <v>#N/A</v>
      </c>
      <c r="AC490" t="e">
        <f>VLOOKUP($Z490,'oddspedia-matches'!$A:$AD,AC$2,0)</f>
        <v>#N/A</v>
      </c>
      <c r="AD490" t="e">
        <f>VLOOKUP($Z490,'oddspedia-matches'!$A:$AD,AD$2,0)</f>
        <v>#N/A</v>
      </c>
      <c r="AE490" t="e">
        <f>VLOOKUP($Z490,'oddspedia-matches'!$A:$AD,AE$2,0)</f>
        <v>#N/A</v>
      </c>
      <c r="AF490" t="e">
        <f>VLOOKUP($Z490,'oddspedia-matches'!$A:$AD,AF$2,0)</f>
        <v>#N/A</v>
      </c>
      <c r="AG490" t="e">
        <f>VLOOKUP($Z490,'oddspedia-matches'!$A:$AD,AG$2,0)</f>
        <v>#N/A</v>
      </c>
      <c r="AH490" t="e">
        <f>VLOOKUP($Z490,'oddspedia-matches'!$A:$AD,AH$2,0)</f>
        <v>#N/A</v>
      </c>
      <c r="AI490" t="e">
        <f>VLOOKUP($Z490,'oddspedia-matches'!$A:$AD,AI$2,0)</f>
        <v>#N/A</v>
      </c>
      <c r="AJ490" t="e">
        <f>VLOOKUP($Z490,'oddspedia-matches'!$A:$AD,AJ$2,0)</f>
        <v>#N/A</v>
      </c>
      <c r="AK490" t="e">
        <f>VLOOKUP($Z490,'oddspedia-matches'!$A:$AD,AK$2,0)</f>
        <v>#N/A</v>
      </c>
      <c r="AL490" t="e">
        <f>VLOOKUP($Z490,'oddspedia-matches'!$A:$AD,AL$2,0)</f>
        <v>#N/A</v>
      </c>
      <c r="AM490" t="e">
        <f>VLOOKUP($Z490,'oddspedia-matches'!$A:$AD,AM$2,0)</f>
        <v>#N/A</v>
      </c>
      <c r="AN490" t="e">
        <f>VLOOKUP($Z490,'oddspedia-matches'!$A:$AD,AN$2,0)</f>
        <v>#N/A</v>
      </c>
      <c r="AO490" t="e">
        <f>VLOOKUP($Z490,'oddspedia-matches'!$A:$AD,AO$2,0)</f>
        <v>#N/A</v>
      </c>
      <c r="AP490" t="e">
        <f>VLOOKUP($Z490,'oddspedia-matches'!$A:$AD,AP$2,0)</f>
        <v>#N/A</v>
      </c>
      <c r="AQ490" t="e">
        <f>VLOOKUP($Z490,'oddspedia-matches'!$A:$AD,AQ$2,0)</f>
        <v>#N/A</v>
      </c>
    </row>
    <row r="491" spans="2:43" x14ac:dyDescent="0.2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>
        <f>VLOOKUP(E491,'Transform table'!A:B,2,0)</f>
        <v>0</v>
      </c>
      <c r="Y491" t="e">
        <f>VLOOKUP(F491,'Transform table'!A:B,2,0)</f>
        <v>#N/A</v>
      </c>
      <c r="Z491" t="e">
        <f t="shared" si="7"/>
        <v>#N/A</v>
      </c>
      <c r="AA491" t="e">
        <f>VLOOKUP($Z491,'oddspedia-matches'!$A:$AD,AA$2,0)</f>
        <v>#N/A</v>
      </c>
      <c r="AB491" t="e">
        <f>VLOOKUP($Z491,'oddspedia-matches'!$A:$AD,AB$2,0)</f>
        <v>#N/A</v>
      </c>
      <c r="AC491" t="e">
        <f>VLOOKUP($Z491,'oddspedia-matches'!$A:$AD,AC$2,0)</f>
        <v>#N/A</v>
      </c>
      <c r="AD491" t="e">
        <f>VLOOKUP($Z491,'oddspedia-matches'!$A:$AD,AD$2,0)</f>
        <v>#N/A</v>
      </c>
      <c r="AE491" t="e">
        <f>VLOOKUP($Z491,'oddspedia-matches'!$A:$AD,AE$2,0)</f>
        <v>#N/A</v>
      </c>
      <c r="AF491" t="e">
        <f>VLOOKUP($Z491,'oddspedia-matches'!$A:$AD,AF$2,0)</f>
        <v>#N/A</v>
      </c>
      <c r="AG491" t="e">
        <f>VLOOKUP($Z491,'oddspedia-matches'!$A:$AD,AG$2,0)</f>
        <v>#N/A</v>
      </c>
      <c r="AH491" t="e">
        <f>VLOOKUP($Z491,'oddspedia-matches'!$A:$AD,AH$2,0)</f>
        <v>#N/A</v>
      </c>
      <c r="AI491" t="e">
        <f>VLOOKUP($Z491,'oddspedia-matches'!$A:$AD,AI$2,0)</f>
        <v>#N/A</v>
      </c>
      <c r="AJ491" t="e">
        <f>VLOOKUP($Z491,'oddspedia-matches'!$A:$AD,AJ$2,0)</f>
        <v>#N/A</v>
      </c>
      <c r="AK491" t="e">
        <f>VLOOKUP($Z491,'oddspedia-matches'!$A:$AD,AK$2,0)</f>
        <v>#N/A</v>
      </c>
      <c r="AL491" t="e">
        <f>VLOOKUP($Z491,'oddspedia-matches'!$A:$AD,AL$2,0)</f>
        <v>#N/A</v>
      </c>
      <c r="AM491" t="e">
        <f>VLOOKUP($Z491,'oddspedia-matches'!$A:$AD,AM$2,0)</f>
        <v>#N/A</v>
      </c>
      <c r="AN491" t="e">
        <f>VLOOKUP($Z491,'oddspedia-matches'!$A:$AD,AN$2,0)</f>
        <v>#N/A</v>
      </c>
      <c r="AO491" t="e">
        <f>VLOOKUP($Z491,'oddspedia-matches'!$A:$AD,AO$2,0)</f>
        <v>#N/A</v>
      </c>
      <c r="AP491" t="e">
        <f>VLOOKUP($Z491,'oddspedia-matches'!$A:$AD,AP$2,0)</f>
        <v>#N/A</v>
      </c>
      <c r="AQ491" t="e">
        <f>VLOOKUP($Z491,'oddspedia-matches'!$A:$AD,AQ$2,0)</f>
        <v>#N/A</v>
      </c>
    </row>
    <row r="492" spans="2:43" x14ac:dyDescent="0.2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>
        <f>VLOOKUP(E492,'Transform table'!A:B,2,0)</f>
        <v>0</v>
      </c>
      <c r="Y492" t="str">
        <f>VLOOKUP(F492,'Transform table'!A:B,2,0)</f>
        <v>Vancouver Whitecaps II</v>
      </c>
      <c r="Z492" t="str">
        <f t="shared" si="7"/>
        <v>26/07/20260Vancouver Whitecaps II</v>
      </c>
      <c r="AA492" t="e">
        <f>VLOOKUP($Z492,'oddspedia-matches'!$A:$AD,AA$2,0)</f>
        <v>#N/A</v>
      </c>
      <c r="AB492" t="e">
        <f>VLOOKUP($Z492,'oddspedia-matches'!$A:$AD,AB$2,0)</f>
        <v>#N/A</v>
      </c>
      <c r="AC492" t="e">
        <f>VLOOKUP($Z492,'oddspedia-matches'!$A:$AD,AC$2,0)</f>
        <v>#N/A</v>
      </c>
      <c r="AD492" t="e">
        <f>VLOOKUP($Z492,'oddspedia-matches'!$A:$AD,AD$2,0)</f>
        <v>#N/A</v>
      </c>
      <c r="AE492" t="e">
        <f>VLOOKUP($Z492,'oddspedia-matches'!$A:$AD,AE$2,0)</f>
        <v>#N/A</v>
      </c>
      <c r="AF492" t="e">
        <f>VLOOKUP($Z492,'oddspedia-matches'!$A:$AD,AF$2,0)</f>
        <v>#N/A</v>
      </c>
      <c r="AG492" t="e">
        <f>VLOOKUP($Z492,'oddspedia-matches'!$A:$AD,AG$2,0)</f>
        <v>#N/A</v>
      </c>
      <c r="AH492" t="e">
        <f>VLOOKUP($Z492,'oddspedia-matches'!$A:$AD,AH$2,0)</f>
        <v>#N/A</v>
      </c>
      <c r="AI492" t="e">
        <f>VLOOKUP($Z492,'oddspedia-matches'!$A:$AD,AI$2,0)</f>
        <v>#N/A</v>
      </c>
      <c r="AJ492" t="e">
        <f>VLOOKUP($Z492,'oddspedia-matches'!$A:$AD,AJ$2,0)</f>
        <v>#N/A</v>
      </c>
      <c r="AK492" t="e">
        <f>VLOOKUP($Z492,'oddspedia-matches'!$A:$AD,AK$2,0)</f>
        <v>#N/A</v>
      </c>
      <c r="AL492" t="e">
        <f>VLOOKUP($Z492,'oddspedia-matches'!$A:$AD,AL$2,0)</f>
        <v>#N/A</v>
      </c>
      <c r="AM492" t="e">
        <f>VLOOKUP($Z492,'oddspedia-matches'!$A:$AD,AM$2,0)</f>
        <v>#N/A</v>
      </c>
      <c r="AN492" t="e">
        <f>VLOOKUP($Z492,'oddspedia-matches'!$A:$AD,AN$2,0)</f>
        <v>#N/A</v>
      </c>
      <c r="AO492" t="e">
        <f>VLOOKUP($Z492,'oddspedia-matches'!$A:$AD,AO$2,0)</f>
        <v>#N/A</v>
      </c>
      <c r="AP492" t="e">
        <f>VLOOKUP($Z492,'oddspedia-matches'!$A:$AD,AP$2,0)</f>
        <v>#N/A</v>
      </c>
      <c r="AQ492" t="e">
        <f>VLOOKUP($Z492,'oddspedia-matches'!$A:$AD,AQ$2,0)</f>
        <v>#N/A</v>
      </c>
    </row>
    <row r="493" spans="2:43" x14ac:dyDescent="0.2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tr">
        <f>VLOOKUP(E493,'Transform table'!A:B,2,0)</f>
        <v>NK Krka</v>
      </c>
      <c r="Y493" t="e">
        <f>VLOOKUP(F493,'Transform table'!A:B,2,0)</f>
        <v>#N/A</v>
      </c>
      <c r="Z493" t="e">
        <f t="shared" si="7"/>
        <v>#N/A</v>
      </c>
      <c r="AA493" t="e">
        <f>VLOOKUP($Z493,'oddspedia-matches'!$A:$AD,AA$2,0)</f>
        <v>#N/A</v>
      </c>
      <c r="AB493" t="e">
        <f>VLOOKUP($Z493,'oddspedia-matches'!$A:$AD,AB$2,0)</f>
        <v>#N/A</v>
      </c>
      <c r="AC493" t="e">
        <f>VLOOKUP($Z493,'oddspedia-matches'!$A:$AD,AC$2,0)</f>
        <v>#N/A</v>
      </c>
      <c r="AD493" t="e">
        <f>VLOOKUP($Z493,'oddspedia-matches'!$A:$AD,AD$2,0)</f>
        <v>#N/A</v>
      </c>
      <c r="AE493" t="e">
        <f>VLOOKUP($Z493,'oddspedia-matches'!$A:$AD,AE$2,0)</f>
        <v>#N/A</v>
      </c>
      <c r="AF493" t="e">
        <f>VLOOKUP($Z493,'oddspedia-matches'!$A:$AD,AF$2,0)</f>
        <v>#N/A</v>
      </c>
      <c r="AG493" t="e">
        <f>VLOOKUP($Z493,'oddspedia-matches'!$A:$AD,AG$2,0)</f>
        <v>#N/A</v>
      </c>
      <c r="AH493" t="e">
        <f>VLOOKUP($Z493,'oddspedia-matches'!$A:$AD,AH$2,0)</f>
        <v>#N/A</v>
      </c>
      <c r="AI493" t="e">
        <f>VLOOKUP($Z493,'oddspedia-matches'!$A:$AD,AI$2,0)</f>
        <v>#N/A</v>
      </c>
      <c r="AJ493" t="e">
        <f>VLOOKUP($Z493,'oddspedia-matches'!$A:$AD,AJ$2,0)</f>
        <v>#N/A</v>
      </c>
      <c r="AK493" t="e">
        <f>VLOOKUP($Z493,'oddspedia-matches'!$A:$AD,AK$2,0)</f>
        <v>#N/A</v>
      </c>
      <c r="AL493" t="e">
        <f>VLOOKUP($Z493,'oddspedia-matches'!$A:$AD,AL$2,0)</f>
        <v>#N/A</v>
      </c>
      <c r="AM493" t="e">
        <f>VLOOKUP($Z493,'oddspedia-matches'!$A:$AD,AM$2,0)</f>
        <v>#N/A</v>
      </c>
      <c r="AN493" t="e">
        <f>VLOOKUP($Z493,'oddspedia-matches'!$A:$AD,AN$2,0)</f>
        <v>#N/A</v>
      </c>
      <c r="AO493" t="e">
        <f>VLOOKUP($Z493,'oddspedia-matches'!$A:$AD,AO$2,0)</f>
        <v>#N/A</v>
      </c>
      <c r="AP493" t="e">
        <f>VLOOKUP($Z493,'oddspedia-matches'!$A:$AD,AP$2,0)</f>
        <v>#N/A</v>
      </c>
      <c r="AQ493" t="e">
        <f>VLOOKUP($Z493,'oddspedia-matches'!$A:$AD,AQ$2,0)</f>
        <v>#N/A</v>
      </c>
    </row>
    <row r="494" spans="2:43" x14ac:dyDescent="0.2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>
        <f>VLOOKUP(E494,'Transform table'!A:B,2,0)</f>
        <v>0</v>
      </c>
      <c r="Y494" t="str">
        <f>VLOOKUP(F494,'Transform table'!A:B,2,0)</f>
        <v>Fortaleza EC</v>
      </c>
      <c r="Z494" t="str">
        <f t="shared" si="7"/>
        <v>26/07/20260Fortaleza EC</v>
      </c>
      <c r="AA494" t="e">
        <f>VLOOKUP($Z494,'oddspedia-matches'!$A:$AD,AA$2,0)</f>
        <v>#N/A</v>
      </c>
      <c r="AB494" t="e">
        <f>VLOOKUP($Z494,'oddspedia-matches'!$A:$AD,AB$2,0)</f>
        <v>#N/A</v>
      </c>
      <c r="AC494" t="e">
        <f>VLOOKUP($Z494,'oddspedia-matches'!$A:$AD,AC$2,0)</f>
        <v>#N/A</v>
      </c>
      <c r="AD494" t="e">
        <f>VLOOKUP($Z494,'oddspedia-matches'!$A:$AD,AD$2,0)</f>
        <v>#N/A</v>
      </c>
      <c r="AE494" t="e">
        <f>VLOOKUP($Z494,'oddspedia-matches'!$A:$AD,AE$2,0)</f>
        <v>#N/A</v>
      </c>
      <c r="AF494" t="e">
        <f>VLOOKUP($Z494,'oddspedia-matches'!$A:$AD,AF$2,0)</f>
        <v>#N/A</v>
      </c>
      <c r="AG494" t="e">
        <f>VLOOKUP($Z494,'oddspedia-matches'!$A:$AD,AG$2,0)</f>
        <v>#N/A</v>
      </c>
      <c r="AH494" t="e">
        <f>VLOOKUP($Z494,'oddspedia-matches'!$A:$AD,AH$2,0)</f>
        <v>#N/A</v>
      </c>
      <c r="AI494" t="e">
        <f>VLOOKUP($Z494,'oddspedia-matches'!$A:$AD,AI$2,0)</f>
        <v>#N/A</v>
      </c>
      <c r="AJ494" t="e">
        <f>VLOOKUP($Z494,'oddspedia-matches'!$A:$AD,AJ$2,0)</f>
        <v>#N/A</v>
      </c>
      <c r="AK494" t="e">
        <f>VLOOKUP($Z494,'oddspedia-matches'!$A:$AD,AK$2,0)</f>
        <v>#N/A</v>
      </c>
      <c r="AL494" t="e">
        <f>VLOOKUP($Z494,'oddspedia-matches'!$A:$AD,AL$2,0)</f>
        <v>#N/A</v>
      </c>
      <c r="AM494" t="e">
        <f>VLOOKUP($Z494,'oddspedia-matches'!$A:$AD,AM$2,0)</f>
        <v>#N/A</v>
      </c>
      <c r="AN494" t="e">
        <f>VLOOKUP($Z494,'oddspedia-matches'!$A:$AD,AN$2,0)</f>
        <v>#N/A</v>
      </c>
      <c r="AO494" t="e">
        <f>VLOOKUP($Z494,'oddspedia-matches'!$A:$AD,AO$2,0)</f>
        <v>#N/A</v>
      </c>
      <c r="AP494" t="e">
        <f>VLOOKUP($Z494,'oddspedia-matches'!$A:$AD,AP$2,0)</f>
        <v>#N/A</v>
      </c>
      <c r="AQ494" t="e">
        <f>VLOOKUP($Z494,'oddspedia-matches'!$A:$AD,AQ$2,0)</f>
        <v>#N/A</v>
      </c>
    </row>
    <row r="495" spans="2:43" x14ac:dyDescent="0.2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>
        <f>VLOOKUP(E495,'Transform table'!A:B,2,0)</f>
        <v>0</v>
      </c>
      <c r="Y495" t="e">
        <f>VLOOKUP(F495,'Transform table'!A:B,2,0)</f>
        <v>#N/A</v>
      </c>
      <c r="Z495" t="e">
        <f t="shared" si="7"/>
        <v>#N/A</v>
      </c>
      <c r="AA495" t="e">
        <f>VLOOKUP($Z495,'oddspedia-matches'!$A:$AD,AA$2,0)</f>
        <v>#N/A</v>
      </c>
      <c r="AB495" t="e">
        <f>VLOOKUP($Z495,'oddspedia-matches'!$A:$AD,AB$2,0)</f>
        <v>#N/A</v>
      </c>
      <c r="AC495" t="e">
        <f>VLOOKUP($Z495,'oddspedia-matches'!$A:$AD,AC$2,0)</f>
        <v>#N/A</v>
      </c>
      <c r="AD495" t="e">
        <f>VLOOKUP($Z495,'oddspedia-matches'!$A:$AD,AD$2,0)</f>
        <v>#N/A</v>
      </c>
      <c r="AE495" t="e">
        <f>VLOOKUP($Z495,'oddspedia-matches'!$A:$AD,AE$2,0)</f>
        <v>#N/A</v>
      </c>
      <c r="AF495" t="e">
        <f>VLOOKUP($Z495,'oddspedia-matches'!$A:$AD,AF$2,0)</f>
        <v>#N/A</v>
      </c>
      <c r="AG495" t="e">
        <f>VLOOKUP($Z495,'oddspedia-matches'!$A:$AD,AG$2,0)</f>
        <v>#N/A</v>
      </c>
      <c r="AH495" t="e">
        <f>VLOOKUP($Z495,'oddspedia-matches'!$A:$AD,AH$2,0)</f>
        <v>#N/A</v>
      </c>
      <c r="AI495" t="e">
        <f>VLOOKUP($Z495,'oddspedia-matches'!$A:$AD,AI$2,0)</f>
        <v>#N/A</v>
      </c>
      <c r="AJ495" t="e">
        <f>VLOOKUP($Z495,'oddspedia-matches'!$A:$AD,AJ$2,0)</f>
        <v>#N/A</v>
      </c>
      <c r="AK495" t="e">
        <f>VLOOKUP($Z495,'oddspedia-matches'!$A:$AD,AK$2,0)</f>
        <v>#N/A</v>
      </c>
      <c r="AL495" t="e">
        <f>VLOOKUP($Z495,'oddspedia-matches'!$A:$AD,AL$2,0)</f>
        <v>#N/A</v>
      </c>
      <c r="AM495" t="e">
        <f>VLOOKUP($Z495,'oddspedia-matches'!$A:$AD,AM$2,0)</f>
        <v>#N/A</v>
      </c>
      <c r="AN495" t="e">
        <f>VLOOKUP($Z495,'oddspedia-matches'!$A:$AD,AN$2,0)</f>
        <v>#N/A</v>
      </c>
      <c r="AO495" t="e">
        <f>VLOOKUP($Z495,'oddspedia-matches'!$A:$AD,AO$2,0)</f>
        <v>#N/A</v>
      </c>
      <c r="AP495" t="e">
        <f>VLOOKUP($Z495,'oddspedia-matches'!$A:$AD,AP$2,0)</f>
        <v>#N/A</v>
      </c>
      <c r="AQ495" t="e">
        <f>VLOOKUP($Z495,'oddspedia-matches'!$A:$AD,AQ$2,0)</f>
        <v>#N/A</v>
      </c>
    </row>
    <row r="496" spans="2:43" x14ac:dyDescent="0.2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tr">
        <f>VLOOKUP(E496,'Transform table'!A:B,2,0)</f>
        <v>Blumenau</v>
      </c>
      <c r="Y496" t="e">
        <f>VLOOKUP(F496,'Transform table'!A:B,2,0)</f>
        <v>#N/A</v>
      </c>
      <c r="Z496" t="e">
        <f t="shared" si="7"/>
        <v>#N/A</v>
      </c>
      <c r="AA496" t="e">
        <f>VLOOKUP($Z496,'oddspedia-matches'!$A:$AD,AA$2,0)</f>
        <v>#N/A</v>
      </c>
      <c r="AB496" t="e">
        <f>VLOOKUP($Z496,'oddspedia-matches'!$A:$AD,AB$2,0)</f>
        <v>#N/A</v>
      </c>
      <c r="AC496" t="e">
        <f>VLOOKUP($Z496,'oddspedia-matches'!$A:$AD,AC$2,0)</f>
        <v>#N/A</v>
      </c>
      <c r="AD496" t="e">
        <f>VLOOKUP($Z496,'oddspedia-matches'!$A:$AD,AD$2,0)</f>
        <v>#N/A</v>
      </c>
      <c r="AE496" t="e">
        <f>VLOOKUP($Z496,'oddspedia-matches'!$A:$AD,AE$2,0)</f>
        <v>#N/A</v>
      </c>
      <c r="AF496" t="e">
        <f>VLOOKUP($Z496,'oddspedia-matches'!$A:$AD,AF$2,0)</f>
        <v>#N/A</v>
      </c>
      <c r="AG496" t="e">
        <f>VLOOKUP($Z496,'oddspedia-matches'!$A:$AD,AG$2,0)</f>
        <v>#N/A</v>
      </c>
      <c r="AH496" t="e">
        <f>VLOOKUP($Z496,'oddspedia-matches'!$A:$AD,AH$2,0)</f>
        <v>#N/A</v>
      </c>
      <c r="AI496" t="e">
        <f>VLOOKUP($Z496,'oddspedia-matches'!$A:$AD,AI$2,0)</f>
        <v>#N/A</v>
      </c>
      <c r="AJ496" t="e">
        <f>VLOOKUP($Z496,'oddspedia-matches'!$A:$AD,AJ$2,0)</f>
        <v>#N/A</v>
      </c>
      <c r="AK496" t="e">
        <f>VLOOKUP($Z496,'oddspedia-matches'!$A:$AD,AK$2,0)</f>
        <v>#N/A</v>
      </c>
      <c r="AL496" t="e">
        <f>VLOOKUP($Z496,'oddspedia-matches'!$A:$AD,AL$2,0)</f>
        <v>#N/A</v>
      </c>
      <c r="AM496" t="e">
        <f>VLOOKUP($Z496,'oddspedia-matches'!$A:$AD,AM$2,0)</f>
        <v>#N/A</v>
      </c>
      <c r="AN496" t="e">
        <f>VLOOKUP($Z496,'oddspedia-matches'!$A:$AD,AN$2,0)</f>
        <v>#N/A</v>
      </c>
      <c r="AO496" t="e">
        <f>VLOOKUP($Z496,'oddspedia-matches'!$A:$AD,AO$2,0)</f>
        <v>#N/A</v>
      </c>
      <c r="AP496" t="e">
        <f>VLOOKUP($Z496,'oddspedia-matches'!$A:$AD,AP$2,0)</f>
        <v>#N/A</v>
      </c>
      <c r="AQ496" t="e">
        <f>VLOOKUP($Z496,'oddspedia-matches'!$A:$AD,AQ$2,0)</f>
        <v>#N/A</v>
      </c>
    </row>
    <row r="497" spans="2:43" x14ac:dyDescent="0.2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tr">
        <f>VLOOKUP(E497,'Transform table'!A:B,2,0)</f>
        <v>Amiens</v>
      </c>
      <c r="Y497" t="e">
        <f>VLOOKUP(F497,'Transform table'!A:B,2,0)</f>
        <v>#N/A</v>
      </c>
      <c r="Z497" t="e">
        <f t="shared" si="7"/>
        <v>#N/A</v>
      </c>
      <c r="AA497" t="e">
        <f>VLOOKUP($Z497,'oddspedia-matches'!$A:$AD,AA$2,0)</f>
        <v>#N/A</v>
      </c>
      <c r="AB497" t="e">
        <f>VLOOKUP($Z497,'oddspedia-matches'!$A:$AD,AB$2,0)</f>
        <v>#N/A</v>
      </c>
      <c r="AC497" t="e">
        <f>VLOOKUP($Z497,'oddspedia-matches'!$A:$AD,AC$2,0)</f>
        <v>#N/A</v>
      </c>
      <c r="AD497" t="e">
        <f>VLOOKUP($Z497,'oddspedia-matches'!$A:$AD,AD$2,0)</f>
        <v>#N/A</v>
      </c>
      <c r="AE497" t="e">
        <f>VLOOKUP($Z497,'oddspedia-matches'!$A:$AD,AE$2,0)</f>
        <v>#N/A</v>
      </c>
      <c r="AF497" t="e">
        <f>VLOOKUP($Z497,'oddspedia-matches'!$A:$AD,AF$2,0)</f>
        <v>#N/A</v>
      </c>
      <c r="AG497" t="e">
        <f>VLOOKUP($Z497,'oddspedia-matches'!$A:$AD,AG$2,0)</f>
        <v>#N/A</v>
      </c>
      <c r="AH497" t="e">
        <f>VLOOKUP($Z497,'oddspedia-matches'!$A:$AD,AH$2,0)</f>
        <v>#N/A</v>
      </c>
      <c r="AI497" t="e">
        <f>VLOOKUP($Z497,'oddspedia-matches'!$A:$AD,AI$2,0)</f>
        <v>#N/A</v>
      </c>
      <c r="AJ497" t="e">
        <f>VLOOKUP($Z497,'oddspedia-matches'!$A:$AD,AJ$2,0)</f>
        <v>#N/A</v>
      </c>
      <c r="AK497" t="e">
        <f>VLOOKUP($Z497,'oddspedia-matches'!$A:$AD,AK$2,0)</f>
        <v>#N/A</v>
      </c>
      <c r="AL497" t="e">
        <f>VLOOKUP($Z497,'oddspedia-matches'!$A:$AD,AL$2,0)</f>
        <v>#N/A</v>
      </c>
      <c r="AM497" t="e">
        <f>VLOOKUP($Z497,'oddspedia-matches'!$A:$AD,AM$2,0)</f>
        <v>#N/A</v>
      </c>
      <c r="AN497" t="e">
        <f>VLOOKUP($Z497,'oddspedia-matches'!$A:$AD,AN$2,0)</f>
        <v>#N/A</v>
      </c>
      <c r="AO497" t="e">
        <f>VLOOKUP($Z497,'oddspedia-matches'!$A:$AD,AO$2,0)</f>
        <v>#N/A</v>
      </c>
      <c r="AP497" t="e">
        <f>VLOOKUP($Z497,'oddspedia-matches'!$A:$AD,AP$2,0)</f>
        <v>#N/A</v>
      </c>
      <c r="AQ497" t="e">
        <f>VLOOKUP($Z497,'oddspedia-matches'!$A:$AD,AQ$2,0)</f>
        <v>#N/A</v>
      </c>
    </row>
    <row r="498" spans="2:43" x14ac:dyDescent="0.2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str">
        <f>VLOOKUP(E498,'Transform table'!A:B,2,0)</f>
        <v>Manica Diamonds</v>
      </c>
      <c r="Y498" t="e">
        <f>VLOOKUP(F498,'Transform table'!A:B,2,0)</f>
        <v>#N/A</v>
      </c>
      <c r="Z498" t="e">
        <f t="shared" si="7"/>
        <v>#N/A</v>
      </c>
      <c r="AA498" t="e">
        <f>VLOOKUP($Z498,'oddspedia-matches'!$A:$AD,AA$2,0)</f>
        <v>#N/A</v>
      </c>
      <c r="AB498" t="e">
        <f>VLOOKUP($Z498,'oddspedia-matches'!$A:$AD,AB$2,0)</f>
        <v>#N/A</v>
      </c>
      <c r="AC498" t="e">
        <f>VLOOKUP($Z498,'oddspedia-matches'!$A:$AD,AC$2,0)</f>
        <v>#N/A</v>
      </c>
      <c r="AD498" t="e">
        <f>VLOOKUP($Z498,'oddspedia-matches'!$A:$AD,AD$2,0)</f>
        <v>#N/A</v>
      </c>
      <c r="AE498" t="e">
        <f>VLOOKUP($Z498,'oddspedia-matches'!$A:$AD,AE$2,0)</f>
        <v>#N/A</v>
      </c>
      <c r="AF498" t="e">
        <f>VLOOKUP($Z498,'oddspedia-matches'!$A:$AD,AF$2,0)</f>
        <v>#N/A</v>
      </c>
      <c r="AG498" t="e">
        <f>VLOOKUP($Z498,'oddspedia-matches'!$A:$AD,AG$2,0)</f>
        <v>#N/A</v>
      </c>
      <c r="AH498" t="e">
        <f>VLOOKUP($Z498,'oddspedia-matches'!$A:$AD,AH$2,0)</f>
        <v>#N/A</v>
      </c>
      <c r="AI498" t="e">
        <f>VLOOKUP($Z498,'oddspedia-matches'!$A:$AD,AI$2,0)</f>
        <v>#N/A</v>
      </c>
      <c r="AJ498" t="e">
        <f>VLOOKUP($Z498,'oddspedia-matches'!$A:$AD,AJ$2,0)</f>
        <v>#N/A</v>
      </c>
      <c r="AK498" t="e">
        <f>VLOOKUP($Z498,'oddspedia-matches'!$A:$AD,AK$2,0)</f>
        <v>#N/A</v>
      </c>
      <c r="AL498" t="e">
        <f>VLOOKUP($Z498,'oddspedia-matches'!$A:$AD,AL$2,0)</f>
        <v>#N/A</v>
      </c>
      <c r="AM498" t="e">
        <f>VLOOKUP($Z498,'oddspedia-matches'!$A:$AD,AM$2,0)</f>
        <v>#N/A</v>
      </c>
      <c r="AN498" t="e">
        <f>VLOOKUP($Z498,'oddspedia-matches'!$A:$AD,AN$2,0)</f>
        <v>#N/A</v>
      </c>
      <c r="AO498" t="e">
        <f>VLOOKUP($Z498,'oddspedia-matches'!$A:$AD,AO$2,0)</f>
        <v>#N/A</v>
      </c>
      <c r="AP498" t="e">
        <f>VLOOKUP($Z498,'oddspedia-matches'!$A:$AD,AP$2,0)</f>
        <v>#N/A</v>
      </c>
      <c r="AQ498" t="e">
        <f>VLOOKUP($Z498,'oddspedia-matches'!$A:$AD,AQ$2,0)</f>
        <v>#N/A</v>
      </c>
    </row>
    <row r="499" spans="2:43" x14ac:dyDescent="0.2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tr">
        <f>VLOOKUP(E499,'Transform table'!A:B,2,0)</f>
        <v>Deportivo Capiata</v>
      </c>
      <c r="Y499" t="e">
        <f>VLOOKUP(F499,'Transform table'!A:B,2,0)</f>
        <v>#N/A</v>
      </c>
      <c r="Z499" t="e">
        <f t="shared" si="7"/>
        <v>#N/A</v>
      </c>
      <c r="AA499" t="e">
        <f>VLOOKUP($Z499,'oddspedia-matches'!$A:$AD,AA$2,0)</f>
        <v>#N/A</v>
      </c>
      <c r="AB499" t="e">
        <f>VLOOKUP($Z499,'oddspedia-matches'!$A:$AD,AB$2,0)</f>
        <v>#N/A</v>
      </c>
      <c r="AC499" t="e">
        <f>VLOOKUP($Z499,'oddspedia-matches'!$A:$AD,AC$2,0)</f>
        <v>#N/A</v>
      </c>
      <c r="AD499" t="e">
        <f>VLOOKUP($Z499,'oddspedia-matches'!$A:$AD,AD$2,0)</f>
        <v>#N/A</v>
      </c>
      <c r="AE499" t="e">
        <f>VLOOKUP($Z499,'oddspedia-matches'!$A:$AD,AE$2,0)</f>
        <v>#N/A</v>
      </c>
      <c r="AF499" t="e">
        <f>VLOOKUP($Z499,'oddspedia-matches'!$A:$AD,AF$2,0)</f>
        <v>#N/A</v>
      </c>
      <c r="AG499" t="e">
        <f>VLOOKUP($Z499,'oddspedia-matches'!$A:$AD,AG$2,0)</f>
        <v>#N/A</v>
      </c>
      <c r="AH499" t="e">
        <f>VLOOKUP($Z499,'oddspedia-matches'!$A:$AD,AH$2,0)</f>
        <v>#N/A</v>
      </c>
      <c r="AI499" t="e">
        <f>VLOOKUP($Z499,'oddspedia-matches'!$A:$AD,AI$2,0)</f>
        <v>#N/A</v>
      </c>
      <c r="AJ499" t="e">
        <f>VLOOKUP($Z499,'oddspedia-matches'!$A:$AD,AJ$2,0)</f>
        <v>#N/A</v>
      </c>
      <c r="AK499" t="e">
        <f>VLOOKUP($Z499,'oddspedia-matches'!$A:$AD,AK$2,0)</f>
        <v>#N/A</v>
      </c>
      <c r="AL499" t="e">
        <f>VLOOKUP($Z499,'oddspedia-matches'!$A:$AD,AL$2,0)</f>
        <v>#N/A</v>
      </c>
      <c r="AM499" t="e">
        <f>VLOOKUP($Z499,'oddspedia-matches'!$A:$AD,AM$2,0)</f>
        <v>#N/A</v>
      </c>
      <c r="AN499" t="e">
        <f>VLOOKUP($Z499,'oddspedia-matches'!$A:$AD,AN$2,0)</f>
        <v>#N/A</v>
      </c>
      <c r="AO499" t="e">
        <f>VLOOKUP($Z499,'oddspedia-matches'!$A:$AD,AO$2,0)</f>
        <v>#N/A</v>
      </c>
      <c r="AP499" t="e">
        <f>VLOOKUP($Z499,'oddspedia-matches'!$A:$AD,AP$2,0)</f>
        <v>#N/A</v>
      </c>
      <c r="AQ499" t="e">
        <f>VLOOKUP($Z499,'oddspedia-matches'!$A:$AD,AQ$2,0)</f>
        <v>#N/A</v>
      </c>
    </row>
    <row r="500" spans="2:43" x14ac:dyDescent="0.2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tr">
        <f>VLOOKUP(E500,'Transform table'!A:B,2,0)</f>
        <v>Concarneau</v>
      </c>
      <c r="Y500" t="e">
        <f>VLOOKUP(F500,'Transform table'!A:B,2,0)</f>
        <v>#N/A</v>
      </c>
      <c r="Z500" t="e">
        <f t="shared" si="7"/>
        <v>#N/A</v>
      </c>
      <c r="AA500" t="e">
        <f>VLOOKUP($Z500,'oddspedia-matches'!$A:$AD,AA$2,0)</f>
        <v>#N/A</v>
      </c>
      <c r="AB500" t="e">
        <f>VLOOKUP($Z500,'oddspedia-matches'!$A:$AD,AB$2,0)</f>
        <v>#N/A</v>
      </c>
      <c r="AC500" t="e">
        <f>VLOOKUP($Z500,'oddspedia-matches'!$A:$AD,AC$2,0)</f>
        <v>#N/A</v>
      </c>
      <c r="AD500" t="e">
        <f>VLOOKUP($Z500,'oddspedia-matches'!$A:$AD,AD$2,0)</f>
        <v>#N/A</v>
      </c>
      <c r="AE500" t="e">
        <f>VLOOKUP($Z500,'oddspedia-matches'!$A:$AD,AE$2,0)</f>
        <v>#N/A</v>
      </c>
      <c r="AF500" t="e">
        <f>VLOOKUP($Z500,'oddspedia-matches'!$A:$AD,AF$2,0)</f>
        <v>#N/A</v>
      </c>
      <c r="AG500" t="e">
        <f>VLOOKUP($Z500,'oddspedia-matches'!$A:$AD,AG$2,0)</f>
        <v>#N/A</v>
      </c>
      <c r="AH500" t="e">
        <f>VLOOKUP($Z500,'oddspedia-matches'!$A:$AD,AH$2,0)</f>
        <v>#N/A</v>
      </c>
      <c r="AI500" t="e">
        <f>VLOOKUP($Z500,'oddspedia-matches'!$A:$AD,AI$2,0)</f>
        <v>#N/A</v>
      </c>
      <c r="AJ500" t="e">
        <f>VLOOKUP($Z500,'oddspedia-matches'!$A:$AD,AJ$2,0)</f>
        <v>#N/A</v>
      </c>
      <c r="AK500" t="e">
        <f>VLOOKUP($Z500,'oddspedia-matches'!$A:$AD,AK$2,0)</f>
        <v>#N/A</v>
      </c>
      <c r="AL500" t="e">
        <f>VLOOKUP($Z500,'oddspedia-matches'!$A:$AD,AL$2,0)</f>
        <v>#N/A</v>
      </c>
      <c r="AM500" t="e">
        <f>VLOOKUP($Z500,'oddspedia-matches'!$A:$AD,AM$2,0)</f>
        <v>#N/A</v>
      </c>
      <c r="AN500" t="e">
        <f>VLOOKUP($Z500,'oddspedia-matches'!$A:$AD,AN$2,0)</f>
        <v>#N/A</v>
      </c>
      <c r="AO500" t="e">
        <f>VLOOKUP($Z500,'oddspedia-matches'!$A:$AD,AO$2,0)</f>
        <v>#N/A</v>
      </c>
      <c r="AP500" t="e">
        <f>VLOOKUP($Z500,'oddspedia-matches'!$A:$AD,AP$2,0)</f>
        <v>#N/A</v>
      </c>
      <c r="AQ500" t="e">
        <f>VLOOKUP($Z500,'oddspedia-matches'!$A:$AD,AQ$2,0)</f>
        <v>#N/A</v>
      </c>
    </row>
    <row r="501" spans="2:43" x14ac:dyDescent="0.2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tr">
        <f>VLOOKUP(E501,'Transform table'!A:B,2,0)</f>
        <v>Pau</v>
      </c>
      <c r="Y501" t="e">
        <f>VLOOKUP(F501,'Transform table'!A:B,2,0)</f>
        <v>#N/A</v>
      </c>
      <c r="Z501" t="e">
        <f t="shared" si="7"/>
        <v>#N/A</v>
      </c>
      <c r="AA501" t="e">
        <f>VLOOKUP($Z501,'oddspedia-matches'!$A:$AD,AA$2,0)</f>
        <v>#N/A</v>
      </c>
      <c r="AB501" t="e">
        <f>VLOOKUP($Z501,'oddspedia-matches'!$A:$AD,AB$2,0)</f>
        <v>#N/A</v>
      </c>
      <c r="AC501" t="e">
        <f>VLOOKUP($Z501,'oddspedia-matches'!$A:$AD,AC$2,0)</f>
        <v>#N/A</v>
      </c>
      <c r="AD501" t="e">
        <f>VLOOKUP($Z501,'oddspedia-matches'!$A:$AD,AD$2,0)</f>
        <v>#N/A</v>
      </c>
      <c r="AE501" t="e">
        <f>VLOOKUP($Z501,'oddspedia-matches'!$A:$AD,AE$2,0)</f>
        <v>#N/A</v>
      </c>
      <c r="AF501" t="e">
        <f>VLOOKUP($Z501,'oddspedia-matches'!$A:$AD,AF$2,0)</f>
        <v>#N/A</v>
      </c>
      <c r="AG501" t="e">
        <f>VLOOKUP($Z501,'oddspedia-matches'!$A:$AD,AG$2,0)</f>
        <v>#N/A</v>
      </c>
      <c r="AH501" t="e">
        <f>VLOOKUP($Z501,'oddspedia-matches'!$A:$AD,AH$2,0)</f>
        <v>#N/A</v>
      </c>
      <c r="AI501" t="e">
        <f>VLOOKUP($Z501,'oddspedia-matches'!$A:$AD,AI$2,0)</f>
        <v>#N/A</v>
      </c>
      <c r="AJ501" t="e">
        <f>VLOOKUP($Z501,'oddspedia-matches'!$A:$AD,AJ$2,0)</f>
        <v>#N/A</v>
      </c>
      <c r="AK501" t="e">
        <f>VLOOKUP($Z501,'oddspedia-matches'!$A:$AD,AK$2,0)</f>
        <v>#N/A</v>
      </c>
      <c r="AL501" t="e">
        <f>VLOOKUP($Z501,'oddspedia-matches'!$A:$AD,AL$2,0)</f>
        <v>#N/A</v>
      </c>
      <c r="AM501" t="e">
        <f>VLOOKUP($Z501,'oddspedia-matches'!$A:$AD,AM$2,0)</f>
        <v>#N/A</v>
      </c>
      <c r="AN501" t="e">
        <f>VLOOKUP($Z501,'oddspedia-matches'!$A:$AD,AN$2,0)</f>
        <v>#N/A</v>
      </c>
      <c r="AO501" t="e">
        <f>VLOOKUP($Z501,'oddspedia-matches'!$A:$AD,AO$2,0)</f>
        <v>#N/A</v>
      </c>
      <c r="AP501" t="e">
        <f>VLOOKUP($Z501,'oddspedia-matches'!$A:$AD,AP$2,0)</f>
        <v>#N/A</v>
      </c>
      <c r="AQ501" t="e">
        <f>VLOOKUP($Z501,'oddspedia-matches'!$A:$AD,AQ$2,0)</f>
        <v>#N/A</v>
      </c>
    </row>
    <row r="502" spans="2:43" x14ac:dyDescent="0.2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tr">
        <f>VLOOKUP(E502,'Transform table'!A:B,2,0)</f>
        <v>Once Caldas</v>
      </c>
      <c r="Y502" t="e">
        <f>VLOOKUP(F502,'Transform table'!A:B,2,0)</f>
        <v>#N/A</v>
      </c>
      <c r="Z502" t="e">
        <f t="shared" si="7"/>
        <v>#N/A</v>
      </c>
      <c r="AA502" t="e">
        <f>VLOOKUP($Z502,'oddspedia-matches'!$A:$AD,AA$2,0)</f>
        <v>#N/A</v>
      </c>
      <c r="AB502" t="e">
        <f>VLOOKUP($Z502,'oddspedia-matches'!$A:$AD,AB$2,0)</f>
        <v>#N/A</v>
      </c>
      <c r="AC502" t="e">
        <f>VLOOKUP($Z502,'oddspedia-matches'!$A:$AD,AC$2,0)</f>
        <v>#N/A</v>
      </c>
      <c r="AD502" t="e">
        <f>VLOOKUP($Z502,'oddspedia-matches'!$A:$AD,AD$2,0)</f>
        <v>#N/A</v>
      </c>
      <c r="AE502" t="e">
        <f>VLOOKUP($Z502,'oddspedia-matches'!$A:$AD,AE$2,0)</f>
        <v>#N/A</v>
      </c>
      <c r="AF502" t="e">
        <f>VLOOKUP($Z502,'oddspedia-matches'!$A:$AD,AF$2,0)</f>
        <v>#N/A</v>
      </c>
      <c r="AG502" t="e">
        <f>VLOOKUP($Z502,'oddspedia-matches'!$A:$AD,AG$2,0)</f>
        <v>#N/A</v>
      </c>
      <c r="AH502" t="e">
        <f>VLOOKUP($Z502,'oddspedia-matches'!$A:$AD,AH$2,0)</f>
        <v>#N/A</v>
      </c>
      <c r="AI502" t="e">
        <f>VLOOKUP($Z502,'oddspedia-matches'!$A:$AD,AI$2,0)</f>
        <v>#N/A</v>
      </c>
      <c r="AJ502" t="e">
        <f>VLOOKUP($Z502,'oddspedia-matches'!$A:$AD,AJ$2,0)</f>
        <v>#N/A</v>
      </c>
      <c r="AK502" t="e">
        <f>VLOOKUP($Z502,'oddspedia-matches'!$A:$AD,AK$2,0)</f>
        <v>#N/A</v>
      </c>
      <c r="AL502" t="e">
        <f>VLOOKUP($Z502,'oddspedia-matches'!$A:$AD,AL$2,0)</f>
        <v>#N/A</v>
      </c>
      <c r="AM502" t="e">
        <f>VLOOKUP($Z502,'oddspedia-matches'!$A:$AD,AM$2,0)</f>
        <v>#N/A</v>
      </c>
      <c r="AN502" t="e">
        <f>VLOOKUP($Z502,'oddspedia-matches'!$A:$AD,AN$2,0)</f>
        <v>#N/A</v>
      </c>
      <c r="AO502" t="e">
        <f>VLOOKUP($Z502,'oddspedia-matches'!$A:$AD,AO$2,0)</f>
        <v>#N/A</v>
      </c>
      <c r="AP502" t="e">
        <f>VLOOKUP($Z502,'oddspedia-matches'!$A:$AD,AP$2,0)</f>
        <v>#N/A</v>
      </c>
      <c r="AQ502" t="e">
        <f>VLOOKUP($Z502,'oddspedia-matches'!$A:$AD,AQ$2,0)</f>
        <v>#N/A</v>
      </c>
    </row>
    <row r="503" spans="2:43" x14ac:dyDescent="0.2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tr">
        <f>VLOOKUP(E503,'Transform table'!A:B,2,0)</f>
        <v>Torque</v>
      </c>
      <c r="Y503" t="e">
        <f>VLOOKUP(F503,'Transform table'!A:B,2,0)</f>
        <v>#N/A</v>
      </c>
      <c r="Z503" t="e">
        <f t="shared" si="7"/>
        <v>#N/A</v>
      </c>
      <c r="AA503" t="e">
        <f>VLOOKUP($Z503,'oddspedia-matches'!$A:$AD,AA$2,0)</f>
        <v>#N/A</v>
      </c>
      <c r="AB503" t="e">
        <f>VLOOKUP($Z503,'oddspedia-matches'!$A:$AD,AB$2,0)</f>
        <v>#N/A</v>
      </c>
      <c r="AC503" t="e">
        <f>VLOOKUP($Z503,'oddspedia-matches'!$A:$AD,AC$2,0)</f>
        <v>#N/A</v>
      </c>
      <c r="AD503" t="e">
        <f>VLOOKUP($Z503,'oddspedia-matches'!$A:$AD,AD$2,0)</f>
        <v>#N/A</v>
      </c>
      <c r="AE503" t="e">
        <f>VLOOKUP($Z503,'oddspedia-matches'!$A:$AD,AE$2,0)</f>
        <v>#N/A</v>
      </c>
      <c r="AF503" t="e">
        <f>VLOOKUP($Z503,'oddspedia-matches'!$A:$AD,AF$2,0)</f>
        <v>#N/A</v>
      </c>
      <c r="AG503" t="e">
        <f>VLOOKUP($Z503,'oddspedia-matches'!$A:$AD,AG$2,0)</f>
        <v>#N/A</v>
      </c>
      <c r="AH503" t="e">
        <f>VLOOKUP($Z503,'oddspedia-matches'!$A:$AD,AH$2,0)</f>
        <v>#N/A</v>
      </c>
      <c r="AI503" t="e">
        <f>VLOOKUP($Z503,'oddspedia-matches'!$A:$AD,AI$2,0)</f>
        <v>#N/A</v>
      </c>
      <c r="AJ503" t="e">
        <f>VLOOKUP($Z503,'oddspedia-matches'!$A:$AD,AJ$2,0)</f>
        <v>#N/A</v>
      </c>
      <c r="AK503" t="e">
        <f>VLOOKUP($Z503,'oddspedia-matches'!$A:$AD,AK$2,0)</f>
        <v>#N/A</v>
      </c>
      <c r="AL503" t="e">
        <f>VLOOKUP($Z503,'oddspedia-matches'!$A:$AD,AL$2,0)</f>
        <v>#N/A</v>
      </c>
      <c r="AM503" t="e">
        <f>VLOOKUP($Z503,'oddspedia-matches'!$A:$AD,AM$2,0)</f>
        <v>#N/A</v>
      </c>
      <c r="AN503" t="e">
        <f>VLOOKUP($Z503,'oddspedia-matches'!$A:$AD,AN$2,0)</f>
        <v>#N/A</v>
      </c>
      <c r="AO503" t="e">
        <f>VLOOKUP($Z503,'oddspedia-matches'!$A:$AD,AO$2,0)</f>
        <v>#N/A</v>
      </c>
      <c r="AP503" t="e">
        <f>VLOOKUP($Z503,'oddspedia-matches'!$A:$AD,AP$2,0)</f>
        <v>#N/A</v>
      </c>
      <c r="AQ503" t="e">
        <f>VLOOKUP($Z503,'oddspedia-matches'!$A:$AD,AQ$2,0)</f>
        <v>#N/A</v>
      </c>
    </row>
    <row r="504" spans="2:43" x14ac:dyDescent="0.2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>
        <f>VLOOKUP(E504,'Transform table'!A:B,2,0)</f>
        <v>0</v>
      </c>
      <c r="Y504" t="e">
        <f>VLOOKUP(F504,'Transform table'!A:B,2,0)</f>
        <v>#N/A</v>
      </c>
      <c r="Z504" t="e">
        <f t="shared" si="7"/>
        <v>#N/A</v>
      </c>
      <c r="AA504" t="e">
        <f>VLOOKUP($Z504,'oddspedia-matches'!$A:$AD,AA$2,0)</f>
        <v>#N/A</v>
      </c>
      <c r="AB504" t="e">
        <f>VLOOKUP($Z504,'oddspedia-matches'!$A:$AD,AB$2,0)</f>
        <v>#N/A</v>
      </c>
      <c r="AC504" t="e">
        <f>VLOOKUP($Z504,'oddspedia-matches'!$A:$AD,AC$2,0)</f>
        <v>#N/A</v>
      </c>
      <c r="AD504" t="e">
        <f>VLOOKUP($Z504,'oddspedia-matches'!$A:$AD,AD$2,0)</f>
        <v>#N/A</v>
      </c>
      <c r="AE504" t="e">
        <f>VLOOKUP($Z504,'oddspedia-matches'!$A:$AD,AE$2,0)</f>
        <v>#N/A</v>
      </c>
      <c r="AF504" t="e">
        <f>VLOOKUP($Z504,'oddspedia-matches'!$A:$AD,AF$2,0)</f>
        <v>#N/A</v>
      </c>
      <c r="AG504" t="e">
        <f>VLOOKUP($Z504,'oddspedia-matches'!$A:$AD,AG$2,0)</f>
        <v>#N/A</v>
      </c>
      <c r="AH504" t="e">
        <f>VLOOKUP($Z504,'oddspedia-matches'!$A:$AD,AH$2,0)</f>
        <v>#N/A</v>
      </c>
      <c r="AI504" t="e">
        <f>VLOOKUP($Z504,'oddspedia-matches'!$A:$AD,AI$2,0)</f>
        <v>#N/A</v>
      </c>
      <c r="AJ504" t="e">
        <f>VLOOKUP($Z504,'oddspedia-matches'!$A:$AD,AJ$2,0)</f>
        <v>#N/A</v>
      </c>
      <c r="AK504" t="e">
        <f>VLOOKUP($Z504,'oddspedia-matches'!$A:$AD,AK$2,0)</f>
        <v>#N/A</v>
      </c>
      <c r="AL504" t="e">
        <f>VLOOKUP($Z504,'oddspedia-matches'!$A:$AD,AL$2,0)</f>
        <v>#N/A</v>
      </c>
      <c r="AM504" t="e">
        <f>VLOOKUP($Z504,'oddspedia-matches'!$A:$AD,AM$2,0)</f>
        <v>#N/A</v>
      </c>
      <c r="AN504" t="e">
        <f>VLOOKUP($Z504,'oddspedia-matches'!$A:$AD,AN$2,0)</f>
        <v>#N/A</v>
      </c>
      <c r="AO504" t="e">
        <f>VLOOKUP($Z504,'oddspedia-matches'!$A:$AD,AO$2,0)</f>
        <v>#N/A</v>
      </c>
      <c r="AP504" t="e">
        <f>VLOOKUP($Z504,'oddspedia-matches'!$A:$AD,AP$2,0)</f>
        <v>#N/A</v>
      </c>
      <c r="AQ504" t="e">
        <f>VLOOKUP($Z504,'oddspedia-matches'!$A:$AD,AQ$2,0)</f>
        <v>#N/A</v>
      </c>
    </row>
    <row r="505" spans="2:43" x14ac:dyDescent="0.2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tr">
        <f>VLOOKUP(E505,'Transform table'!A:B,2,0)</f>
        <v>Tuggeranong United U23</v>
      </c>
      <c r="Y505" t="str">
        <f>VLOOKUP(F505,'Transform table'!A:B,2,0)</f>
        <v>Rigas Futbola Skola</v>
      </c>
      <c r="Z505" t="str">
        <f t="shared" si="7"/>
        <v>27/07/2026Tuggeranong United U23Rigas Futbola Skola</v>
      </c>
      <c r="AA505" t="e">
        <f>VLOOKUP($Z505,'oddspedia-matches'!$A:$AD,AA$2,0)</f>
        <v>#N/A</v>
      </c>
      <c r="AB505" t="e">
        <f>VLOOKUP($Z505,'oddspedia-matches'!$A:$AD,AB$2,0)</f>
        <v>#N/A</v>
      </c>
      <c r="AC505" t="e">
        <f>VLOOKUP($Z505,'oddspedia-matches'!$A:$AD,AC$2,0)</f>
        <v>#N/A</v>
      </c>
      <c r="AD505" t="e">
        <f>VLOOKUP($Z505,'oddspedia-matches'!$A:$AD,AD$2,0)</f>
        <v>#N/A</v>
      </c>
      <c r="AE505" t="e">
        <f>VLOOKUP($Z505,'oddspedia-matches'!$A:$AD,AE$2,0)</f>
        <v>#N/A</v>
      </c>
      <c r="AF505" t="e">
        <f>VLOOKUP($Z505,'oddspedia-matches'!$A:$AD,AF$2,0)</f>
        <v>#N/A</v>
      </c>
      <c r="AG505" t="e">
        <f>VLOOKUP($Z505,'oddspedia-matches'!$A:$AD,AG$2,0)</f>
        <v>#N/A</v>
      </c>
      <c r="AH505" t="e">
        <f>VLOOKUP($Z505,'oddspedia-matches'!$A:$AD,AH$2,0)</f>
        <v>#N/A</v>
      </c>
      <c r="AI505" t="e">
        <f>VLOOKUP($Z505,'oddspedia-matches'!$A:$AD,AI$2,0)</f>
        <v>#N/A</v>
      </c>
      <c r="AJ505" t="e">
        <f>VLOOKUP($Z505,'oddspedia-matches'!$A:$AD,AJ$2,0)</f>
        <v>#N/A</v>
      </c>
      <c r="AK505" t="e">
        <f>VLOOKUP($Z505,'oddspedia-matches'!$A:$AD,AK$2,0)</f>
        <v>#N/A</v>
      </c>
      <c r="AL505" t="e">
        <f>VLOOKUP($Z505,'oddspedia-matches'!$A:$AD,AL$2,0)</f>
        <v>#N/A</v>
      </c>
      <c r="AM505" t="e">
        <f>VLOOKUP($Z505,'oddspedia-matches'!$A:$AD,AM$2,0)</f>
        <v>#N/A</v>
      </c>
      <c r="AN505" t="e">
        <f>VLOOKUP($Z505,'oddspedia-matches'!$A:$AD,AN$2,0)</f>
        <v>#N/A</v>
      </c>
      <c r="AO505" t="e">
        <f>VLOOKUP($Z505,'oddspedia-matches'!$A:$AD,AO$2,0)</f>
        <v>#N/A</v>
      </c>
      <c r="AP505" t="e">
        <f>VLOOKUP($Z505,'oddspedia-matches'!$A:$AD,AP$2,0)</f>
        <v>#N/A</v>
      </c>
      <c r="AQ505" t="e">
        <f>VLOOKUP($Z505,'oddspedia-matches'!$A:$AD,AQ$2,0)</f>
        <v>#N/A</v>
      </c>
    </row>
    <row r="506" spans="2:43" x14ac:dyDescent="0.2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tr">
        <f>VLOOKUP(E506,'Transform table'!A:B,2,0)</f>
        <v>Valletta</v>
      </c>
      <c r="Y506" t="e">
        <f>VLOOKUP(F506,'Transform table'!A:B,2,0)</f>
        <v>#N/A</v>
      </c>
      <c r="Z506" t="e">
        <f t="shared" si="7"/>
        <v>#N/A</v>
      </c>
      <c r="AA506" t="e">
        <f>VLOOKUP($Z506,'oddspedia-matches'!$A:$AD,AA$2,0)</f>
        <v>#N/A</v>
      </c>
      <c r="AB506" t="e">
        <f>VLOOKUP($Z506,'oddspedia-matches'!$A:$AD,AB$2,0)</f>
        <v>#N/A</v>
      </c>
      <c r="AC506" t="e">
        <f>VLOOKUP($Z506,'oddspedia-matches'!$A:$AD,AC$2,0)</f>
        <v>#N/A</v>
      </c>
      <c r="AD506" t="e">
        <f>VLOOKUP($Z506,'oddspedia-matches'!$A:$AD,AD$2,0)</f>
        <v>#N/A</v>
      </c>
      <c r="AE506" t="e">
        <f>VLOOKUP($Z506,'oddspedia-matches'!$A:$AD,AE$2,0)</f>
        <v>#N/A</v>
      </c>
      <c r="AF506" t="e">
        <f>VLOOKUP($Z506,'oddspedia-matches'!$A:$AD,AF$2,0)</f>
        <v>#N/A</v>
      </c>
      <c r="AG506" t="e">
        <f>VLOOKUP($Z506,'oddspedia-matches'!$A:$AD,AG$2,0)</f>
        <v>#N/A</v>
      </c>
      <c r="AH506" t="e">
        <f>VLOOKUP($Z506,'oddspedia-matches'!$A:$AD,AH$2,0)</f>
        <v>#N/A</v>
      </c>
      <c r="AI506" t="e">
        <f>VLOOKUP($Z506,'oddspedia-matches'!$A:$AD,AI$2,0)</f>
        <v>#N/A</v>
      </c>
      <c r="AJ506" t="e">
        <f>VLOOKUP($Z506,'oddspedia-matches'!$A:$AD,AJ$2,0)</f>
        <v>#N/A</v>
      </c>
      <c r="AK506" t="e">
        <f>VLOOKUP($Z506,'oddspedia-matches'!$A:$AD,AK$2,0)</f>
        <v>#N/A</v>
      </c>
      <c r="AL506" t="e">
        <f>VLOOKUP($Z506,'oddspedia-matches'!$A:$AD,AL$2,0)</f>
        <v>#N/A</v>
      </c>
      <c r="AM506" t="e">
        <f>VLOOKUP($Z506,'oddspedia-matches'!$A:$AD,AM$2,0)</f>
        <v>#N/A</v>
      </c>
      <c r="AN506" t="e">
        <f>VLOOKUP($Z506,'oddspedia-matches'!$A:$AD,AN$2,0)</f>
        <v>#N/A</v>
      </c>
      <c r="AO506" t="e">
        <f>VLOOKUP($Z506,'oddspedia-matches'!$A:$AD,AO$2,0)</f>
        <v>#N/A</v>
      </c>
      <c r="AP506" t="e">
        <f>VLOOKUP($Z506,'oddspedia-matches'!$A:$AD,AP$2,0)</f>
        <v>#N/A</v>
      </c>
      <c r="AQ506" t="e">
        <f>VLOOKUP($Z506,'oddspedia-matches'!$A:$AD,AQ$2,0)</f>
        <v>#N/A</v>
      </c>
    </row>
    <row r="507" spans="2:43" x14ac:dyDescent="0.2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tr">
        <f>VLOOKUP(E507,'Transform table'!A:B,2,0)</f>
        <v>CFR Cluj</v>
      </c>
      <c r="Y507" t="e">
        <f>VLOOKUP(F507,'Transform table'!A:B,2,0)</f>
        <v>#N/A</v>
      </c>
      <c r="Z507" t="e">
        <f t="shared" si="7"/>
        <v>#N/A</v>
      </c>
      <c r="AA507" t="e">
        <f>VLOOKUP($Z507,'oddspedia-matches'!$A:$AD,AA$2,0)</f>
        <v>#N/A</v>
      </c>
      <c r="AB507" t="e">
        <f>VLOOKUP($Z507,'oddspedia-matches'!$A:$AD,AB$2,0)</f>
        <v>#N/A</v>
      </c>
      <c r="AC507" t="e">
        <f>VLOOKUP($Z507,'oddspedia-matches'!$A:$AD,AC$2,0)</f>
        <v>#N/A</v>
      </c>
      <c r="AD507" t="e">
        <f>VLOOKUP($Z507,'oddspedia-matches'!$A:$AD,AD$2,0)</f>
        <v>#N/A</v>
      </c>
      <c r="AE507" t="e">
        <f>VLOOKUP($Z507,'oddspedia-matches'!$A:$AD,AE$2,0)</f>
        <v>#N/A</v>
      </c>
      <c r="AF507" t="e">
        <f>VLOOKUP($Z507,'oddspedia-matches'!$A:$AD,AF$2,0)</f>
        <v>#N/A</v>
      </c>
      <c r="AG507" t="e">
        <f>VLOOKUP($Z507,'oddspedia-matches'!$A:$AD,AG$2,0)</f>
        <v>#N/A</v>
      </c>
      <c r="AH507" t="e">
        <f>VLOOKUP($Z507,'oddspedia-matches'!$A:$AD,AH$2,0)</f>
        <v>#N/A</v>
      </c>
      <c r="AI507" t="e">
        <f>VLOOKUP($Z507,'oddspedia-matches'!$A:$AD,AI$2,0)</f>
        <v>#N/A</v>
      </c>
      <c r="AJ507" t="e">
        <f>VLOOKUP($Z507,'oddspedia-matches'!$A:$AD,AJ$2,0)</f>
        <v>#N/A</v>
      </c>
      <c r="AK507" t="e">
        <f>VLOOKUP($Z507,'oddspedia-matches'!$A:$AD,AK$2,0)</f>
        <v>#N/A</v>
      </c>
      <c r="AL507" t="e">
        <f>VLOOKUP($Z507,'oddspedia-matches'!$A:$AD,AL$2,0)</f>
        <v>#N/A</v>
      </c>
      <c r="AM507" t="e">
        <f>VLOOKUP($Z507,'oddspedia-matches'!$A:$AD,AM$2,0)</f>
        <v>#N/A</v>
      </c>
      <c r="AN507" t="e">
        <f>VLOOKUP($Z507,'oddspedia-matches'!$A:$AD,AN$2,0)</f>
        <v>#N/A</v>
      </c>
      <c r="AO507" t="e">
        <f>VLOOKUP($Z507,'oddspedia-matches'!$A:$AD,AO$2,0)</f>
        <v>#N/A</v>
      </c>
      <c r="AP507" t="e">
        <f>VLOOKUP($Z507,'oddspedia-matches'!$A:$AD,AP$2,0)</f>
        <v>#N/A</v>
      </c>
      <c r="AQ507" t="e">
        <f>VLOOKUP($Z507,'oddspedia-matches'!$A:$AD,AQ$2,0)</f>
        <v>#N/A</v>
      </c>
    </row>
    <row r="508" spans="2:43" x14ac:dyDescent="0.2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tr">
        <f>VLOOKUP(E508,'Transform table'!A:B,2,0)</f>
        <v>Hegelmann Litauen</v>
      </c>
      <c r="Y508" t="e">
        <f>VLOOKUP(F508,'Transform table'!A:B,2,0)</f>
        <v>#N/A</v>
      </c>
      <c r="Z508" t="e">
        <f t="shared" si="7"/>
        <v>#N/A</v>
      </c>
      <c r="AA508" t="e">
        <f>VLOOKUP($Z508,'oddspedia-matches'!$A:$AD,AA$2,0)</f>
        <v>#N/A</v>
      </c>
      <c r="AB508" t="e">
        <f>VLOOKUP($Z508,'oddspedia-matches'!$A:$AD,AB$2,0)</f>
        <v>#N/A</v>
      </c>
      <c r="AC508" t="e">
        <f>VLOOKUP($Z508,'oddspedia-matches'!$A:$AD,AC$2,0)</f>
        <v>#N/A</v>
      </c>
      <c r="AD508" t="e">
        <f>VLOOKUP($Z508,'oddspedia-matches'!$A:$AD,AD$2,0)</f>
        <v>#N/A</v>
      </c>
      <c r="AE508" t="e">
        <f>VLOOKUP($Z508,'oddspedia-matches'!$A:$AD,AE$2,0)</f>
        <v>#N/A</v>
      </c>
      <c r="AF508" t="e">
        <f>VLOOKUP($Z508,'oddspedia-matches'!$A:$AD,AF$2,0)</f>
        <v>#N/A</v>
      </c>
      <c r="AG508" t="e">
        <f>VLOOKUP($Z508,'oddspedia-matches'!$A:$AD,AG$2,0)</f>
        <v>#N/A</v>
      </c>
      <c r="AH508" t="e">
        <f>VLOOKUP($Z508,'oddspedia-matches'!$A:$AD,AH$2,0)</f>
        <v>#N/A</v>
      </c>
      <c r="AI508" t="e">
        <f>VLOOKUP($Z508,'oddspedia-matches'!$A:$AD,AI$2,0)</f>
        <v>#N/A</v>
      </c>
      <c r="AJ508" t="e">
        <f>VLOOKUP($Z508,'oddspedia-matches'!$A:$AD,AJ$2,0)</f>
        <v>#N/A</v>
      </c>
      <c r="AK508" t="e">
        <f>VLOOKUP($Z508,'oddspedia-matches'!$A:$AD,AK$2,0)</f>
        <v>#N/A</v>
      </c>
      <c r="AL508" t="e">
        <f>VLOOKUP($Z508,'oddspedia-matches'!$A:$AD,AL$2,0)</f>
        <v>#N/A</v>
      </c>
      <c r="AM508" t="e">
        <f>VLOOKUP($Z508,'oddspedia-matches'!$A:$AD,AM$2,0)</f>
        <v>#N/A</v>
      </c>
      <c r="AN508" t="e">
        <f>VLOOKUP($Z508,'oddspedia-matches'!$A:$AD,AN$2,0)</f>
        <v>#N/A</v>
      </c>
      <c r="AO508" t="e">
        <f>VLOOKUP($Z508,'oddspedia-matches'!$A:$AD,AO$2,0)</f>
        <v>#N/A</v>
      </c>
      <c r="AP508" t="e">
        <f>VLOOKUP($Z508,'oddspedia-matches'!$A:$AD,AP$2,0)</f>
        <v>#N/A</v>
      </c>
      <c r="AQ508" t="e">
        <f>VLOOKUP($Z508,'oddspedia-matches'!$A:$AD,AQ$2,0)</f>
        <v>#N/A</v>
      </c>
    </row>
    <row r="509" spans="2:43" x14ac:dyDescent="0.2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tr">
        <f>VLOOKUP(E509,'Transform table'!A:B,2,0)</f>
        <v>Dunajska Streda</v>
      </c>
      <c r="Y509" t="e">
        <f>VLOOKUP(F509,'Transform table'!A:B,2,0)</f>
        <v>#N/A</v>
      </c>
      <c r="Z509" t="e">
        <f t="shared" si="7"/>
        <v>#N/A</v>
      </c>
      <c r="AA509" t="e">
        <f>VLOOKUP($Z509,'oddspedia-matches'!$A:$AD,AA$2,0)</f>
        <v>#N/A</v>
      </c>
      <c r="AB509" t="e">
        <f>VLOOKUP($Z509,'oddspedia-matches'!$A:$AD,AB$2,0)</f>
        <v>#N/A</v>
      </c>
      <c r="AC509" t="e">
        <f>VLOOKUP($Z509,'oddspedia-matches'!$A:$AD,AC$2,0)</f>
        <v>#N/A</v>
      </c>
      <c r="AD509" t="e">
        <f>VLOOKUP($Z509,'oddspedia-matches'!$A:$AD,AD$2,0)</f>
        <v>#N/A</v>
      </c>
      <c r="AE509" t="e">
        <f>VLOOKUP($Z509,'oddspedia-matches'!$A:$AD,AE$2,0)</f>
        <v>#N/A</v>
      </c>
      <c r="AF509" t="e">
        <f>VLOOKUP($Z509,'oddspedia-matches'!$A:$AD,AF$2,0)</f>
        <v>#N/A</v>
      </c>
      <c r="AG509" t="e">
        <f>VLOOKUP($Z509,'oddspedia-matches'!$A:$AD,AG$2,0)</f>
        <v>#N/A</v>
      </c>
      <c r="AH509" t="e">
        <f>VLOOKUP($Z509,'oddspedia-matches'!$A:$AD,AH$2,0)</f>
        <v>#N/A</v>
      </c>
      <c r="AI509" t="e">
        <f>VLOOKUP($Z509,'oddspedia-matches'!$A:$AD,AI$2,0)</f>
        <v>#N/A</v>
      </c>
      <c r="AJ509" t="e">
        <f>VLOOKUP($Z509,'oddspedia-matches'!$A:$AD,AJ$2,0)</f>
        <v>#N/A</v>
      </c>
      <c r="AK509" t="e">
        <f>VLOOKUP($Z509,'oddspedia-matches'!$A:$AD,AK$2,0)</f>
        <v>#N/A</v>
      </c>
      <c r="AL509" t="e">
        <f>VLOOKUP($Z509,'oddspedia-matches'!$A:$AD,AL$2,0)</f>
        <v>#N/A</v>
      </c>
      <c r="AM509" t="e">
        <f>VLOOKUP($Z509,'oddspedia-matches'!$A:$AD,AM$2,0)</f>
        <v>#N/A</v>
      </c>
      <c r="AN509" t="e">
        <f>VLOOKUP($Z509,'oddspedia-matches'!$A:$AD,AN$2,0)</f>
        <v>#N/A</v>
      </c>
      <c r="AO509" t="e">
        <f>VLOOKUP($Z509,'oddspedia-matches'!$A:$AD,AO$2,0)</f>
        <v>#N/A</v>
      </c>
      <c r="AP509" t="e">
        <f>VLOOKUP($Z509,'oddspedia-matches'!$A:$AD,AP$2,0)</f>
        <v>#N/A</v>
      </c>
      <c r="AQ509" t="e">
        <f>VLOOKUP($Z509,'oddspedia-matches'!$A:$AD,AQ$2,0)</f>
        <v>#N/A</v>
      </c>
    </row>
    <row r="510" spans="2:43" x14ac:dyDescent="0.2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tr">
        <f>VLOOKUP(E510,'Transform table'!A:B,2,0)</f>
        <v>JK Nomme United</v>
      </c>
      <c r="Y510" t="e">
        <f>VLOOKUP(F510,'Transform table'!A:B,2,0)</f>
        <v>#N/A</v>
      </c>
      <c r="Z510" t="e">
        <f t="shared" si="7"/>
        <v>#N/A</v>
      </c>
      <c r="AA510" t="e">
        <f>VLOOKUP($Z510,'oddspedia-matches'!$A:$AD,AA$2,0)</f>
        <v>#N/A</v>
      </c>
      <c r="AB510" t="e">
        <f>VLOOKUP($Z510,'oddspedia-matches'!$A:$AD,AB$2,0)</f>
        <v>#N/A</v>
      </c>
      <c r="AC510" t="e">
        <f>VLOOKUP($Z510,'oddspedia-matches'!$A:$AD,AC$2,0)</f>
        <v>#N/A</v>
      </c>
      <c r="AD510" t="e">
        <f>VLOOKUP($Z510,'oddspedia-matches'!$A:$AD,AD$2,0)</f>
        <v>#N/A</v>
      </c>
      <c r="AE510" t="e">
        <f>VLOOKUP($Z510,'oddspedia-matches'!$A:$AD,AE$2,0)</f>
        <v>#N/A</v>
      </c>
      <c r="AF510" t="e">
        <f>VLOOKUP($Z510,'oddspedia-matches'!$A:$AD,AF$2,0)</f>
        <v>#N/A</v>
      </c>
      <c r="AG510" t="e">
        <f>VLOOKUP($Z510,'oddspedia-matches'!$A:$AD,AG$2,0)</f>
        <v>#N/A</v>
      </c>
      <c r="AH510" t="e">
        <f>VLOOKUP($Z510,'oddspedia-matches'!$A:$AD,AH$2,0)</f>
        <v>#N/A</v>
      </c>
      <c r="AI510" t="e">
        <f>VLOOKUP($Z510,'oddspedia-matches'!$A:$AD,AI$2,0)</f>
        <v>#N/A</v>
      </c>
      <c r="AJ510" t="e">
        <f>VLOOKUP($Z510,'oddspedia-matches'!$A:$AD,AJ$2,0)</f>
        <v>#N/A</v>
      </c>
      <c r="AK510" t="e">
        <f>VLOOKUP($Z510,'oddspedia-matches'!$A:$AD,AK$2,0)</f>
        <v>#N/A</v>
      </c>
      <c r="AL510" t="e">
        <f>VLOOKUP($Z510,'oddspedia-matches'!$A:$AD,AL$2,0)</f>
        <v>#N/A</v>
      </c>
      <c r="AM510" t="e">
        <f>VLOOKUP($Z510,'oddspedia-matches'!$A:$AD,AM$2,0)</f>
        <v>#N/A</v>
      </c>
      <c r="AN510" t="e">
        <f>VLOOKUP($Z510,'oddspedia-matches'!$A:$AD,AN$2,0)</f>
        <v>#N/A</v>
      </c>
      <c r="AO510" t="e">
        <f>VLOOKUP($Z510,'oddspedia-matches'!$A:$AD,AO$2,0)</f>
        <v>#N/A</v>
      </c>
      <c r="AP510" t="e">
        <f>VLOOKUP($Z510,'oddspedia-matches'!$A:$AD,AP$2,0)</f>
        <v>#N/A</v>
      </c>
      <c r="AQ510" t="e">
        <f>VLOOKUP($Z510,'oddspedia-matches'!$A:$AD,AQ$2,0)</f>
        <v>#N/A</v>
      </c>
    </row>
    <row r="511" spans="2:43" x14ac:dyDescent="0.2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tr">
        <f>VLOOKUP(E511,'Transform table'!A:B,2,0)</f>
        <v>SC Grobinas</v>
      </c>
      <c r="Y511" t="e">
        <f>VLOOKUP(F511,'Transform table'!A:B,2,0)</f>
        <v>#N/A</v>
      </c>
      <c r="Z511" t="e">
        <f t="shared" si="7"/>
        <v>#N/A</v>
      </c>
      <c r="AA511" t="e">
        <f>VLOOKUP($Z511,'oddspedia-matches'!$A:$AD,AA$2,0)</f>
        <v>#N/A</v>
      </c>
      <c r="AB511" t="e">
        <f>VLOOKUP($Z511,'oddspedia-matches'!$A:$AD,AB$2,0)</f>
        <v>#N/A</v>
      </c>
      <c r="AC511" t="e">
        <f>VLOOKUP($Z511,'oddspedia-matches'!$A:$AD,AC$2,0)</f>
        <v>#N/A</v>
      </c>
      <c r="AD511" t="e">
        <f>VLOOKUP($Z511,'oddspedia-matches'!$A:$AD,AD$2,0)</f>
        <v>#N/A</v>
      </c>
      <c r="AE511" t="e">
        <f>VLOOKUP($Z511,'oddspedia-matches'!$A:$AD,AE$2,0)</f>
        <v>#N/A</v>
      </c>
      <c r="AF511" t="e">
        <f>VLOOKUP($Z511,'oddspedia-matches'!$A:$AD,AF$2,0)</f>
        <v>#N/A</v>
      </c>
      <c r="AG511" t="e">
        <f>VLOOKUP($Z511,'oddspedia-matches'!$A:$AD,AG$2,0)</f>
        <v>#N/A</v>
      </c>
      <c r="AH511" t="e">
        <f>VLOOKUP($Z511,'oddspedia-matches'!$A:$AD,AH$2,0)</f>
        <v>#N/A</v>
      </c>
      <c r="AI511" t="e">
        <f>VLOOKUP($Z511,'oddspedia-matches'!$A:$AD,AI$2,0)</f>
        <v>#N/A</v>
      </c>
      <c r="AJ511" t="e">
        <f>VLOOKUP($Z511,'oddspedia-matches'!$A:$AD,AJ$2,0)</f>
        <v>#N/A</v>
      </c>
      <c r="AK511" t="e">
        <f>VLOOKUP($Z511,'oddspedia-matches'!$A:$AD,AK$2,0)</f>
        <v>#N/A</v>
      </c>
      <c r="AL511" t="e">
        <f>VLOOKUP($Z511,'oddspedia-matches'!$A:$AD,AL$2,0)</f>
        <v>#N/A</v>
      </c>
      <c r="AM511" t="e">
        <f>VLOOKUP($Z511,'oddspedia-matches'!$A:$AD,AM$2,0)</f>
        <v>#N/A</v>
      </c>
      <c r="AN511" t="e">
        <f>VLOOKUP($Z511,'oddspedia-matches'!$A:$AD,AN$2,0)</f>
        <v>#N/A</v>
      </c>
      <c r="AO511" t="e">
        <f>VLOOKUP($Z511,'oddspedia-matches'!$A:$AD,AO$2,0)</f>
        <v>#N/A</v>
      </c>
      <c r="AP511" t="e">
        <f>VLOOKUP($Z511,'oddspedia-matches'!$A:$AD,AP$2,0)</f>
        <v>#N/A</v>
      </c>
      <c r="AQ511" t="e">
        <f>VLOOKUP($Z511,'oddspedia-matches'!$A:$AD,AQ$2,0)</f>
        <v>#N/A</v>
      </c>
    </row>
    <row r="512" spans="2:43" x14ac:dyDescent="0.2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tr">
        <f>VLOOKUP(E512,'Transform table'!A:B,2,0)</f>
        <v>Metz</v>
      </c>
      <c r="Y512" t="str">
        <f>VLOOKUP(F512,'Transform table'!A:B,2,0)</f>
        <v>FK Tukums 2000 II</v>
      </c>
      <c r="Z512" t="str">
        <f t="shared" si="7"/>
        <v>27/07/2026MetzFK Tukums 2000 II</v>
      </c>
      <c r="AA512" t="e">
        <f>VLOOKUP($Z512,'oddspedia-matches'!$A:$AD,AA$2,0)</f>
        <v>#N/A</v>
      </c>
      <c r="AB512" t="e">
        <f>VLOOKUP($Z512,'oddspedia-matches'!$A:$AD,AB$2,0)</f>
        <v>#N/A</v>
      </c>
      <c r="AC512" t="e">
        <f>VLOOKUP($Z512,'oddspedia-matches'!$A:$AD,AC$2,0)</f>
        <v>#N/A</v>
      </c>
      <c r="AD512" t="e">
        <f>VLOOKUP($Z512,'oddspedia-matches'!$A:$AD,AD$2,0)</f>
        <v>#N/A</v>
      </c>
      <c r="AE512" t="e">
        <f>VLOOKUP($Z512,'oddspedia-matches'!$A:$AD,AE$2,0)</f>
        <v>#N/A</v>
      </c>
      <c r="AF512" t="e">
        <f>VLOOKUP($Z512,'oddspedia-matches'!$A:$AD,AF$2,0)</f>
        <v>#N/A</v>
      </c>
      <c r="AG512" t="e">
        <f>VLOOKUP($Z512,'oddspedia-matches'!$A:$AD,AG$2,0)</f>
        <v>#N/A</v>
      </c>
      <c r="AH512" t="e">
        <f>VLOOKUP($Z512,'oddspedia-matches'!$A:$AD,AH$2,0)</f>
        <v>#N/A</v>
      </c>
      <c r="AI512" t="e">
        <f>VLOOKUP($Z512,'oddspedia-matches'!$A:$AD,AI$2,0)</f>
        <v>#N/A</v>
      </c>
      <c r="AJ512" t="e">
        <f>VLOOKUP($Z512,'oddspedia-matches'!$A:$AD,AJ$2,0)</f>
        <v>#N/A</v>
      </c>
      <c r="AK512" t="e">
        <f>VLOOKUP($Z512,'oddspedia-matches'!$A:$AD,AK$2,0)</f>
        <v>#N/A</v>
      </c>
      <c r="AL512" t="e">
        <f>VLOOKUP($Z512,'oddspedia-matches'!$A:$AD,AL$2,0)</f>
        <v>#N/A</v>
      </c>
      <c r="AM512" t="e">
        <f>VLOOKUP($Z512,'oddspedia-matches'!$A:$AD,AM$2,0)</f>
        <v>#N/A</v>
      </c>
      <c r="AN512" t="e">
        <f>VLOOKUP($Z512,'oddspedia-matches'!$A:$AD,AN$2,0)</f>
        <v>#N/A</v>
      </c>
      <c r="AO512" t="e">
        <f>VLOOKUP($Z512,'oddspedia-matches'!$A:$AD,AO$2,0)</f>
        <v>#N/A</v>
      </c>
      <c r="AP512" t="e">
        <f>VLOOKUP($Z512,'oddspedia-matches'!$A:$AD,AP$2,0)</f>
        <v>#N/A</v>
      </c>
      <c r="AQ512" t="e">
        <f>VLOOKUP($Z512,'oddspedia-matches'!$A:$AD,AQ$2,0)</f>
        <v>#N/A</v>
      </c>
    </row>
    <row r="513" spans="2:43" x14ac:dyDescent="0.2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tr">
        <f>VLOOKUP(E513,'Transform table'!A:B,2,0)</f>
        <v>Rangers</v>
      </c>
      <c r="Y513" t="e">
        <f>VLOOKUP(F513,'Transform table'!A:B,2,0)</f>
        <v>#N/A</v>
      </c>
      <c r="Z513" t="e">
        <f t="shared" si="7"/>
        <v>#N/A</v>
      </c>
      <c r="AA513" t="e">
        <f>VLOOKUP($Z513,'oddspedia-matches'!$A:$AD,AA$2,0)</f>
        <v>#N/A</v>
      </c>
      <c r="AB513" t="e">
        <f>VLOOKUP($Z513,'oddspedia-matches'!$A:$AD,AB$2,0)</f>
        <v>#N/A</v>
      </c>
      <c r="AC513" t="e">
        <f>VLOOKUP($Z513,'oddspedia-matches'!$A:$AD,AC$2,0)</f>
        <v>#N/A</v>
      </c>
      <c r="AD513" t="e">
        <f>VLOOKUP($Z513,'oddspedia-matches'!$A:$AD,AD$2,0)</f>
        <v>#N/A</v>
      </c>
      <c r="AE513" t="e">
        <f>VLOOKUP($Z513,'oddspedia-matches'!$A:$AD,AE$2,0)</f>
        <v>#N/A</v>
      </c>
      <c r="AF513" t="e">
        <f>VLOOKUP($Z513,'oddspedia-matches'!$A:$AD,AF$2,0)</f>
        <v>#N/A</v>
      </c>
      <c r="AG513" t="e">
        <f>VLOOKUP($Z513,'oddspedia-matches'!$A:$AD,AG$2,0)</f>
        <v>#N/A</v>
      </c>
      <c r="AH513" t="e">
        <f>VLOOKUP($Z513,'oddspedia-matches'!$A:$AD,AH$2,0)</f>
        <v>#N/A</v>
      </c>
      <c r="AI513" t="e">
        <f>VLOOKUP($Z513,'oddspedia-matches'!$A:$AD,AI$2,0)</f>
        <v>#N/A</v>
      </c>
      <c r="AJ513" t="e">
        <f>VLOOKUP($Z513,'oddspedia-matches'!$A:$AD,AJ$2,0)</f>
        <v>#N/A</v>
      </c>
      <c r="AK513" t="e">
        <f>VLOOKUP($Z513,'oddspedia-matches'!$A:$AD,AK$2,0)</f>
        <v>#N/A</v>
      </c>
      <c r="AL513" t="e">
        <f>VLOOKUP($Z513,'oddspedia-matches'!$A:$AD,AL$2,0)</f>
        <v>#N/A</v>
      </c>
      <c r="AM513" t="e">
        <f>VLOOKUP($Z513,'oddspedia-matches'!$A:$AD,AM$2,0)</f>
        <v>#N/A</v>
      </c>
      <c r="AN513" t="e">
        <f>VLOOKUP($Z513,'oddspedia-matches'!$A:$AD,AN$2,0)</f>
        <v>#N/A</v>
      </c>
      <c r="AO513" t="e">
        <f>VLOOKUP($Z513,'oddspedia-matches'!$A:$AD,AO$2,0)</f>
        <v>#N/A</v>
      </c>
      <c r="AP513" t="e">
        <f>VLOOKUP($Z513,'oddspedia-matches'!$A:$AD,AP$2,0)</f>
        <v>#N/A</v>
      </c>
      <c r="AQ513" t="e">
        <f>VLOOKUP($Z513,'oddspedia-matches'!$A:$AD,AQ$2,0)</f>
        <v>#N/A</v>
      </c>
    </row>
    <row r="514" spans="2:43" x14ac:dyDescent="0.2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tr">
        <f>VLOOKUP(E514,'Transform table'!A:B,2,0)</f>
        <v>Rotherham United</v>
      </c>
      <c r="Y514" t="e">
        <f>VLOOKUP(F514,'Transform table'!A:B,2,0)</f>
        <v>#N/A</v>
      </c>
      <c r="Z514" t="e">
        <f t="shared" si="7"/>
        <v>#N/A</v>
      </c>
      <c r="AA514" t="e">
        <f>VLOOKUP($Z514,'oddspedia-matches'!$A:$AD,AA$2,0)</f>
        <v>#N/A</v>
      </c>
      <c r="AB514" t="e">
        <f>VLOOKUP($Z514,'oddspedia-matches'!$A:$AD,AB$2,0)</f>
        <v>#N/A</v>
      </c>
      <c r="AC514" t="e">
        <f>VLOOKUP($Z514,'oddspedia-matches'!$A:$AD,AC$2,0)</f>
        <v>#N/A</v>
      </c>
      <c r="AD514" t="e">
        <f>VLOOKUP($Z514,'oddspedia-matches'!$A:$AD,AD$2,0)</f>
        <v>#N/A</v>
      </c>
      <c r="AE514" t="e">
        <f>VLOOKUP($Z514,'oddspedia-matches'!$A:$AD,AE$2,0)</f>
        <v>#N/A</v>
      </c>
      <c r="AF514" t="e">
        <f>VLOOKUP($Z514,'oddspedia-matches'!$A:$AD,AF$2,0)</f>
        <v>#N/A</v>
      </c>
      <c r="AG514" t="e">
        <f>VLOOKUP($Z514,'oddspedia-matches'!$A:$AD,AG$2,0)</f>
        <v>#N/A</v>
      </c>
      <c r="AH514" t="e">
        <f>VLOOKUP($Z514,'oddspedia-matches'!$A:$AD,AH$2,0)</f>
        <v>#N/A</v>
      </c>
      <c r="AI514" t="e">
        <f>VLOOKUP($Z514,'oddspedia-matches'!$A:$AD,AI$2,0)</f>
        <v>#N/A</v>
      </c>
      <c r="AJ514" t="e">
        <f>VLOOKUP($Z514,'oddspedia-matches'!$A:$AD,AJ$2,0)</f>
        <v>#N/A</v>
      </c>
      <c r="AK514" t="e">
        <f>VLOOKUP($Z514,'oddspedia-matches'!$A:$AD,AK$2,0)</f>
        <v>#N/A</v>
      </c>
      <c r="AL514" t="e">
        <f>VLOOKUP($Z514,'oddspedia-matches'!$A:$AD,AL$2,0)</f>
        <v>#N/A</v>
      </c>
      <c r="AM514" t="e">
        <f>VLOOKUP($Z514,'oddspedia-matches'!$A:$AD,AM$2,0)</f>
        <v>#N/A</v>
      </c>
      <c r="AN514" t="e">
        <f>VLOOKUP($Z514,'oddspedia-matches'!$A:$AD,AN$2,0)</f>
        <v>#N/A</v>
      </c>
      <c r="AO514" t="e">
        <f>VLOOKUP($Z514,'oddspedia-matches'!$A:$AD,AO$2,0)</f>
        <v>#N/A</v>
      </c>
      <c r="AP514" t="e">
        <f>VLOOKUP($Z514,'oddspedia-matches'!$A:$AD,AP$2,0)</f>
        <v>#N/A</v>
      </c>
      <c r="AQ514" t="e">
        <f>VLOOKUP($Z514,'oddspedia-matches'!$A:$AD,AQ$2,0)</f>
        <v>#N/A</v>
      </c>
    </row>
    <row r="515" spans="2:43" x14ac:dyDescent="0.2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tr">
        <f>VLOOKUP(E515,'Transform table'!A:B,2,0)</f>
        <v>Stamford</v>
      </c>
      <c r="Y515" t="e">
        <f>VLOOKUP(F515,'Transform table'!A:B,2,0)</f>
        <v>#N/A</v>
      </c>
      <c r="Z515" t="e">
        <f t="shared" si="7"/>
        <v>#N/A</v>
      </c>
      <c r="AA515" t="e">
        <f>VLOOKUP($Z515,'oddspedia-matches'!$A:$AD,AA$2,0)</f>
        <v>#N/A</v>
      </c>
      <c r="AB515" t="e">
        <f>VLOOKUP($Z515,'oddspedia-matches'!$A:$AD,AB$2,0)</f>
        <v>#N/A</v>
      </c>
      <c r="AC515" t="e">
        <f>VLOOKUP($Z515,'oddspedia-matches'!$A:$AD,AC$2,0)</f>
        <v>#N/A</v>
      </c>
      <c r="AD515" t="e">
        <f>VLOOKUP($Z515,'oddspedia-matches'!$A:$AD,AD$2,0)</f>
        <v>#N/A</v>
      </c>
      <c r="AE515" t="e">
        <f>VLOOKUP($Z515,'oddspedia-matches'!$A:$AD,AE$2,0)</f>
        <v>#N/A</v>
      </c>
      <c r="AF515" t="e">
        <f>VLOOKUP($Z515,'oddspedia-matches'!$A:$AD,AF$2,0)</f>
        <v>#N/A</v>
      </c>
      <c r="AG515" t="e">
        <f>VLOOKUP($Z515,'oddspedia-matches'!$A:$AD,AG$2,0)</f>
        <v>#N/A</v>
      </c>
      <c r="AH515" t="e">
        <f>VLOOKUP($Z515,'oddspedia-matches'!$A:$AD,AH$2,0)</f>
        <v>#N/A</v>
      </c>
      <c r="AI515" t="e">
        <f>VLOOKUP($Z515,'oddspedia-matches'!$A:$AD,AI$2,0)</f>
        <v>#N/A</v>
      </c>
      <c r="AJ515" t="e">
        <f>VLOOKUP($Z515,'oddspedia-matches'!$A:$AD,AJ$2,0)</f>
        <v>#N/A</v>
      </c>
      <c r="AK515" t="e">
        <f>VLOOKUP($Z515,'oddspedia-matches'!$A:$AD,AK$2,0)</f>
        <v>#N/A</v>
      </c>
      <c r="AL515" t="e">
        <f>VLOOKUP($Z515,'oddspedia-matches'!$A:$AD,AL$2,0)</f>
        <v>#N/A</v>
      </c>
      <c r="AM515" t="e">
        <f>VLOOKUP($Z515,'oddspedia-matches'!$A:$AD,AM$2,0)</f>
        <v>#N/A</v>
      </c>
      <c r="AN515" t="e">
        <f>VLOOKUP($Z515,'oddspedia-matches'!$A:$AD,AN$2,0)</f>
        <v>#N/A</v>
      </c>
      <c r="AO515" t="e">
        <f>VLOOKUP($Z515,'oddspedia-matches'!$A:$AD,AO$2,0)</f>
        <v>#N/A</v>
      </c>
      <c r="AP515" t="e">
        <f>VLOOKUP($Z515,'oddspedia-matches'!$A:$AD,AP$2,0)</f>
        <v>#N/A</v>
      </c>
      <c r="AQ515" t="e">
        <f>VLOOKUP($Z515,'oddspedia-matches'!$A:$AD,AQ$2,0)</f>
        <v>#N/A</v>
      </c>
    </row>
    <row r="516" spans="2:43" x14ac:dyDescent="0.2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tr">
        <f>VLOOKUP(E516,'Transform table'!A:B,2,0)</f>
        <v>Zlatibor Cajetina</v>
      </c>
      <c r="Y516" t="e">
        <f>VLOOKUP(F516,'Transform table'!A:B,2,0)</f>
        <v>#N/A</v>
      </c>
      <c r="Z516" t="e">
        <f t="shared" ref="Z516:Z559" si="8">C516&amp;X516&amp;Y516</f>
        <v>#N/A</v>
      </c>
      <c r="AA516" t="e">
        <f>VLOOKUP($Z516,'oddspedia-matches'!$A:$AD,AA$2,0)</f>
        <v>#N/A</v>
      </c>
      <c r="AB516" t="e">
        <f>VLOOKUP($Z516,'oddspedia-matches'!$A:$AD,AB$2,0)</f>
        <v>#N/A</v>
      </c>
      <c r="AC516" t="e">
        <f>VLOOKUP($Z516,'oddspedia-matches'!$A:$AD,AC$2,0)</f>
        <v>#N/A</v>
      </c>
      <c r="AD516" t="e">
        <f>VLOOKUP($Z516,'oddspedia-matches'!$A:$AD,AD$2,0)</f>
        <v>#N/A</v>
      </c>
      <c r="AE516" t="e">
        <f>VLOOKUP($Z516,'oddspedia-matches'!$A:$AD,AE$2,0)</f>
        <v>#N/A</v>
      </c>
      <c r="AF516" t="e">
        <f>VLOOKUP($Z516,'oddspedia-matches'!$A:$AD,AF$2,0)</f>
        <v>#N/A</v>
      </c>
      <c r="AG516" t="e">
        <f>VLOOKUP($Z516,'oddspedia-matches'!$A:$AD,AG$2,0)</f>
        <v>#N/A</v>
      </c>
      <c r="AH516" t="e">
        <f>VLOOKUP($Z516,'oddspedia-matches'!$A:$AD,AH$2,0)</f>
        <v>#N/A</v>
      </c>
      <c r="AI516" t="e">
        <f>VLOOKUP($Z516,'oddspedia-matches'!$A:$AD,AI$2,0)</f>
        <v>#N/A</v>
      </c>
      <c r="AJ516" t="e">
        <f>VLOOKUP($Z516,'oddspedia-matches'!$A:$AD,AJ$2,0)</f>
        <v>#N/A</v>
      </c>
      <c r="AK516" t="e">
        <f>VLOOKUP($Z516,'oddspedia-matches'!$A:$AD,AK$2,0)</f>
        <v>#N/A</v>
      </c>
      <c r="AL516" t="e">
        <f>VLOOKUP($Z516,'oddspedia-matches'!$A:$AD,AL$2,0)</f>
        <v>#N/A</v>
      </c>
      <c r="AM516" t="e">
        <f>VLOOKUP($Z516,'oddspedia-matches'!$A:$AD,AM$2,0)</f>
        <v>#N/A</v>
      </c>
      <c r="AN516" t="e">
        <f>VLOOKUP($Z516,'oddspedia-matches'!$A:$AD,AN$2,0)</f>
        <v>#N/A</v>
      </c>
      <c r="AO516" t="e">
        <f>VLOOKUP($Z516,'oddspedia-matches'!$A:$AD,AO$2,0)</f>
        <v>#N/A</v>
      </c>
      <c r="AP516" t="e">
        <f>VLOOKUP($Z516,'oddspedia-matches'!$A:$AD,AP$2,0)</f>
        <v>#N/A</v>
      </c>
      <c r="AQ516" t="e">
        <f>VLOOKUP($Z516,'oddspedia-matches'!$A:$AD,AQ$2,0)</f>
        <v>#N/A</v>
      </c>
    </row>
    <row r="517" spans="2:43" x14ac:dyDescent="0.2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>
        <f>VLOOKUP(E517,'Transform table'!A:B,2,0)</f>
        <v>0</v>
      </c>
      <c r="Y517" t="e">
        <f>VLOOKUP(F517,'Transform table'!A:B,2,0)</f>
        <v>#N/A</v>
      </c>
      <c r="Z517" t="e">
        <f t="shared" si="8"/>
        <v>#N/A</v>
      </c>
      <c r="AA517" t="e">
        <f>VLOOKUP($Z517,'oddspedia-matches'!$A:$AD,AA$2,0)</f>
        <v>#N/A</v>
      </c>
      <c r="AB517" t="e">
        <f>VLOOKUP($Z517,'oddspedia-matches'!$A:$AD,AB$2,0)</f>
        <v>#N/A</v>
      </c>
      <c r="AC517" t="e">
        <f>VLOOKUP($Z517,'oddspedia-matches'!$A:$AD,AC$2,0)</f>
        <v>#N/A</v>
      </c>
      <c r="AD517" t="e">
        <f>VLOOKUP($Z517,'oddspedia-matches'!$A:$AD,AD$2,0)</f>
        <v>#N/A</v>
      </c>
      <c r="AE517" t="e">
        <f>VLOOKUP($Z517,'oddspedia-matches'!$A:$AD,AE$2,0)</f>
        <v>#N/A</v>
      </c>
      <c r="AF517" t="e">
        <f>VLOOKUP($Z517,'oddspedia-matches'!$A:$AD,AF$2,0)</f>
        <v>#N/A</v>
      </c>
      <c r="AG517" t="e">
        <f>VLOOKUP($Z517,'oddspedia-matches'!$A:$AD,AG$2,0)</f>
        <v>#N/A</v>
      </c>
      <c r="AH517" t="e">
        <f>VLOOKUP($Z517,'oddspedia-matches'!$A:$AD,AH$2,0)</f>
        <v>#N/A</v>
      </c>
      <c r="AI517" t="e">
        <f>VLOOKUP($Z517,'oddspedia-matches'!$A:$AD,AI$2,0)</f>
        <v>#N/A</v>
      </c>
      <c r="AJ517" t="e">
        <f>VLOOKUP($Z517,'oddspedia-matches'!$A:$AD,AJ$2,0)</f>
        <v>#N/A</v>
      </c>
      <c r="AK517" t="e">
        <f>VLOOKUP($Z517,'oddspedia-matches'!$A:$AD,AK$2,0)</f>
        <v>#N/A</v>
      </c>
      <c r="AL517" t="e">
        <f>VLOOKUP($Z517,'oddspedia-matches'!$A:$AD,AL$2,0)</f>
        <v>#N/A</v>
      </c>
      <c r="AM517" t="e">
        <f>VLOOKUP($Z517,'oddspedia-matches'!$A:$AD,AM$2,0)</f>
        <v>#N/A</v>
      </c>
      <c r="AN517" t="e">
        <f>VLOOKUP($Z517,'oddspedia-matches'!$A:$AD,AN$2,0)</f>
        <v>#N/A</v>
      </c>
      <c r="AO517" t="e">
        <f>VLOOKUP($Z517,'oddspedia-matches'!$A:$AD,AO$2,0)</f>
        <v>#N/A</v>
      </c>
      <c r="AP517" t="e">
        <f>VLOOKUP($Z517,'oddspedia-matches'!$A:$AD,AP$2,0)</f>
        <v>#N/A</v>
      </c>
      <c r="AQ517" t="e">
        <f>VLOOKUP($Z517,'oddspedia-matches'!$A:$AD,AQ$2,0)</f>
        <v>#N/A</v>
      </c>
    </row>
    <row r="518" spans="2:43" x14ac:dyDescent="0.2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tr">
        <f>VLOOKUP(E518,'Transform table'!A:B,2,0)</f>
        <v>KAPYLAN PALLO</v>
      </c>
      <c r="Y518" t="e">
        <f>VLOOKUP(F518,'Transform table'!A:B,2,0)</f>
        <v>#N/A</v>
      </c>
      <c r="Z518" t="e">
        <f t="shared" si="8"/>
        <v>#N/A</v>
      </c>
      <c r="AA518" t="e">
        <f>VLOOKUP($Z518,'oddspedia-matches'!$A:$AD,AA$2,0)</f>
        <v>#N/A</v>
      </c>
      <c r="AB518" t="e">
        <f>VLOOKUP($Z518,'oddspedia-matches'!$A:$AD,AB$2,0)</f>
        <v>#N/A</v>
      </c>
      <c r="AC518" t="e">
        <f>VLOOKUP($Z518,'oddspedia-matches'!$A:$AD,AC$2,0)</f>
        <v>#N/A</v>
      </c>
      <c r="AD518" t="e">
        <f>VLOOKUP($Z518,'oddspedia-matches'!$A:$AD,AD$2,0)</f>
        <v>#N/A</v>
      </c>
      <c r="AE518" t="e">
        <f>VLOOKUP($Z518,'oddspedia-matches'!$A:$AD,AE$2,0)</f>
        <v>#N/A</v>
      </c>
      <c r="AF518" t="e">
        <f>VLOOKUP($Z518,'oddspedia-matches'!$A:$AD,AF$2,0)</f>
        <v>#N/A</v>
      </c>
      <c r="AG518" t="e">
        <f>VLOOKUP($Z518,'oddspedia-matches'!$A:$AD,AG$2,0)</f>
        <v>#N/A</v>
      </c>
      <c r="AH518" t="e">
        <f>VLOOKUP($Z518,'oddspedia-matches'!$A:$AD,AH$2,0)</f>
        <v>#N/A</v>
      </c>
      <c r="AI518" t="e">
        <f>VLOOKUP($Z518,'oddspedia-matches'!$A:$AD,AI$2,0)</f>
        <v>#N/A</v>
      </c>
      <c r="AJ518" t="e">
        <f>VLOOKUP($Z518,'oddspedia-matches'!$A:$AD,AJ$2,0)</f>
        <v>#N/A</v>
      </c>
      <c r="AK518" t="e">
        <f>VLOOKUP($Z518,'oddspedia-matches'!$A:$AD,AK$2,0)</f>
        <v>#N/A</v>
      </c>
      <c r="AL518" t="e">
        <f>VLOOKUP($Z518,'oddspedia-matches'!$A:$AD,AL$2,0)</f>
        <v>#N/A</v>
      </c>
      <c r="AM518" t="e">
        <f>VLOOKUP($Z518,'oddspedia-matches'!$A:$AD,AM$2,0)</f>
        <v>#N/A</v>
      </c>
      <c r="AN518" t="e">
        <f>VLOOKUP($Z518,'oddspedia-matches'!$A:$AD,AN$2,0)</f>
        <v>#N/A</v>
      </c>
      <c r="AO518" t="e">
        <f>VLOOKUP($Z518,'oddspedia-matches'!$A:$AD,AO$2,0)</f>
        <v>#N/A</v>
      </c>
      <c r="AP518" t="e">
        <f>VLOOKUP($Z518,'oddspedia-matches'!$A:$AD,AP$2,0)</f>
        <v>#N/A</v>
      </c>
      <c r="AQ518" t="e">
        <f>VLOOKUP($Z518,'oddspedia-matches'!$A:$AD,AQ$2,0)</f>
        <v>#N/A</v>
      </c>
    </row>
    <row r="519" spans="2:43" x14ac:dyDescent="0.2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tr">
        <f>VLOOKUP(E519,'Transform table'!A:B,2,0)</f>
        <v>BK Hacken</v>
      </c>
      <c r="Y519" t="e">
        <f>VLOOKUP(F519,'Transform table'!A:B,2,0)</f>
        <v>#N/A</v>
      </c>
      <c r="Z519" t="e">
        <f t="shared" si="8"/>
        <v>#N/A</v>
      </c>
      <c r="AA519" t="e">
        <f>VLOOKUP($Z519,'oddspedia-matches'!$A:$AD,AA$2,0)</f>
        <v>#N/A</v>
      </c>
      <c r="AB519" t="e">
        <f>VLOOKUP($Z519,'oddspedia-matches'!$A:$AD,AB$2,0)</f>
        <v>#N/A</v>
      </c>
      <c r="AC519" t="e">
        <f>VLOOKUP($Z519,'oddspedia-matches'!$A:$AD,AC$2,0)</f>
        <v>#N/A</v>
      </c>
      <c r="AD519" t="e">
        <f>VLOOKUP($Z519,'oddspedia-matches'!$A:$AD,AD$2,0)</f>
        <v>#N/A</v>
      </c>
      <c r="AE519" t="e">
        <f>VLOOKUP($Z519,'oddspedia-matches'!$A:$AD,AE$2,0)</f>
        <v>#N/A</v>
      </c>
      <c r="AF519" t="e">
        <f>VLOOKUP($Z519,'oddspedia-matches'!$A:$AD,AF$2,0)</f>
        <v>#N/A</v>
      </c>
      <c r="AG519" t="e">
        <f>VLOOKUP($Z519,'oddspedia-matches'!$A:$AD,AG$2,0)</f>
        <v>#N/A</v>
      </c>
      <c r="AH519" t="e">
        <f>VLOOKUP($Z519,'oddspedia-matches'!$A:$AD,AH$2,0)</f>
        <v>#N/A</v>
      </c>
      <c r="AI519" t="e">
        <f>VLOOKUP($Z519,'oddspedia-matches'!$A:$AD,AI$2,0)</f>
        <v>#N/A</v>
      </c>
      <c r="AJ519" t="e">
        <f>VLOOKUP($Z519,'oddspedia-matches'!$A:$AD,AJ$2,0)</f>
        <v>#N/A</v>
      </c>
      <c r="AK519" t="e">
        <f>VLOOKUP($Z519,'oddspedia-matches'!$A:$AD,AK$2,0)</f>
        <v>#N/A</v>
      </c>
      <c r="AL519" t="e">
        <f>VLOOKUP($Z519,'oddspedia-matches'!$A:$AD,AL$2,0)</f>
        <v>#N/A</v>
      </c>
      <c r="AM519" t="e">
        <f>VLOOKUP($Z519,'oddspedia-matches'!$A:$AD,AM$2,0)</f>
        <v>#N/A</v>
      </c>
      <c r="AN519" t="e">
        <f>VLOOKUP($Z519,'oddspedia-matches'!$A:$AD,AN$2,0)</f>
        <v>#N/A</v>
      </c>
      <c r="AO519" t="e">
        <f>VLOOKUP($Z519,'oddspedia-matches'!$A:$AD,AO$2,0)</f>
        <v>#N/A</v>
      </c>
      <c r="AP519" t="e">
        <f>VLOOKUP($Z519,'oddspedia-matches'!$A:$AD,AP$2,0)</f>
        <v>#N/A</v>
      </c>
      <c r="AQ519" t="e">
        <f>VLOOKUP($Z519,'oddspedia-matches'!$A:$AD,AQ$2,0)</f>
        <v>#N/A</v>
      </c>
    </row>
    <row r="520" spans="2:43" x14ac:dyDescent="0.2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tr">
        <f>VLOOKUP(E520,'Transform table'!A:B,2,0)</f>
        <v>Oldham</v>
      </c>
      <c r="Y520" t="e">
        <f>VLOOKUP(F520,'Transform table'!A:B,2,0)</f>
        <v>#N/A</v>
      </c>
      <c r="Z520" t="e">
        <f t="shared" si="8"/>
        <v>#N/A</v>
      </c>
      <c r="AA520" t="e">
        <f>VLOOKUP($Z520,'oddspedia-matches'!$A:$AD,AA$2,0)</f>
        <v>#N/A</v>
      </c>
      <c r="AB520" t="e">
        <f>VLOOKUP($Z520,'oddspedia-matches'!$A:$AD,AB$2,0)</f>
        <v>#N/A</v>
      </c>
      <c r="AC520" t="e">
        <f>VLOOKUP($Z520,'oddspedia-matches'!$A:$AD,AC$2,0)</f>
        <v>#N/A</v>
      </c>
      <c r="AD520" t="e">
        <f>VLOOKUP($Z520,'oddspedia-matches'!$A:$AD,AD$2,0)</f>
        <v>#N/A</v>
      </c>
      <c r="AE520" t="e">
        <f>VLOOKUP($Z520,'oddspedia-matches'!$A:$AD,AE$2,0)</f>
        <v>#N/A</v>
      </c>
      <c r="AF520" t="e">
        <f>VLOOKUP($Z520,'oddspedia-matches'!$A:$AD,AF$2,0)</f>
        <v>#N/A</v>
      </c>
      <c r="AG520" t="e">
        <f>VLOOKUP($Z520,'oddspedia-matches'!$A:$AD,AG$2,0)</f>
        <v>#N/A</v>
      </c>
      <c r="AH520" t="e">
        <f>VLOOKUP($Z520,'oddspedia-matches'!$A:$AD,AH$2,0)</f>
        <v>#N/A</v>
      </c>
      <c r="AI520" t="e">
        <f>VLOOKUP($Z520,'oddspedia-matches'!$A:$AD,AI$2,0)</f>
        <v>#N/A</v>
      </c>
      <c r="AJ520" t="e">
        <f>VLOOKUP($Z520,'oddspedia-matches'!$A:$AD,AJ$2,0)</f>
        <v>#N/A</v>
      </c>
      <c r="AK520" t="e">
        <f>VLOOKUP($Z520,'oddspedia-matches'!$A:$AD,AK$2,0)</f>
        <v>#N/A</v>
      </c>
      <c r="AL520" t="e">
        <f>VLOOKUP($Z520,'oddspedia-matches'!$A:$AD,AL$2,0)</f>
        <v>#N/A</v>
      </c>
      <c r="AM520" t="e">
        <f>VLOOKUP($Z520,'oddspedia-matches'!$A:$AD,AM$2,0)</f>
        <v>#N/A</v>
      </c>
      <c r="AN520" t="e">
        <f>VLOOKUP($Z520,'oddspedia-matches'!$A:$AD,AN$2,0)</f>
        <v>#N/A</v>
      </c>
      <c r="AO520" t="e">
        <f>VLOOKUP($Z520,'oddspedia-matches'!$A:$AD,AO$2,0)</f>
        <v>#N/A</v>
      </c>
      <c r="AP520" t="e">
        <f>VLOOKUP($Z520,'oddspedia-matches'!$A:$AD,AP$2,0)</f>
        <v>#N/A</v>
      </c>
      <c r="AQ520" t="e">
        <f>VLOOKUP($Z520,'oddspedia-matches'!$A:$AD,AQ$2,0)</f>
        <v>#N/A</v>
      </c>
    </row>
    <row r="521" spans="2:43" x14ac:dyDescent="0.2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tr">
        <f>VLOOKUP(E521,'Transform table'!A:B,2,0)</f>
        <v>Oxford United</v>
      </c>
      <c r="Y521" t="e">
        <f>VLOOKUP(F521,'Transform table'!A:B,2,0)</f>
        <v>#N/A</v>
      </c>
      <c r="Z521" t="e">
        <f t="shared" si="8"/>
        <v>#N/A</v>
      </c>
      <c r="AA521" t="e">
        <f>VLOOKUP($Z521,'oddspedia-matches'!$A:$AD,AA$2,0)</f>
        <v>#N/A</v>
      </c>
      <c r="AB521" t="e">
        <f>VLOOKUP($Z521,'oddspedia-matches'!$A:$AD,AB$2,0)</f>
        <v>#N/A</v>
      </c>
      <c r="AC521" t="e">
        <f>VLOOKUP($Z521,'oddspedia-matches'!$A:$AD,AC$2,0)</f>
        <v>#N/A</v>
      </c>
      <c r="AD521" t="e">
        <f>VLOOKUP($Z521,'oddspedia-matches'!$A:$AD,AD$2,0)</f>
        <v>#N/A</v>
      </c>
      <c r="AE521" t="e">
        <f>VLOOKUP($Z521,'oddspedia-matches'!$A:$AD,AE$2,0)</f>
        <v>#N/A</v>
      </c>
      <c r="AF521" t="e">
        <f>VLOOKUP($Z521,'oddspedia-matches'!$A:$AD,AF$2,0)</f>
        <v>#N/A</v>
      </c>
      <c r="AG521" t="e">
        <f>VLOOKUP($Z521,'oddspedia-matches'!$A:$AD,AG$2,0)</f>
        <v>#N/A</v>
      </c>
      <c r="AH521" t="e">
        <f>VLOOKUP($Z521,'oddspedia-matches'!$A:$AD,AH$2,0)</f>
        <v>#N/A</v>
      </c>
      <c r="AI521" t="e">
        <f>VLOOKUP($Z521,'oddspedia-matches'!$A:$AD,AI$2,0)</f>
        <v>#N/A</v>
      </c>
      <c r="AJ521" t="e">
        <f>VLOOKUP($Z521,'oddspedia-matches'!$A:$AD,AJ$2,0)</f>
        <v>#N/A</v>
      </c>
      <c r="AK521" t="e">
        <f>VLOOKUP($Z521,'oddspedia-matches'!$A:$AD,AK$2,0)</f>
        <v>#N/A</v>
      </c>
      <c r="AL521" t="e">
        <f>VLOOKUP($Z521,'oddspedia-matches'!$A:$AD,AL$2,0)</f>
        <v>#N/A</v>
      </c>
      <c r="AM521" t="e">
        <f>VLOOKUP($Z521,'oddspedia-matches'!$A:$AD,AM$2,0)</f>
        <v>#N/A</v>
      </c>
      <c r="AN521" t="e">
        <f>VLOOKUP($Z521,'oddspedia-matches'!$A:$AD,AN$2,0)</f>
        <v>#N/A</v>
      </c>
      <c r="AO521" t="e">
        <f>VLOOKUP($Z521,'oddspedia-matches'!$A:$AD,AO$2,0)</f>
        <v>#N/A</v>
      </c>
      <c r="AP521" t="e">
        <f>VLOOKUP($Z521,'oddspedia-matches'!$A:$AD,AP$2,0)</f>
        <v>#N/A</v>
      </c>
      <c r="AQ521" t="e">
        <f>VLOOKUP($Z521,'oddspedia-matches'!$A:$AD,AQ$2,0)</f>
        <v>#N/A</v>
      </c>
    </row>
    <row r="522" spans="2:43" x14ac:dyDescent="0.2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>
        <f>VLOOKUP(E522,'Transform table'!A:B,2,0)</f>
        <v>0</v>
      </c>
      <c r="Y522">
        <f>VLOOKUP(F522,'Transform table'!A:B,2,0)</f>
        <v>0</v>
      </c>
      <c r="Z522" t="str">
        <f t="shared" si="8"/>
        <v>27/07/202600</v>
      </c>
      <c r="AA522" t="e">
        <f>VLOOKUP($Z522,'oddspedia-matches'!$A:$AD,AA$2,0)</f>
        <v>#N/A</v>
      </c>
      <c r="AB522" t="e">
        <f>VLOOKUP($Z522,'oddspedia-matches'!$A:$AD,AB$2,0)</f>
        <v>#N/A</v>
      </c>
      <c r="AC522" t="e">
        <f>VLOOKUP($Z522,'oddspedia-matches'!$A:$AD,AC$2,0)</f>
        <v>#N/A</v>
      </c>
      <c r="AD522" t="e">
        <f>VLOOKUP($Z522,'oddspedia-matches'!$A:$AD,AD$2,0)</f>
        <v>#N/A</v>
      </c>
      <c r="AE522" t="e">
        <f>VLOOKUP($Z522,'oddspedia-matches'!$A:$AD,AE$2,0)</f>
        <v>#N/A</v>
      </c>
      <c r="AF522" t="e">
        <f>VLOOKUP($Z522,'oddspedia-matches'!$A:$AD,AF$2,0)</f>
        <v>#N/A</v>
      </c>
      <c r="AG522" t="e">
        <f>VLOOKUP($Z522,'oddspedia-matches'!$A:$AD,AG$2,0)</f>
        <v>#N/A</v>
      </c>
      <c r="AH522" t="e">
        <f>VLOOKUP($Z522,'oddspedia-matches'!$A:$AD,AH$2,0)</f>
        <v>#N/A</v>
      </c>
      <c r="AI522" t="e">
        <f>VLOOKUP($Z522,'oddspedia-matches'!$A:$AD,AI$2,0)</f>
        <v>#N/A</v>
      </c>
      <c r="AJ522" t="e">
        <f>VLOOKUP($Z522,'oddspedia-matches'!$A:$AD,AJ$2,0)</f>
        <v>#N/A</v>
      </c>
      <c r="AK522" t="e">
        <f>VLOOKUP($Z522,'oddspedia-matches'!$A:$AD,AK$2,0)</f>
        <v>#N/A</v>
      </c>
      <c r="AL522" t="e">
        <f>VLOOKUP($Z522,'oddspedia-matches'!$A:$AD,AL$2,0)</f>
        <v>#N/A</v>
      </c>
      <c r="AM522" t="e">
        <f>VLOOKUP($Z522,'oddspedia-matches'!$A:$AD,AM$2,0)</f>
        <v>#N/A</v>
      </c>
      <c r="AN522" t="e">
        <f>VLOOKUP($Z522,'oddspedia-matches'!$A:$AD,AN$2,0)</f>
        <v>#N/A</v>
      </c>
      <c r="AO522" t="e">
        <f>VLOOKUP($Z522,'oddspedia-matches'!$A:$AD,AO$2,0)</f>
        <v>#N/A</v>
      </c>
      <c r="AP522" t="e">
        <f>VLOOKUP($Z522,'oddspedia-matches'!$A:$AD,AP$2,0)</f>
        <v>#N/A</v>
      </c>
      <c r="AQ522" t="e">
        <f>VLOOKUP($Z522,'oddspedia-matches'!$A:$AD,AQ$2,0)</f>
        <v>#N/A</v>
      </c>
    </row>
    <row r="523" spans="2:43" x14ac:dyDescent="0.2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tr">
        <f>VLOOKUP(E523,'Transform table'!A:B,2,0)</f>
        <v>Fenerbahce</v>
      </c>
      <c r="Y523">
        <f>VLOOKUP(F523,'Transform table'!A:B,2,0)</f>
        <v>0</v>
      </c>
      <c r="Z523" t="str">
        <f t="shared" si="8"/>
        <v>27/07/2026Fenerbahce0</v>
      </c>
      <c r="AA523" t="e">
        <f>VLOOKUP($Z523,'oddspedia-matches'!$A:$AD,AA$2,0)</f>
        <v>#N/A</v>
      </c>
      <c r="AB523" t="e">
        <f>VLOOKUP($Z523,'oddspedia-matches'!$A:$AD,AB$2,0)</f>
        <v>#N/A</v>
      </c>
      <c r="AC523" t="e">
        <f>VLOOKUP($Z523,'oddspedia-matches'!$A:$AD,AC$2,0)</f>
        <v>#N/A</v>
      </c>
      <c r="AD523" t="e">
        <f>VLOOKUP($Z523,'oddspedia-matches'!$A:$AD,AD$2,0)</f>
        <v>#N/A</v>
      </c>
      <c r="AE523" t="e">
        <f>VLOOKUP($Z523,'oddspedia-matches'!$A:$AD,AE$2,0)</f>
        <v>#N/A</v>
      </c>
      <c r="AF523" t="e">
        <f>VLOOKUP($Z523,'oddspedia-matches'!$A:$AD,AF$2,0)</f>
        <v>#N/A</v>
      </c>
      <c r="AG523" t="e">
        <f>VLOOKUP($Z523,'oddspedia-matches'!$A:$AD,AG$2,0)</f>
        <v>#N/A</v>
      </c>
      <c r="AH523" t="e">
        <f>VLOOKUP($Z523,'oddspedia-matches'!$A:$AD,AH$2,0)</f>
        <v>#N/A</v>
      </c>
      <c r="AI523" t="e">
        <f>VLOOKUP($Z523,'oddspedia-matches'!$A:$AD,AI$2,0)</f>
        <v>#N/A</v>
      </c>
      <c r="AJ523" t="e">
        <f>VLOOKUP($Z523,'oddspedia-matches'!$A:$AD,AJ$2,0)</f>
        <v>#N/A</v>
      </c>
      <c r="AK523" t="e">
        <f>VLOOKUP($Z523,'oddspedia-matches'!$A:$AD,AK$2,0)</f>
        <v>#N/A</v>
      </c>
      <c r="AL523" t="e">
        <f>VLOOKUP($Z523,'oddspedia-matches'!$A:$AD,AL$2,0)</f>
        <v>#N/A</v>
      </c>
      <c r="AM523" t="e">
        <f>VLOOKUP($Z523,'oddspedia-matches'!$A:$AD,AM$2,0)</f>
        <v>#N/A</v>
      </c>
      <c r="AN523" t="e">
        <f>VLOOKUP($Z523,'oddspedia-matches'!$A:$AD,AN$2,0)</f>
        <v>#N/A</v>
      </c>
      <c r="AO523" t="e">
        <f>VLOOKUP($Z523,'oddspedia-matches'!$A:$AD,AO$2,0)</f>
        <v>#N/A</v>
      </c>
      <c r="AP523" t="e">
        <f>VLOOKUP($Z523,'oddspedia-matches'!$A:$AD,AP$2,0)</f>
        <v>#N/A</v>
      </c>
      <c r="AQ523" t="e">
        <f>VLOOKUP($Z523,'oddspedia-matches'!$A:$AD,AQ$2,0)</f>
        <v>#N/A</v>
      </c>
    </row>
    <row r="524" spans="2:43" x14ac:dyDescent="0.2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str">
        <f>VLOOKUP(E524,'Transform table'!A:B,2,0)</f>
        <v>Sacachispas</v>
      </c>
      <c r="Y524">
        <f>VLOOKUP(F524,'Transform table'!A:B,2,0)</f>
        <v>0</v>
      </c>
      <c r="Z524" t="str">
        <f t="shared" si="8"/>
        <v>27/07/2026Sacachispas0</v>
      </c>
      <c r="AA524" t="e">
        <f>VLOOKUP($Z524,'oddspedia-matches'!$A:$AD,AA$2,0)</f>
        <v>#N/A</v>
      </c>
      <c r="AB524" t="e">
        <f>VLOOKUP($Z524,'oddspedia-matches'!$A:$AD,AB$2,0)</f>
        <v>#N/A</v>
      </c>
      <c r="AC524" t="e">
        <f>VLOOKUP($Z524,'oddspedia-matches'!$A:$AD,AC$2,0)</f>
        <v>#N/A</v>
      </c>
      <c r="AD524" t="e">
        <f>VLOOKUP($Z524,'oddspedia-matches'!$A:$AD,AD$2,0)</f>
        <v>#N/A</v>
      </c>
      <c r="AE524" t="e">
        <f>VLOOKUP($Z524,'oddspedia-matches'!$A:$AD,AE$2,0)</f>
        <v>#N/A</v>
      </c>
      <c r="AF524" t="e">
        <f>VLOOKUP($Z524,'oddspedia-matches'!$A:$AD,AF$2,0)</f>
        <v>#N/A</v>
      </c>
      <c r="AG524" t="e">
        <f>VLOOKUP($Z524,'oddspedia-matches'!$A:$AD,AG$2,0)</f>
        <v>#N/A</v>
      </c>
      <c r="AH524" t="e">
        <f>VLOOKUP($Z524,'oddspedia-matches'!$A:$AD,AH$2,0)</f>
        <v>#N/A</v>
      </c>
      <c r="AI524" t="e">
        <f>VLOOKUP($Z524,'oddspedia-matches'!$A:$AD,AI$2,0)</f>
        <v>#N/A</v>
      </c>
      <c r="AJ524" t="e">
        <f>VLOOKUP($Z524,'oddspedia-matches'!$A:$AD,AJ$2,0)</f>
        <v>#N/A</v>
      </c>
      <c r="AK524" t="e">
        <f>VLOOKUP($Z524,'oddspedia-matches'!$A:$AD,AK$2,0)</f>
        <v>#N/A</v>
      </c>
      <c r="AL524" t="e">
        <f>VLOOKUP($Z524,'oddspedia-matches'!$A:$AD,AL$2,0)</f>
        <v>#N/A</v>
      </c>
      <c r="AM524" t="e">
        <f>VLOOKUP($Z524,'oddspedia-matches'!$A:$AD,AM$2,0)</f>
        <v>#N/A</v>
      </c>
      <c r="AN524" t="e">
        <f>VLOOKUP($Z524,'oddspedia-matches'!$A:$AD,AN$2,0)</f>
        <v>#N/A</v>
      </c>
      <c r="AO524" t="e">
        <f>VLOOKUP($Z524,'oddspedia-matches'!$A:$AD,AO$2,0)</f>
        <v>#N/A</v>
      </c>
      <c r="AP524" t="e">
        <f>VLOOKUP($Z524,'oddspedia-matches'!$A:$AD,AP$2,0)</f>
        <v>#N/A</v>
      </c>
      <c r="AQ524" t="e">
        <f>VLOOKUP($Z524,'oddspedia-matches'!$A:$AD,AQ$2,0)</f>
        <v>#N/A</v>
      </c>
    </row>
    <row r="525" spans="2:43" x14ac:dyDescent="0.2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tr">
        <f>VLOOKUP(E525,'Transform table'!A:B,2,0)</f>
        <v>Breidablik</v>
      </c>
      <c r="Y525" t="e">
        <f>VLOOKUP(F525,'Transform table'!A:B,2,0)</f>
        <v>#N/A</v>
      </c>
      <c r="Z525" t="e">
        <f t="shared" si="8"/>
        <v>#N/A</v>
      </c>
      <c r="AA525" t="e">
        <f>VLOOKUP($Z525,'oddspedia-matches'!$A:$AD,AA$2,0)</f>
        <v>#N/A</v>
      </c>
      <c r="AB525" t="e">
        <f>VLOOKUP($Z525,'oddspedia-matches'!$A:$AD,AB$2,0)</f>
        <v>#N/A</v>
      </c>
      <c r="AC525" t="e">
        <f>VLOOKUP($Z525,'oddspedia-matches'!$A:$AD,AC$2,0)</f>
        <v>#N/A</v>
      </c>
      <c r="AD525" t="e">
        <f>VLOOKUP($Z525,'oddspedia-matches'!$A:$AD,AD$2,0)</f>
        <v>#N/A</v>
      </c>
      <c r="AE525" t="e">
        <f>VLOOKUP($Z525,'oddspedia-matches'!$A:$AD,AE$2,0)</f>
        <v>#N/A</v>
      </c>
      <c r="AF525" t="e">
        <f>VLOOKUP($Z525,'oddspedia-matches'!$A:$AD,AF$2,0)</f>
        <v>#N/A</v>
      </c>
      <c r="AG525" t="e">
        <f>VLOOKUP($Z525,'oddspedia-matches'!$A:$AD,AG$2,0)</f>
        <v>#N/A</v>
      </c>
      <c r="AH525" t="e">
        <f>VLOOKUP($Z525,'oddspedia-matches'!$A:$AD,AH$2,0)</f>
        <v>#N/A</v>
      </c>
      <c r="AI525" t="e">
        <f>VLOOKUP($Z525,'oddspedia-matches'!$A:$AD,AI$2,0)</f>
        <v>#N/A</v>
      </c>
      <c r="AJ525" t="e">
        <f>VLOOKUP($Z525,'oddspedia-matches'!$A:$AD,AJ$2,0)</f>
        <v>#N/A</v>
      </c>
      <c r="AK525" t="e">
        <f>VLOOKUP($Z525,'oddspedia-matches'!$A:$AD,AK$2,0)</f>
        <v>#N/A</v>
      </c>
      <c r="AL525" t="e">
        <f>VLOOKUP($Z525,'oddspedia-matches'!$A:$AD,AL$2,0)</f>
        <v>#N/A</v>
      </c>
      <c r="AM525" t="e">
        <f>VLOOKUP($Z525,'oddspedia-matches'!$A:$AD,AM$2,0)</f>
        <v>#N/A</v>
      </c>
      <c r="AN525" t="e">
        <f>VLOOKUP($Z525,'oddspedia-matches'!$A:$AD,AN$2,0)</f>
        <v>#N/A</v>
      </c>
      <c r="AO525" t="e">
        <f>VLOOKUP($Z525,'oddspedia-matches'!$A:$AD,AO$2,0)</f>
        <v>#N/A</v>
      </c>
      <c r="AP525" t="e">
        <f>VLOOKUP($Z525,'oddspedia-matches'!$A:$AD,AP$2,0)</f>
        <v>#N/A</v>
      </c>
      <c r="AQ525" t="e">
        <f>VLOOKUP($Z525,'oddspedia-matches'!$A:$AD,AQ$2,0)</f>
        <v>#N/A</v>
      </c>
    </row>
    <row r="526" spans="2:43" x14ac:dyDescent="0.2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tr">
        <f>VLOOKUP(E526,'Transform table'!A:B,2,0)</f>
        <v>CSKA</v>
      </c>
      <c r="Y526" t="e">
        <f>VLOOKUP(F526,'Transform table'!A:B,2,0)</f>
        <v>#N/A</v>
      </c>
      <c r="Z526" t="e">
        <f t="shared" si="8"/>
        <v>#N/A</v>
      </c>
      <c r="AA526" t="e">
        <f>VLOOKUP($Z526,'oddspedia-matches'!$A:$AD,AA$2,0)</f>
        <v>#N/A</v>
      </c>
      <c r="AB526" t="e">
        <f>VLOOKUP($Z526,'oddspedia-matches'!$A:$AD,AB$2,0)</f>
        <v>#N/A</v>
      </c>
      <c r="AC526" t="e">
        <f>VLOOKUP($Z526,'oddspedia-matches'!$A:$AD,AC$2,0)</f>
        <v>#N/A</v>
      </c>
      <c r="AD526" t="e">
        <f>VLOOKUP($Z526,'oddspedia-matches'!$A:$AD,AD$2,0)</f>
        <v>#N/A</v>
      </c>
      <c r="AE526" t="e">
        <f>VLOOKUP($Z526,'oddspedia-matches'!$A:$AD,AE$2,0)</f>
        <v>#N/A</v>
      </c>
      <c r="AF526" t="e">
        <f>VLOOKUP($Z526,'oddspedia-matches'!$A:$AD,AF$2,0)</f>
        <v>#N/A</v>
      </c>
      <c r="AG526" t="e">
        <f>VLOOKUP($Z526,'oddspedia-matches'!$A:$AD,AG$2,0)</f>
        <v>#N/A</v>
      </c>
      <c r="AH526" t="e">
        <f>VLOOKUP($Z526,'oddspedia-matches'!$A:$AD,AH$2,0)</f>
        <v>#N/A</v>
      </c>
      <c r="AI526" t="e">
        <f>VLOOKUP($Z526,'oddspedia-matches'!$A:$AD,AI$2,0)</f>
        <v>#N/A</v>
      </c>
      <c r="AJ526" t="e">
        <f>VLOOKUP($Z526,'oddspedia-matches'!$A:$AD,AJ$2,0)</f>
        <v>#N/A</v>
      </c>
      <c r="AK526" t="e">
        <f>VLOOKUP($Z526,'oddspedia-matches'!$A:$AD,AK$2,0)</f>
        <v>#N/A</v>
      </c>
      <c r="AL526" t="e">
        <f>VLOOKUP($Z526,'oddspedia-matches'!$A:$AD,AL$2,0)</f>
        <v>#N/A</v>
      </c>
      <c r="AM526" t="e">
        <f>VLOOKUP($Z526,'oddspedia-matches'!$A:$AD,AM$2,0)</f>
        <v>#N/A</v>
      </c>
      <c r="AN526" t="e">
        <f>VLOOKUP($Z526,'oddspedia-matches'!$A:$AD,AN$2,0)</f>
        <v>#N/A</v>
      </c>
      <c r="AO526" t="e">
        <f>VLOOKUP($Z526,'oddspedia-matches'!$A:$AD,AO$2,0)</f>
        <v>#N/A</v>
      </c>
      <c r="AP526" t="e">
        <f>VLOOKUP($Z526,'oddspedia-matches'!$A:$AD,AP$2,0)</f>
        <v>#N/A</v>
      </c>
      <c r="AQ526" t="e">
        <f>VLOOKUP($Z526,'oddspedia-matches'!$A:$AD,AQ$2,0)</f>
        <v>#N/A</v>
      </c>
    </row>
    <row r="527" spans="2:43" x14ac:dyDescent="0.2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tr">
        <f>VLOOKUP(E527,'Transform table'!A:B,2,0)</f>
        <v>Bohemian</v>
      </c>
      <c r="Y527" t="e">
        <f>VLOOKUP(F527,'Transform table'!A:B,2,0)</f>
        <v>#N/A</v>
      </c>
      <c r="Z527" t="e">
        <f t="shared" si="8"/>
        <v>#N/A</v>
      </c>
      <c r="AA527" t="e">
        <f>VLOOKUP($Z527,'oddspedia-matches'!$A:$AD,AA$2,0)</f>
        <v>#N/A</v>
      </c>
      <c r="AB527" t="e">
        <f>VLOOKUP($Z527,'oddspedia-matches'!$A:$AD,AB$2,0)</f>
        <v>#N/A</v>
      </c>
      <c r="AC527" t="e">
        <f>VLOOKUP($Z527,'oddspedia-matches'!$A:$AD,AC$2,0)</f>
        <v>#N/A</v>
      </c>
      <c r="AD527" t="e">
        <f>VLOOKUP($Z527,'oddspedia-matches'!$A:$AD,AD$2,0)</f>
        <v>#N/A</v>
      </c>
      <c r="AE527" t="e">
        <f>VLOOKUP($Z527,'oddspedia-matches'!$A:$AD,AE$2,0)</f>
        <v>#N/A</v>
      </c>
      <c r="AF527" t="e">
        <f>VLOOKUP($Z527,'oddspedia-matches'!$A:$AD,AF$2,0)</f>
        <v>#N/A</v>
      </c>
      <c r="AG527" t="e">
        <f>VLOOKUP($Z527,'oddspedia-matches'!$A:$AD,AG$2,0)</f>
        <v>#N/A</v>
      </c>
      <c r="AH527" t="e">
        <f>VLOOKUP($Z527,'oddspedia-matches'!$A:$AD,AH$2,0)</f>
        <v>#N/A</v>
      </c>
      <c r="AI527" t="e">
        <f>VLOOKUP($Z527,'oddspedia-matches'!$A:$AD,AI$2,0)</f>
        <v>#N/A</v>
      </c>
      <c r="AJ527" t="e">
        <f>VLOOKUP($Z527,'oddspedia-matches'!$A:$AD,AJ$2,0)</f>
        <v>#N/A</v>
      </c>
      <c r="AK527" t="e">
        <f>VLOOKUP($Z527,'oddspedia-matches'!$A:$AD,AK$2,0)</f>
        <v>#N/A</v>
      </c>
      <c r="AL527" t="e">
        <f>VLOOKUP($Z527,'oddspedia-matches'!$A:$AD,AL$2,0)</f>
        <v>#N/A</v>
      </c>
      <c r="AM527" t="e">
        <f>VLOOKUP($Z527,'oddspedia-matches'!$A:$AD,AM$2,0)</f>
        <v>#N/A</v>
      </c>
      <c r="AN527" t="e">
        <f>VLOOKUP($Z527,'oddspedia-matches'!$A:$AD,AN$2,0)</f>
        <v>#N/A</v>
      </c>
      <c r="AO527" t="e">
        <f>VLOOKUP($Z527,'oddspedia-matches'!$A:$AD,AO$2,0)</f>
        <v>#N/A</v>
      </c>
      <c r="AP527" t="e">
        <f>VLOOKUP($Z527,'oddspedia-matches'!$A:$AD,AP$2,0)</f>
        <v>#N/A</v>
      </c>
      <c r="AQ527" t="e">
        <f>VLOOKUP($Z527,'oddspedia-matches'!$A:$AD,AQ$2,0)</f>
        <v>#N/A</v>
      </c>
    </row>
    <row r="528" spans="2:43" x14ac:dyDescent="0.2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tr">
        <f>VLOOKUP(E528,'Transform table'!A:B,2,0)</f>
        <v>San Antonio Cotacachi</v>
      </c>
      <c r="Y528" t="e">
        <f>VLOOKUP(F528,'Transform table'!A:B,2,0)</f>
        <v>#N/A</v>
      </c>
      <c r="Z528" t="e">
        <f t="shared" si="8"/>
        <v>#N/A</v>
      </c>
      <c r="AA528" t="e">
        <f>VLOOKUP($Z528,'oddspedia-matches'!$A:$AD,AA$2,0)</f>
        <v>#N/A</v>
      </c>
      <c r="AB528" t="e">
        <f>VLOOKUP($Z528,'oddspedia-matches'!$A:$AD,AB$2,0)</f>
        <v>#N/A</v>
      </c>
      <c r="AC528" t="e">
        <f>VLOOKUP($Z528,'oddspedia-matches'!$A:$AD,AC$2,0)</f>
        <v>#N/A</v>
      </c>
      <c r="AD528" t="e">
        <f>VLOOKUP($Z528,'oddspedia-matches'!$A:$AD,AD$2,0)</f>
        <v>#N/A</v>
      </c>
      <c r="AE528" t="e">
        <f>VLOOKUP($Z528,'oddspedia-matches'!$A:$AD,AE$2,0)</f>
        <v>#N/A</v>
      </c>
      <c r="AF528" t="e">
        <f>VLOOKUP($Z528,'oddspedia-matches'!$A:$AD,AF$2,0)</f>
        <v>#N/A</v>
      </c>
      <c r="AG528" t="e">
        <f>VLOOKUP($Z528,'oddspedia-matches'!$A:$AD,AG$2,0)</f>
        <v>#N/A</v>
      </c>
      <c r="AH528" t="e">
        <f>VLOOKUP($Z528,'oddspedia-matches'!$A:$AD,AH$2,0)</f>
        <v>#N/A</v>
      </c>
      <c r="AI528" t="e">
        <f>VLOOKUP($Z528,'oddspedia-matches'!$A:$AD,AI$2,0)</f>
        <v>#N/A</v>
      </c>
      <c r="AJ528" t="e">
        <f>VLOOKUP($Z528,'oddspedia-matches'!$A:$AD,AJ$2,0)</f>
        <v>#N/A</v>
      </c>
      <c r="AK528" t="e">
        <f>VLOOKUP($Z528,'oddspedia-matches'!$A:$AD,AK$2,0)</f>
        <v>#N/A</v>
      </c>
      <c r="AL528" t="e">
        <f>VLOOKUP($Z528,'oddspedia-matches'!$A:$AD,AL$2,0)</f>
        <v>#N/A</v>
      </c>
      <c r="AM528" t="e">
        <f>VLOOKUP($Z528,'oddspedia-matches'!$A:$AD,AM$2,0)</f>
        <v>#N/A</v>
      </c>
      <c r="AN528" t="e">
        <f>VLOOKUP($Z528,'oddspedia-matches'!$A:$AD,AN$2,0)</f>
        <v>#N/A</v>
      </c>
      <c r="AO528" t="e">
        <f>VLOOKUP($Z528,'oddspedia-matches'!$A:$AD,AO$2,0)</f>
        <v>#N/A</v>
      </c>
      <c r="AP528" t="e">
        <f>VLOOKUP($Z528,'oddspedia-matches'!$A:$AD,AP$2,0)</f>
        <v>#N/A</v>
      </c>
      <c r="AQ528" t="e">
        <f>VLOOKUP($Z528,'oddspedia-matches'!$A:$AD,AQ$2,0)</f>
        <v>#N/A</v>
      </c>
    </row>
    <row r="529" spans="2:43" x14ac:dyDescent="0.2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tr">
        <f>VLOOKUP(E529,'Transform table'!A:B,2,0)</f>
        <v>Mushuc Runa</v>
      </c>
      <c r="Y529" t="str">
        <f>VLOOKUP(F529,'Transform table'!A:B,2,0)</f>
        <v>Libertad Loja</v>
      </c>
      <c r="Z529" t="str">
        <f t="shared" si="8"/>
        <v>27/07/2026Mushuc RunaLibertad Loja</v>
      </c>
      <c r="AA529" t="e">
        <f>VLOOKUP($Z529,'oddspedia-matches'!$A:$AD,AA$2,0)</f>
        <v>#N/A</v>
      </c>
      <c r="AB529" t="e">
        <f>VLOOKUP($Z529,'oddspedia-matches'!$A:$AD,AB$2,0)</f>
        <v>#N/A</v>
      </c>
      <c r="AC529" t="e">
        <f>VLOOKUP($Z529,'oddspedia-matches'!$A:$AD,AC$2,0)</f>
        <v>#N/A</v>
      </c>
      <c r="AD529" t="e">
        <f>VLOOKUP($Z529,'oddspedia-matches'!$A:$AD,AD$2,0)</f>
        <v>#N/A</v>
      </c>
      <c r="AE529" t="e">
        <f>VLOOKUP($Z529,'oddspedia-matches'!$A:$AD,AE$2,0)</f>
        <v>#N/A</v>
      </c>
      <c r="AF529" t="e">
        <f>VLOOKUP($Z529,'oddspedia-matches'!$A:$AD,AF$2,0)</f>
        <v>#N/A</v>
      </c>
      <c r="AG529" t="e">
        <f>VLOOKUP($Z529,'oddspedia-matches'!$A:$AD,AG$2,0)</f>
        <v>#N/A</v>
      </c>
      <c r="AH529" t="e">
        <f>VLOOKUP($Z529,'oddspedia-matches'!$A:$AD,AH$2,0)</f>
        <v>#N/A</v>
      </c>
      <c r="AI529" t="e">
        <f>VLOOKUP($Z529,'oddspedia-matches'!$A:$AD,AI$2,0)</f>
        <v>#N/A</v>
      </c>
      <c r="AJ529" t="e">
        <f>VLOOKUP($Z529,'oddspedia-matches'!$A:$AD,AJ$2,0)</f>
        <v>#N/A</v>
      </c>
      <c r="AK529" t="e">
        <f>VLOOKUP($Z529,'oddspedia-matches'!$A:$AD,AK$2,0)</f>
        <v>#N/A</v>
      </c>
      <c r="AL529" t="e">
        <f>VLOOKUP($Z529,'oddspedia-matches'!$A:$AD,AL$2,0)</f>
        <v>#N/A</v>
      </c>
      <c r="AM529" t="e">
        <f>VLOOKUP($Z529,'oddspedia-matches'!$A:$AD,AM$2,0)</f>
        <v>#N/A</v>
      </c>
      <c r="AN529" t="e">
        <f>VLOOKUP($Z529,'oddspedia-matches'!$A:$AD,AN$2,0)</f>
        <v>#N/A</v>
      </c>
      <c r="AO529" t="e">
        <f>VLOOKUP($Z529,'oddspedia-matches'!$A:$AD,AO$2,0)</f>
        <v>#N/A</v>
      </c>
      <c r="AP529" t="e">
        <f>VLOOKUP($Z529,'oddspedia-matches'!$A:$AD,AP$2,0)</f>
        <v>#N/A</v>
      </c>
      <c r="AQ529" t="e">
        <f>VLOOKUP($Z529,'oddspedia-matches'!$A:$AD,AQ$2,0)</f>
        <v>#N/A</v>
      </c>
    </row>
    <row r="530" spans="2:43" x14ac:dyDescent="0.2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tr">
        <f>VLOOKUP(E530,'Transform table'!A:B,2,0)</f>
        <v>KA Hafnarfjordur</v>
      </c>
      <c r="Y530" t="e">
        <f>VLOOKUP(F530,'Transform table'!A:B,2,0)</f>
        <v>#N/A</v>
      </c>
      <c r="Z530" t="e">
        <f t="shared" si="8"/>
        <v>#N/A</v>
      </c>
      <c r="AA530" t="e">
        <f>VLOOKUP($Z530,'oddspedia-matches'!$A:$AD,AA$2,0)</f>
        <v>#N/A</v>
      </c>
      <c r="AB530" t="e">
        <f>VLOOKUP($Z530,'oddspedia-matches'!$A:$AD,AB$2,0)</f>
        <v>#N/A</v>
      </c>
      <c r="AC530" t="e">
        <f>VLOOKUP($Z530,'oddspedia-matches'!$A:$AD,AC$2,0)</f>
        <v>#N/A</v>
      </c>
      <c r="AD530" t="e">
        <f>VLOOKUP($Z530,'oddspedia-matches'!$A:$AD,AD$2,0)</f>
        <v>#N/A</v>
      </c>
      <c r="AE530" t="e">
        <f>VLOOKUP($Z530,'oddspedia-matches'!$A:$AD,AE$2,0)</f>
        <v>#N/A</v>
      </c>
      <c r="AF530" t="e">
        <f>VLOOKUP($Z530,'oddspedia-matches'!$A:$AD,AF$2,0)</f>
        <v>#N/A</v>
      </c>
      <c r="AG530" t="e">
        <f>VLOOKUP($Z530,'oddspedia-matches'!$A:$AD,AG$2,0)</f>
        <v>#N/A</v>
      </c>
      <c r="AH530" t="e">
        <f>VLOOKUP($Z530,'oddspedia-matches'!$A:$AD,AH$2,0)</f>
        <v>#N/A</v>
      </c>
      <c r="AI530" t="e">
        <f>VLOOKUP($Z530,'oddspedia-matches'!$A:$AD,AI$2,0)</f>
        <v>#N/A</v>
      </c>
      <c r="AJ530" t="e">
        <f>VLOOKUP($Z530,'oddspedia-matches'!$A:$AD,AJ$2,0)</f>
        <v>#N/A</v>
      </c>
      <c r="AK530" t="e">
        <f>VLOOKUP($Z530,'oddspedia-matches'!$A:$AD,AK$2,0)</f>
        <v>#N/A</v>
      </c>
      <c r="AL530" t="e">
        <f>VLOOKUP($Z530,'oddspedia-matches'!$A:$AD,AL$2,0)</f>
        <v>#N/A</v>
      </c>
      <c r="AM530" t="e">
        <f>VLOOKUP($Z530,'oddspedia-matches'!$A:$AD,AM$2,0)</f>
        <v>#N/A</v>
      </c>
      <c r="AN530" t="e">
        <f>VLOOKUP($Z530,'oddspedia-matches'!$A:$AD,AN$2,0)</f>
        <v>#N/A</v>
      </c>
      <c r="AO530" t="e">
        <f>VLOOKUP($Z530,'oddspedia-matches'!$A:$AD,AO$2,0)</f>
        <v>#N/A</v>
      </c>
      <c r="AP530" t="e">
        <f>VLOOKUP($Z530,'oddspedia-matches'!$A:$AD,AP$2,0)</f>
        <v>#N/A</v>
      </c>
      <c r="AQ530" t="e">
        <f>VLOOKUP($Z530,'oddspedia-matches'!$A:$AD,AQ$2,0)</f>
        <v>#N/A</v>
      </c>
    </row>
    <row r="531" spans="2:43" x14ac:dyDescent="0.2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tr">
        <f>VLOOKUP(E531,'Transform table'!A:B,2,0)</f>
        <v>Envigado</v>
      </c>
      <c r="Y531" t="e">
        <f>VLOOKUP(F531,'Transform table'!A:B,2,0)</f>
        <v>#N/A</v>
      </c>
      <c r="Z531" t="e">
        <f t="shared" si="8"/>
        <v>#N/A</v>
      </c>
      <c r="AA531" t="e">
        <f>VLOOKUP($Z531,'oddspedia-matches'!$A:$AD,AA$2,0)</f>
        <v>#N/A</v>
      </c>
      <c r="AB531" t="e">
        <f>VLOOKUP($Z531,'oddspedia-matches'!$A:$AD,AB$2,0)</f>
        <v>#N/A</v>
      </c>
      <c r="AC531" t="e">
        <f>VLOOKUP($Z531,'oddspedia-matches'!$A:$AD,AC$2,0)</f>
        <v>#N/A</v>
      </c>
      <c r="AD531" t="e">
        <f>VLOOKUP($Z531,'oddspedia-matches'!$A:$AD,AD$2,0)</f>
        <v>#N/A</v>
      </c>
      <c r="AE531" t="e">
        <f>VLOOKUP($Z531,'oddspedia-matches'!$A:$AD,AE$2,0)</f>
        <v>#N/A</v>
      </c>
      <c r="AF531" t="e">
        <f>VLOOKUP($Z531,'oddspedia-matches'!$A:$AD,AF$2,0)</f>
        <v>#N/A</v>
      </c>
      <c r="AG531" t="e">
        <f>VLOOKUP($Z531,'oddspedia-matches'!$A:$AD,AG$2,0)</f>
        <v>#N/A</v>
      </c>
      <c r="AH531" t="e">
        <f>VLOOKUP($Z531,'oddspedia-matches'!$A:$AD,AH$2,0)</f>
        <v>#N/A</v>
      </c>
      <c r="AI531" t="e">
        <f>VLOOKUP($Z531,'oddspedia-matches'!$A:$AD,AI$2,0)</f>
        <v>#N/A</v>
      </c>
      <c r="AJ531" t="e">
        <f>VLOOKUP($Z531,'oddspedia-matches'!$A:$AD,AJ$2,0)</f>
        <v>#N/A</v>
      </c>
      <c r="AK531" t="e">
        <f>VLOOKUP($Z531,'oddspedia-matches'!$A:$AD,AK$2,0)</f>
        <v>#N/A</v>
      </c>
      <c r="AL531" t="e">
        <f>VLOOKUP($Z531,'oddspedia-matches'!$A:$AD,AL$2,0)</f>
        <v>#N/A</v>
      </c>
      <c r="AM531" t="e">
        <f>VLOOKUP($Z531,'oddspedia-matches'!$A:$AD,AM$2,0)</f>
        <v>#N/A</v>
      </c>
      <c r="AN531" t="e">
        <f>VLOOKUP($Z531,'oddspedia-matches'!$A:$AD,AN$2,0)</f>
        <v>#N/A</v>
      </c>
      <c r="AO531" t="e">
        <f>VLOOKUP($Z531,'oddspedia-matches'!$A:$AD,AO$2,0)</f>
        <v>#N/A</v>
      </c>
      <c r="AP531" t="e">
        <f>VLOOKUP($Z531,'oddspedia-matches'!$A:$AD,AP$2,0)</f>
        <v>#N/A</v>
      </c>
      <c r="AQ531" t="e">
        <f>VLOOKUP($Z531,'oddspedia-matches'!$A:$AD,AQ$2,0)</f>
        <v>#N/A</v>
      </c>
    </row>
    <row r="532" spans="2:43" x14ac:dyDescent="0.2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tr">
        <f>VLOOKUP(E532,'Transform table'!A:B,2,0)</f>
        <v>Guayaquil City FC</v>
      </c>
      <c r="Y532" t="str">
        <f>VLOOKUP(F532,'Transform table'!A:B,2,0)</f>
        <v>CD Uni Catolica del Ecuador</v>
      </c>
      <c r="Z532" t="str">
        <f t="shared" si="8"/>
        <v>27/07/2026Guayaquil City FCCD Uni Catolica del Ecuador</v>
      </c>
      <c r="AA532" t="e">
        <f>VLOOKUP($Z532,'oddspedia-matches'!$A:$AD,AA$2,0)</f>
        <v>#N/A</v>
      </c>
      <c r="AB532" t="e">
        <f>VLOOKUP($Z532,'oddspedia-matches'!$A:$AD,AB$2,0)</f>
        <v>#N/A</v>
      </c>
      <c r="AC532" t="e">
        <f>VLOOKUP($Z532,'oddspedia-matches'!$A:$AD,AC$2,0)</f>
        <v>#N/A</v>
      </c>
      <c r="AD532" t="e">
        <f>VLOOKUP($Z532,'oddspedia-matches'!$A:$AD,AD$2,0)</f>
        <v>#N/A</v>
      </c>
      <c r="AE532" t="e">
        <f>VLOOKUP($Z532,'oddspedia-matches'!$A:$AD,AE$2,0)</f>
        <v>#N/A</v>
      </c>
      <c r="AF532" t="e">
        <f>VLOOKUP($Z532,'oddspedia-matches'!$A:$AD,AF$2,0)</f>
        <v>#N/A</v>
      </c>
      <c r="AG532" t="e">
        <f>VLOOKUP($Z532,'oddspedia-matches'!$A:$AD,AG$2,0)</f>
        <v>#N/A</v>
      </c>
      <c r="AH532" t="e">
        <f>VLOOKUP($Z532,'oddspedia-matches'!$A:$AD,AH$2,0)</f>
        <v>#N/A</v>
      </c>
      <c r="AI532" t="e">
        <f>VLOOKUP($Z532,'oddspedia-matches'!$A:$AD,AI$2,0)</f>
        <v>#N/A</v>
      </c>
      <c r="AJ532" t="e">
        <f>VLOOKUP($Z532,'oddspedia-matches'!$A:$AD,AJ$2,0)</f>
        <v>#N/A</v>
      </c>
      <c r="AK532" t="e">
        <f>VLOOKUP($Z532,'oddspedia-matches'!$A:$AD,AK$2,0)</f>
        <v>#N/A</v>
      </c>
      <c r="AL532" t="e">
        <f>VLOOKUP($Z532,'oddspedia-matches'!$A:$AD,AL$2,0)</f>
        <v>#N/A</v>
      </c>
      <c r="AM532" t="e">
        <f>VLOOKUP($Z532,'oddspedia-matches'!$A:$AD,AM$2,0)</f>
        <v>#N/A</v>
      </c>
      <c r="AN532" t="e">
        <f>VLOOKUP($Z532,'oddspedia-matches'!$A:$AD,AN$2,0)</f>
        <v>#N/A</v>
      </c>
      <c r="AO532" t="e">
        <f>VLOOKUP($Z532,'oddspedia-matches'!$A:$AD,AO$2,0)</f>
        <v>#N/A</v>
      </c>
      <c r="AP532" t="e">
        <f>VLOOKUP($Z532,'oddspedia-matches'!$A:$AD,AP$2,0)</f>
        <v>#N/A</v>
      </c>
      <c r="AQ532" t="e">
        <f>VLOOKUP($Z532,'oddspedia-matches'!$A:$AD,AQ$2,0)</f>
        <v>#N/A</v>
      </c>
    </row>
    <row r="533" spans="2:43" x14ac:dyDescent="0.2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tr">
        <f>VLOOKUP(E533,'Transform table'!A:B,2,0)</f>
        <v>Pau</v>
      </c>
      <c r="Y533" t="e">
        <f>VLOOKUP(F533,'Transform table'!A:B,2,0)</f>
        <v>#N/A</v>
      </c>
      <c r="Z533" t="e">
        <f t="shared" si="8"/>
        <v>#N/A</v>
      </c>
      <c r="AA533" t="e">
        <f>VLOOKUP($Z533,'oddspedia-matches'!$A:$AD,AA$2,0)</f>
        <v>#N/A</v>
      </c>
      <c r="AB533" t="e">
        <f>VLOOKUP($Z533,'oddspedia-matches'!$A:$AD,AB$2,0)</f>
        <v>#N/A</v>
      </c>
      <c r="AC533" t="e">
        <f>VLOOKUP($Z533,'oddspedia-matches'!$A:$AD,AC$2,0)</f>
        <v>#N/A</v>
      </c>
      <c r="AD533" t="e">
        <f>VLOOKUP($Z533,'oddspedia-matches'!$A:$AD,AD$2,0)</f>
        <v>#N/A</v>
      </c>
      <c r="AE533" t="e">
        <f>VLOOKUP($Z533,'oddspedia-matches'!$A:$AD,AE$2,0)</f>
        <v>#N/A</v>
      </c>
      <c r="AF533" t="e">
        <f>VLOOKUP($Z533,'oddspedia-matches'!$A:$AD,AF$2,0)</f>
        <v>#N/A</v>
      </c>
      <c r="AG533" t="e">
        <f>VLOOKUP($Z533,'oddspedia-matches'!$A:$AD,AG$2,0)</f>
        <v>#N/A</v>
      </c>
      <c r="AH533" t="e">
        <f>VLOOKUP($Z533,'oddspedia-matches'!$A:$AD,AH$2,0)</f>
        <v>#N/A</v>
      </c>
      <c r="AI533" t="e">
        <f>VLOOKUP($Z533,'oddspedia-matches'!$A:$AD,AI$2,0)</f>
        <v>#N/A</v>
      </c>
      <c r="AJ533" t="e">
        <f>VLOOKUP($Z533,'oddspedia-matches'!$A:$AD,AJ$2,0)</f>
        <v>#N/A</v>
      </c>
      <c r="AK533" t="e">
        <f>VLOOKUP($Z533,'oddspedia-matches'!$A:$AD,AK$2,0)</f>
        <v>#N/A</v>
      </c>
      <c r="AL533" t="e">
        <f>VLOOKUP($Z533,'oddspedia-matches'!$A:$AD,AL$2,0)</f>
        <v>#N/A</v>
      </c>
      <c r="AM533" t="e">
        <f>VLOOKUP($Z533,'oddspedia-matches'!$A:$AD,AM$2,0)</f>
        <v>#N/A</v>
      </c>
      <c r="AN533" t="e">
        <f>VLOOKUP($Z533,'oddspedia-matches'!$A:$AD,AN$2,0)</f>
        <v>#N/A</v>
      </c>
      <c r="AO533" t="e">
        <f>VLOOKUP($Z533,'oddspedia-matches'!$A:$AD,AO$2,0)</f>
        <v>#N/A</v>
      </c>
      <c r="AP533" t="e">
        <f>VLOOKUP($Z533,'oddspedia-matches'!$A:$AD,AP$2,0)</f>
        <v>#N/A</v>
      </c>
      <c r="AQ533" t="e">
        <f>VLOOKUP($Z533,'oddspedia-matches'!$A:$AD,AQ$2,0)</f>
        <v>#N/A</v>
      </c>
    </row>
    <row r="534" spans="2:43" x14ac:dyDescent="0.2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tr">
        <f>VLOOKUP(E534,'Transform table'!A:B,2,0)</f>
        <v>Atletico Goianiense</v>
      </c>
      <c r="Y534" t="str">
        <f>VLOOKUP(F534,'Transform table'!A:B,2,0)</f>
        <v>Operario PR</v>
      </c>
      <c r="Z534" t="str">
        <f t="shared" si="8"/>
        <v>27/07/2026Atletico GoianienseOperario PR</v>
      </c>
      <c r="AA534" t="e">
        <f>VLOOKUP($Z534,'oddspedia-matches'!$A:$AD,AA$2,0)</f>
        <v>#N/A</v>
      </c>
      <c r="AB534" t="e">
        <f>VLOOKUP($Z534,'oddspedia-matches'!$A:$AD,AB$2,0)</f>
        <v>#N/A</v>
      </c>
      <c r="AC534" t="e">
        <f>VLOOKUP($Z534,'oddspedia-matches'!$A:$AD,AC$2,0)</f>
        <v>#N/A</v>
      </c>
      <c r="AD534" t="e">
        <f>VLOOKUP($Z534,'oddspedia-matches'!$A:$AD,AD$2,0)</f>
        <v>#N/A</v>
      </c>
      <c r="AE534" t="e">
        <f>VLOOKUP($Z534,'oddspedia-matches'!$A:$AD,AE$2,0)</f>
        <v>#N/A</v>
      </c>
      <c r="AF534" t="e">
        <f>VLOOKUP($Z534,'oddspedia-matches'!$A:$AD,AF$2,0)</f>
        <v>#N/A</v>
      </c>
      <c r="AG534" t="e">
        <f>VLOOKUP($Z534,'oddspedia-matches'!$A:$AD,AG$2,0)</f>
        <v>#N/A</v>
      </c>
      <c r="AH534" t="e">
        <f>VLOOKUP($Z534,'oddspedia-matches'!$A:$AD,AH$2,0)</f>
        <v>#N/A</v>
      </c>
      <c r="AI534" t="e">
        <f>VLOOKUP($Z534,'oddspedia-matches'!$A:$AD,AI$2,0)</f>
        <v>#N/A</v>
      </c>
      <c r="AJ534" t="e">
        <f>VLOOKUP($Z534,'oddspedia-matches'!$A:$AD,AJ$2,0)</f>
        <v>#N/A</v>
      </c>
      <c r="AK534" t="e">
        <f>VLOOKUP($Z534,'oddspedia-matches'!$A:$AD,AK$2,0)</f>
        <v>#N/A</v>
      </c>
      <c r="AL534" t="e">
        <f>VLOOKUP($Z534,'oddspedia-matches'!$A:$AD,AL$2,0)</f>
        <v>#N/A</v>
      </c>
      <c r="AM534" t="e">
        <f>VLOOKUP($Z534,'oddspedia-matches'!$A:$AD,AM$2,0)</f>
        <v>#N/A</v>
      </c>
      <c r="AN534" t="e">
        <f>VLOOKUP($Z534,'oddspedia-matches'!$A:$AD,AN$2,0)</f>
        <v>#N/A</v>
      </c>
      <c r="AO534" t="e">
        <f>VLOOKUP($Z534,'oddspedia-matches'!$A:$AD,AO$2,0)</f>
        <v>#N/A</v>
      </c>
      <c r="AP534" t="e">
        <f>VLOOKUP($Z534,'oddspedia-matches'!$A:$AD,AP$2,0)</f>
        <v>#N/A</v>
      </c>
      <c r="AQ534" t="e">
        <f>VLOOKUP($Z534,'oddspedia-matches'!$A:$AD,AQ$2,0)</f>
        <v>#N/A</v>
      </c>
    </row>
    <row r="535" spans="2:43" x14ac:dyDescent="0.2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tr">
        <f>VLOOKUP(E535,'Transform table'!A:B,2,0)</f>
        <v>Clube de Regatas Brasil</v>
      </c>
      <c r="Y535" t="str">
        <f>VLOOKUP(F535,'Transform table'!A:B,2,0)</f>
        <v>Vila Nova GO</v>
      </c>
      <c r="Z535" t="str">
        <f t="shared" si="8"/>
        <v>27/07/2026Clube de Regatas BrasilVila Nova GO</v>
      </c>
      <c r="AA535" t="e">
        <f>VLOOKUP($Z535,'oddspedia-matches'!$A:$AD,AA$2,0)</f>
        <v>#N/A</v>
      </c>
      <c r="AB535" t="e">
        <f>VLOOKUP($Z535,'oddspedia-matches'!$A:$AD,AB$2,0)</f>
        <v>#N/A</v>
      </c>
      <c r="AC535" t="e">
        <f>VLOOKUP($Z535,'oddspedia-matches'!$A:$AD,AC$2,0)</f>
        <v>#N/A</v>
      </c>
      <c r="AD535" t="e">
        <f>VLOOKUP($Z535,'oddspedia-matches'!$A:$AD,AD$2,0)</f>
        <v>#N/A</v>
      </c>
      <c r="AE535" t="e">
        <f>VLOOKUP($Z535,'oddspedia-matches'!$A:$AD,AE$2,0)</f>
        <v>#N/A</v>
      </c>
      <c r="AF535" t="e">
        <f>VLOOKUP($Z535,'oddspedia-matches'!$A:$AD,AF$2,0)</f>
        <v>#N/A</v>
      </c>
      <c r="AG535" t="e">
        <f>VLOOKUP($Z535,'oddspedia-matches'!$A:$AD,AG$2,0)</f>
        <v>#N/A</v>
      </c>
      <c r="AH535" t="e">
        <f>VLOOKUP($Z535,'oddspedia-matches'!$A:$AD,AH$2,0)</f>
        <v>#N/A</v>
      </c>
      <c r="AI535" t="e">
        <f>VLOOKUP($Z535,'oddspedia-matches'!$A:$AD,AI$2,0)</f>
        <v>#N/A</v>
      </c>
      <c r="AJ535" t="e">
        <f>VLOOKUP($Z535,'oddspedia-matches'!$A:$AD,AJ$2,0)</f>
        <v>#N/A</v>
      </c>
      <c r="AK535" t="e">
        <f>VLOOKUP($Z535,'oddspedia-matches'!$A:$AD,AK$2,0)</f>
        <v>#N/A</v>
      </c>
      <c r="AL535" t="e">
        <f>VLOOKUP($Z535,'oddspedia-matches'!$A:$AD,AL$2,0)</f>
        <v>#N/A</v>
      </c>
      <c r="AM535" t="e">
        <f>VLOOKUP($Z535,'oddspedia-matches'!$A:$AD,AM$2,0)</f>
        <v>#N/A</v>
      </c>
      <c r="AN535" t="e">
        <f>VLOOKUP($Z535,'oddspedia-matches'!$A:$AD,AN$2,0)</f>
        <v>#N/A</v>
      </c>
      <c r="AO535" t="e">
        <f>VLOOKUP($Z535,'oddspedia-matches'!$A:$AD,AO$2,0)</f>
        <v>#N/A</v>
      </c>
      <c r="AP535" t="e">
        <f>VLOOKUP($Z535,'oddspedia-matches'!$A:$AD,AP$2,0)</f>
        <v>#N/A</v>
      </c>
      <c r="AQ535" t="e">
        <f>VLOOKUP($Z535,'oddspedia-matches'!$A:$AD,AQ$2,0)</f>
        <v>#N/A</v>
      </c>
    </row>
    <row r="536" spans="2:43" x14ac:dyDescent="0.2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tr">
        <f>VLOOKUP(E536,'Transform table'!A:B,2,0)</f>
        <v>Sport Recife</v>
      </c>
      <c r="Y536" t="str">
        <f>VLOOKUP(F536,'Transform table'!A:B,2,0)</f>
        <v>Cuiaba</v>
      </c>
      <c r="Z536" t="str">
        <f t="shared" si="8"/>
        <v>27/07/2026Sport RecifeCuiaba</v>
      </c>
      <c r="AA536" t="e">
        <f>VLOOKUP($Z536,'oddspedia-matches'!$A:$AD,AA$2,0)</f>
        <v>#N/A</v>
      </c>
      <c r="AB536" t="e">
        <f>VLOOKUP($Z536,'oddspedia-matches'!$A:$AD,AB$2,0)</f>
        <v>#N/A</v>
      </c>
      <c r="AC536" t="e">
        <f>VLOOKUP($Z536,'oddspedia-matches'!$A:$AD,AC$2,0)</f>
        <v>#N/A</v>
      </c>
      <c r="AD536" t="e">
        <f>VLOOKUP($Z536,'oddspedia-matches'!$A:$AD,AD$2,0)</f>
        <v>#N/A</v>
      </c>
      <c r="AE536" t="e">
        <f>VLOOKUP($Z536,'oddspedia-matches'!$A:$AD,AE$2,0)</f>
        <v>#N/A</v>
      </c>
      <c r="AF536" t="e">
        <f>VLOOKUP($Z536,'oddspedia-matches'!$A:$AD,AF$2,0)</f>
        <v>#N/A</v>
      </c>
      <c r="AG536" t="e">
        <f>VLOOKUP($Z536,'oddspedia-matches'!$A:$AD,AG$2,0)</f>
        <v>#N/A</v>
      </c>
      <c r="AH536" t="e">
        <f>VLOOKUP($Z536,'oddspedia-matches'!$A:$AD,AH$2,0)</f>
        <v>#N/A</v>
      </c>
      <c r="AI536" t="e">
        <f>VLOOKUP($Z536,'oddspedia-matches'!$A:$AD,AI$2,0)</f>
        <v>#N/A</v>
      </c>
      <c r="AJ536" t="e">
        <f>VLOOKUP($Z536,'oddspedia-matches'!$A:$AD,AJ$2,0)</f>
        <v>#N/A</v>
      </c>
      <c r="AK536" t="e">
        <f>VLOOKUP($Z536,'oddspedia-matches'!$A:$AD,AK$2,0)</f>
        <v>#N/A</v>
      </c>
      <c r="AL536" t="e">
        <f>VLOOKUP($Z536,'oddspedia-matches'!$A:$AD,AL$2,0)</f>
        <v>#N/A</v>
      </c>
      <c r="AM536" t="e">
        <f>VLOOKUP($Z536,'oddspedia-matches'!$A:$AD,AM$2,0)</f>
        <v>#N/A</v>
      </c>
      <c r="AN536" t="e">
        <f>VLOOKUP($Z536,'oddspedia-matches'!$A:$AD,AN$2,0)</f>
        <v>#N/A</v>
      </c>
      <c r="AO536" t="e">
        <f>VLOOKUP($Z536,'oddspedia-matches'!$A:$AD,AO$2,0)</f>
        <v>#N/A</v>
      </c>
      <c r="AP536" t="e">
        <f>VLOOKUP($Z536,'oddspedia-matches'!$A:$AD,AP$2,0)</f>
        <v>#N/A</v>
      </c>
      <c r="AQ536" t="e">
        <f>VLOOKUP($Z536,'oddspedia-matches'!$A:$AD,AQ$2,0)</f>
        <v>#N/A</v>
      </c>
    </row>
    <row r="537" spans="2:43" x14ac:dyDescent="0.2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tr">
        <f>VLOOKUP(E537,'Transform table'!A:B,2,0)</f>
        <v>Liverpool Montevideo</v>
      </c>
      <c r="Y537" t="e">
        <f>VLOOKUP(F537,'Transform table'!A:B,2,0)</f>
        <v>#N/A</v>
      </c>
      <c r="Z537" t="e">
        <f t="shared" si="8"/>
        <v>#N/A</v>
      </c>
      <c r="AA537" t="e">
        <f>VLOOKUP($Z537,'oddspedia-matches'!$A:$AD,AA$2,0)</f>
        <v>#N/A</v>
      </c>
      <c r="AB537" t="e">
        <f>VLOOKUP($Z537,'oddspedia-matches'!$A:$AD,AB$2,0)</f>
        <v>#N/A</v>
      </c>
      <c r="AC537" t="e">
        <f>VLOOKUP($Z537,'oddspedia-matches'!$A:$AD,AC$2,0)</f>
        <v>#N/A</v>
      </c>
      <c r="AD537" t="e">
        <f>VLOOKUP($Z537,'oddspedia-matches'!$A:$AD,AD$2,0)</f>
        <v>#N/A</v>
      </c>
      <c r="AE537" t="e">
        <f>VLOOKUP($Z537,'oddspedia-matches'!$A:$AD,AE$2,0)</f>
        <v>#N/A</v>
      </c>
      <c r="AF537" t="e">
        <f>VLOOKUP($Z537,'oddspedia-matches'!$A:$AD,AF$2,0)</f>
        <v>#N/A</v>
      </c>
      <c r="AG537" t="e">
        <f>VLOOKUP($Z537,'oddspedia-matches'!$A:$AD,AG$2,0)</f>
        <v>#N/A</v>
      </c>
      <c r="AH537" t="e">
        <f>VLOOKUP($Z537,'oddspedia-matches'!$A:$AD,AH$2,0)</f>
        <v>#N/A</v>
      </c>
      <c r="AI537" t="e">
        <f>VLOOKUP($Z537,'oddspedia-matches'!$A:$AD,AI$2,0)</f>
        <v>#N/A</v>
      </c>
      <c r="AJ537" t="e">
        <f>VLOOKUP($Z537,'oddspedia-matches'!$A:$AD,AJ$2,0)</f>
        <v>#N/A</v>
      </c>
      <c r="AK537" t="e">
        <f>VLOOKUP($Z537,'oddspedia-matches'!$A:$AD,AK$2,0)</f>
        <v>#N/A</v>
      </c>
      <c r="AL537" t="e">
        <f>VLOOKUP($Z537,'oddspedia-matches'!$A:$AD,AL$2,0)</f>
        <v>#N/A</v>
      </c>
      <c r="AM537" t="e">
        <f>VLOOKUP($Z537,'oddspedia-matches'!$A:$AD,AM$2,0)</f>
        <v>#N/A</v>
      </c>
      <c r="AN537" t="e">
        <f>VLOOKUP($Z537,'oddspedia-matches'!$A:$AD,AN$2,0)</f>
        <v>#N/A</v>
      </c>
      <c r="AO537" t="e">
        <f>VLOOKUP($Z537,'oddspedia-matches'!$A:$AD,AO$2,0)</f>
        <v>#N/A</v>
      </c>
      <c r="AP537" t="e">
        <f>VLOOKUP($Z537,'oddspedia-matches'!$A:$AD,AP$2,0)</f>
        <v>#N/A</v>
      </c>
      <c r="AQ537" t="e">
        <f>VLOOKUP($Z537,'oddspedia-matches'!$A:$AD,AQ$2,0)</f>
        <v>#N/A</v>
      </c>
    </row>
    <row r="538" spans="2:43" x14ac:dyDescent="0.2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tr">
        <f>VLOOKUP(E538,'Transform table'!A:B,2,0)</f>
        <v>CA Atlanta</v>
      </c>
      <c r="Y538" t="str">
        <f>VLOOKUP(F538,'Transform table'!A:B,2,0)</f>
        <v>Club Almagro</v>
      </c>
      <c r="Z538" t="str">
        <f t="shared" si="8"/>
        <v>27/07/2026CA AtlantaClub Almagro</v>
      </c>
      <c r="AA538" t="e">
        <f>VLOOKUP($Z538,'oddspedia-matches'!$A:$AD,AA$2,0)</f>
        <v>#N/A</v>
      </c>
      <c r="AB538" t="e">
        <f>VLOOKUP($Z538,'oddspedia-matches'!$A:$AD,AB$2,0)</f>
        <v>#N/A</v>
      </c>
      <c r="AC538" t="e">
        <f>VLOOKUP($Z538,'oddspedia-matches'!$A:$AD,AC$2,0)</f>
        <v>#N/A</v>
      </c>
      <c r="AD538" t="e">
        <f>VLOOKUP($Z538,'oddspedia-matches'!$A:$AD,AD$2,0)</f>
        <v>#N/A</v>
      </c>
      <c r="AE538" t="e">
        <f>VLOOKUP($Z538,'oddspedia-matches'!$A:$AD,AE$2,0)</f>
        <v>#N/A</v>
      </c>
      <c r="AF538" t="e">
        <f>VLOOKUP($Z538,'oddspedia-matches'!$A:$AD,AF$2,0)</f>
        <v>#N/A</v>
      </c>
      <c r="AG538" t="e">
        <f>VLOOKUP($Z538,'oddspedia-matches'!$A:$AD,AG$2,0)</f>
        <v>#N/A</v>
      </c>
      <c r="AH538" t="e">
        <f>VLOOKUP($Z538,'oddspedia-matches'!$A:$AD,AH$2,0)</f>
        <v>#N/A</v>
      </c>
      <c r="AI538" t="e">
        <f>VLOOKUP($Z538,'oddspedia-matches'!$A:$AD,AI$2,0)</f>
        <v>#N/A</v>
      </c>
      <c r="AJ538" t="e">
        <f>VLOOKUP($Z538,'oddspedia-matches'!$A:$AD,AJ$2,0)</f>
        <v>#N/A</v>
      </c>
      <c r="AK538" t="e">
        <f>VLOOKUP($Z538,'oddspedia-matches'!$A:$AD,AK$2,0)</f>
        <v>#N/A</v>
      </c>
      <c r="AL538" t="e">
        <f>VLOOKUP($Z538,'oddspedia-matches'!$A:$AD,AL$2,0)</f>
        <v>#N/A</v>
      </c>
      <c r="AM538" t="e">
        <f>VLOOKUP($Z538,'oddspedia-matches'!$A:$AD,AM$2,0)</f>
        <v>#N/A</v>
      </c>
      <c r="AN538" t="e">
        <f>VLOOKUP($Z538,'oddspedia-matches'!$A:$AD,AN$2,0)</f>
        <v>#N/A</v>
      </c>
      <c r="AO538" t="e">
        <f>VLOOKUP($Z538,'oddspedia-matches'!$A:$AD,AO$2,0)</f>
        <v>#N/A</v>
      </c>
      <c r="AP538" t="e">
        <f>VLOOKUP($Z538,'oddspedia-matches'!$A:$AD,AP$2,0)</f>
        <v>#N/A</v>
      </c>
      <c r="AQ538" t="e">
        <f>VLOOKUP($Z538,'oddspedia-matches'!$A:$AD,AQ$2,0)</f>
        <v>#N/A</v>
      </c>
    </row>
    <row r="539" spans="2:43" x14ac:dyDescent="0.2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tr">
        <f>VLOOKUP(E539,'Transform table'!A:B,2,0)</f>
        <v>Floriana</v>
      </c>
      <c r="Y539" t="e">
        <f>VLOOKUP(F539,'Transform table'!A:B,2,0)</f>
        <v>#N/A</v>
      </c>
      <c r="Z539" t="e">
        <f t="shared" si="8"/>
        <v>#N/A</v>
      </c>
      <c r="AA539" t="e">
        <f>VLOOKUP($Z539,'oddspedia-matches'!$A:$AD,AA$2,0)</f>
        <v>#N/A</v>
      </c>
      <c r="AB539" t="e">
        <f>VLOOKUP($Z539,'oddspedia-matches'!$A:$AD,AB$2,0)</f>
        <v>#N/A</v>
      </c>
      <c r="AC539" t="e">
        <f>VLOOKUP($Z539,'oddspedia-matches'!$A:$AD,AC$2,0)</f>
        <v>#N/A</v>
      </c>
      <c r="AD539" t="e">
        <f>VLOOKUP($Z539,'oddspedia-matches'!$A:$AD,AD$2,0)</f>
        <v>#N/A</v>
      </c>
      <c r="AE539" t="e">
        <f>VLOOKUP($Z539,'oddspedia-matches'!$A:$AD,AE$2,0)</f>
        <v>#N/A</v>
      </c>
      <c r="AF539" t="e">
        <f>VLOOKUP($Z539,'oddspedia-matches'!$A:$AD,AF$2,0)</f>
        <v>#N/A</v>
      </c>
      <c r="AG539" t="e">
        <f>VLOOKUP($Z539,'oddspedia-matches'!$A:$AD,AG$2,0)</f>
        <v>#N/A</v>
      </c>
      <c r="AH539" t="e">
        <f>VLOOKUP($Z539,'oddspedia-matches'!$A:$AD,AH$2,0)</f>
        <v>#N/A</v>
      </c>
      <c r="AI539" t="e">
        <f>VLOOKUP($Z539,'oddspedia-matches'!$A:$AD,AI$2,0)</f>
        <v>#N/A</v>
      </c>
      <c r="AJ539" t="e">
        <f>VLOOKUP($Z539,'oddspedia-matches'!$A:$AD,AJ$2,0)</f>
        <v>#N/A</v>
      </c>
      <c r="AK539" t="e">
        <f>VLOOKUP($Z539,'oddspedia-matches'!$A:$AD,AK$2,0)</f>
        <v>#N/A</v>
      </c>
      <c r="AL539" t="e">
        <f>VLOOKUP($Z539,'oddspedia-matches'!$A:$AD,AL$2,0)</f>
        <v>#N/A</v>
      </c>
      <c r="AM539" t="e">
        <f>VLOOKUP($Z539,'oddspedia-matches'!$A:$AD,AM$2,0)</f>
        <v>#N/A</v>
      </c>
      <c r="AN539" t="e">
        <f>VLOOKUP($Z539,'oddspedia-matches'!$A:$AD,AN$2,0)</f>
        <v>#N/A</v>
      </c>
      <c r="AO539" t="e">
        <f>VLOOKUP($Z539,'oddspedia-matches'!$A:$AD,AO$2,0)</f>
        <v>#N/A</v>
      </c>
      <c r="AP539" t="e">
        <f>VLOOKUP($Z539,'oddspedia-matches'!$A:$AD,AP$2,0)</f>
        <v>#N/A</v>
      </c>
      <c r="AQ539" t="e">
        <f>VLOOKUP($Z539,'oddspedia-matches'!$A:$AD,AQ$2,0)</f>
        <v>#N/A</v>
      </c>
    </row>
    <row r="540" spans="2:43" x14ac:dyDescent="0.2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tr">
        <f>VLOOKUP(E540,'Transform table'!A:B,2,0)</f>
        <v>Guarani SC</v>
      </c>
      <c r="Y540" t="e">
        <f>VLOOKUP(F540,'Transform table'!A:B,2,0)</f>
        <v>#N/A</v>
      </c>
      <c r="Z540" t="e">
        <f t="shared" si="8"/>
        <v>#N/A</v>
      </c>
      <c r="AA540" t="e">
        <f>VLOOKUP($Z540,'oddspedia-matches'!$A:$AD,AA$2,0)</f>
        <v>#N/A</v>
      </c>
      <c r="AB540" t="e">
        <f>VLOOKUP($Z540,'oddspedia-matches'!$A:$AD,AB$2,0)</f>
        <v>#N/A</v>
      </c>
      <c r="AC540" t="e">
        <f>VLOOKUP($Z540,'oddspedia-matches'!$A:$AD,AC$2,0)</f>
        <v>#N/A</v>
      </c>
      <c r="AD540" t="e">
        <f>VLOOKUP($Z540,'oddspedia-matches'!$A:$AD,AD$2,0)</f>
        <v>#N/A</v>
      </c>
      <c r="AE540" t="e">
        <f>VLOOKUP($Z540,'oddspedia-matches'!$A:$AD,AE$2,0)</f>
        <v>#N/A</v>
      </c>
      <c r="AF540" t="e">
        <f>VLOOKUP($Z540,'oddspedia-matches'!$A:$AD,AF$2,0)</f>
        <v>#N/A</v>
      </c>
      <c r="AG540" t="e">
        <f>VLOOKUP($Z540,'oddspedia-matches'!$A:$AD,AG$2,0)</f>
        <v>#N/A</v>
      </c>
      <c r="AH540" t="e">
        <f>VLOOKUP($Z540,'oddspedia-matches'!$A:$AD,AH$2,0)</f>
        <v>#N/A</v>
      </c>
      <c r="AI540" t="e">
        <f>VLOOKUP($Z540,'oddspedia-matches'!$A:$AD,AI$2,0)</f>
        <v>#N/A</v>
      </c>
      <c r="AJ540" t="e">
        <f>VLOOKUP($Z540,'oddspedia-matches'!$A:$AD,AJ$2,0)</f>
        <v>#N/A</v>
      </c>
      <c r="AK540" t="e">
        <f>VLOOKUP($Z540,'oddspedia-matches'!$A:$AD,AK$2,0)</f>
        <v>#N/A</v>
      </c>
      <c r="AL540" t="e">
        <f>VLOOKUP($Z540,'oddspedia-matches'!$A:$AD,AL$2,0)</f>
        <v>#N/A</v>
      </c>
      <c r="AM540" t="e">
        <f>VLOOKUP($Z540,'oddspedia-matches'!$A:$AD,AM$2,0)</f>
        <v>#N/A</v>
      </c>
      <c r="AN540" t="e">
        <f>VLOOKUP($Z540,'oddspedia-matches'!$A:$AD,AN$2,0)</f>
        <v>#N/A</v>
      </c>
      <c r="AO540" t="e">
        <f>VLOOKUP($Z540,'oddspedia-matches'!$A:$AD,AO$2,0)</f>
        <v>#N/A</v>
      </c>
      <c r="AP540" t="e">
        <f>VLOOKUP($Z540,'oddspedia-matches'!$A:$AD,AP$2,0)</f>
        <v>#N/A</v>
      </c>
      <c r="AQ540" t="e">
        <f>VLOOKUP($Z540,'oddspedia-matches'!$A:$AD,AQ$2,0)</f>
        <v>#N/A</v>
      </c>
    </row>
    <row r="541" spans="2:43" x14ac:dyDescent="0.2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tr">
        <f>VLOOKUP(E541,'Transform table'!A:B,2,0)</f>
        <v>Union La Calera</v>
      </c>
      <c r="Y541" t="str">
        <f>VLOOKUP(F541,'Transform table'!A:B,2,0)</f>
        <v>Everton de Vina</v>
      </c>
      <c r="Z541" t="str">
        <f t="shared" si="8"/>
        <v>27/07/2026Union La CaleraEverton de Vina</v>
      </c>
      <c r="AA541" t="e">
        <f>VLOOKUP($Z541,'oddspedia-matches'!$A:$AD,AA$2,0)</f>
        <v>#N/A</v>
      </c>
      <c r="AB541" t="e">
        <f>VLOOKUP($Z541,'oddspedia-matches'!$A:$AD,AB$2,0)</f>
        <v>#N/A</v>
      </c>
      <c r="AC541" t="e">
        <f>VLOOKUP($Z541,'oddspedia-matches'!$A:$AD,AC$2,0)</f>
        <v>#N/A</v>
      </c>
      <c r="AD541" t="e">
        <f>VLOOKUP($Z541,'oddspedia-matches'!$A:$AD,AD$2,0)</f>
        <v>#N/A</v>
      </c>
      <c r="AE541" t="e">
        <f>VLOOKUP($Z541,'oddspedia-matches'!$A:$AD,AE$2,0)</f>
        <v>#N/A</v>
      </c>
      <c r="AF541" t="e">
        <f>VLOOKUP($Z541,'oddspedia-matches'!$A:$AD,AF$2,0)</f>
        <v>#N/A</v>
      </c>
      <c r="AG541" t="e">
        <f>VLOOKUP($Z541,'oddspedia-matches'!$A:$AD,AG$2,0)</f>
        <v>#N/A</v>
      </c>
      <c r="AH541" t="e">
        <f>VLOOKUP($Z541,'oddspedia-matches'!$A:$AD,AH$2,0)</f>
        <v>#N/A</v>
      </c>
      <c r="AI541" t="e">
        <f>VLOOKUP($Z541,'oddspedia-matches'!$A:$AD,AI$2,0)</f>
        <v>#N/A</v>
      </c>
      <c r="AJ541" t="e">
        <f>VLOOKUP($Z541,'oddspedia-matches'!$A:$AD,AJ$2,0)</f>
        <v>#N/A</v>
      </c>
      <c r="AK541" t="e">
        <f>VLOOKUP($Z541,'oddspedia-matches'!$A:$AD,AK$2,0)</f>
        <v>#N/A</v>
      </c>
      <c r="AL541" t="e">
        <f>VLOOKUP($Z541,'oddspedia-matches'!$A:$AD,AL$2,0)</f>
        <v>#N/A</v>
      </c>
      <c r="AM541" t="e">
        <f>VLOOKUP($Z541,'oddspedia-matches'!$A:$AD,AM$2,0)</f>
        <v>#N/A</v>
      </c>
      <c r="AN541" t="e">
        <f>VLOOKUP($Z541,'oddspedia-matches'!$A:$AD,AN$2,0)</f>
        <v>#N/A</v>
      </c>
      <c r="AO541" t="e">
        <f>VLOOKUP($Z541,'oddspedia-matches'!$A:$AD,AO$2,0)</f>
        <v>#N/A</v>
      </c>
      <c r="AP541" t="e">
        <f>VLOOKUP($Z541,'oddspedia-matches'!$A:$AD,AP$2,0)</f>
        <v>#N/A</v>
      </c>
      <c r="AQ541" t="e">
        <f>VLOOKUP($Z541,'oddspedia-matches'!$A:$AD,AQ$2,0)</f>
        <v>#N/A</v>
      </c>
    </row>
    <row r="542" spans="2:43" x14ac:dyDescent="0.2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tr">
        <f>VLOOKUP(E542,'Transform table'!A:B,2,0)</f>
        <v>Union de Touarga</v>
      </c>
      <c r="Y542" t="e">
        <f>VLOOKUP(F542,'Transform table'!A:B,2,0)</f>
        <v>#N/A</v>
      </c>
      <c r="Z542" t="e">
        <f t="shared" si="8"/>
        <v>#N/A</v>
      </c>
      <c r="AA542" t="e">
        <f>VLOOKUP($Z542,'oddspedia-matches'!$A:$AD,AA$2,0)</f>
        <v>#N/A</v>
      </c>
      <c r="AB542" t="e">
        <f>VLOOKUP($Z542,'oddspedia-matches'!$A:$AD,AB$2,0)</f>
        <v>#N/A</v>
      </c>
      <c r="AC542" t="e">
        <f>VLOOKUP($Z542,'oddspedia-matches'!$A:$AD,AC$2,0)</f>
        <v>#N/A</v>
      </c>
      <c r="AD542" t="e">
        <f>VLOOKUP($Z542,'oddspedia-matches'!$A:$AD,AD$2,0)</f>
        <v>#N/A</v>
      </c>
      <c r="AE542" t="e">
        <f>VLOOKUP($Z542,'oddspedia-matches'!$A:$AD,AE$2,0)</f>
        <v>#N/A</v>
      </c>
      <c r="AF542" t="e">
        <f>VLOOKUP($Z542,'oddspedia-matches'!$A:$AD,AF$2,0)</f>
        <v>#N/A</v>
      </c>
      <c r="AG542" t="e">
        <f>VLOOKUP($Z542,'oddspedia-matches'!$A:$AD,AG$2,0)</f>
        <v>#N/A</v>
      </c>
      <c r="AH542" t="e">
        <f>VLOOKUP($Z542,'oddspedia-matches'!$A:$AD,AH$2,0)</f>
        <v>#N/A</v>
      </c>
      <c r="AI542" t="e">
        <f>VLOOKUP($Z542,'oddspedia-matches'!$A:$AD,AI$2,0)</f>
        <v>#N/A</v>
      </c>
      <c r="AJ542" t="e">
        <f>VLOOKUP($Z542,'oddspedia-matches'!$A:$AD,AJ$2,0)</f>
        <v>#N/A</v>
      </c>
      <c r="AK542" t="e">
        <f>VLOOKUP($Z542,'oddspedia-matches'!$A:$AD,AK$2,0)</f>
        <v>#N/A</v>
      </c>
      <c r="AL542" t="e">
        <f>VLOOKUP($Z542,'oddspedia-matches'!$A:$AD,AL$2,0)</f>
        <v>#N/A</v>
      </c>
      <c r="AM542" t="e">
        <f>VLOOKUP($Z542,'oddspedia-matches'!$A:$AD,AM$2,0)</f>
        <v>#N/A</v>
      </c>
      <c r="AN542" t="e">
        <f>VLOOKUP($Z542,'oddspedia-matches'!$A:$AD,AN$2,0)</f>
        <v>#N/A</v>
      </c>
      <c r="AO542" t="e">
        <f>VLOOKUP($Z542,'oddspedia-matches'!$A:$AD,AO$2,0)</f>
        <v>#N/A</v>
      </c>
      <c r="AP542" t="e">
        <f>VLOOKUP($Z542,'oddspedia-matches'!$A:$AD,AP$2,0)</f>
        <v>#N/A</v>
      </c>
      <c r="AQ542" t="e">
        <f>VLOOKUP($Z542,'oddspedia-matches'!$A:$AD,AQ$2,0)</f>
        <v>#N/A</v>
      </c>
    </row>
    <row r="543" spans="2:43" x14ac:dyDescent="0.2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tr">
        <f>VLOOKUP(E543,'Transform table'!A:B,2,0)</f>
        <v>Deportivo Cuenca</v>
      </c>
      <c r="Y543" t="str">
        <f>VLOOKUP(F543,'Transform table'!A:B,2,0)</f>
        <v>Emelec</v>
      </c>
      <c r="Z543" t="str">
        <f t="shared" si="8"/>
        <v>27/07/2026Deportivo CuencaEmelec</v>
      </c>
      <c r="AA543" t="e">
        <f>VLOOKUP($Z543,'oddspedia-matches'!$A:$AD,AA$2,0)</f>
        <v>#N/A</v>
      </c>
      <c r="AB543" t="e">
        <f>VLOOKUP($Z543,'oddspedia-matches'!$A:$AD,AB$2,0)</f>
        <v>#N/A</v>
      </c>
      <c r="AC543" t="e">
        <f>VLOOKUP($Z543,'oddspedia-matches'!$A:$AD,AC$2,0)</f>
        <v>#N/A</v>
      </c>
      <c r="AD543" t="e">
        <f>VLOOKUP($Z543,'oddspedia-matches'!$A:$AD,AD$2,0)</f>
        <v>#N/A</v>
      </c>
      <c r="AE543" t="e">
        <f>VLOOKUP($Z543,'oddspedia-matches'!$A:$AD,AE$2,0)</f>
        <v>#N/A</v>
      </c>
      <c r="AF543" t="e">
        <f>VLOOKUP($Z543,'oddspedia-matches'!$A:$AD,AF$2,0)</f>
        <v>#N/A</v>
      </c>
      <c r="AG543" t="e">
        <f>VLOOKUP($Z543,'oddspedia-matches'!$A:$AD,AG$2,0)</f>
        <v>#N/A</v>
      </c>
      <c r="AH543" t="e">
        <f>VLOOKUP($Z543,'oddspedia-matches'!$A:$AD,AH$2,0)</f>
        <v>#N/A</v>
      </c>
      <c r="AI543" t="e">
        <f>VLOOKUP($Z543,'oddspedia-matches'!$A:$AD,AI$2,0)</f>
        <v>#N/A</v>
      </c>
      <c r="AJ543" t="e">
        <f>VLOOKUP($Z543,'oddspedia-matches'!$A:$AD,AJ$2,0)</f>
        <v>#N/A</v>
      </c>
      <c r="AK543" t="e">
        <f>VLOOKUP($Z543,'oddspedia-matches'!$A:$AD,AK$2,0)</f>
        <v>#N/A</v>
      </c>
      <c r="AL543" t="e">
        <f>VLOOKUP($Z543,'oddspedia-matches'!$A:$AD,AL$2,0)</f>
        <v>#N/A</v>
      </c>
      <c r="AM543" t="e">
        <f>VLOOKUP($Z543,'oddspedia-matches'!$A:$AD,AM$2,0)</f>
        <v>#N/A</v>
      </c>
      <c r="AN543" t="e">
        <f>VLOOKUP($Z543,'oddspedia-matches'!$A:$AD,AN$2,0)</f>
        <v>#N/A</v>
      </c>
      <c r="AO543" t="e">
        <f>VLOOKUP($Z543,'oddspedia-matches'!$A:$AD,AO$2,0)</f>
        <v>#N/A</v>
      </c>
      <c r="AP543" t="e">
        <f>VLOOKUP($Z543,'oddspedia-matches'!$A:$AD,AP$2,0)</f>
        <v>#N/A</v>
      </c>
      <c r="AQ543" t="e">
        <f>VLOOKUP($Z543,'oddspedia-matches'!$A:$AD,AQ$2,0)</f>
        <v>#N/A</v>
      </c>
    </row>
    <row r="544" spans="2:43" x14ac:dyDescent="0.2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tr">
        <f>VLOOKUP(E544,'Transform table'!A:B,2,0)</f>
        <v>Atletico Argentino</v>
      </c>
      <c r="Y544" t="e">
        <f>VLOOKUP(F544,'Transform table'!A:B,2,0)</f>
        <v>#N/A</v>
      </c>
      <c r="Z544" t="e">
        <f t="shared" si="8"/>
        <v>#N/A</v>
      </c>
      <c r="AA544" t="e">
        <f>VLOOKUP($Z544,'oddspedia-matches'!$A:$AD,AA$2,0)</f>
        <v>#N/A</v>
      </c>
      <c r="AB544" t="e">
        <f>VLOOKUP($Z544,'oddspedia-matches'!$A:$AD,AB$2,0)</f>
        <v>#N/A</v>
      </c>
      <c r="AC544" t="e">
        <f>VLOOKUP($Z544,'oddspedia-matches'!$A:$AD,AC$2,0)</f>
        <v>#N/A</v>
      </c>
      <c r="AD544" t="e">
        <f>VLOOKUP($Z544,'oddspedia-matches'!$A:$AD,AD$2,0)</f>
        <v>#N/A</v>
      </c>
      <c r="AE544" t="e">
        <f>VLOOKUP($Z544,'oddspedia-matches'!$A:$AD,AE$2,0)</f>
        <v>#N/A</v>
      </c>
      <c r="AF544" t="e">
        <f>VLOOKUP($Z544,'oddspedia-matches'!$A:$AD,AF$2,0)</f>
        <v>#N/A</v>
      </c>
      <c r="AG544" t="e">
        <f>VLOOKUP($Z544,'oddspedia-matches'!$A:$AD,AG$2,0)</f>
        <v>#N/A</v>
      </c>
      <c r="AH544" t="e">
        <f>VLOOKUP($Z544,'oddspedia-matches'!$A:$AD,AH$2,0)</f>
        <v>#N/A</v>
      </c>
      <c r="AI544" t="e">
        <f>VLOOKUP($Z544,'oddspedia-matches'!$A:$AD,AI$2,0)</f>
        <v>#N/A</v>
      </c>
      <c r="AJ544" t="e">
        <f>VLOOKUP($Z544,'oddspedia-matches'!$A:$AD,AJ$2,0)</f>
        <v>#N/A</v>
      </c>
      <c r="AK544" t="e">
        <f>VLOOKUP($Z544,'oddspedia-matches'!$A:$AD,AK$2,0)</f>
        <v>#N/A</v>
      </c>
      <c r="AL544" t="e">
        <f>VLOOKUP($Z544,'oddspedia-matches'!$A:$AD,AL$2,0)</f>
        <v>#N/A</v>
      </c>
      <c r="AM544" t="e">
        <f>VLOOKUP($Z544,'oddspedia-matches'!$A:$AD,AM$2,0)</f>
        <v>#N/A</v>
      </c>
      <c r="AN544" t="e">
        <f>VLOOKUP($Z544,'oddspedia-matches'!$A:$AD,AN$2,0)</f>
        <v>#N/A</v>
      </c>
      <c r="AO544" t="e">
        <f>VLOOKUP($Z544,'oddspedia-matches'!$A:$AD,AO$2,0)</f>
        <v>#N/A</v>
      </c>
      <c r="AP544" t="e">
        <f>VLOOKUP($Z544,'oddspedia-matches'!$A:$AD,AP$2,0)</f>
        <v>#N/A</v>
      </c>
      <c r="AQ544" t="e">
        <f>VLOOKUP($Z544,'oddspedia-matches'!$A:$AD,AQ$2,0)</f>
        <v>#N/A</v>
      </c>
    </row>
    <row r="545" spans="2:43" x14ac:dyDescent="0.2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tr">
        <f>VLOOKUP(E545,'Transform table'!A:B,2,0)</f>
        <v>Torque</v>
      </c>
      <c r="Y545" t="e">
        <f>VLOOKUP(F545,'Transform table'!A:B,2,0)</f>
        <v>#N/A</v>
      </c>
      <c r="Z545" t="e">
        <f t="shared" si="8"/>
        <v>#N/A</v>
      </c>
      <c r="AA545" t="e">
        <f>VLOOKUP($Z545,'oddspedia-matches'!$A:$AD,AA$2,0)</f>
        <v>#N/A</v>
      </c>
      <c r="AB545" t="e">
        <f>VLOOKUP($Z545,'oddspedia-matches'!$A:$AD,AB$2,0)</f>
        <v>#N/A</v>
      </c>
      <c r="AC545" t="e">
        <f>VLOOKUP($Z545,'oddspedia-matches'!$A:$AD,AC$2,0)</f>
        <v>#N/A</v>
      </c>
      <c r="AD545" t="e">
        <f>VLOOKUP($Z545,'oddspedia-matches'!$A:$AD,AD$2,0)</f>
        <v>#N/A</v>
      </c>
      <c r="AE545" t="e">
        <f>VLOOKUP($Z545,'oddspedia-matches'!$A:$AD,AE$2,0)</f>
        <v>#N/A</v>
      </c>
      <c r="AF545" t="e">
        <f>VLOOKUP($Z545,'oddspedia-matches'!$A:$AD,AF$2,0)</f>
        <v>#N/A</v>
      </c>
      <c r="AG545" t="e">
        <f>VLOOKUP($Z545,'oddspedia-matches'!$A:$AD,AG$2,0)</f>
        <v>#N/A</v>
      </c>
      <c r="AH545" t="e">
        <f>VLOOKUP($Z545,'oddspedia-matches'!$A:$AD,AH$2,0)</f>
        <v>#N/A</v>
      </c>
      <c r="AI545" t="e">
        <f>VLOOKUP($Z545,'oddspedia-matches'!$A:$AD,AI$2,0)</f>
        <v>#N/A</v>
      </c>
      <c r="AJ545" t="e">
        <f>VLOOKUP($Z545,'oddspedia-matches'!$A:$AD,AJ$2,0)</f>
        <v>#N/A</v>
      </c>
      <c r="AK545" t="e">
        <f>VLOOKUP($Z545,'oddspedia-matches'!$A:$AD,AK$2,0)</f>
        <v>#N/A</v>
      </c>
      <c r="AL545" t="e">
        <f>VLOOKUP($Z545,'oddspedia-matches'!$A:$AD,AL$2,0)</f>
        <v>#N/A</v>
      </c>
      <c r="AM545" t="e">
        <f>VLOOKUP($Z545,'oddspedia-matches'!$A:$AD,AM$2,0)</f>
        <v>#N/A</v>
      </c>
      <c r="AN545" t="e">
        <f>VLOOKUP($Z545,'oddspedia-matches'!$A:$AD,AN$2,0)</f>
        <v>#N/A</v>
      </c>
      <c r="AO545" t="e">
        <f>VLOOKUP($Z545,'oddspedia-matches'!$A:$AD,AO$2,0)</f>
        <v>#N/A</v>
      </c>
      <c r="AP545" t="e">
        <f>VLOOKUP($Z545,'oddspedia-matches'!$A:$AD,AP$2,0)</f>
        <v>#N/A</v>
      </c>
      <c r="AQ545" t="e">
        <f>VLOOKUP($Z545,'oddspedia-matches'!$A:$AD,AQ$2,0)</f>
        <v>#N/A</v>
      </c>
    </row>
    <row r="546" spans="2:43" x14ac:dyDescent="0.2">
      <c r="B546" t="s">
        <v>450</v>
      </c>
      <c r="C546" t="s">
        <v>2227</v>
      </c>
      <c r="D546" s="25">
        <v>0.5</v>
      </c>
      <c r="E546" t="s">
        <v>2228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e">
        <f>VLOOKUP(E546,'Transform table'!A:B,2,0)</f>
        <v>#N/A</v>
      </c>
      <c r="Y546" t="str">
        <f>VLOOKUP(F546,'Transform table'!A:B,2,0)</f>
        <v>FK Transinvest II</v>
      </c>
      <c r="Z546" t="e">
        <f t="shared" si="8"/>
        <v>#N/A</v>
      </c>
      <c r="AA546" t="e">
        <f>VLOOKUP($Z546,'oddspedia-matches'!$A:$AD,AA$2,0)</f>
        <v>#N/A</v>
      </c>
      <c r="AB546" t="e">
        <f>VLOOKUP($Z546,'oddspedia-matches'!$A:$AD,AB$2,0)</f>
        <v>#N/A</v>
      </c>
      <c r="AC546" t="e">
        <f>VLOOKUP($Z546,'oddspedia-matches'!$A:$AD,AC$2,0)</f>
        <v>#N/A</v>
      </c>
      <c r="AD546" t="e">
        <f>VLOOKUP($Z546,'oddspedia-matches'!$A:$AD,AD$2,0)</f>
        <v>#N/A</v>
      </c>
      <c r="AE546" t="e">
        <f>VLOOKUP($Z546,'oddspedia-matches'!$A:$AD,AE$2,0)</f>
        <v>#N/A</v>
      </c>
      <c r="AF546" t="e">
        <f>VLOOKUP($Z546,'oddspedia-matches'!$A:$AD,AF$2,0)</f>
        <v>#N/A</v>
      </c>
      <c r="AG546" t="e">
        <f>VLOOKUP($Z546,'oddspedia-matches'!$A:$AD,AG$2,0)</f>
        <v>#N/A</v>
      </c>
      <c r="AH546" t="e">
        <f>VLOOKUP($Z546,'oddspedia-matches'!$A:$AD,AH$2,0)</f>
        <v>#N/A</v>
      </c>
      <c r="AI546" t="e">
        <f>VLOOKUP($Z546,'oddspedia-matches'!$A:$AD,AI$2,0)</f>
        <v>#N/A</v>
      </c>
      <c r="AJ546" t="e">
        <f>VLOOKUP($Z546,'oddspedia-matches'!$A:$AD,AJ$2,0)</f>
        <v>#N/A</v>
      </c>
      <c r="AK546" t="e">
        <f>VLOOKUP($Z546,'oddspedia-matches'!$A:$AD,AK$2,0)</f>
        <v>#N/A</v>
      </c>
      <c r="AL546" t="e">
        <f>VLOOKUP($Z546,'oddspedia-matches'!$A:$AD,AL$2,0)</f>
        <v>#N/A</v>
      </c>
      <c r="AM546" t="e">
        <f>VLOOKUP($Z546,'oddspedia-matches'!$A:$AD,AM$2,0)</f>
        <v>#N/A</v>
      </c>
      <c r="AN546" t="e">
        <f>VLOOKUP($Z546,'oddspedia-matches'!$A:$AD,AN$2,0)</f>
        <v>#N/A</v>
      </c>
      <c r="AO546" t="e">
        <f>VLOOKUP($Z546,'oddspedia-matches'!$A:$AD,AO$2,0)</f>
        <v>#N/A</v>
      </c>
      <c r="AP546" t="e">
        <f>VLOOKUP($Z546,'oddspedia-matches'!$A:$AD,AP$2,0)</f>
        <v>#N/A</v>
      </c>
      <c r="AQ546" t="e">
        <f>VLOOKUP($Z546,'oddspedia-matches'!$A:$AD,AQ$2,0)</f>
        <v>#N/A</v>
      </c>
    </row>
    <row r="547" spans="2:43" x14ac:dyDescent="0.2">
      <c r="B547" t="s">
        <v>450</v>
      </c>
      <c r="C547" t="s">
        <v>2227</v>
      </c>
      <c r="D547" s="25">
        <v>0.54166666666666663</v>
      </c>
      <c r="E547" t="s">
        <v>225</v>
      </c>
      <c r="F547" t="s">
        <v>2229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tr">
        <f>VLOOKUP(E547,'Transform table'!A:B,2,0)</f>
        <v>VMFD Zalgiris Vilnius II</v>
      </c>
      <c r="Y547" t="e">
        <f>VLOOKUP(F547,'Transform table'!A:B,2,0)</f>
        <v>#N/A</v>
      </c>
      <c r="Z547" t="e">
        <f t="shared" si="8"/>
        <v>#N/A</v>
      </c>
      <c r="AA547" t="e">
        <f>VLOOKUP($Z547,'oddspedia-matches'!$A:$AD,AA$2,0)</f>
        <v>#N/A</v>
      </c>
      <c r="AB547" t="e">
        <f>VLOOKUP($Z547,'oddspedia-matches'!$A:$AD,AB$2,0)</f>
        <v>#N/A</v>
      </c>
      <c r="AC547" t="e">
        <f>VLOOKUP($Z547,'oddspedia-matches'!$A:$AD,AC$2,0)</f>
        <v>#N/A</v>
      </c>
      <c r="AD547" t="e">
        <f>VLOOKUP($Z547,'oddspedia-matches'!$A:$AD,AD$2,0)</f>
        <v>#N/A</v>
      </c>
      <c r="AE547" t="e">
        <f>VLOOKUP($Z547,'oddspedia-matches'!$A:$AD,AE$2,0)</f>
        <v>#N/A</v>
      </c>
      <c r="AF547" t="e">
        <f>VLOOKUP($Z547,'oddspedia-matches'!$A:$AD,AF$2,0)</f>
        <v>#N/A</v>
      </c>
      <c r="AG547" t="e">
        <f>VLOOKUP($Z547,'oddspedia-matches'!$A:$AD,AG$2,0)</f>
        <v>#N/A</v>
      </c>
      <c r="AH547" t="e">
        <f>VLOOKUP($Z547,'oddspedia-matches'!$A:$AD,AH$2,0)</f>
        <v>#N/A</v>
      </c>
      <c r="AI547" t="e">
        <f>VLOOKUP($Z547,'oddspedia-matches'!$A:$AD,AI$2,0)</f>
        <v>#N/A</v>
      </c>
      <c r="AJ547" t="e">
        <f>VLOOKUP($Z547,'oddspedia-matches'!$A:$AD,AJ$2,0)</f>
        <v>#N/A</v>
      </c>
      <c r="AK547" t="e">
        <f>VLOOKUP($Z547,'oddspedia-matches'!$A:$AD,AK$2,0)</f>
        <v>#N/A</v>
      </c>
      <c r="AL547" t="e">
        <f>VLOOKUP($Z547,'oddspedia-matches'!$A:$AD,AL$2,0)</f>
        <v>#N/A</v>
      </c>
      <c r="AM547" t="e">
        <f>VLOOKUP($Z547,'oddspedia-matches'!$A:$AD,AM$2,0)</f>
        <v>#N/A</v>
      </c>
      <c r="AN547" t="e">
        <f>VLOOKUP($Z547,'oddspedia-matches'!$A:$AD,AN$2,0)</f>
        <v>#N/A</v>
      </c>
      <c r="AO547" t="e">
        <f>VLOOKUP($Z547,'oddspedia-matches'!$A:$AD,AO$2,0)</f>
        <v>#N/A</v>
      </c>
      <c r="AP547" t="e">
        <f>VLOOKUP($Z547,'oddspedia-matches'!$A:$AD,AP$2,0)</f>
        <v>#N/A</v>
      </c>
      <c r="AQ547" t="e">
        <f>VLOOKUP($Z547,'oddspedia-matches'!$A:$AD,AQ$2,0)</f>
        <v>#N/A</v>
      </c>
    </row>
    <row r="548" spans="2:43" x14ac:dyDescent="0.2">
      <c r="B548" t="s">
        <v>451</v>
      </c>
      <c r="C548" t="s">
        <v>2227</v>
      </c>
      <c r="D548" s="25">
        <v>0.58333333333333337</v>
      </c>
      <c r="E548" t="s">
        <v>227</v>
      </c>
      <c r="F548" t="s">
        <v>2230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tr">
        <f>VLOOKUP(E548,'Transform table'!A:B,2,0)</f>
        <v>Helsingborg</v>
      </c>
      <c r="Y548" t="e">
        <f>VLOOKUP(F548,'Transform table'!A:B,2,0)</f>
        <v>#N/A</v>
      </c>
      <c r="Z548" t="e">
        <f t="shared" si="8"/>
        <v>#N/A</v>
      </c>
      <c r="AA548" t="e">
        <f>VLOOKUP($Z548,'oddspedia-matches'!$A:$AD,AA$2,0)</f>
        <v>#N/A</v>
      </c>
      <c r="AB548" t="e">
        <f>VLOOKUP($Z548,'oddspedia-matches'!$A:$AD,AB$2,0)</f>
        <v>#N/A</v>
      </c>
      <c r="AC548" t="e">
        <f>VLOOKUP($Z548,'oddspedia-matches'!$A:$AD,AC$2,0)</f>
        <v>#N/A</v>
      </c>
      <c r="AD548" t="e">
        <f>VLOOKUP($Z548,'oddspedia-matches'!$A:$AD,AD$2,0)</f>
        <v>#N/A</v>
      </c>
      <c r="AE548" t="e">
        <f>VLOOKUP($Z548,'oddspedia-matches'!$A:$AD,AE$2,0)</f>
        <v>#N/A</v>
      </c>
      <c r="AF548" t="e">
        <f>VLOOKUP($Z548,'oddspedia-matches'!$A:$AD,AF$2,0)</f>
        <v>#N/A</v>
      </c>
      <c r="AG548" t="e">
        <f>VLOOKUP($Z548,'oddspedia-matches'!$A:$AD,AG$2,0)</f>
        <v>#N/A</v>
      </c>
      <c r="AH548" t="e">
        <f>VLOOKUP($Z548,'oddspedia-matches'!$A:$AD,AH$2,0)</f>
        <v>#N/A</v>
      </c>
      <c r="AI548" t="e">
        <f>VLOOKUP($Z548,'oddspedia-matches'!$A:$AD,AI$2,0)</f>
        <v>#N/A</v>
      </c>
      <c r="AJ548" t="e">
        <f>VLOOKUP($Z548,'oddspedia-matches'!$A:$AD,AJ$2,0)</f>
        <v>#N/A</v>
      </c>
      <c r="AK548" t="e">
        <f>VLOOKUP($Z548,'oddspedia-matches'!$A:$AD,AK$2,0)</f>
        <v>#N/A</v>
      </c>
      <c r="AL548" t="e">
        <f>VLOOKUP($Z548,'oddspedia-matches'!$A:$AD,AL$2,0)</f>
        <v>#N/A</v>
      </c>
      <c r="AM548" t="e">
        <f>VLOOKUP($Z548,'oddspedia-matches'!$A:$AD,AM$2,0)</f>
        <v>#N/A</v>
      </c>
      <c r="AN548" t="e">
        <f>VLOOKUP($Z548,'oddspedia-matches'!$A:$AD,AN$2,0)</f>
        <v>#N/A</v>
      </c>
      <c r="AO548" t="e">
        <f>VLOOKUP($Z548,'oddspedia-matches'!$A:$AD,AO$2,0)</f>
        <v>#N/A</v>
      </c>
      <c r="AP548" t="e">
        <f>VLOOKUP($Z548,'oddspedia-matches'!$A:$AD,AP$2,0)</f>
        <v>#N/A</v>
      </c>
      <c r="AQ548" t="e">
        <f>VLOOKUP($Z548,'oddspedia-matches'!$A:$AD,AQ$2,0)</f>
        <v>#N/A</v>
      </c>
    </row>
    <row r="549" spans="2:43" x14ac:dyDescent="0.2">
      <c r="B549" t="s">
        <v>451</v>
      </c>
      <c r="C549" t="s">
        <v>2227</v>
      </c>
      <c r="D549" s="25">
        <v>0.58333333333333337</v>
      </c>
      <c r="E549" t="s">
        <v>2231</v>
      </c>
      <c r="F549" t="s">
        <v>2232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e">
        <f>VLOOKUP(E549,'Transform table'!A:B,2,0)</f>
        <v>#N/A</v>
      </c>
      <c r="Y549" t="e">
        <f>VLOOKUP(F549,'Transform table'!A:B,2,0)</f>
        <v>#N/A</v>
      </c>
      <c r="Z549" t="e">
        <f t="shared" si="8"/>
        <v>#N/A</v>
      </c>
      <c r="AA549" t="e">
        <f>VLOOKUP($Z549,'oddspedia-matches'!$A:$AD,AA$2,0)</f>
        <v>#N/A</v>
      </c>
      <c r="AB549" t="e">
        <f>VLOOKUP($Z549,'oddspedia-matches'!$A:$AD,AB$2,0)</f>
        <v>#N/A</v>
      </c>
      <c r="AC549" t="e">
        <f>VLOOKUP($Z549,'oddspedia-matches'!$A:$AD,AC$2,0)</f>
        <v>#N/A</v>
      </c>
      <c r="AD549" t="e">
        <f>VLOOKUP($Z549,'oddspedia-matches'!$A:$AD,AD$2,0)</f>
        <v>#N/A</v>
      </c>
      <c r="AE549" t="e">
        <f>VLOOKUP($Z549,'oddspedia-matches'!$A:$AD,AE$2,0)</f>
        <v>#N/A</v>
      </c>
      <c r="AF549" t="e">
        <f>VLOOKUP($Z549,'oddspedia-matches'!$A:$AD,AF$2,0)</f>
        <v>#N/A</v>
      </c>
      <c r="AG549" t="e">
        <f>VLOOKUP($Z549,'oddspedia-matches'!$A:$AD,AG$2,0)</f>
        <v>#N/A</v>
      </c>
      <c r="AH549" t="e">
        <f>VLOOKUP($Z549,'oddspedia-matches'!$A:$AD,AH$2,0)</f>
        <v>#N/A</v>
      </c>
      <c r="AI549" t="e">
        <f>VLOOKUP($Z549,'oddspedia-matches'!$A:$AD,AI$2,0)</f>
        <v>#N/A</v>
      </c>
      <c r="AJ549" t="e">
        <f>VLOOKUP($Z549,'oddspedia-matches'!$A:$AD,AJ$2,0)</f>
        <v>#N/A</v>
      </c>
      <c r="AK549" t="e">
        <f>VLOOKUP($Z549,'oddspedia-matches'!$A:$AD,AK$2,0)</f>
        <v>#N/A</v>
      </c>
      <c r="AL549" t="e">
        <f>VLOOKUP($Z549,'oddspedia-matches'!$A:$AD,AL$2,0)</f>
        <v>#N/A</v>
      </c>
      <c r="AM549" t="e">
        <f>VLOOKUP($Z549,'oddspedia-matches'!$A:$AD,AM$2,0)</f>
        <v>#N/A</v>
      </c>
      <c r="AN549" t="e">
        <f>VLOOKUP($Z549,'oddspedia-matches'!$A:$AD,AN$2,0)</f>
        <v>#N/A</v>
      </c>
      <c r="AO549" t="e">
        <f>VLOOKUP($Z549,'oddspedia-matches'!$A:$AD,AO$2,0)</f>
        <v>#N/A</v>
      </c>
      <c r="AP549" t="e">
        <f>VLOOKUP($Z549,'oddspedia-matches'!$A:$AD,AP$2,0)</f>
        <v>#N/A</v>
      </c>
      <c r="AQ549" t="e">
        <f>VLOOKUP($Z549,'oddspedia-matches'!$A:$AD,AQ$2,0)</f>
        <v>#N/A</v>
      </c>
    </row>
    <row r="550" spans="2:43" x14ac:dyDescent="0.2">
      <c r="B550" t="s">
        <v>479</v>
      </c>
      <c r="C550" t="s">
        <v>2227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tr">
        <f>VLOOKUP(E550,'Transform table'!A:B,2,0)</f>
        <v>Rubio Nu</v>
      </c>
      <c r="Y550" t="str">
        <f>VLOOKUP(F550,'Transform table'!A:B,2,0)</f>
        <v>Sportivo Iteno</v>
      </c>
      <c r="Z550" t="str">
        <f t="shared" si="8"/>
        <v>28/07/2026Rubio NuSportivo Iteno</v>
      </c>
      <c r="AA550" t="e">
        <f>VLOOKUP($Z550,'oddspedia-matches'!$A:$AD,AA$2,0)</f>
        <v>#N/A</v>
      </c>
      <c r="AB550" t="e">
        <f>VLOOKUP($Z550,'oddspedia-matches'!$A:$AD,AB$2,0)</f>
        <v>#N/A</v>
      </c>
      <c r="AC550" t="e">
        <f>VLOOKUP($Z550,'oddspedia-matches'!$A:$AD,AC$2,0)</f>
        <v>#N/A</v>
      </c>
      <c r="AD550" t="e">
        <f>VLOOKUP($Z550,'oddspedia-matches'!$A:$AD,AD$2,0)</f>
        <v>#N/A</v>
      </c>
      <c r="AE550" t="e">
        <f>VLOOKUP($Z550,'oddspedia-matches'!$A:$AD,AE$2,0)</f>
        <v>#N/A</v>
      </c>
      <c r="AF550" t="e">
        <f>VLOOKUP($Z550,'oddspedia-matches'!$A:$AD,AF$2,0)</f>
        <v>#N/A</v>
      </c>
      <c r="AG550" t="e">
        <f>VLOOKUP($Z550,'oddspedia-matches'!$A:$AD,AG$2,0)</f>
        <v>#N/A</v>
      </c>
      <c r="AH550" t="e">
        <f>VLOOKUP($Z550,'oddspedia-matches'!$A:$AD,AH$2,0)</f>
        <v>#N/A</v>
      </c>
      <c r="AI550" t="e">
        <f>VLOOKUP($Z550,'oddspedia-matches'!$A:$AD,AI$2,0)</f>
        <v>#N/A</v>
      </c>
      <c r="AJ550" t="e">
        <f>VLOOKUP($Z550,'oddspedia-matches'!$A:$AD,AJ$2,0)</f>
        <v>#N/A</v>
      </c>
      <c r="AK550" t="e">
        <f>VLOOKUP($Z550,'oddspedia-matches'!$A:$AD,AK$2,0)</f>
        <v>#N/A</v>
      </c>
      <c r="AL550" t="e">
        <f>VLOOKUP($Z550,'oddspedia-matches'!$A:$AD,AL$2,0)</f>
        <v>#N/A</v>
      </c>
      <c r="AM550" t="e">
        <f>VLOOKUP($Z550,'oddspedia-matches'!$A:$AD,AM$2,0)</f>
        <v>#N/A</v>
      </c>
      <c r="AN550" t="e">
        <f>VLOOKUP($Z550,'oddspedia-matches'!$A:$AD,AN$2,0)</f>
        <v>#N/A</v>
      </c>
      <c r="AO550" t="e">
        <f>VLOOKUP($Z550,'oddspedia-matches'!$A:$AD,AO$2,0)</f>
        <v>#N/A</v>
      </c>
      <c r="AP550" t="e">
        <f>VLOOKUP($Z550,'oddspedia-matches'!$A:$AD,AP$2,0)</f>
        <v>#N/A</v>
      </c>
      <c r="AQ550" t="e">
        <f>VLOOKUP($Z550,'oddspedia-matches'!$A:$AD,AQ$2,0)</f>
        <v>#N/A</v>
      </c>
    </row>
    <row r="551" spans="2:43" x14ac:dyDescent="0.2">
      <c r="B551" t="s">
        <v>469</v>
      </c>
      <c r="C551" t="s">
        <v>2227</v>
      </c>
      <c r="D551" s="25">
        <v>0.67708333333333337</v>
      </c>
      <c r="E551" t="s">
        <v>2233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e">
        <f>VLOOKUP(E551,'Transform table'!A:B,2,0)</f>
        <v>#N/A</v>
      </c>
      <c r="Y551">
        <f>VLOOKUP(F551,'Transform table'!A:B,2,0)</f>
        <v>0</v>
      </c>
      <c r="Z551" t="e">
        <f t="shared" si="8"/>
        <v>#N/A</v>
      </c>
      <c r="AA551" t="e">
        <f>VLOOKUP($Z551,'oddspedia-matches'!$A:$AD,AA$2,0)</f>
        <v>#N/A</v>
      </c>
      <c r="AB551" t="e">
        <f>VLOOKUP($Z551,'oddspedia-matches'!$A:$AD,AB$2,0)</f>
        <v>#N/A</v>
      </c>
      <c r="AC551" t="e">
        <f>VLOOKUP($Z551,'oddspedia-matches'!$A:$AD,AC$2,0)</f>
        <v>#N/A</v>
      </c>
      <c r="AD551" t="e">
        <f>VLOOKUP($Z551,'oddspedia-matches'!$A:$AD,AD$2,0)</f>
        <v>#N/A</v>
      </c>
      <c r="AE551" t="e">
        <f>VLOOKUP($Z551,'oddspedia-matches'!$A:$AD,AE$2,0)</f>
        <v>#N/A</v>
      </c>
      <c r="AF551" t="e">
        <f>VLOOKUP($Z551,'oddspedia-matches'!$A:$AD,AF$2,0)</f>
        <v>#N/A</v>
      </c>
      <c r="AG551" t="e">
        <f>VLOOKUP($Z551,'oddspedia-matches'!$A:$AD,AG$2,0)</f>
        <v>#N/A</v>
      </c>
      <c r="AH551" t="e">
        <f>VLOOKUP($Z551,'oddspedia-matches'!$A:$AD,AH$2,0)</f>
        <v>#N/A</v>
      </c>
      <c r="AI551" t="e">
        <f>VLOOKUP($Z551,'oddspedia-matches'!$A:$AD,AI$2,0)</f>
        <v>#N/A</v>
      </c>
      <c r="AJ551" t="e">
        <f>VLOOKUP($Z551,'oddspedia-matches'!$A:$AD,AJ$2,0)</f>
        <v>#N/A</v>
      </c>
      <c r="AK551" t="e">
        <f>VLOOKUP($Z551,'oddspedia-matches'!$A:$AD,AK$2,0)</f>
        <v>#N/A</v>
      </c>
      <c r="AL551" t="e">
        <f>VLOOKUP($Z551,'oddspedia-matches'!$A:$AD,AL$2,0)</f>
        <v>#N/A</v>
      </c>
      <c r="AM551" t="e">
        <f>VLOOKUP($Z551,'oddspedia-matches'!$A:$AD,AM$2,0)</f>
        <v>#N/A</v>
      </c>
      <c r="AN551" t="e">
        <f>VLOOKUP($Z551,'oddspedia-matches'!$A:$AD,AN$2,0)</f>
        <v>#N/A</v>
      </c>
      <c r="AO551" t="e">
        <f>VLOOKUP($Z551,'oddspedia-matches'!$A:$AD,AO$2,0)</f>
        <v>#N/A</v>
      </c>
      <c r="AP551" t="e">
        <f>VLOOKUP($Z551,'oddspedia-matches'!$A:$AD,AP$2,0)</f>
        <v>#N/A</v>
      </c>
      <c r="AQ551" t="e">
        <f>VLOOKUP($Z551,'oddspedia-matches'!$A:$AD,AQ$2,0)</f>
        <v>#N/A</v>
      </c>
    </row>
    <row r="552" spans="2:43" x14ac:dyDescent="0.2">
      <c r="B552" t="s">
        <v>479</v>
      </c>
      <c r="C552" t="s">
        <v>2227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tr">
        <f>VLOOKUP(E552,'Transform table'!A:B,2,0)</f>
        <v>CS 2 de Mayo</v>
      </c>
      <c r="Y552" t="str">
        <f>VLOOKUP(F552,'Transform table'!A:B,2,0)</f>
        <v>Cerro Porteno</v>
      </c>
      <c r="Z552" t="str">
        <f t="shared" si="8"/>
        <v>28/07/2026CS 2 de MayoCerro Porteno</v>
      </c>
      <c r="AA552" t="e">
        <f>VLOOKUP($Z552,'oddspedia-matches'!$A:$AD,AA$2,0)</f>
        <v>#N/A</v>
      </c>
      <c r="AB552" t="e">
        <f>VLOOKUP($Z552,'oddspedia-matches'!$A:$AD,AB$2,0)</f>
        <v>#N/A</v>
      </c>
      <c r="AC552" t="e">
        <f>VLOOKUP($Z552,'oddspedia-matches'!$A:$AD,AC$2,0)</f>
        <v>#N/A</v>
      </c>
      <c r="AD552" t="e">
        <f>VLOOKUP($Z552,'oddspedia-matches'!$A:$AD,AD$2,0)</f>
        <v>#N/A</v>
      </c>
      <c r="AE552" t="e">
        <f>VLOOKUP($Z552,'oddspedia-matches'!$A:$AD,AE$2,0)</f>
        <v>#N/A</v>
      </c>
      <c r="AF552" t="e">
        <f>VLOOKUP($Z552,'oddspedia-matches'!$A:$AD,AF$2,0)</f>
        <v>#N/A</v>
      </c>
      <c r="AG552" t="e">
        <f>VLOOKUP($Z552,'oddspedia-matches'!$A:$AD,AG$2,0)</f>
        <v>#N/A</v>
      </c>
      <c r="AH552" t="e">
        <f>VLOOKUP($Z552,'oddspedia-matches'!$A:$AD,AH$2,0)</f>
        <v>#N/A</v>
      </c>
      <c r="AI552" t="e">
        <f>VLOOKUP($Z552,'oddspedia-matches'!$A:$AD,AI$2,0)</f>
        <v>#N/A</v>
      </c>
      <c r="AJ552" t="e">
        <f>VLOOKUP($Z552,'oddspedia-matches'!$A:$AD,AJ$2,0)</f>
        <v>#N/A</v>
      </c>
      <c r="AK552" t="e">
        <f>VLOOKUP($Z552,'oddspedia-matches'!$A:$AD,AK$2,0)</f>
        <v>#N/A</v>
      </c>
      <c r="AL552" t="e">
        <f>VLOOKUP($Z552,'oddspedia-matches'!$A:$AD,AL$2,0)</f>
        <v>#N/A</v>
      </c>
      <c r="AM552" t="e">
        <f>VLOOKUP($Z552,'oddspedia-matches'!$A:$AD,AM$2,0)</f>
        <v>#N/A</v>
      </c>
      <c r="AN552" t="e">
        <f>VLOOKUP($Z552,'oddspedia-matches'!$A:$AD,AN$2,0)</f>
        <v>#N/A</v>
      </c>
      <c r="AO552" t="e">
        <f>VLOOKUP($Z552,'oddspedia-matches'!$A:$AD,AO$2,0)</f>
        <v>#N/A</v>
      </c>
      <c r="AP552" t="e">
        <f>VLOOKUP($Z552,'oddspedia-matches'!$A:$AD,AP$2,0)</f>
        <v>#N/A</v>
      </c>
      <c r="AQ552" t="e">
        <f>VLOOKUP($Z552,'oddspedia-matches'!$A:$AD,AQ$2,0)</f>
        <v>#N/A</v>
      </c>
    </row>
    <row r="553" spans="2:43" x14ac:dyDescent="0.2">
      <c r="B553" t="s">
        <v>470</v>
      </c>
      <c r="C553" t="s">
        <v>2227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tr">
        <f>VLOOKUP(E553,'Transform table'!A:B,2,0)</f>
        <v>Banfield</v>
      </c>
      <c r="Y553" t="str">
        <f>VLOOKUP(F553,'Transform table'!A:B,2,0)</f>
        <v>Sarmiento</v>
      </c>
      <c r="Z553" t="str">
        <f t="shared" si="8"/>
        <v>28/07/2026BanfieldSarmiento</v>
      </c>
      <c r="AA553" t="e">
        <f>VLOOKUP($Z553,'oddspedia-matches'!$A:$AD,AA$2,0)</f>
        <v>#N/A</v>
      </c>
      <c r="AB553" t="e">
        <f>VLOOKUP($Z553,'oddspedia-matches'!$A:$AD,AB$2,0)</f>
        <v>#N/A</v>
      </c>
      <c r="AC553" t="e">
        <f>VLOOKUP($Z553,'oddspedia-matches'!$A:$AD,AC$2,0)</f>
        <v>#N/A</v>
      </c>
      <c r="AD553" t="e">
        <f>VLOOKUP($Z553,'oddspedia-matches'!$A:$AD,AD$2,0)</f>
        <v>#N/A</v>
      </c>
      <c r="AE553" t="e">
        <f>VLOOKUP($Z553,'oddspedia-matches'!$A:$AD,AE$2,0)</f>
        <v>#N/A</v>
      </c>
      <c r="AF553" t="e">
        <f>VLOOKUP($Z553,'oddspedia-matches'!$A:$AD,AF$2,0)</f>
        <v>#N/A</v>
      </c>
      <c r="AG553" t="e">
        <f>VLOOKUP($Z553,'oddspedia-matches'!$A:$AD,AG$2,0)</f>
        <v>#N/A</v>
      </c>
      <c r="AH553" t="e">
        <f>VLOOKUP($Z553,'oddspedia-matches'!$A:$AD,AH$2,0)</f>
        <v>#N/A</v>
      </c>
      <c r="AI553" t="e">
        <f>VLOOKUP($Z553,'oddspedia-matches'!$A:$AD,AI$2,0)</f>
        <v>#N/A</v>
      </c>
      <c r="AJ553" t="e">
        <f>VLOOKUP($Z553,'oddspedia-matches'!$A:$AD,AJ$2,0)</f>
        <v>#N/A</v>
      </c>
      <c r="AK553" t="e">
        <f>VLOOKUP($Z553,'oddspedia-matches'!$A:$AD,AK$2,0)</f>
        <v>#N/A</v>
      </c>
      <c r="AL553" t="e">
        <f>VLOOKUP($Z553,'oddspedia-matches'!$A:$AD,AL$2,0)</f>
        <v>#N/A</v>
      </c>
      <c r="AM553" t="e">
        <f>VLOOKUP($Z553,'oddspedia-matches'!$A:$AD,AM$2,0)</f>
        <v>#N/A</v>
      </c>
      <c r="AN553" t="e">
        <f>VLOOKUP($Z553,'oddspedia-matches'!$A:$AD,AN$2,0)</f>
        <v>#N/A</v>
      </c>
      <c r="AO553" t="e">
        <f>VLOOKUP($Z553,'oddspedia-matches'!$A:$AD,AO$2,0)</f>
        <v>#N/A</v>
      </c>
      <c r="AP553" t="e">
        <f>VLOOKUP($Z553,'oddspedia-matches'!$A:$AD,AP$2,0)</f>
        <v>#N/A</v>
      </c>
      <c r="AQ553" t="e">
        <f>VLOOKUP($Z553,'oddspedia-matches'!$A:$AD,AQ$2,0)</f>
        <v>#N/A</v>
      </c>
    </row>
    <row r="554" spans="2:43" x14ac:dyDescent="0.2">
      <c r="B554" t="s">
        <v>470</v>
      </c>
      <c r="C554" t="s">
        <v>2227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tr">
        <f>VLOOKUP(E554,'Transform table'!A:B,2,0)</f>
        <v>San Lorenzo</v>
      </c>
      <c r="Y554" t="str">
        <f>VLOOKUP(F554,'Transform table'!A:B,2,0)</f>
        <v>Gimnasia Mendoza</v>
      </c>
      <c r="Z554" t="str">
        <f t="shared" si="8"/>
        <v>28/07/2026San LorenzoGimnasia Mendoza</v>
      </c>
      <c r="AA554" t="e">
        <f>VLOOKUP($Z554,'oddspedia-matches'!$A:$AD,AA$2,0)</f>
        <v>#N/A</v>
      </c>
      <c r="AB554" t="e">
        <f>VLOOKUP($Z554,'oddspedia-matches'!$A:$AD,AB$2,0)</f>
        <v>#N/A</v>
      </c>
      <c r="AC554" t="e">
        <f>VLOOKUP($Z554,'oddspedia-matches'!$A:$AD,AC$2,0)</f>
        <v>#N/A</v>
      </c>
      <c r="AD554" t="e">
        <f>VLOOKUP($Z554,'oddspedia-matches'!$A:$AD,AD$2,0)</f>
        <v>#N/A</v>
      </c>
      <c r="AE554" t="e">
        <f>VLOOKUP($Z554,'oddspedia-matches'!$A:$AD,AE$2,0)</f>
        <v>#N/A</v>
      </c>
      <c r="AF554" t="e">
        <f>VLOOKUP($Z554,'oddspedia-matches'!$A:$AD,AF$2,0)</f>
        <v>#N/A</v>
      </c>
      <c r="AG554" t="e">
        <f>VLOOKUP($Z554,'oddspedia-matches'!$A:$AD,AG$2,0)</f>
        <v>#N/A</v>
      </c>
      <c r="AH554" t="e">
        <f>VLOOKUP($Z554,'oddspedia-matches'!$A:$AD,AH$2,0)</f>
        <v>#N/A</v>
      </c>
      <c r="AI554" t="e">
        <f>VLOOKUP($Z554,'oddspedia-matches'!$A:$AD,AI$2,0)</f>
        <v>#N/A</v>
      </c>
      <c r="AJ554" t="e">
        <f>VLOOKUP($Z554,'oddspedia-matches'!$A:$AD,AJ$2,0)</f>
        <v>#N/A</v>
      </c>
      <c r="AK554" t="e">
        <f>VLOOKUP($Z554,'oddspedia-matches'!$A:$AD,AK$2,0)</f>
        <v>#N/A</v>
      </c>
      <c r="AL554" t="e">
        <f>VLOOKUP($Z554,'oddspedia-matches'!$A:$AD,AL$2,0)</f>
        <v>#N/A</v>
      </c>
      <c r="AM554" t="e">
        <f>VLOOKUP($Z554,'oddspedia-matches'!$A:$AD,AM$2,0)</f>
        <v>#N/A</v>
      </c>
      <c r="AN554" t="e">
        <f>VLOOKUP($Z554,'oddspedia-matches'!$A:$AD,AN$2,0)</f>
        <v>#N/A</v>
      </c>
      <c r="AO554" t="e">
        <f>VLOOKUP($Z554,'oddspedia-matches'!$A:$AD,AO$2,0)</f>
        <v>#N/A</v>
      </c>
      <c r="AP554" t="e">
        <f>VLOOKUP($Z554,'oddspedia-matches'!$A:$AD,AP$2,0)</f>
        <v>#N/A</v>
      </c>
      <c r="AQ554" t="e">
        <f>VLOOKUP($Z554,'oddspedia-matches'!$A:$AD,AQ$2,0)</f>
        <v>#N/A</v>
      </c>
    </row>
    <row r="555" spans="2:43" x14ac:dyDescent="0.2">
      <c r="B555" t="s">
        <v>455</v>
      </c>
      <c r="C555" t="s">
        <v>2227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tr">
        <f>VLOOKUP(E555,'Transform table'!A:B,2,0)</f>
        <v>EC Juventude</v>
      </c>
      <c r="Y555" t="str">
        <f>VLOOKUP(F555,'Transform table'!A:B,2,0)</f>
        <v>Avai</v>
      </c>
      <c r="Z555" t="str">
        <f t="shared" si="8"/>
        <v>28/07/2026EC JuventudeAvai</v>
      </c>
      <c r="AA555" t="e">
        <f>VLOOKUP($Z555,'oddspedia-matches'!$A:$AD,AA$2,0)</f>
        <v>#N/A</v>
      </c>
      <c r="AB555" t="e">
        <f>VLOOKUP($Z555,'oddspedia-matches'!$A:$AD,AB$2,0)</f>
        <v>#N/A</v>
      </c>
      <c r="AC555" t="e">
        <f>VLOOKUP($Z555,'oddspedia-matches'!$A:$AD,AC$2,0)</f>
        <v>#N/A</v>
      </c>
      <c r="AD555" t="e">
        <f>VLOOKUP($Z555,'oddspedia-matches'!$A:$AD,AD$2,0)</f>
        <v>#N/A</v>
      </c>
      <c r="AE555" t="e">
        <f>VLOOKUP($Z555,'oddspedia-matches'!$A:$AD,AE$2,0)</f>
        <v>#N/A</v>
      </c>
      <c r="AF555" t="e">
        <f>VLOOKUP($Z555,'oddspedia-matches'!$A:$AD,AF$2,0)</f>
        <v>#N/A</v>
      </c>
      <c r="AG555" t="e">
        <f>VLOOKUP($Z555,'oddspedia-matches'!$A:$AD,AG$2,0)</f>
        <v>#N/A</v>
      </c>
      <c r="AH555" t="e">
        <f>VLOOKUP($Z555,'oddspedia-matches'!$A:$AD,AH$2,0)</f>
        <v>#N/A</v>
      </c>
      <c r="AI555" t="e">
        <f>VLOOKUP($Z555,'oddspedia-matches'!$A:$AD,AI$2,0)</f>
        <v>#N/A</v>
      </c>
      <c r="AJ555" t="e">
        <f>VLOOKUP($Z555,'oddspedia-matches'!$A:$AD,AJ$2,0)</f>
        <v>#N/A</v>
      </c>
      <c r="AK555" t="e">
        <f>VLOOKUP($Z555,'oddspedia-matches'!$A:$AD,AK$2,0)</f>
        <v>#N/A</v>
      </c>
      <c r="AL555" t="e">
        <f>VLOOKUP($Z555,'oddspedia-matches'!$A:$AD,AL$2,0)</f>
        <v>#N/A</v>
      </c>
      <c r="AM555" t="e">
        <f>VLOOKUP($Z555,'oddspedia-matches'!$A:$AD,AM$2,0)</f>
        <v>#N/A</v>
      </c>
      <c r="AN555" t="e">
        <f>VLOOKUP($Z555,'oddspedia-matches'!$A:$AD,AN$2,0)</f>
        <v>#N/A</v>
      </c>
      <c r="AO555" t="e">
        <f>VLOOKUP($Z555,'oddspedia-matches'!$A:$AD,AO$2,0)</f>
        <v>#N/A</v>
      </c>
      <c r="AP555" t="e">
        <f>VLOOKUP($Z555,'oddspedia-matches'!$A:$AD,AP$2,0)</f>
        <v>#N/A</v>
      </c>
      <c r="AQ555" t="e">
        <f>VLOOKUP($Z555,'oddspedia-matches'!$A:$AD,AQ$2,0)</f>
        <v>#N/A</v>
      </c>
    </row>
    <row r="556" spans="2:43" x14ac:dyDescent="0.2">
      <c r="B556" t="s">
        <v>455</v>
      </c>
      <c r="C556" t="s">
        <v>2227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tr">
        <f>VLOOKUP(E556,'Transform table'!A:B,2,0)</f>
        <v>Ponte Preta</v>
      </c>
      <c r="Y556" t="str">
        <f>VLOOKUP(F556,'Transform table'!A:B,2,0)</f>
        <v>Athletic Club MG</v>
      </c>
      <c r="Z556" t="str">
        <f t="shared" si="8"/>
        <v>28/07/2026Ponte PretaAthletic Club MG</v>
      </c>
      <c r="AA556" t="e">
        <f>VLOOKUP($Z556,'oddspedia-matches'!$A:$AD,AA$2,0)</f>
        <v>#N/A</v>
      </c>
      <c r="AB556" t="e">
        <f>VLOOKUP($Z556,'oddspedia-matches'!$A:$AD,AB$2,0)</f>
        <v>#N/A</v>
      </c>
      <c r="AC556" t="e">
        <f>VLOOKUP($Z556,'oddspedia-matches'!$A:$AD,AC$2,0)</f>
        <v>#N/A</v>
      </c>
      <c r="AD556" t="e">
        <f>VLOOKUP($Z556,'oddspedia-matches'!$A:$AD,AD$2,0)</f>
        <v>#N/A</v>
      </c>
      <c r="AE556" t="e">
        <f>VLOOKUP($Z556,'oddspedia-matches'!$A:$AD,AE$2,0)</f>
        <v>#N/A</v>
      </c>
      <c r="AF556" t="e">
        <f>VLOOKUP($Z556,'oddspedia-matches'!$A:$AD,AF$2,0)</f>
        <v>#N/A</v>
      </c>
      <c r="AG556" t="e">
        <f>VLOOKUP($Z556,'oddspedia-matches'!$A:$AD,AG$2,0)</f>
        <v>#N/A</v>
      </c>
      <c r="AH556" t="e">
        <f>VLOOKUP($Z556,'oddspedia-matches'!$A:$AD,AH$2,0)</f>
        <v>#N/A</v>
      </c>
      <c r="AI556" t="e">
        <f>VLOOKUP($Z556,'oddspedia-matches'!$A:$AD,AI$2,0)</f>
        <v>#N/A</v>
      </c>
      <c r="AJ556" t="e">
        <f>VLOOKUP($Z556,'oddspedia-matches'!$A:$AD,AJ$2,0)</f>
        <v>#N/A</v>
      </c>
      <c r="AK556" t="e">
        <f>VLOOKUP($Z556,'oddspedia-matches'!$A:$AD,AK$2,0)</f>
        <v>#N/A</v>
      </c>
      <c r="AL556" t="e">
        <f>VLOOKUP($Z556,'oddspedia-matches'!$A:$AD,AL$2,0)</f>
        <v>#N/A</v>
      </c>
      <c r="AM556" t="e">
        <f>VLOOKUP($Z556,'oddspedia-matches'!$A:$AD,AM$2,0)</f>
        <v>#N/A</v>
      </c>
      <c r="AN556" t="e">
        <f>VLOOKUP($Z556,'oddspedia-matches'!$A:$AD,AN$2,0)</f>
        <v>#N/A</v>
      </c>
      <c r="AO556" t="e">
        <f>VLOOKUP($Z556,'oddspedia-matches'!$A:$AD,AO$2,0)</f>
        <v>#N/A</v>
      </c>
      <c r="AP556" t="e">
        <f>VLOOKUP($Z556,'oddspedia-matches'!$A:$AD,AP$2,0)</f>
        <v>#N/A</v>
      </c>
      <c r="AQ556" t="e">
        <f>VLOOKUP($Z556,'oddspedia-matches'!$A:$AD,AQ$2,0)</f>
        <v>#N/A</v>
      </c>
    </row>
    <row r="557" spans="2:43" x14ac:dyDescent="0.2">
      <c r="B557" t="s">
        <v>470</v>
      </c>
      <c r="C557" t="s">
        <v>2227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tr">
        <f>VLOOKUP(E557,'Transform table'!A:B,2,0)</f>
        <v>Argentinos Juniors</v>
      </c>
      <c r="Y557">
        <f>VLOOKUP(F557,'Transform table'!A:B,2,0)</f>
        <v>0</v>
      </c>
      <c r="Z557" t="str">
        <f t="shared" si="8"/>
        <v>28/07/2026Argentinos Juniors0</v>
      </c>
      <c r="AA557" t="e">
        <f>VLOOKUP($Z557,'oddspedia-matches'!$A:$AD,AA$2,0)</f>
        <v>#N/A</v>
      </c>
      <c r="AB557" t="e">
        <f>VLOOKUP($Z557,'oddspedia-matches'!$A:$AD,AB$2,0)</f>
        <v>#N/A</v>
      </c>
      <c r="AC557" t="e">
        <f>VLOOKUP($Z557,'oddspedia-matches'!$A:$AD,AC$2,0)</f>
        <v>#N/A</v>
      </c>
      <c r="AD557" t="e">
        <f>VLOOKUP($Z557,'oddspedia-matches'!$A:$AD,AD$2,0)</f>
        <v>#N/A</v>
      </c>
      <c r="AE557" t="e">
        <f>VLOOKUP($Z557,'oddspedia-matches'!$A:$AD,AE$2,0)</f>
        <v>#N/A</v>
      </c>
      <c r="AF557" t="e">
        <f>VLOOKUP($Z557,'oddspedia-matches'!$A:$AD,AF$2,0)</f>
        <v>#N/A</v>
      </c>
      <c r="AG557" t="e">
        <f>VLOOKUP($Z557,'oddspedia-matches'!$A:$AD,AG$2,0)</f>
        <v>#N/A</v>
      </c>
      <c r="AH557" t="e">
        <f>VLOOKUP($Z557,'oddspedia-matches'!$A:$AD,AH$2,0)</f>
        <v>#N/A</v>
      </c>
      <c r="AI557" t="e">
        <f>VLOOKUP($Z557,'oddspedia-matches'!$A:$AD,AI$2,0)</f>
        <v>#N/A</v>
      </c>
      <c r="AJ557" t="e">
        <f>VLOOKUP($Z557,'oddspedia-matches'!$A:$AD,AJ$2,0)</f>
        <v>#N/A</v>
      </c>
      <c r="AK557" t="e">
        <f>VLOOKUP($Z557,'oddspedia-matches'!$A:$AD,AK$2,0)</f>
        <v>#N/A</v>
      </c>
      <c r="AL557" t="e">
        <f>VLOOKUP($Z557,'oddspedia-matches'!$A:$AD,AL$2,0)</f>
        <v>#N/A</v>
      </c>
      <c r="AM557" t="e">
        <f>VLOOKUP($Z557,'oddspedia-matches'!$A:$AD,AM$2,0)</f>
        <v>#N/A</v>
      </c>
      <c r="AN557" t="e">
        <f>VLOOKUP($Z557,'oddspedia-matches'!$A:$AD,AN$2,0)</f>
        <v>#N/A</v>
      </c>
      <c r="AO557" t="e">
        <f>VLOOKUP($Z557,'oddspedia-matches'!$A:$AD,AO$2,0)</f>
        <v>#N/A</v>
      </c>
      <c r="AP557" t="e">
        <f>VLOOKUP($Z557,'oddspedia-matches'!$A:$AD,AP$2,0)</f>
        <v>#N/A</v>
      </c>
      <c r="AQ557" t="e">
        <f>VLOOKUP($Z557,'oddspedia-matches'!$A:$AD,AQ$2,0)</f>
        <v>#N/A</v>
      </c>
    </row>
    <row r="558" spans="2:43" x14ac:dyDescent="0.2">
      <c r="B558" t="s">
        <v>470</v>
      </c>
      <c r="C558" t="s">
        <v>2227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tr">
        <f>VLOOKUP(E558,'Transform table'!A:B,2,0)</f>
        <v>Rosario Central</v>
      </c>
      <c r="Y558" t="str">
        <f>VLOOKUP(F558,'Transform table'!A:B,2,0)</f>
        <v>Racing Avellaneda</v>
      </c>
      <c r="Z558" t="str">
        <f t="shared" si="8"/>
        <v>28/07/2026Rosario CentralRacing Avellaneda</v>
      </c>
      <c r="AA558" t="e">
        <f>VLOOKUP($Z558,'oddspedia-matches'!$A:$AD,AA$2,0)</f>
        <v>#N/A</v>
      </c>
      <c r="AB558" t="e">
        <f>VLOOKUP($Z558,'oddspedia-matches'!$A:$AD,AB$2,0)</f>
        <v>#N/A</v>
      </c>
      <c r="AC558" t="e">
        <f>VLOOKUP($Z558,'oddspedia-matches'!$A:$AD,AC$2,0)</f>
        <v>#N/A</v>
      </c>
      <c r="AD558" t="e">
        <f>VLOOKUP($Z558,'oddspedia-matches'!$A:$AD,AD$2,0)</f>
        <v>#N/A</v>
      </c>
      <c r="AE558" t="e">
        <f>VLOOKUP($Z558,'oddspedia-matches'!$A:$AD,AE$2,0)</f>
        <v>#N/A</v>
      </c>
      <c r="AF558" t="e">
        <f>VLOOKUP($Z558,'oddspedia-matches'!$A:$AD,AF$2,0)</f>
        <v>#N/A</v>
      </c>
      <c r="AG558" t="e">
        <f>VLOOKUP($Z558,'oddspedia-matches'!$A:$AD,AG$2,0)</f>
        <v>#N/A</v>
      </c>
      <c r="AH558" t="e">
        <f>VLOOKUP($Z558,'oddspedia-matches'!$A:$AD,AH$2,0)</f>
        <v>#N/A</v>
      </c>
      <c r="AI558" t="e">
        <f>VLOOKUP($Z558,'oddspedia-matches'!$A:$AD,AI$2,0)</f>
        <v>#N/A</v>
      </c>
      <c r="AJ558" t="e">
        <f>VLOOKUP($Z558,'oddspedia-matches'!$A:$AD,AJ$2,0)</f>
        <v>#N/A</v>
      </c>
      <c r="AK558" t="e">
        <f>VLOOKUP($Z558,'oddspedia-matches'!$A:$AD,AK$2,0)</f>
        <v>#N/A</v>
      </c>
      <c r="AL558" t="e">
        <f>VLOOKUP($Z558,'oddspedia-matches'!$A:$AD,AL$2,0)</f>
        <v>#N/A</v>
      </c>
      <c r="AM558" t="e">
        <f>VLOOKUP($Z558,'oddspedia-matches'!$A:$AD,AM$2,0)</f>
        <v>#N/A</v>
      </c>
      <c r="AN558" t="e">
        <f>VLOOKUP($Z558,'oddspedia-matches'!$A:$AD,AN$2,0)</f>
        <v>#N/A</v>
      </c>
      <c r="AO558" t="e">
        <f>VLOOKUP($Z558,'oddspedia-matches'!$A:$AD,AO$2,0)</f>
        <v>#N/A</v>
      </c>
      <c r="AP558" t="e">
        <f>VLOOKUP($Z558,'oddspedia-matches'!$A:$AD,AP$2,0)</f>
        <v>#N/A</v>
      </c>
      <c r="AQ558" t="e">
        <f>VLOOKUP($Z558,'oddspedia-matches'!$A:$AD,AQ$2,0)</f>
        <v>#N/A</v>
      </c>
    </row>
    <row r="559" spans="2:43" x14ac:dyDescent="0.2">
      <c r="B559" t="s">
        <v>455</v>
      </c>
      <c r="C559" t="s">
        <v>2227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tr">
        <f>VLOOKUP(E559,'Transform table'!A:B,2,0)</f>
        <v>Fortaleza EC</v>
      </c>
      <c r="Y559" t="str">
        <f>VLOOKUP(F559,'Transform table'!A:B,2,0)</f>
        <v>Botafogo SP</v>
      </c>
      <c r="Z559" t="str">
        <f t="shared" si="8"/>
        <v>28/07/2026Fortaleza ECBotafogo SP</v>
      </c>
      <c r="AA559" t="e">
        <f>VLOOKUP($Z559,'oddspedia-matches'!$A:$AD,AA$2,0)</f>
        <v>#N/A</v>
      </c>
      <c r="AB559" t="e">
        <f>VLOOKUP($Z559,'oddspedia-matches'!$A:$AD,AB$2,0)</f>
        <v>#N/A</v>
      </c>
      <c r="AC559" t="e">
        <f>VLOOKUP($Z559,'oddspedia-matches'!$A:$AD,AC$2,0)</f>
        <v>#N/A</v>
      </c>
      <c r="AD559" t="e">
        <f>VLOOKUP($Z559,'oddspedia-matches'!$A:$AD,AD$2,0)</f>
        <v>#N/A</v>
      </c>
      <c r="AE559" t="e">
        <f>VLOOKUP($Z559,'oddspedia-matches'!$A:$AD,AE$2,0)</f>
        <v>#N/A</v>
      </c>
      <c r="AF559" t="e">
        <f>VLOOKUP($Z559,'oddspedia-matches'!$A:$AD,AF$2,0)</f>
        <v>#N/A</v>
      </c>
      <c r="AG559" t="e">
        <f>VLOOKUP($Z559,'oddspedia-matches'!$A:$AD,AG$2,0)</f>
        <v>#N/A</v>
      </c>
      <c r="AH559" t="e">
        <f>VLOOKUP($Z559,'oddspedia-matches'!$A:$AD,AH$2,0)</f>
        <v>#N/A</v>
      </c>
      <c r="AI559" t="e">
        <f>VLOOKUP($Z559,'oddspedia-matches'!$A:$AD,AI$2,0)</f>
        <v>#N/A</v>
      </c>
      <c r="AJ559" t="e">
        <f>VLOOKUP($Z559,'oddspedia-matches'!$A:$AD,AJ$2,0)</f>
        <v>#N/A</v>
      </c>
      <c r="AK559" t="e">
        <f>VLOOKUP($Z559,'oddspedia-matches'!$A:$AD,AK$2,0)</f>
        <v>#N/A</v>
      </c>
      <c r="AL559" t="e">
        <f>VLOOKUP($Z559,'oddspedia-matches'!$A:$AD,AL$2,0)</f>
        <v>#N/A</v>
      </c>
      <c r="AM559" t="e">
        <f>VLOOKUP($Z559,'oddspedia-matches'!$A:$AD,AM$2,0)</f>
        <v>#N/A</v>
      </c>
      <c r="AN559" t="e">
        <f>VLOOKUP($Z559,'oddspedia-matches'!$A:$AD,AN$2,0)</f>
        <v>#N/A</v>
      </c>
      <c r="AO559" t="e">
        <f>VLOOKUP($Z559,'oddspedia-matches'!$A:$AD,AO$2,0)</f>
        <v>#N/A</v>
      </c>
      <c r="AP559" t="e">
        <f>VLOOKUP($Z559,'oddspedia-matches'!$A:$AD,AP$2,0)</f>
        <v>#N/A</v>
      </c>
      <c r="AQ559" t="e">
        <f>VLOOKUP($Z559,'oddspedia-matches'!$A:$AD,AQ$2,0)</f>
        <v>#N/A</v>
      </c>
    </row>
    <row r="560" spans="2:43" x14ac:dyDescent="0.2">
      <c r="B560" t="s">
        <v>445</v>
      </c>
      <c r="C560" t="s">
        <v>4022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</row>
    <row r="561" spans="2:23" x14ac:dyDescent="0.2">
      <c r="B561" t="s">
        <v>448</v>
      </c>
      <c r="C561" t="s">
        <v>4022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</row>
    <row r="562" spans="2:23" x14ac:dyDescent="0.2">
      <c r="B562" t="s">
        <v>470</v>
      </c>
      <c r="C562" t="s">
        <v>4022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</row>
    <row r="563" spans="2:23" x14ac:dyDescent="0.2">
      <c r="B563" t="s">
        <v>469</v>
      </c>
      <c r="C563" t="s">
        <v>4022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</row>
    <row r="564" spans="2:23" x14ac:dyDescent="0.2">
      <c r="B564" t="s">
        <v>480</v>
      </c>
      <c r="C564" t="s">
        <v>4022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</row>
    <row r="565" spans="2:23" x14ac:dyDescent="0.2">
      <c r="B565" t="s">
        <v>480</v>
      </c>
      <c r="C565" t="s">
        <v>4022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</row>
    <row r="566" spans="2:23" x14ac:dyDescent="0.2">
      <c r="B566" t="s">
        <v>479</v>
      </c>
      <c r="C566" t="s">
        <v>4022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</row>
    <row r="567" spans="2:23" x14ac:dyDescent="0.2">
      <c r="B567" t="s">
        <v>469</v>
      </c>
      <c r="C567" t="s">
        <v>4022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</row>
    <row r="568" spans="2:23" x14ac:dyDescent="0.2">
      <c r="B568" t="s">
        <v>469</v>
      </c>
      <c r="C568" t="s">
        <v>4022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</row>
    <row r="569" spans="2:23" x14ac:dyDescent="0.2">
      <c r="B569" t="s">
        <v>480</v>
      </c>
      <c r="C569" t="s">
        <v>4022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</row>
    <row r="570" spans="2:23" x14ac:dyDescent="0.2">
      <c r="B570" t="s">
        <v>480</v>
      </c>
      <c r="C570" t="s">
        <v>4022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</row>
    <row r="571" spans="2:23" x14ac:dyDescent="0.2">
      <c r="B571" t="s">
        <v>480</v>
      </c>
      <c r="C571" t="s">
        <v>4022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</row>
    <row r="572" spans="2:23" x14ac:dyDescent="0.2">
      <c r="B572" t="s">
        <v>480</v>
      </c>
      <c r="C572" t="s">
        <v>4022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</row>
    <row r="573" spans="2:23" x14ac:dyDescent="0.2">
      <c r="B573" t="s">
        <v>470</v>
      </c>
      <c r="C573" t="s">
        <v>4022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</row>
    <row r="574" spans="2:23" x14ac:dyDescent="0.2">
      <c r="B574" t="s">
        <v>454</v>
      </c>
      <c r="C574" t="s">
        <v>4022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</row>
    <row r="575" spans="2:23" x14ac:dyDescent="0.2">
      <c r="B575" t="s">
        <v>454</v>
      </c>
      <c r="C575" t="s">
        <v>4022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</row>
    <row r="576" spans="2:23" x14ac:dyDescent="0.2">
      <c r="B576" t="s">
        <v>454</v>
      </c>
      <c r="C576" t="s">
        <v>4022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</row>
    <row r="577" spans="2:23" x14ac:dyDescent="0.2">
      <c r="B577" t="s">
        <v>454</v>
      </c>
      <c r="C577" t="s">
        <v>4022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</row>
    <row r="578" spans="2:23" x14ac:dyDescent="0.2">
      <c r="B578" t="s">
        <v>479</v>
      </c>
      <c r="C578" t="s">
        <v>4022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</row>
    <row r="579" spans="2:23" x14ac:dyDescent="0.2">
      <c r="B579" t="s">
        <v>470</v>
      </c>
      <c r="C579" t="s">
        <v>4022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</row>
    <row r="580" spans="2:23" x14ac:dyDescent="0.2">
      <c r="B580" t="s">
        <v>454</v>
      </c>
      <c r="C580" t="s">
        <v>4022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</row>
    <row r="581" spans="2:23" x14ac:dyDescent="0.2">
      <c r="B581" t="s">
        <v>454</v>
      </c>
      <c r="C581" t="s">
        <v>4022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</row>
    <row r="582" spans="2:23" x14ac:dyDescent="0.2">
      <c r="B582" t="s">
        <v>467</v>
      </c>
      <c r="C582" t="s">
        <v>4022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</row>
    <row r="583" spans="2:23" x14ac:dyDescent="0.2">
      <c r="B583" t="s">
        <v>467</v>
      </c>
      <c r="C583" t="s">
        <v>4022</v>
      </c>
      <c r="D583" s="25">
        <v>0.85416666666666663</v>
      </c>
      <c r="E583" t="s">
        <v>4023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</row>
    <row r="584" spans="2:23" x14ac:dyDescent="0.2">
      <c r="B584" t="s">
        <v>470</v>
      </c>
      <c r="C584" t="s">
        <v>4022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</row>
    <row r="585" spans="2:23" x14ac:dyDescent="0.2">
      <c r="B585" t="s">
        <v>454</v>
      </c>
      <c r="C585" t="s">
        <v>4022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</row>
    <row r="586" spans="2:23" x14ac:dyDescent="0.2">
      <c r="B586" t="s">
        <v>454</v>
      </c>
      <c r="C586" t="s">
        <v>4022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</row>
  </sheetData>
  <autoFilter ref="A3:AQ586" xr:uid="{00000000-0001-0000-0000-000000000000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baseColWidth="10" defaultColWidth="8.83203125" defaultRowHeight="15" x14ac:dyDescent="0.2"/>
  <cols>
    <col min="1" max="1" width="8.83203125" style="1"/>
    <col min="2" max="2" width="26" style="1" bestFit="1" customWidth="1"/>
    <col min="3" max="3" width="10.33203125" style="1" bestFit="1" customWidth="1"/>
    <col min="4" max="4" width="8.164062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5" style="1" customWidth="1"/>
    <col min="10" max="10" width="11.83203125" style="1" customWidth="1"/>
    <col min="11" max="11" width="10.33203125" style="1" bestFit="1" customWidth="1"/>
    <col min="12" max="12" width="8.1640625" style="1" bestFit="1" customWidth="1"/>
    <col min="13" max="13" width="22.5" style="1" bestFit="1" customWidth="1"/>
    <col min="14" max="16384" width="8.83203125" style="1"/>
  </cols>
  <sheetData>
    <row r="1" spans="1:13" x14ac:dyDescent="0.2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2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2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2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2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2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2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2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2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2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2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2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2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2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2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2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2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2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2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2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2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2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2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2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2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2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2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2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2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2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2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2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2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2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2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2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2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2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2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2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2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2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2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2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2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2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2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2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2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2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2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2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2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2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2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2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2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2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2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2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2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2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2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2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2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2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2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2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2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2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2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2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2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2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2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2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2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2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2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2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2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2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2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2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2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2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2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2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2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2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2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2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2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2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2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2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2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2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2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2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2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2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2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2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2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2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2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2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2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2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2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2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2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2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2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2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2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2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2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2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2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2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2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2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2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2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2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2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2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2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2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2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2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2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2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2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2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2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2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2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2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2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1773"/>
  <sheetViews>
    <sheetView workbookViewId="0">
      <pane ySplit="1" topLeftCell="A1738" activePane="bottomLeft" state="frozen"/>
      <selection pane="bottomLeft" activeCell="A1738" sqref="A1738"/>
    </sheetView>
  </sheetViews>
  <sheetFormatPr baseColWidth="10" defaultColWidth="8.83203125" defaultRowHeight="15" x14ac:dyDescent="0.2"/>
  <cols>
    <col min="2" max="2" width="14" bestFit="1" customWidth="1"/>
    <col min="3" max="3" width="28.1640625" bestFit="1" customWidth="1"/>
    <col min="4" max="4" width="10.5" bestFit="1" customWidth="1"/>
    <col min="5" max="5" width="8.1640625" bestFit="1" customWidth="1"/>
    <col min="6" max="6" width="31.83203125" bestFit="1" customWidth="1"/>
    <col min="7" max="7" width="35" bestFit="1" customWidth="1"/>
    <col min="8" max="8" width="14.6640625" bestFit="1" customWidth="1"/>
    <col min="9" max="9" width="14" bestFit="1" customWidth="1"/>
    <col min="10" max="10" width="10.5" bestFit="1" customWidth="1"/>
    <col min="11" max="11" width="9.6640625" bestFit="1" customWidth="1"/>
    <col min="12" max="12" width="10.5" bestFit="1" customWidth="1"/>
    <col min="13" max="13" width="8.1640625" bestFit="1" customWidth="1"/>
    <col min="24" max="24" width="8.1640625" bestFit="1" customWidth="1"/>
    <col min="25" max="28" width="5.5" bestFit="1" customWidth="1"/>
    <col min="29" max="29" width="8.6640625" bestFit="1" customWidth="1"/>
    <col min="30" max="30" width="9" bestFit="1" customWidth="1"/>
  </cols>
  <sheetData>
    <row r="1" spans="1:30" x14ac:dyDescent="0.2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6" t="s">
        <v>444</v>
      </c>
      <c r="O1" s="47" t="s">
        <v>439</v>
      </c>
      <c r="P1" s="47" t="s">
        <v>4</v>
      </c>
      <c r="Q1" s="47" t="s">
        <v>440</v>
      </c>
      <c r="R1" s="47" t="s">
        <v>5</v>
      </c>
      <c r="S1" s="47" t="s">
        <v>6</v>
      </c>
      <c r="T1" s="47" t="s">
        <v>441</v>
      </c>
      <c r="U1" s="47" t="s">
        <v>7</v>
      </c>
      <c r="V1" s="47" t="s">
        <v>8</v>
      </c>
      <c r="W1" s="47" t="s">
        <v>9</v>
      </c>
      <c r="X1" s="47" t="s">
        <v>2115</v>
      </c>
      <c r="Y1" s="47" t="s">
        <v>2116</v>
      </c>
      <c r="Z1" s="47" t="s">
        <v>2117</v>
      </c>
      <c r="AA1" s="47" t="s">
        <v>2118</v>
      </c>
      <c r="AB1" s="47" t="s">
        <v>2119</v>
      </c>
      <c r="AC1" s="47" t="s">
        <v>15</v>
      </c>
      <c r="AD1" s="47" t="s">
        <v>16</v>
      </c>
    </row>
    <row r="2" spans="1:30" x14ac:dyDescent="0.2">
      <c r="A2" t="str">
        <f t="shared" ref="A2:A65" si="0">L2&amp;F2&amp;G2</f>
        <v>20/07/2026Hapoel Petah TikvaBnei Yehuda Tel Aviv</v>
      </c>
      <c r="D2" s="2">
        <v>46223</v>
      </c>
      <c r="E2" s="42">
        <v>0.33333333333333331</v>
      </c>
      <c r="F2" s="43" t="s">
        <v>1285</v>
      </c>
      <c r="G2" s="43" t="s">
        <v>1286</v>
      </c>
      <c r="H2" s="43">
        <v>1</v>
      </c>
      <c r="I2" s="43">
        <v>0</v>
      </c>
      <c r="J2" s="43">
        <v>1</v>
      </c>
      <c r="K2" s="43">
        <v>1</v>
      </c>
      <c r="L2" s="44" t="str">
        <f t="shared" ref="L2:L33" si="1">DAY(D2)&amp;"/"&amp;"07"&amp;"/"&amp;YEAR(D2)</f>
        <v>20/07/2026</v>
      </c>
      <c r="M2" s="45">
        <f t="shared" ref="M2:M33" si="2">E2-TIME(3,0,0)</f>
        <v>0.20833333333333331</v>
      </c>
      <c r="N2" s="43" t="str">
        <f t="shared" ref="N2:N65" si="3">J2&amp;" - "&amp;K2</f>
        <v>1 - 1</v>
      </c>
      <c r="O2" s="43" t="str">
        <f t="shared" ref="O2:O65" si="4">IF($J2&gt;$K2,"Green","Red")</f>
        <v>Red</v>
      </c>
      <c r="P2" s="43" t="str">
        <f t="shared" ref="P2:P65" si="5">IF($J2=$K2,"Green","Red")</f>
        <v>Green</v>
      </c>
      <c r="Q2" s="43" t="str">
        <f t="shared" ref="Q2:Q65" si="6">IF($J2&lt;$K2,"Green","Red")</f>
        <v>Red</v>
      </c>
      <c r="R2" s="43" t="str">
        <f t="shared" ref="R2:R65" si="7">IF($J2&gt;=$K2,"Green","Red")</f>
        <v>Green</v>
      </c>
      <c r="S2" s="43" t="str">
        <f t="shared" ref="S2:S65" si="8">IF($J2&lt;=$K2,"Green","Red")</f>
        <v>Green</v>
      </c>
      <c r="T2" s="43" t="str">
        <f t="shared" ref="T2:T65" si="9">IF(OR($J2&gt;$K2,$J2&lt;$K2),"Green","Red")</f>
        <v>Red</v>
      </c>
      <c r="U2" s="43" t="str">
        <f t="shared" ref="U2:U65" si="10">IF($H2&gt;$I2,"Green","Red")</f>
        <v>Green</v>
      </c>
      <c r="V2" s="43" t="str">
        <f t="shared" ref="V2:V65" si="11">IF($H2=$I2,"Green","Red")</f>
        <v>Red</v>
      </c>
      <c r="W2" s="43" t="str">
        <f t="shared" ref="W2:W65" si="12">IF($H2&lt;$I2,"Green","Red")</f>
        <v>Red</v>
      </c>
      <c r="X2" s="43" t="str">
        <f t="shared" ref="X2:X65" si="13">IF($H2+$I2&gt;0,"Green","Red")</f>
        <v>Green</v>
      </c>
      <c r="Y2" s="43" t="str">
        <f t="shared" ref="Y2:Y65" si="14">IF($J2+$K2&gt;1.5,"Green","Red")</f>
        <v>Green</v>
      </c>
      <c r="Z2" s="43" t="str">
        <f t="shared" ref="Z2:Z65" si="15">IF($J2+$K2&gt;2.5,"Green","Red")</f>
        <v>Red</v>
      </c>
      <c r="AA2" s="43" t="str">
        <f t="shared" ref="AA2:AA65" si="16">IF($J2+$K2&lt;2.5,"Green","Red")</f>
        <v>Green</v>
      </c>
      <c r="AB2" s="43" t="str">
        <f t="shared" ref="AB2:AB65" si="17">IF($J2+$K2&lt;3.5,"Green","Red")</f>
        <v>Green</v>
      </c>
      <c r="AC2" s="43" t="str">
        <f t="shared" ref="AC2:AC65" si="18">IF(AND($J2&gt;0,$K2&gt;0),"Green","Red")</f>
        <v>Green</v>
      </c>
      <c r="AD2" s="43" t="str">
        <f t="shared" ref="AD2:AD65" si="19">IF(OR($J2=0,$K2=0),"Green","Red")</f>
        <v>Red</v>
      </c>
    </row>
    <row r="3" spans="1:30" x14ac:dyDescent="0.2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2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2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2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2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2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2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2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2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2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2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2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2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2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2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2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2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2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2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2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2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2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2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2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2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2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2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2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2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2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2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2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2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2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2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2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2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2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2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2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2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2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2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2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2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2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2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2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2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2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2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2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2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2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2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2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2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2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2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2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2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2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2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2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2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2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2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2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2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2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2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2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2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2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2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2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2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2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2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2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2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2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2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2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2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2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2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2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2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2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2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2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2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2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2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2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2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2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2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2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2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2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2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2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2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2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2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2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2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2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2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2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2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2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2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2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2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2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2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2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2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2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2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2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2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2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2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2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2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2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2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2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2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2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2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2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2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2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2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2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2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2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2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2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2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2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2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2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2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2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2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2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2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2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2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2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2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2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2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2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2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2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2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2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2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2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2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2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2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2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2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2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2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2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2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2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2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2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2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2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2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2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2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2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2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2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2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2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2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2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2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2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2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2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2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2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2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2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2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2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2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2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2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2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2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2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2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2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2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2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2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2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2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2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2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2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2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2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2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2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2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2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2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2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2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2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2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2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2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2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2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2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2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2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2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2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2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2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2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2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2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2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2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2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2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2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2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2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2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2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2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2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2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2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2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2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2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2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2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2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2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2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2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2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2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2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2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2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2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2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2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2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2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2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2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2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2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2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2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2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2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2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2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2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2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2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2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2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2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2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2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2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2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2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2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2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2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2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2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2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2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2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2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2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2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2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2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2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2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2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2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2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2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2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2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2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2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2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2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2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2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2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2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2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2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2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2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2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2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2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2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2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2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2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2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2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2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2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2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2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2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2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2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2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2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2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2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2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2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2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2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2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2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2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2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2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2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2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2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2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2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2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2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2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2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2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2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2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2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2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2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2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2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2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2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2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2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2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2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2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2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2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2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2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2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2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2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2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2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2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2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2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2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2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2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2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2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2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2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2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2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2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2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2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2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2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2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2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2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2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2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2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2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2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2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2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2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2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2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2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2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2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2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2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2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2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2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2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2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2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2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2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2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2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2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2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2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2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2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2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2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2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2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2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2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2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2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2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2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2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2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2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2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2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2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2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2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2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2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2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2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2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2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2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2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2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2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2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2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2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2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2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2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2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2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2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2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2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2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2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2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2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2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2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2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2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2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2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2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2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2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2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2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2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2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2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2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2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2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2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2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2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2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2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2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2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2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2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2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2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2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2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2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2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2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2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2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2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2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2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2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2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2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2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2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2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2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2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2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2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2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2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2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2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2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2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2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2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2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2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2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2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2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2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2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2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2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2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2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2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2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2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2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2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2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2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2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2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2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2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2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2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2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2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2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2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2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2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2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2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2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2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2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2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2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2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2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2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2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2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2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2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2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2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2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2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2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2573</v>
      </c>
      <c r="G589" t="s">
        <v>2574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2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2640</v>
      </c>
      <c r="G590" t="s">
        <v>2641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2">
      <c r="A591" t="str">
        <f t="shared" si="200"/>
        <v>24/07/2026Manly United U20Sydney Olympic U20</v>
      </c>
      <c r="B591" t="s">
        <v>810</v>
      </c>
      <c r="C591" t="s">
        <v>2325</v>
      </c>
      <c r="D591" s="2">
        <v>46227</v>
      </c>
      <c r="E591" s="3">
        <v>0.3125</v>
      </c>
      <c r="F591" t="s">
        <v>2326</v>
      </c>
      <c r="G591" t="s">
        <v>2327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2">
      <c r="A592" t="str">
        <f t="shared" si="200"/>
        <v>24/07/2026Preston Lions WomenKeilor Park Women</v>
      </c>
      <c r="B592" t="s">
        <v>810</v>
      </c>
      <c r="C592" t="s">
        <v>2299</v>
      </c>
      <c r="D592" s="2">
        <v>46227</v>
      </c>
      <c r="E592" s="3">
        <v>0.34375</v>
      </c>
      <c r="F592" t="s">
        <v>2300</v>
      </c>
      <c r="G592" t="s">
        <v>2301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2">
      <c r="A593" t="str">
        <f t="shared" si="200"/>
        <v>24/07/2026Oakleigh Cannons U23South Melbourne U23</v>
      </c>
      <c r="B593" t="s">
        <v>810</v>
      </c>
      <c r="C593" t="s">
        <v>2316</v>
      </c>
      <c r="D593" s="2">
        <v>46227</v>
      </c>
      <c r="E593" s="3">
        <v>0.34375</v>
      </c>
      <c r="F593" t="s">
        <v>2317</v>
      </c>
      <c r="G593" t="s">
        <v>2318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2">
      <c r="A594" t="str">
        <f t="shared" si="200"/>
        <v>24/07/2026ComoParis FC</v>
      </c>
      <c r="D594" s="2">
        <v>46227</v>
      </c>
      <c r="E594" s="3">
        <v>0.35416666666666669</v>
      </c>
      <c r="F594" t="s">
        <v>2642</v>
      </c>
      <c r="G594" t="s">
        <v>2643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2">
      <c r="A595" t="str">
        <f t="shared" si="200"/>
        <v>24/07/2026Salisbury Inter WomenFFSA NTC Women</v>
      </c>
      <c r="B595" t="s">
        <v>810</v>
      </c>
      <c r="C595" t="s">
        <v>2304</v>
      </c>
      <c r="D595" s="2">
        <v>46227</v>
      </c>
      <c r="E595" s="3">
        <v>0.36458333333333331</v>
      </c>
      <c r="F595" t="s">
        <v>2305</v>
      </c>
      <c r="G595" t="s">
        <v>2306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2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2644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2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2645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2">
      <c r="A598" t="str">
        <f t="shared" si="200"/>
        <v>24/07/2026Manly UnitedSydney Olympic</v>
      </c>
      <c r="B598" t="s">
        <v>810</v>
      </c>
      <c r="C598" t="s">
        <v>2254</v>
      </c>
      <c r="D598" s="2">
        <v>46227</v>
      </c>
      <c r="E598" s="3">
        <v>0.39583333333333331</v>
      </c>
      <c r="F598" t="s">
        <v>2255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2">
      <c r="A599" t="str">
        <f t="shared" si="200"/>
        <v>24/07/2026Green Gully SCDandenong City</v>
      </c>
      <c r="B599" t="s">
        <v>810</v>
      </c>
      <c r="C599" t="s">
        <v>2256</v>
      </c>
      <c r="D599" s="2">
        <v>46227</v>
      </c>
      <c r="E599" s="3">
        <v>0.39583333333333331</v>
      </c>
      <c r="F599" t="s">
        <v>2257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2">
      <c r="A600" t="str">
        <f t="shared" si="200"/>
        <v>24/07/2026Heidelberg UnitedSunshine George Cross</v>
      </c>
      <c r="B600" t="s">
        <v>810</v>
      </c>
      <c r="C600" t="s">
        <v>2256</v>
      </c>
      <c r="D600" s="2">
        <v>46227</v>
      </c>
      <c r="E600" s="3">
        <v>0.39583333333333331</v>
      </c>
      <c r="F600" t="s">
        <v>392</v>
      </c>
      <c r="G600" t="s">
        <v>2258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2">
      <c r="A601" t="str">
        <f t="shared" si="200"/>
        <v>24/07/2026St Albans SaintsHume City</v>
      </c>
      <c r="B601" t="s">
        <v>810</v>
      </c>
      <c r="C601" t="s">
        <v>2256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2">
      <c r="A602" t="str">
        <f t="shared" si="200"/>
        <v>24/07/2026Keilor ParkBayside Argonauts</v>
      </c>
      <c r="B602" t="s">
        <v>810</v>
      </c>
      <c r="C602" t="s">
        <v>2265</v>
      </c>
      <c r="D602" s="2">
        <v>46227</v>
      </c>
      <c r="E602" s="3">
        <v>0.39583333333333331</v>
      </c>
      <c r="F602" t="s">
        <v>2266</v>
      </c>
      <c r="G602" t="s">
        <v>2267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2">
      <c r="A603" t="str">
        <f t="shared" si="200"/>
        <v>24/07/2026Nunawading CityMalvern City</v>
      </c>
      <c r="B603" t="s">
        <v>810</v>
      </c>
      <c r="C603" t="s">
        <v>2265</v>
      </c>
      <c r="D603" s="2">
        <v>46227</v>
      </c>
      <c r="E603" s="3">
        <v>0.39583333333333331</v>
      </c>
      <c r="F603" t="s">
        <v>2268</v>
      </c>
      <c r="G603" t="s">
        <v>2269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2">
      <c r="A604" t="str">
        <f t="shared" si="200"/>
        <v>24/07/2026Olympic FC WomenBrisbane City Women</v>
      </c>
      <c r="B604" t="s">
        <v>810</v>
      </c>
      <c r="C604" t="s">
        <v>2294</v>
      </c>
      <c r="D604" s="2">
        <v>46227</v>
      </c>
      <c r="E604" s="3">
        <v>0.39583333333333331</v>
      </c>
      <c r="F604" t="s">
        <v>2295</v>
      </c>
      <c r="G604" t="s">
        <v>2296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2">
      <c r="A605" t="str">
        <f t="shared" si="200"/>
        <v>24/07/2026Box Hill United WomenAlamein Women</v>
      </c>
      <c r="B605" t="s">
        <v>810</v>
      </c>
      <c r="C605" t="s">
        <v>2299</v>
      </c>
      <c r="D605" s="2">
        <v>46227</v>
      </c>
      <c r="E605" s="3">
        <v>0.39583333333333331</v>
      </c>
      <c r="F605" t="s">
        <v>2302</v>
      </c>
      <c r="G605" t="s">
        <v>2303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2">
      <c r="A606" t="str">
        <f t="shared" si="200"/>
        <v>24/07/2026Eastern LionsBox Hill United</v>
      </c>
      <c r="B606" t="s">
        <v>810</v>
      </c>
      <c r="C606" t="s">
        <v>2265</v>
      </c>
      <c r="D606" s="2">
        <v>46227</v>
      </c>
      <c r="E606" s="3">
        <v>0.40625</v>
      </c>
      <c r="F606" t="s">
        <v>2270</v>
      </c>
      <c r="G606" t="s">
        <v>2271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2">
      <c r="A607" t="str">
        <f t="shared" si="200"/>
        <v>24/07/2026MitcheltonSouths United</v>
      </c>
      <c r="B607" t="s">
        <v>810</v>
      </c>
      <c r="C607" t="s">
        <v>2274</v>
      </c>
      <c r="D607" s="2">
        <v>46227</v>
      </c>
      <c r="E607" s="3">
        <v>0.41666666666666669</v>
      </c>
      <c r="F607" t="s">
        <v>2275</v>
      </c>
      <c r="G607" t="s">
        <v>2276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2">
      <c r="A608" t="str">
        <f t="shared" si="200"/>
        <v>24/07/2026Adelaide OlympicSouth Adelaide Panthers</v>
      </c>
      <c r="B608" t="s">
        <v>810</v>
      </c>
      <c r="C608" t="s">
        <v>2277</v>
      </c>
      <c r="D608" s="2">
        <v>46227</v>
      </c>
      <c r="E608" s="3">
        <v>0.41666666666666669</v>
      </c>
      <c r="F608" t="s">
        <v>2278</v>
      </c>
      <c r="G608" t="s">
        <v>2279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2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2282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2">
      <c r="A610" t="str">
        <f t="shared" si="200"/>
        <v>24/07/2026Fraser ParkGladesville Ryde Magic</v>
      </c>
      <c r="B610" t="s">
        <v>810</v>
      </c>
      <c r="C610" t="s">
        <v>2289</v>
      </c>
      <c r="D610" s="2">
        <v>46227</v>
      </c>
      <c r="E610" s="3">
        <v>0.41666666666666669</v>
      </c>
      <c r="F610" t="s">
        <v>2290</v>
      </c>
      <c r="G610" t="s">
        <v>2291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2">
      <c r="A611" t="str">
        <f t="shared" si="200"/>
        <v>24/07/2026Sydney UniversityMounties Wanderers</v>
      </c>
      <c r="B611" t="s">
        <v>810</v>
      </c>
      <c r="C611" t="s">
        <v>2289</v>
      </c>
      <c r="D611" s="2">
        <v>46227</v>
      </c>
      <c r="E611" s="3">
        <v>0.41666666666666669</v>
      </c>
      <c r="F611" t="s">
        <v>2292</v>
      </c>
      <c r="G611" t="s">
        <v>2293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2">
      <c r="A612" t="str">
        <f t="shared" si="200"/>
        <v>24/07/2026Campbelltown City WomenAdelaide Comets Women</v>
      </c>
      <c r="B612" t="s">
        <v>810</v>
      </c>
      <c r="C612" t="s">
        <v>2304</v>
      </c>
      <c r="D612" s="2">
        <v>46227</v>
      </c>
      <c r="E612" s="3">
        <v>0.41666666666666669</v>
      </c>
      <c r="F612" t="s">
        <v>2307</v>
      </c>
      <c r="G612" t="s">
        <v>2308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2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2575</v>
      </c>
      <c r="G613" t="s">
        <v>2576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2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2595</v>
      </c>
      <c r="G614" t="s">
        <v>2596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2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2597</v>
      </c>
      <c r="G615" t="s">
        <v>2598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2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2599</v>
      </c>
      <c r="G616" t="s">
        <v>2600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2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2601</v>
      </c>
      <c r="G617" t="s">
        <v>2602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2">
      <c r="A618" t="str">
        <f t="shared" si="200"/>
        <v>24/07/2026Oakleigh CannonsSouth Melbourne FC</v>
      </c>
      <c r="B618" t="s">
        <v>810</v>
      </c>
      <c r="C618" t="s">
        <v>2256</v>
      </c>
      <c r="D618" s="2">
        <v>46227</v>
      </c>
      <c r="E618" s="3">
        <v>0.42708333333333331</v>
      </c>
      <c r="F618" t="s">
        <v>131</v>
      </c>
      <c r="G618" t="s">
        <v>2259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2">
      <c r="A619" t="str">
        <f t="shared" si="200"/>
        <v>24/07/2026Eastern UnitedSalisbury United</v>
      </c>
      <c r="B619" t="s">
        <v>810</v>
      </c>
      <c r="C619" t="s">
        <v>2277</v>
      </c>
      <c r="D619" s="2">
        <v>46227</v>
      </c>
      <c r="E619" s="3">
        <v>0.42708333333333331</v>
      </c>
      <c r="F619" t="s">
        <v>2280</v>
      </c>
      <c r="G619" t="s">
        <v>2281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2">
      <c r="A620" t="str">
        <f t="shared" si="200"/>
        <v>24/07/2026Preston LionsBentleigh Greens</v>
      </c>
      <c r="B620" t="s">
        <v>810</v>
      </c>
      <c r="C620" t="s">
        <v>2256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2">
      <c r="A621" t="str">
        <f t="shared" si="200"/>
        <v>24/07/2026Brunswick CityWestern United Reserves</v>
      </c>
      <c r="B621" t="s">
        <v>810</v>
      </c>
      <c r="C621" t="s">
        <v>2260</v>
      </c>
      <c r="D621" s="2">
        <v>46227</v>
      </c>
      <c r="E621" s="3">
        <v>0.4375</v>
      </c>
      <c r="F621" t="s">
        <v>2261</v>
      </c>
      <c r="G621" t="s">
        <v>2262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2">
      <c r="A622" t="str">
        <f t="shared" si="200"/>
        <v>24/07/2026Eltham RedbacksMelbourne Srbija</v>
      </c>
      <c r="B622" t="s">
        <v>810</v>
      </c>
      <c r="C622" t="s">
        <v>2260</v>
      </c>
      <c r="D622" s="2">
        <v>46227</v>
      </c>
      <c r="E622" s="3">
        <v>0.4375</v>
      </c>
      <c r="F622" t="s">
        <v>2263</v>
      </c>
      <c r="G622" t="s">
        <v>2264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2">
      <c r="A623" t="str">
        <f t="shared" si="200"/>
        <v>24/07/2026Essendon Royals SCKingston City</v>
      </c>
      <c r="B623" t="s">
        <v>810</v>
      </c>
      <c r="C623" t="s">
        <v>2265</v>
      </c>
      <c r="D623" s="2">
        <v>46227</v>
      </c>
      <c r="E623" s="3">
        <v>0.4375</v>
      </c>
      <c r="F623" t="s">
        <v>2272</v>
      </c>
      <c r="G623" t="s">
        <v>2273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2">
      <c r="A624" t="str">
        <f t="shared" si="200"/>
        <v>24/07/2026Queensland Lions WomenCapalaba Women</v>
      </c>
      <c r="B624" t="s">
        <v>810</v>
      </c>
      <c r="C624" t="s">
        <v>2294</v>
      </c>
      <c r="D624" s="2">
        <v>46227</v>
      </c>
      <c r="E624" s="3">
        <v>0.4375</v>
      </c>
      <c r="F624" t="s">
        <v>2297</v>
      </c>
      <c r="G624" t="s">
        <v>2298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2">
      <c r="A625" t="str">
        <f t="shared" si="200"/>
        <v>24/07/2026West Torrens Birkalla ReservesWest Adelaide Women</v>
      </c>
      <c r="B625" t="s">
        <v>810</v>
      </c>
      <c r="C625" t="s">
        <v>2304</v>
      </c>
      <c r="D625" s="2">
        <v>46227</v>
      </c>
      <c r="E625" s="3">
        <v>0.4375</v>
      </c>
      <c r="F625" t="s">
        <v>2309</v>
      </c>
      <c r="G625" t="s">
        <v>2310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2">
      <c r="A626" t="str">
        <f t="shared" si="200"/>
        <v>24/07/2026Peninsula Power WomenThe Gap NPL Women</v>
      </c>
      <c r="B626" t="s">
        <v>810</v>
      </c>
      <c r="C626" t="s">
        <v>2313</v>
      </c>
      <c r="D626" s="2">
        <v>46227</v>
      </c>
      <c r="E626" s="3">
        <v>0.4375</v>
      </c>
      <c r="F626" t="s">
        <v>2314</v>
      </c>
      <c r="G626" t="s">
        <v>2315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2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2593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2">
      <c r="A628" t="str">
        <f t="shared" si="200"/>
        <v>24/07/2026Seoul E-LandCheonan City</v>
      </c>
      <c r="D628" s="2">
        <v>46227</v>
      </c>
      <c r="E628" s="3">
        <v>0.4375</v>
      </c>
      <c r="F628" t="s">
        <v>2594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2">
      <c r="A629" t="str">
        <f t="shared" si="200"/>
        <v>24/07/2026Adelaide University WomenModbury Vista Women</v>
      </c>
      <c r="B629" t="s">
        <v>810</v>
      </c>
      <c r="C629" t="s">
        <v>2304</v>
      </c>
      <c r="D629" s="2">
        <v>46227</v>
      </c>
      <c r="E629" s="3">
        <v>0.44791666666666669</v>
      </c>
      <c r="F629" t="s">
        <v>2311</v>
      </c>
      <c r="G629" t="s">
        <v>2312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2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2615</v>
      </c>
      <c r="G630" t="s">
        <v>2616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2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2646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2">
      <c r="A632" t="str">
        <f t="shared" si="200"/>
        <v>24/07/2026CambodiaSingapore</v>
      </c>
      <c r="B632" t="s">
        <v>2248</v>
      </c>
      <c r="C632" t="s">
        <v>2249</v>
      </c>
      <c r="D632" s="2">
        <v>46227</v>
      </c>
      <c r="E632" s="3">
        <v>0.5</v>
      </c>
      <c r="F632" t="s">
        <v>2250</v>
      </c>
      <c r="G632" t="s">
        <v>2251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2">
      <c r="A633" t="str">
        <f t="shared" si="200"/>
        <v>24/07/2026Altay Semey U21FC Taraz</v>
      </c>
      <c r="D633" s="2">
        <v>46227</v>
      </c>
      <c r="E633" s="3">
        <v>0.5</v>
      </c>
      <c r="F633" t="s">
        <v>2507</v>
      </c>
      <c r="G633" t="s">
        <v>2508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2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2577</v>
      </c>
      <c r="G634" t="s">
        <v>2578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2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2579</v>
      </c>
      <c r="G635" t="s">
        <v>2580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2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2">
      <c r="A637" t="str">
        <f t="shared" si="200"/>
        <v>24/07/2026Lommel UnitedADO Den Haag</v>
      </c>
      <c r="D637" s="2">
        <v>46227</v>
      </c>
      <c r="E637" s="3">
        <v>0.5</v>
      </c>
      <c r="F637" t="s">
        <v>2647</v>
      </c>
      <c r="G637" t="s">
        <v>2648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2">
      <c r="A638" t="str">
        <f t="shared" si="200"/>
        <v>24/07/2026WolfsburgLyon</v>
      </c>
      <c r="D638" s="2">
        <v>46227</v>
      </c>
      <c r="E638" s="3">
        <v>0.5</v>
      </c>
      <c r="F638" t="s">
        <v>2649</v>
      </c>
      <c r="G638" t="s">
        <v>2650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2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2367</v>
      </c>
      <c r="G639" t="s">
        <v>2368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2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2509</v>
      </c>
      <c r="G640" t="s">
        <v>2510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2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2511</v>
      </c>
      <c r="G641" t="s">
        <v>2512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2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2603</v>
      </c>
      <c r="G642" t="s">
        <v>2604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2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2617</v>
      </c>
      <c r="G643" t="s">
        <v>2618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2">
      <c r="A644" t="str">
        <f t="shared" si="220"/>
        <v>24/07/2026Timor LesteVietnam</v>
      </c>
      <c r="B644" t="s">
        <v>2248</v>
      </c>
      <c r="C644" t="s">
        <v>2249</v>
      </c>
      <c r="D644" s="2">
        <v>46227</v>
      </c>
      <c r="E644" s="3">
        <v>0.5625</v>
      </c>
      <c r="F644" t="s">
        <v>2252</v>
      </c>
      <c r="G644" t="s">
        <v>2253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2">
      <c r="A645" t="str">
        <f t="shared" si="220"/>
        <v>24/07/2026Aral NukusShurtan Guzar</v>
      </c>
      <c r="D645" s="2">
        <v>46227</v>
      </c>
      <c r="E645" s="3">
        <v>0.5625</v>
      </c>
      <c r="F645" t="s">
        <v>2634</v>
      </c>
      <c r="G645" t="s">
        <v>2635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2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2516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2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2571</v>
      </c>
      <c r="G647" t="s">
        <v>2572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2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2581</v>
      </c>
      <c r="G648" t="s">
        <v>2582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2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2583</v>
      </c>
      <c r="G649" t="s">
        <v>2584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2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2585</v>
      </c>
      <c r="G650" t="s">
        <v>2586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2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2591</v>
      </c>
      <c r="G651" t="s">
        <v>2592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2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2636</v>
      </c>
      <c r="G652" t="s">
        <v>2637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2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2651</v>
      </c>
      <c r="G653" t="s">
        <v>2652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2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2653</v>
      </c>
      <c r="G654" t="s">
        <v>2654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2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2358</v>
      </c>
      <c r="G655" t="s">
        <v>2359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2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2398</v>
      </c>
      <c r="G656" t="s">
        <v>2399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2">
      <c r="A657" t="str">
        <f t="shared" si="220"/>
        <v>24/07/2026MargvetiIberia 1999</v>
      </c>
      <c r="D657" s="2">
        <v>46227</v>
      </c>
      <c r="E657" s="3">
        <v>0.625</v>
      </c>
      <c r="F657" t="s">
        <v>2471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2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2513</v>
      </c>
      <c r="G658" t="s">
        <v>2514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2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2544</v>
      </c>
      <c r="G659" t="s">
        <v>2545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2">
      <c r="A660" t="str">
        <f t="shared" si="220"/>
        <v>24/07/2026Olimpik MobiuzPFC Terdu</v>
      </c>
      <c r="D660" s="2">
        <v>46227</v>
      </c>
      <c r="E660" s="3">
        <v>0.625</v>
      </c>
      <c r="F660" t="s">
        <v>2638</v>
      </c>
      <c r="G660" t="s">
        <v>2639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2">
      <c r="A661" t="str">
        <f t="shared" si="220"/>
        <v>24/07/2026Sparta Prague IIHostoun</v>
      </c>
      <c r="D661" s="2">
        <v>46227</v>
      </c>
      <c r="E661" s="3">
        <v>0.625</v>
      </c>
      <c r="F661" t="s">
        <v>2655</v>
      </c>
      <c r="G661" t="s">
        <v>2656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2">
      <c r="A662" t="str">
        <f t="shared" si="220"/>
        <v>24/07/2026SV GloggnitzRapid Wien II</v>
      </c>
      <c r="D662" s="2">
        <v>46227</v>
      </c>
      <c r="E662" s="3">
        <v>0.625</v>
      </c>
      <c r="F662" t="s">
        <v>2657</v>
      </c>
      <c r="G662" t="s">
        <v>2658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2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2445</v>
      </c>
      <c r="G663" t="s">
        <v>2446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2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2360</v>
      </c>
      <c r="G664" t="s">
        <v>2361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2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2435</v>
      </c>
      <c r="G665" t="s">
        <v>2436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2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2447</v>
      </c>
      <c r="G666" t="s">
        <v>2448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2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2459</v>
      </c>
      <c r="G667" t="s">
        <v>2460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2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2461</v>
      </c>
      <c r="G668" t="s">
        <v>2462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2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2567</v>
      </c>
      <c r="G669" t="s">
        <v>2568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2">
      <c r="A670" t="str">
        <f t="shared" si="220"/>
        <v>24/07/2026AubagneBastia</v>
      </c>
      <c r="D670" s="2">
        <v>46227</v>
      </c>
      <c r="E670" s="3">
        <v>0.64583333333333337</v>
      </c>
      <c r="F670" t="s">
        <v>2659</v>
      </c>
      <c r="G670" t="s">
        <v>2660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2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2661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2">
      <c r="A672" t="str">
        <f t="shared" si="220"/>
        <v>24/07/2026BeroeHebar Pazardzhik</v>
      </c>
      <c r="D672" s="2">
        <v>46227</v>
      </c>
      <c r="E672" s="3">
        <v>0.65625</v>
      </c>
      <c r="F672" t="s">
        <v>2393</v>
      </c>
      <c r="G672" t="s">
        <v>2394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2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2406</v>
      </c>
      <c r="G673" t="s">
        <v>2407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2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2408</v>
      </c>
      <c r="G674" t="s">
        <v>2409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2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2410</v>
      </c>
      <c r="G675" t="s">
        <v>2411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2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2412</v>
      </c>
      <c r="G676" t="s">
        <v>2413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2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2414</v>
      </c>
      <c r="G677" t="s">
        <v>2415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2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2416</v>
      </c>
      <c r="G678" t="s">
        <v>2417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2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2418</v>
      </c>
      <c r="G679" t="s">
        <v>2419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2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2422</v>
      </c>
      <c r="G680" t="s">
        <v>2423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2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2430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2">
      <c r="A682" t="str">
        <f t="shared" si="220"/>
        <v>24/07/2026Jazz PoriTPV</v>
      </c>
      <c r="D682" s="2">
        <v>46227</v>
      </c>
      <c r="E682" s="3">
        <v>0.66666666666666663</v>
      </c>
      <c r="F682" t="s">
        <v>2431</v>
      </c>
      <c r="G682" t="s">
        <v>2432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2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2433</v>
      </c>
      <c r="G683" t="s">
        <v>2434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2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2437</v>
      </c>
      <c r="G684" t="s">
        <v>2438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2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2439</v>
      </c>
      <c r="G685" t="s">
        <v>2440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2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2441</v>
      </c>
      <c r="G686" t="s">
        <v>2442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2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2443</v>
      </c>
      <c r="G687" t="s">
        <v>2444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2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2449</v>
      </c>
      <c r="G688" t="s">
        <v>2450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2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2451</v>
      </c>
      <c r="G689" t="s">
        <v>2452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2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2453</v>
      </c>
      <c r="G690" t="s">
        <v>2454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2">
      <c r="A691" t="str">
        <f t="shared" si="220"/>
        <v>24/07/2026FC MetsoJPS</v>
      </c>
      <c r="D691" s="2">
        <v>46227</v>
      </c>
      <c r="E691" s="3">
        <v>0.66666666666666663</v>
      </c>
      <c r="F691" t="s">
        <v>2463</v>
      </c>
      <c r="G691" t="s">
        <v>2464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2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2465</v>
      </c>
      <c r="G692" t="s">
        <v>2466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2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2467</v>
      </c>
      <c r="G693" t="s">
        <v>2468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2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2515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2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2529</v>
      </c>
      <c r="G695" t="s">
        <v>2530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2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2557</v>
      </c>
      <c r="G696" t="s">
        <v>2558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2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2561</v>
      </c>
      <c r="G697" t="s">
        <v>2562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2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2565</v>
      </c>
      <c r="G698" t="s">
        <v>2566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2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2587</v>
      </c>
      <c r="G699" t="s">
        <v>2588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2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2589</v>
      </c>
      <c r="G700" t="s">
        <v>2590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2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2662</v>
      </c>
      <c r="G701" t="s">
        <v>2663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2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2664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2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2665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2">
      <c r="A704" t="str">
        <f t="shared" si="220"/>
        <v>24/07/2026Dornbirn 1913SV Ried</v>
      </c>
      <c r="B704" t="s">
        <v>2331</v>
      </c>
      <c r="C704" t="s">
        <v>2332</v>
      </c>
      <c r="D704" s="2">
        <v>46227</v>
      </c>
      <c r="E704" s="3">
        <v>0.6875</v>
      </c>
      <c r="F704" t="s">
        <v>2333</v>
      </c>
      <c r="G704" t="s">
        <v>2334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2">
      <c r="A705" t="str">
        <f t="shared" si="220"/>
        <v>24/07/2026SC WieselburgWSG Wattens</v>
      </c>
      <c r="B705" t="s">
        <v>2331</v>
      </c>
      <c r="C705" t="s">
        <v>2332</v>
      </c>
      <c r="D705" s="2">
        <v>46227</v>
      </c>
      <c r="E705" s="3">
        <v>0.6875</v>
      </c>
      <c r="F705" t="s">
        <v>2335</v>
      </c>
      <c r="G705" t="s">
        <v>2336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2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2455</v>
      </c>
      <c r="G706" t="s">
        <v>2456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2">
      <c r="A707" t="str">
        <f t="shared" si="240"/>
        <v>24/07/2026Puotinkylan ValttiToTe</v>
      </c>
      <c r="D707" s="2">
        <v>46227</v>
      </c>
      <c r="E707" s="3">
        <v>0.6875</v>
      </c>
      <c r="F707" t="s">
        <v>2457</v>
      </c>
      <c r="G707" t="s">
        <v>2458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2">
      <c r="A708" t="str">
        <f t="shared" si="240"/>
        <v>24/07/2026Hankofen-HailingIsmaning</v>
      </c>
      <c r="D708" s="2">
        <v>46227</v>
      </c>
      <c r="E708" s="3">
        <v>0.6875</v>
      </c>
      <c r="F708" t="s">
        <v>2482</v>
      </c>
      <c r="G708" t="s">
        <v>2483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2">
      <c r="A709" t="str">
        <f t="shared" si="240"/>
        <v>24/07/2026LandshutSV Erlbach</v>
      </c>
      <c r="D709" s="2">
        <v>46227</v>
      </c>
      <c r="E709" s="3">
        <v>0.6875</v>
      </c>
      <c r="F709" t="s">
        <v>2484</v>
      </c>
      <c r="G709" t="s">
        <v>2485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2">
      <c r="A710" t="str">
        <f t="shared" si="240"/>
        <v>24/07/2026GleisdorfSturm Graz II</v>
      </c>
      <c r="D710" s="2">
        <v>46227</v>
      </c>
      <c r="E710" s="3">
        <v>0.6875</v>
      </c>
      <c r="F710" t="s">
        <v>2666</v>
      </c>
      <c r="G710" t="s">
        <v>2667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2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2668</v>
      </c>
      <c r="G711" t="s">
        <v>2669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2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2670</v>
      </c>
      <c r="G712" t="s">
        <v>2671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2">
      <c r="A713" t="str">
        <f t="shared" si="240"/>
        <v>24/07/2026LAC-InterFavoritner AC</v>
      </c>
      <c r="D713" s="2">
        <v>46227</v>
      </c>
      <c r="E713" s="3">
        <v>0.6875</v>
      </c>
      <c r="F713" t="s">
        <v>2672</v>
      </c>
      <c r="G713" t="s">
        <v>2673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2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2469</v>
      </c>
      <c r="G714" t="s">
        <v>2470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2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2">
      <c r="A716" t="str">
        <f t="shared" si="240"/>
        <v>24/07/2026ATUS VeldenAustria Klagenfurt</v>
      </c>
      <c r="B716" t="s">
        <v>2331</v>
      </c>
      <c r="C716" t="s">
        <v>2332</v>
      </c>
      <c r="D716" s="2">
        <v>46227</v>
      </c>
      <c r="E716" s="3">
        <v>0.70833333333333337</v>
      </c>
      <c r="F716" t="s">
        <v>1296</v>
      </c>
      <c r="G716" t="s">
        <v>2337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2">
      <c r="A717" t="str">
        <f t="shared" si="240"/>
        <v>24/07/2026Deutschlandsberger SCAmstetten</v>
      </c>
      <c r="B717" t="s">
        <v>2331</v>
      </c>
      <c r="C717" t="s">
        <v>2332</v>
      </c>
      <c r="D717" s="2">
        <v>46227</v>
      </c>
      <c r="E717" s="3">
        <v>0.70833333333333337</v>
      </c>
      <c r="F717" t="s">
        <v>2338</v>
      </c>
      <c r="G717" t="s">
        <v>2339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2">
      <c r="A718" t="str">
        <f t="shared" si="240"/>
        <v>24/07/2026FC LauterachWolfsberger AC</v>
      </c>
      <c r="B718" t="s">
        <v>2331</v>
      </c>
      <c r="C718" t="s">
        <v>2332</v>
      </c>
      <c r="D718" s="2">
        <v>46227</v>
      </c>
      <c r="E718" s="3">
        <v>0.70833333333333337</v>
      </c>
      <c r="F718" t="s">
        <v>2340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2">
      <c r="A719" t="str">
        <f t="shared" si="240"/>
        <v>24/07/2026SV LafnitzUSV Scheiblingkirchen</v>
      </c>
      <c r="B719" t="s">
        <v>2331</v>
      </c>
      <c r="C719" t="s">
        <v>2332</v>
      </c>
      <c r="D719" s="2">
        <v>46227</v>
      </c>
      <c r="E719" s="3">
        <v>0.70833333333333337</v>
      </c>
      <c r="F719" t="s">
        <v>2341</v>
      </c>
      <c r="G719" t="s">
        <v>2342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2">
      <c r="A720" t="str">
        <f t="shared" si="240"/>
        <v>24/07/2026SV LeobendorfSCR Altach</v>
      </c>
      <c r="B720" t="s">
        <v>2331</v>
      </c>
      <c r="C720" t="s">
        <v>2332</v>
      </c>
      <c r="D720" s="2">
        <v>46227</v>
      </c>
      <c r="E720" s="3">
        <v>0.70833333333333337</v>
      </c>
      <c r="F720" t="s">
        <v>2343</v>
      </c>
      <c r="G720" t="s">
        <v>2344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2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2420</v>
      </c>
      <c r="G721" t="s">
        <v>2421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2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2424</v>
      </c>
      <c r="G722" t="s">
        <v>2425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2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2428</v>
      </c>
      <c r="G723" t="s">
        <v>2429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2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2472</v>
      </c>
      <c r="G724" t="s">
        <v>2473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2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2474</v>
      </c>
      <c r="G725" t="s">
        <v>2475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2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2478</v>
      </c>
      <c r="G726" t="s">
        <v>2479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2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2480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2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2481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2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2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2486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2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2674</v>
      </c>
      <c r="G731" t="s">
        <v>2675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2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2676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2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2677</v>
      </c>
      <c r="G733" t="s">
        <v>2678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2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2679</v>
      </c>
      <c r="G734" t="s">
        <v>2680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2">
      <c r="A735" t="str">
        <f t="shared" si="240"/>
        <v>24/07/2026EmmenTwente</v>
      </c>
      <c r="D735" s="2">
        <v>46227</v>
      </c>
      <c r="E735" s="3">
        <v>0.70833333333333337</v>
      </c>
      <c r="F735" t="s">
        <v>2681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2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2682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2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2683</v>
      </c>
      <c r="G737" t="s">
        <v>2684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2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2685</v>
      </c>
      <c r="G738" t="s">
        <v>2686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2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2687</v>
      </c>
      <c r="G739" t="s">
        <v>2688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2">
      <c r="A740" t="str">
        <f t="shared" si="240"/>
        <v>24/07/2026HT 16USC Paloma</v>
      </c>
      <c r="D740" s="2">
        <v>46227</v>
      </c>
      <c r="E740" s="3">
        <v>0.71875</v>
      </c>
      <c r="F740" t="s">
        <v>2476</v>
      </c>
      <c r="G740" t="s">
        <v>2477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2">
      <c r="A741" t="str">
        <f t="shared" si="240"/>
        <v>24/07/2026TuS KoblenzVfB Giessen</v>
      </c>
      <c r="D741" s="2">
        <v>46227</v>
      </c>
      <c r="E741" s="3">
        <v>0.71875</v>
      </c>
      <c r="F741" t="s">
        <v>2689</v>
      </c>
      <c r="G741" t="s">
        <v>2690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2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2691</v>
      </c>
      <c r="G742" t="s">
        <v>2692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2">
      <c r="A743" t="str">
        <f t="shared" si="240"/>
        <v>24/07/2026DSV LeobenVoitsberg</v>
      </c>
      <c r="B743" t="s">
        <v>2331</v>
      </c>
      <c r="C743" t="s">
        <v>2332</v>
      </c>
      <c r="D743" s="2">
        <v>46227</v>
      </c>
      <c r="E743" s="3">
        <v>0.72916666666666663</v>
      </c>
      <c r="F743" t="s">
        <v>2345</v>
      </c>
      <c r="G743" t="s">
        <v>2346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2">
      <c r="A744" t="str">
        <f t="shared" si="240"/>
        <v>24/07/2026FCM TraiskirchenSVG Bleiburg</v>
      </c>
      <c r="B744" t="s">
        <v>2331</v>
      </c>
      <c r="C744" t="s">
        <v>2332</v>
      </c>
      <c r="D744" s="2">
        <v>46227</v>
      </c>
      <c r="E744" s="3">
        <v>0.72916666666666663</v>
      </c>
      <c r="F744" t="s">
        <v>2347</v>
      </c>
      <c r="G744" t="s">
        <v>2348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2">
      <c r="A745" t="str">
        <f t="shared" si="240"/>
        <v>24/07/2026SU TillmitschSt Polten</v>
      </c>
      <c r="B745" t="s">
        <v>2331</v>
      </c>
      <c r="C745" t="s">
        <v>2332</v>
      </c>
      <c r="D745" s="2">
        <v>46227</v>
      </c>
      <c r="E745" s="3">
        <v>0.72916666666666663</v>
      </c>
      <c r="F745" t="s">
        <v>2349</v>
      </c>
      <c r="G745" t="s">
        <v>2350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2">
      <c r="A746" t="str">
        <f t="shared" si="240"/>
        <v>24/07/2026SV HornFAC Team fur Wien</v>
      </c>
      <c r="B746" t="s">
        <v>2331</v>
      </c>
      <c r="C746" t="s">
        <v>2332</v>
      </c>
      <c r="D746" s="2">
        <v>46227</v>
      </c>
      <c r="E746" s="3">
        <v>0.72916666666666663</v>
      </c>
      <c r="F746" t="s">
        <v>2351</v>
      </c>
      <c r="G746" t="s">
        <v>2352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2">
      <c r="A747" t="str">
        <f t="shared" si="240"/>
        <v>24/07/2026Union GurtenBlau Weiss Linz</v>
      </c>
      <c r="B747" t="s">
        <v>2331</v>
      </c>
      <c r="C747" t="s">
        <v>2332</v>
      </c>
      <c r="D747" s="2">
        <v>46227</v>
      </c>
      <c r="E747" s="3">
        <v>0.72916666666666663</v>
      </c>
      <c r="F747" t="s">
        <v>2353</v>
      </c>
      <c r="G747" t="s">
        <v>2354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2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2605</v>
      </c>
      <c r="G748" t="s">
        <v>2606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2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2607</v>
      </c>
      <c r="G749" t="s">
        <v>2608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2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2609</v>
      </c>
      <c r="G750" t="s">
        <v>2610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2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2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2693</v>
      </c>
      <c r="G752" t="s">
        <v>2694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2">
      <c r="A753" t="str">
        <f t="shared" si="240"/>
        <v>24/07/2026Kimberley Mar del PlataClub Circulo Deportivo</v>
      </c>
      <c r="B753" t="s">
        <v>806</v>
      </c>
      <c r="C753" t="s">
        <v>2243</v>
      </c>
      <c r="D753" s="2">
        <v>46227</v>
      </c>
      <c r="E753" s="3">
        <v>0.75</v>
      </c>
      <c r="F753" t="s">
        <v>2244</v>
      </c>
      <c r="G753" t="s">
        <v>2245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2">
      <c r="A754" t="str">
        <f t="shared" si="240"/>
        <v>24/07/2026Ponte Preta U20Suzano SP U20</v>
      </c>
      <c r="D754" s="2">
        <v>46227</v>
      </c>
      <c r="E754" s="3">
        <v>0.75</v>
      </c>
      <c r="F754" t="s">
        <v>2369</v>
      </c>
      <c r="G754" t="s">
        <v>2370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2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2371</v>
      </c>
      <c r="G755" t="s">
        <v>2372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2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2373</v>
      </c>
      <c r="G756" t="s">
        <v>2372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2">
      <c r="A757" t="str">
        <f t="shared" si="240"/>
        <v>24/07/2026Agua Santa SP U20Ituano U20</v>
      </c>
      <c r="D757" s="2">
        <v>46227</v>
      </c>
      <c r="E757" s="3">
        <v>0.75</v>
      </c>
      <c r="F757" t="s">
        <v>2374</v>
      </c>
      <c r="G757" t="s">
        <v>2375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2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2376</v>
      </c>
      <c r="G758" t="s">
        <v>2377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2">
      <c r="A759" t="str">
        <f t="shared" si="240"/>
        <v>24/07/2026Guarani SP U20Tanabi EC U20</v>
      </c>
      <c r="D759" s="2">
        <v>46227</v>
      </c>
      <c r="E759" s="3">
        <v>0.75</v>
      </c>
      <c r="F759" t="s">
        <v>2378</v>
      </c>
      <c r="G759" t="s">
        <v>2379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2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2380</v>
      </c>
      <c r="G760" t="s">
        <v>2381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2">
      <c r="A761" t="str">
        <f t="shared" si="240"/>
        <v>24/07/2026Maua FC U20Flamengo SP U20</v>
      </c>
      <c r="D761" s="2">
        <v>46227</v>
      </c>
      <c r="E761" s="3">
        <v>0.75</v>
      </c>
      <c r="F761" t="s">
        <v>2382</v>
      </c>
      <c r="G761" t="s">
        <v>2383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2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2384</v>
      </c>
      <c r="G762" t="s">
        <v>2385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2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2386</v>
      </c>
      <c r="G763" t="s">
        <v>2387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2">
      <c r="A764" t="str">
        <f t="shared" si="240"/>
        <v>24/07/2026Sfera SP U20Audax SP U20</v>
      </c>
      <c r="D764" s="2">
        <v>46227</v>
      </c>
      <c r="E764" s="3">
        <v>0.75</v>
      </c>
      <c r="F764" t="s">
        <v>2388</v>
      </c>
      <c r="G764" t="s">
        <v>2389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2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2390</v>
      </c>
      <c r="G765" t="s">
        <v>2391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2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2491</v>
      </c>
      <c r="G766" t="s">
        <v>2492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2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2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2501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2">
      <c r="A769" t="str">
        <f t="shared" si="240"/>
        <v>24/07/2026Atlante U21Club America U21</v>
      </c>
      <c r="D769" s="2">
        <v>46227</v>
      </c>
      <c r="E769" s="3">
        <v>0.75</v>
      </c>
      <c r="F769" t="s">
        <v>2525</v>
      </c>
      <c r="G769" t="s">
        <v>2526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2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2551</v>
      </c>
      <c r="G770" t="s">
        <v>2552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2">
      <c r="A771" t="str">
        <f t="shared" si="260"/>
        <v>24/07/2026BarcelonaCE Europa</v>
      </c>
      <c r="D771" s="2">
        <v>46227</v>
      </c>
      <c r="E771" s="3">
        <v>0.75</v>
      </c>
      <c r="F771" t="s">
        <v>2695</v>
      </c>
      <c r="G771" t="s">
        <v>2696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2">
      <c r="A772" t="str">
        <f t="shared" si="260"/>
        <v>24/07/2026CP CacerenoReal Jaen</v>
      </c>
      <c r="D772" s="2">
        <v>46227</v>
      </c>
      <c r="E772" s="3">
        <v>0.75</v>
      </c>
      <c r="F772" t="s">
        <v>2697</v>
      </c>
      <c r="G772" t="s">
        <v>2698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2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2699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2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2700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2">
      <c r="A775" t="str">
        <f t="shared" si="260"/>
        <v>24/07/2026GalatasaraySSD Monza</v>
      </c>
      <c r="D775" s="2">
        <v>46227</v>
      </c>
      <c r="E775" s="3">
        <v>0.75</v>
      </c>
      <c r="F775" t="s">
        <v>2701</v>
      </c>
      <c r="G775" t="s">
        <v>2702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2">
      <c r="A776" t="str">
        <f t="shared" si="260"/>
        <v>24/07/2026Yate TownBristol Rovers</v>
      </c>
      <c r="D776" s="2">
        <v>46227</v>
      </c>
      <c r="E776" s="3">
        <v>0.75</v>
      </c>
      <c r="F776" t="s">
        <v>2703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2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2392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2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2611</v>
      </c>
      <c r="G778" t="s">
        <v>2612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2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2613</v>
      </c>
      <c r="G779" t="s">
        <v>2614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2">
      <c r="A780" t="str">
        <f t="shared" si="260"/>
        <v>24/07/2026SV SeekirchenSturm Graz</v>
      </c>
      <c r="B780" t="s">
        <v>2331</v>
      </c>
      <c r="C780" t="s">
        <v>2332</v>
      </c>
      <c r="D780" s="2">
        <v>46227</v>
      </c>
      <c r="E780" s="3">
        <v>0.77083333333333337</v>
      </c>
      <c r="F780" t="s">
        <v>2355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2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2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2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2559</v>
      </c>
      <c r="G783" t="s">
        <v>2560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2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2569</v>
      </c>
      <c r="G784" t="s">
        <v>2570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2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2704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2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2705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2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2706</v>
      </c>
      <c r="G787" t="s">
        <v>2707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2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2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2503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2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2">
      <c r="A791" t="str">
        <f t="shared" si="260"/>
        <v>24/07/2026Treaty UnitedAthlone Town</v>
      </c>
      <c r="D791" s="2">
        <v>46227</v>
      </c>
      <c r="E791" s="3">
        <v>0.78125</v>
      </c>
      <c r="F791" t="s">
        <v>2504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2">
      <c r="A792" t="str">
        <f t="shared" si="260"/>
        <v>24/07/2026UC DublinCork City</v>
      </c>
      <c r="D792" s="2">
        <v>46227</v>
      </c>
      <c r="E792" s="3">
        <v>0.78125</v>
      </c>
      <c r="F792" t="s">
        <v>2505</v>
      </c>
      <c r="G792" t="s">
        <v>2506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2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2537</v>
      </c>
      <c r="G793" t="s">
        <v>2538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2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2539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2">
      <c r="A795" t="str">
        <f t="shared" si="260"/>
        <v>24/07/2026Bedford TownReal Bedford</v>
      </c>
      <c r="D795" s="2">
        <v>46227</v>
      </c>
      <c r="E795" s="3">
        <v>0.78125</v>
      </c>
      <c r="F795" t="s">
        <v>2708</v>
      </c>
      <c r="G795" t="s">
        <v>2709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2">
      <c r="A796" t="str">
        <f t="shared" si="260"/>
        <v>24/07/2026Enfield TownWorthing</v>
      </c>
      <c r="D796" s="2">
        <v>46227</v>
      </c>
      <c r="E796" s="3">
        <v>0.78125</v>
      </c>
      <c r="F796" t="s">
        <v>2710</v>
      </c>
      <c r="G796" t="s">
        <v>2711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2">
      <c r="A797" t="str">
        <f t="shared" si="260"/>
        <v>24/07/2026Hyde FCChester</v>
      </c>
      <c r="D797" s="2">
        <v>46227</v>
      </c>
      <c r="E797" s="3">
        <v>0.78125</v>
      </c>
      <c r="F797" t="s">
        <v>2712</v>
      </c>
      <c r="G797" t="s">
        <v>2713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2">
      <c r="A798" t="str">
        <f t="shared" si="260"/>
        <v>24/07/2026Limavady UnitedLinfield</v>
      </c>
      <c r="D798" s="2">
        <v>46227</v>
      </c>
      <c r="E798" s="3">
        <v>0.78125</v>
      </c>
      <c r="F798" t="s">
        <v>2714</v>
      </c>
      <c r="G798" t="s">
        <v>2715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2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2716</v>
      </c>
      <c r="G799" t="s">
        <v>2717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2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2718</v>
      </c>
      <c r="G800" t="s">
        <v>2719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2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2720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2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2720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2">
      <c r="A803" t="str">
        <f t="shared" si="260"/>
        <v>24/07/2026ReichenauWacker Innsbruck</v>
      </c>
      <c r="B803" t="s">
        <v>2331</v>
      </c>
      <c r="C803" t="s">
        <v>2332</v>
      </c>
      <c r="D803" s="2">
        <v>46227</v>
      </c>
      <c r="E803" s="3">
        <v>0.79166666666666663</v>
      </c>
      <c r="F803" t="s">
        <v>2356</v>
      </c>
      <c r="G803" t="s">
        <v>2357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2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2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2502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2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2540</v>
      </c>
      <c r="G806" t="s">
        <v>2541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2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2542</v>
      </c>
      <c r="G807" t="s">
        <v>2543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2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2547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2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2555</v>
      </c>
      <c r="G809" t="s">
        <v>2556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2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2563</v>
      </c>
      <c r="G810" t="s">
        <v>2564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2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2620</v>
      </c>
      <c r="G811" t="s">
        <v>2621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2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2721</v>
      </c>
      <c r="G812" t="s">
        <v>2722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2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2493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2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2494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2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2495</v>
      </c>
      <c r="G815" t="s">
        <v>2496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2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2497</v>
      </c>
      <c r="G816" t="s">
        <v>2498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2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2499</v>
      </c>
      <c r="G817" t="s">
        <v>2500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2">
      <c r="A818" t="str">
        <f t="shared" si="260"/>
        <v>24/07/2026Gimnasia MendozaCentral Cordoba SDE</v>
      </c>
      <c r="B818" t="s">
        <v>806</v>
      </c>
      <c r="C818" t="s">
        <v>2234</v>
      </c>
      <c r="D818" s="2">
        <v>46227</v>
      </c>
      <c r="E818" s="3">
        <v>0.82291666666666663</v>
      </c>
      <c r="F818" t="s">
        <v>2235</v>
      </c>
      <c r="G818" t="s">
        <v>2236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2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2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2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2533</v>
      </c>
      <c r="G821" t="s">
        <v>2534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2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2550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2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2553</v>
      </c>
      <c r="G823" t="s">
        <v>2554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2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2402</v>
      </c>
      <c r="G824" t="s">
        <v>2403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2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2401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2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2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2548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2">
      <c r="A828" t="str">
        <f t="shared" si="260"/>
        <v>24/07/2026Racing AvellanedaGimnasia La Plata</v>
      </c>
      <c r="B828" t="s">
        <v>806</v>
      </c>
      <c r="C828" t="s">
        <v>2234</v>
      </c>
      <c r="D828" s="2">
        <v>46227</v>
      </c>
      <c r="E828" s="3">
        <v>0.91666666666666663</v>
      </c>
      <c r="F828" t="s">
        <v>2237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2">
      <c r="A829" t="str">
        <f t="shared" si="260"/>
        <v>24/07/2026Velez SarsfieldInstituto de Cordoba</v>
      </c>
      <c r="B829" t="s">
        <v>806</v>
      </c>
      <c r="C829" t="s">
        <v>2234</v>
      </c>
      <c r="D829" s="2">
        <v>46227</v>
      </c>
      <c r="E829" s="3">
        <v>0.91666666666666663</v>
      </c>
      <c r="F829" t="s">
        <v>2238</v>
      </c>
      <c r="G829" t="s">
        <v>2239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2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2363</v>
      </c>
      <c r="G830" t="s">
        <v>2364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2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2365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2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2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2396</v>
      </c>
      <c r="G833" t="s">
        <v>2397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2">
      <c r="A834" t="str">
        <f t="shared" ref="A834:A897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2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2549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2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2619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2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2622</v>
      </c>
      <c r="G837" t="s">
        <v>2623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2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2527</v>
      </c>
      <c r="G838" t="s">
        <v>2528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2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2362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2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2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2366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2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2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2535</v>
      </c>
      <c r="G843" t="s">
        <v>2536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2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2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2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2624</v>
      </c>
      <c r="G846" t="s">
        <v>2625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2">
      <c r="A847" t="str">
        <f t="shared" si="280"/>
        <v>24/07/2026Sportivo BelgranoEscobar FC</v>
      </c>
      <c r="B847" t="s">
        <v>806</v>
      </c>
      <c r="C847" t="s">
        <v>2243</v>
      </c>
      <c r="D847" s="2">
        <v>46227</v>
      </c>
      <c r="E847" s="3">
        <v>0.98263888888888884</v>
      </c>
      <c r="F847" t="s">
        <v>2246</v>
      </c>
      <c r="G847" t="s">
        <v>2247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2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2">
      <c r="A849" t="str">
        <f t="shared" si="280"/>
        <v>24/07/2026Antigua GFCDeportivo Marquense</v>
      </c>
      <c r="D849" s="2">
        <v>46228</v>
      </c>
      <c r="E849" s="3">
        <v>0</v>
      </c>
      <c r="F849" t="s">
        <v>2487</v>
      </c>
      <c r="G849" t="s">
        <v>2488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2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2628</v>
      </c>
      <c r="G850" t="s">
        <v>2629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2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2630</v>
      </c>
      <c r="G851" t="s">
        <v>2631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2">
      <c r="A852" t="str">
        <f t="shared" si="280"/>
        <v>24/07/2026Atletico HuracanBanfield</v>
      </c>
      <c r="B852" t="s">
        <v>806</v>
      </c>
      <c r="C852" t="s">
        <v>2234</v>
      </c>
      <c r="D852" s="2">
        <v>46228</v>
      </c>
      <c r="E852" s="3">
        <v>1.0416666666666666E-2</v>
      </c>
      <c r="F852" t="s">
        <v>2240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2">
      <c r="A853" t="str">
        <f t="shared" si="280"/>
        <v>24/07/2026CA PlatenseUnion de Santa Fe</v>
      </c>
      <c r="B853" t="s">
        <v>806</v>
      </c>
      <c r="C853" t="s">
        <v>2234</v>
      </c>
      <c r="D853" s="2">
        <v>46228</v>
      </c>
      <c r="E853" s="3">
        <v>1.0416666666666666E-2</v>
      </c>
      <c r="F853" t="s">
        <v>2241</v>
      </c>
      <c r="G853" t="s">
        <v>2242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2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2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2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2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2521</v>
      </c>
      <c r="G857" t="s">
        <v>2522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2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2523</v>
      </c>
      <c r="G858" t="s">
        <v>2524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2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2400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2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2285</v>
      </c>
      <c r="G860" t="s">
        <v>2286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2">
      <c r="A861" t="str">
        <f t="shared" si="280"/>
        <v>24/07/2026CD FASMunicipal Limeno</v>
      </c>
      <c r="D861" s="2">
        <v>46228</v>
      </c>
      <c r="E861" s="3">
        <v>6.25E-2</v>
      </c>
      <c r="F861" t="s">
        <v>2426</v>
      </c>
      <c r="G861" t="s">
        <v>2427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2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2531</v>
      </c>
      <c r="G862" t="s">
        <v>2532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2">
      <c r="A863" t="str">
        <f t="shared" si="280"/>
        <v>24/07/2026Arabe UnidoPlaza Amador</v>
      </c>
      <c r="D863" s="2">
        <v>46228</v>
      </c>
      <c r="E863" s="3">
        <v>6.25E-2</v>
      </c>
      <c r="F863" t="s">
        <v>2546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2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2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2626</v>
      </c>
      <c r="G865" t="s">
        <v>2627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2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2283</v>
      </c>
      <c r="G866" t="s">
        <v>2284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2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2287</v>
      </c>
      <c r="G867" t="s">
        <v>2288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2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2328</v>
      </c>
      <c r="G868" t="s">
        <v>2329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2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2395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2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2404</v>
      </c>
      <c r="G870" t="s">
        <v>2405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2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2489</v>
      </c>
      <c r="G871" t="s">
        <v>2490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2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2632</v>
      </c>
      <c r="G872" t="s">
        <v>2633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2">
      <c r="A873" t="str">
        <f t="shared" si="280"/>
        <v>24/07/2026Green Gully SC U23Dandenong City U23</v>
      </c>
      <c r="B873" t="s">
        <v>810</v>
      </c>
      <c r="C873" t="s">
        <v>2316</v>
      </c>
      <c r="D873" s="2">
        <v>46228</v>
      </c>
      <c r="E873" s="3">
        <v>0.10416666666666667</v>
      </c>
      <c r="F873" t="s">
        <v>2319</v>
      </c>
      <c r="G873" t="s">
        <v>2320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2">
      <c r="A874" t="str">
        <f t="shared" si="280"/>
        <v>24/07/2026Melbourne City U23Avondale Heights U23</v>
      </c>
      <c r="B874" t="s">
        <v>810</v>
      </c>
      <c r="C874" t="s">
        <v>2316</v>
      </c>
      <c r="D874" s="2">
        <v>46228</v>
      </c>
      <c r="E874" s="3">
        <v>0.10416666666666667</v>
      </c>
      <c r="F874" t="s">
        <v>2321</v>
      </c>
      <c r="G874" t="s">
        <v>2322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2">
      <c r="A875" t="str">
        <f t="shared" si="280"/>
        <v>24/07/2026St Albans Saints U23Hume City U23</v>
      </c>
      <c r="B875" t="s">
        <v>810</v>
      </c>
      <c r="C875" t="s">
        <v>2316</v>
      </c>
      <c r="D875" s="2">
        <v>46228</v>
      </c>
      <c r="E875" s="3">
        <v>0.10416666666666667</v>
      </c>
      <c r="F875" t="s">
        <v>2323</v>
      </c>
      <c r="G875" t="s">
        <v>2324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2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2330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2">
      <c r="A877" t="str">
        <f t="shared" si="280"/>
        <v>25/07/2026AtlanteClub America</v>
      </c>
      <c r="D877" s="2">
        <v>46228</v>
      </c>
      <c r="E877" s="3">
        <v>0.125</v>
      </c>
      <c r="F877" t="s">
        <v>2517</v>
      </c>
      <c r="G877" t="s">
        <v>2518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2">
      <c r="A878" t="str">
        <f t="shared" si="280"/>
        <v>25/07/2026Club TijuanaClub Leon</v>
      </c>
      <c r="D878" s="2">
        <v>46228</v>
      </c>
      <c r="E878" s="3">
        <v>0.125</v>
      </c>
      <c r="F878" t="s">
        <v>2519</v>
      </c>
      <c r="G878" t="s">
        <v>2520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2">
      <c r="A879" t="str">
        <f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0">DAY(D879)&amp;"/"&amp;"07"&amp;"/"&amp;YEAR(D879)</f>
        <v>25/07/2026</v>
      </c>
      <c r="M879" s="23">
        <f t="shared" ref="M879:M942" si="301">E879-TIME(3,0,0)</f>
        <v>4.1666666666666657E-2</v>
      </c>
      <c r="N879" t="str">
        <f t="shared" ref="N879:N942" si="302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2">
      <c r="A880" t="str">
        <f>L879&amp;F880&amp;G880</f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2806</v>
      </c>
      <c r="G880" t="s">
        <v>2807</v>
      </c>
      <c r="L880" s="22" t="str">
        <f t="shared" si="300"/>
        <v>25/07/2026</v>
      </c>
      <c r="M880" s="23">
        <f t="shared" si="301"/>
        <v>4.1666666666666657E-2</v>
      </c>
      <c r="N880" t="str">
        <f t="shared" si="302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2">
      <c r="A881" t="str">
        <f>L880&amp;F881&amp;G881</f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2822</v>
      </c>
      <c r="G881" t="s">
        <v>2823</v>
      </c>
      <c r="H881">
        <v>0</v>
      </c>
      <c r="I881">
        <v>2</v>
      </c>
      <c r="J881">
        <v>1</v>
      </c>
      <c r="K881">
        <v>3</v>
      </c>
      <c r="L881" s="22" t="str">
        <f t="shared" si="300"/>
        <v>25/07/2026</v>
      </c>
      <c r="M881" s="23">
        <f t="shared" si="301"/>
        <v>4.1666666666666657E-2</v>
      </c>
      <c r="N881" t="str">
        <f t="shared" si="302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2">
      <c r="A882" t="str">
        <f>L881&amp;F882&amp;G882</f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2828</v>
      </c>
      <c r="G882" t="s">
        <v>2829</v>
      </c>
      <c r="H882">
        <v>4</v>
      </c>
      <c r="I882">
        <v>0</v>
      </c>
      <c r="J882">
        <v>4</v>
      </c>
      <c r="K882">
        <v>4</v>
      </c>
      <c r="L882" s="22" t="str">
        <f t="shared" si="300"/>
        <v>25/07/2026</v>
      </c>
      <c r="M882" s="23">
        <f t="shared" si="301"/>
        <v>4.1666666666666657E-2</v>
      </c>
      <c r="N882" t="str">
        <f t="shared" si="302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2">
      <c r="A883" t="str">
        <f>L882&amp;F883&amp;G883</f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2889</v>
      </c>
      <c r="G883" t="s">
        <v>2890</v>
      </c>
      <c r="H883">
        <v>0</v>
      </c>
      <c r="I883">
        <v>4</v>
      </c>
      <c r="J883">
        <v>1</v>
      </c>
      <c r="K883">
        <v>5</v>
      </c>
      <c r="L883" s="22" t="str">
        <f t="shared" si="300"/>
        <v>25/07/2026</v>
      </c>
      <c r="M883" s="23">
        <f t="shared" si="301"/>
        <v>4.1666666666666657E-2</v>
      </c>
      <c r="N883" t="str">
        <f t="shared" si="302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2">
      <c r="A884" t="str">
        <f>L883&amp;F884&amp;G884</f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2952</v>
      </c>
      <c r="G884" t="s">
        <v>2953</v>
      </c>
      <c r="H884">
        <v>0</v>
      </c>
      <c r="I884">
        <v>4</v>
      </c>
      <c r="J884">
        <v>2</v>
      </c>
      <c r="K884">
        <v>8</v>
      </c>
      <c r="L884" s="22" t="str">
        <f t="shared" si="300"/>
        <v>25/07/2026</v>
      </c>
      <c r="M884" s="23">
        <f t="shared" si="301"/>
        <v>4.1666666666666657E-2</v>
      </c>
      <c r="N884" t="str">
        <f t="shared" si="302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2">
      <c r="A885" t="str">
        <f>L884&amp;F885&amp;G885</f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3006</v>
      </c>
      <c r="G885" t="s">
        <v>3007</v>
      </c>
      <c r="H885">
        <v>1</v>
      </c>
      <c r="I885">
        <v>0</v>
      </c>
      <c r="J885">
        <v>2</v>
      </c>
      <c r="K885">
        <v>1</v>
      </c>
      <c r="L885" s="22" t="str">
        <f t="shared" si="300"/>
        <v>25/07/2026</v>
      </c>
      <c r="M885" s="23">
        <f t="shared" si="301"/>
        <v>5.2083333333333343E-2</v>
      </c>
      <c r="N885" t="str">
        <f t="shared" si="302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2">
      <c r="A886" t="str">
        <f>L885&amp;F886&amp;G886</f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2798</v>
      </c>
      <c r="H886">
        <v>1</v>
      </c>
      <c r="I886">
        <v>1</v>
      </c>
      <c r="J886">
        <v>2</v>
      </c>
      <c r="K886">
        <v>2</v>
      </c>
      <c r="L886" s="22" t="str">
        <f t="shared" si="300"/>
        <v>25/07/2026</v>
      </c>
      <c r="M886" s="23">
        <f t="shared" si="301"/>
        <v>6.25E-2</v>
      </c>
      <c r="N886" t="str">
        <f t="shared" si="302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2">
      <c r="A887" t="str">
        <f>L886&amp;F887&amp;G887</f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0"/>
        <v>25/07/2026</v>
      </c>
      <c r="M887" s="23">
        <f t="shared" si="301"/>
        <v>6.25E-2</v>
      </c>
      <c r="N887" t="str">
        <f t="shared" si="302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2">
      <c r="A888" t="str">
        <f>L887&amp;F888&amp;G888</f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0"/>
        <v>25/07/2026</v>
      </c>
      <c r="M888" s="23">
        <f t="shared" si="301"/>
        <v>6.25E-2</v>
      </c>
      <c r="N888" t="str">
        <f t="shared" si="302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2">
      <c r="A889" t="str">
        <f>L888&amp;F889&amp;G889</f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2901</v>
      </c>
      <c r="G889" t="s">
        <v>2902</v>
      </c>
      <c r="L889" s="22" t="str">
        <f t="shared" si="300"/>
        <v>25/07/2026</v>
      </c>
      <c r="M889" s="23">
        <f t="shared" si="301"/>
        <v>6.25E-2</v>
      </c>
      <c r="N889" t="str">
        <f t="shared" si="302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2">
      <c r="A890" t="str">
        <f>L889&amp;F890&amp;G890</f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2903</v>
      </c>
      <c r="G890" t="s">
        <v>2904</v>
      </c>
      <c r="L890" s="22" t="str">
        <f t="shared" si="300"/>
        <v>25/07/2026</v>
      </c>
      <c r="M890" s="23">
        <f t="shared" si="301"/>
        <v>6.25E-2</v>
      </c>
      <c r="N890" t="str">
        <f t="shared" si="302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2">
      <c r="A891" t="str">
        <f>L890&amp;F891&amp;G891</f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2936</v>
      </c>
      <c r="G891" t="s">
        <v>2937</v>
      </c>
      <c r="L891" s="22" t="str">
        <f t="shared" si="300"/>
        <v>25/07/2026</v>
      </c>
      <c r="M891" s="23">
        <f t="shared" si="301"/>
        <v>6.25E-2</v>
      </c>
      <c r="N891" t="str">
        <f t="shared" si="302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2">
      <c r="A892" t="str">
        <f>L891&amp;F892&amp;G892</f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2964</v>
      </c>
      <c r="G892" t="s">
        <v>2965</v>
      </c>
      <c r="H892">
        <v>2</v>
      </c>
      <c r="I892">
        <v>0</v>
      </c>
      <c r="J892">
        <v>3</v>
      </c>
      <c r="K892">
        <v>3</v>
      </c>
      <c r="L892" s="22" t="str">
        <f t="shared" si="300"/>
        <v>25/07/2026</v>
      </c>
      <c r="M892" s="23">
        <f t="shared" si="301"/>
        <v>6.25E-2</v>
      </c>
      <c r="N892" t="str">
        <f t="shared" si="302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2">
      <c r="A893" t="str">
        <f>L892&amp;F893&amp;G893</f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0"/>
        <v>25/07/2026</v>
      </c>
      <c r="M893" s="23">
        <f t="shared" si="301"/>
        <v>8.3333333333333343E-2</v>
      </c>
      <c r="N893" t="str">
        <f t="shared" si="302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2">
      <c r="A894" t="str">
        <f>L893&amp;F894&amp;G894</f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0"/>
        <v>25/07/2026</v>
      </c>
      <c r="M894" s="23">
        <f t="shared" si="301"/>
        <v>8.3333333333333343E-2</v>
      </c>
      <c r="N894" t="str">
        <f t="shared" si="302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2">
      <c r="A895" t="str">
        <f>L894&amp;F895&amp;G895</f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2811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0"/>
        <v>25/07/2026</v>
      </c>
      <c r="M895" s="23">
        <f t="shared" si="301"/>
        <v>8.3333333333333343E-2</v>
      </c>
      <c r="N895" t="str">
        <f t="shared" si="302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2">
      <c r="A896" t="str">
        <f>L895&amp;F896&amp;G896</f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2815</v>
      </c>
      <c r="G896" t="s">
        <v>2816</v>
      </c>
      <c r="H896">
        <v>2</v>
      </c>
      <c r="I896">
        <v>0</v>
      </c>
      <c r="J896">
        <v>2</v>
      </c>
      <c r="K896">
        <v>3</v>
      </c>
      <c r="L896" s="22" t="str">
        <f t="shared" si="300"/>
        <v>25/07/2026</v>
      </c>
      <c r="M896" s="23">
        <f t="shared" si="301"/>
        <v>8.3333333333333343E-2</v>
      </c>
      <c r="N896" t="str">
        <f t="shared" si="302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2">
      <c r="A897" t="str">
        <f>L896&amp;F897&amp;G897</f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2849</v>
      </c>
      <c r="G897" t="s">
        <v>2850</v>
      </c>
      <c r="H897">
        <v>2</v>
      </c>
      <c r="I897">
        <v>4</v>
      </c>
      <c r="J897">
        <v>2</v>
      </c>
      <c r="K897">
        <v>6</v>
      </c>
      <c r="L897" s="22" t="str">
        <f t="shared" si="300"/>
        <v>25/07/2026</v>
      </c>
      <c r="M897" s="23">
        <f t="shared" si="301"/>
        <v>8.3333333333333343E-2</v>
      </c>
      <c r="N897" t="str">
        <f t="shared" si="302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2">
      <c r="A898" t="str">
        <f>L897&amp;F898&amp;G898</f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2879</v>
      </c>
      <c r="G898" t="s">
        <v>2880</v>
      </c>
      <c r="H898">
        <v>2</v>
      </c>
      <c r="I898">
        <v>2</v>
      </c>
      <c r="J898">
        <v>3</v>
      </c>
      <c r="K898">
        <v>3</v>
      </c>
      <c r="L898" s="22" t="str">
        <f t="shared" si="300"/>
        <v>25/07/2026</v>
      </c>
      <c r="M898" s="23">
        <f t="shared" si="301"/>
        <v>8.3333333333333343E-2</v>
      </c>
      <c r="N898" t="str">
        <f t="shared" si="302"/>
        <v>3 - 3</v>
      </c>
      <c r="O898" t="str">
        <f t="shared" ref="O898:O961" si="303">IF($J898&gt;$K898,"Green","Red")</f>
        <v>Red</v>
      </c>
      <c r="P898" t="str">
        <f t="shared" ref="P898:P961" si="304">IF($J898=$K898,"Green","Red")</f>
        <v>Green</v>
      </c>
      <c r="Q898" t="str">
        <f t="shared" ref="Q898:Q961" si="305">IF($J898&lt;$K898,"Green","Red")</f>
        <v>Red</v>
      </c>
      <c r="R898" t="str">
        <f t="shared" ref="R898:R961" si="306">IF($J898&gt;=$K898,"Green","Red")</f>
        <v>Green</v>
      </c>
      <c r="S898" t="str">
        <f t="shared" ref="S898:S961" si="307">IF($J898&lt;=$K898,"Green","Red")</f>
        <v>Green</v>
      </c>
      <c r="T898" t="str">
        <f t="shared" ref="T898:T961" si="308">IF(OR($J898&gt;$K898,$J898&lt;$K898),"Green","Red")</f>
        <v>Red</v>
      </c>
      <c r="U898" t="str">
        <f t="shared" ref="U898:U961" si="309">IF($H898&gt;$I898,"Green","Red")</f>
        <v>Red</v>
      </c>
      <c r="V898" t="str">
        <f t="shared" ref="V898:V961" si="310">IF($H898=$I898,"Green","Red")</f>
        <v>Green</v>
      </c>
      <c r="W898" t="str">
        <f t="shared" ref="W898:W961" si="311">IF($H898&lt;$I898,"Green","Red")</f>
        <v>Red</v>
      </c>
      <c r="X898" t="str">
        <f t="shared" ref="X898:X961" si="312">IF($H898+$I898&gt;0,"Green","Red")</f>
        <v>Green</v>
      </c>
      <c r="Y898" t="str">
        <f t="shared" ref="Y898:Y961" si="313">IF($J898+$K898&gt;1.5,"Green","Red")</f>
        <v>Green</v>
      </c>
      <c r="Z898" t="str">
        <f t="shared" ref="Z898:Z961" si="314">IF($J898+$K898&gt;2.5,"Green","Red")</f>
        <v>Green</v>
      </c>
      <c r="AA898" t="str">
        <f t="shared" ref="AA898:AA961" si="315">IF($J898+$K898&lt;2.5,"Green","Red")</f>
        <v>Red</v>
      </c>
      <c r="AB898" t="str">
        <f t="shared" ref="AB898:AB961" si="316">IF($J898+$K898&lt;3.5,"Green","Red")</f>
        <v>Red</v>
      </c>
      <c r="AC898" t="str">
        <f t="shared" ref="AC898:AC961" si="317">IF(AND($J898&gt;0,$K898&gt;0),"Green","Red")</f>
        <v>Green</v>
      </c>
      <c r="AD898" t="str">
        <f t="shared" ref="AD898:AD961" si="318">IF(OR($J898=0,$K898=0),"Green","Red")</f>
        <v>Red</v>
      </c>
    </row>
    <row r="899" spans="1:30" x14ac:dyDescent="0.2">
      <c r="A899" t="str">
        <f>L898&amp;F899&amp;G899</f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2881</v>
      </c>
      <c r="G899" t="s">
        <v>2882</v>
      </c>
      <c r="H899">
        <v>1</v>
      </c>
      <c r="I899">
        <v>1</v>
      </c>
      <c r="J899">
        <v>2</v>
      </c>
      <c r="K899">
        <v>2</v>
      </c>
      <c r="L899" s="22" t="str">
        <f t="shared" si="300"/>
        <v>25/07/2026</v>
      </c>
      <c r="M899" s="23">
        <f t="shared" si="301"/>
        <v>8.3333333333333343E-2</v>
      </c>
      <c r="N899" t="str">
        <f t="shared" si="302"/>
        <v>2 - 2</v>
      </c>
      <c r="O899" t="str">
        <f t="shared" si="303"/>
        <v>Red</v>
      </c>
      <c r="P899" t="str">
        <f t="shared" si="304"/>
        <v>Green</v>
      </c>
      <c r="Q899" t="str">
        <f t="shared" si="305"/>
        <v>Red</v>
      </c>
      <c r="R899" t="str">
        <f t="shared" si="306"/>
        <v>Green</v>
      </c>
      <c r="S899" t="str">
        <f t="shared" si="307"/>
        <v>Green</v>
      </c>
      <c r="T899" t="str">
        <f t="shared" si="308"/>
        <v>Red</v>
      </c>
      <c r="U899" t="str">
        <f t="shared" si="309"/>
        <v>Red</v>
      </c>
      <c r="V899" t="str">
        <f t="shared" si="310"/>
        <v>Green</v>
      </c>
      <c r="W899" t="str">
        <f t="shared" si="311"/>
        <v>Red</v>
      </c>
      <c r="X899" t="str">
        <f t="shared" si="312"/>
        <v>Green</v>
      </c>
      <c r="Y899" t="str">
        <f t="shared" si="313"/>
        <v>Green</v>
      </c>
      <c r="Z899" t="str">
        <f t="shared" si="314"/>
        <v>Green</v>
      </c>
      <c r="AA899" t="str">
        <f t="shared" si="315"/>
        <v>Red</v>
      </c>
      <c r="AB899" t="str">
        <f t="shared" si="316"/>
        <v>Red</v>
      </c>
      <c r="AC899" t="str">
        <f t="shared" si="317"/>
        <v>Green</v>
      </c>
      <c r="AD899" t="str">
        <f t="shared" si="318"/>
        <v>Red</v>
      </c>
    </row>
    <row r="900" spans="1:30" x14ac:dyDescent="0.2">
      <c r="A900" t="str">
        <f>L899&amp;F900&amp;G900</f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2883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0"/>
        <v>25/07/2026</v>
      </c>
      <c r="M900" s="23">
        <f t="shared" si="301"/>
        <v>8.3333333333333343E-2</v>
      </c>
      <c r="N900" t="str">
        <f t="shared" si="302"/>
        <v>0 - 1</v>
      </c>
      <c r="O900" t="str">
        <f t="shared" si="303"/>
        <v>Red</v>
      </c>
      <c r="P900" t="str">
        <f t="shared" si="304"/>
        <v>Red</v>
      </c>
      <c r="Q900" t="str">
        <f t="shared" si="305"/>
        <v>Green</v>
      </c>
      <c r="R900" t="str">
        <f t="shared" si="306"/>
        <v>Red</v>
      </c>
      <c r="S900" t="str">
        <f t="shared" si="307"/>
        <v>Green</v>
      </c>
      <c r="T900" t="str">
        <f t="shared" si="308"/>
        <v>Green</v>
      </c>
      <c r="U900" t="str">
        <f t="shared" si="309"/>
        <v>Red</v>
      </c>
      <c r="V900" t="str">
        <f t="shared" si="310"/>
        <v>Red</v>
      </c>
      <c r="W900" t="str">
        <f t="shared" si="311"/>
        <v>Green</v>
      </c>
      <c r="X900" t="str">
        <f t="shared" si="312"/>
        <v>Green</v>
      </c>
      <c r="Y900" t="str">
        <f t="shared" si="313"/>
        <v>Red</v>
      </c>
      <c r="Z900" t="str">
        <f t="shared" si="314"/>
        <v>Red</v>
      </c>
      <c r="AA900" t="str">
        <f t="shared" si="315"/>
        <v>Green</v>
      </c>
      <c r="AB900" t="str">
        <f t="shared" si="316"/>
        <v>Green</v>
      </c>
      <c r="AC900" t="str">
        <f t="shared" si="317"/>
        <v>Red</v>
      </c>
      <c r="AD900" t="str">
        <f t="shared" si="318"/>
        <v>Green</v>
      </c>
    </row>
    <row r="901" spans="1:30" x14ac:dyDescent="0.2">
      <c r="A901" t="str">
        <f>L900&amp;F901&amp;G901</f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2884</v>
      </c>
      <c r="G901" t="s">
        <v>2885</v>
      </c>
      <c r="H901">
        <v>0</v>
      </c>
      <c r="I901">
        <v>1</v>
      </c>
      <c r="J901">
        <v>1</v>
      </c>
      <c r="K901">
        <v>1</v>
      </c>
      <c r="L901" s="22" t="str">
        <f t="shared" si="300"/>
        <v>25/07/2026</v>
      </c>
      <c r="M901" s="23">
        <f t="shared" si="301"/>
        <v>8.3333333333333343E-2</v>
      </c>
      <c r="N901" t="str">
        <f t="shared" si="302"/>
        <v>1 - 1</v>
      </c>
      <c r="O901" t="str">
        <f t="shared" si="303"/>
        <v>Red</v>
      </c>
      <c r="P901" t="str">
        <f t="shared" si="304"/>
        <v>Green</v>
      </c>
      <c r="Q901" t="str">
        <f t="shared" si="305"/>
        <v>Red</v>
      </c>
      <c r="R901" t="str">
        <f t="shared" si="306"/>
        <v>Green</v>
      </c>
      <c r="S901" t="str">
        <f t="shared" si="307"/>
        <v>Green</v>
      </c>
      <c r="T901" t="str">
        <f t="shared" si="308"/>
        <v>Red</v>
      </c>
      <c r="U901" t="str">
        <f t="shared" si="309"/>
        <v>Red</v>
      </c>
      <c r="V901" t="str">
        <f t="shared" si="310"/>
        <v>Red</v>
      </c>
      <c r="W901" t="str">
        <f t="shared" si="311"/>
        <v>Green</v>
      </c>
      <c r="X901" t="str">
        <f t="shared" si="312"/>
        <v>Green</v>
      </c>
      <c r="Y901" t="str">
        <f t="shared" si="313"/>
        <v>Green</v>
      </c>
      <c r="Z901" t="str">
        <f t="shared" si="314"/>
        <v>Red</v>
      </c>
      <c r="AA901" t="str">
        <f t="shared" si="315"/>
        <v>Green</v>
      </c>
      <c r="AB901" t="str">
        <f t="shared" si="316"/>
        <v>Green</v>
      </c>
      <c r="AC901" t="str">
        <f t="shared" si="317"/>
        <v>Green</v>
      </c>
      <c r="AD901" t="str">
        <f t="shared" si="318"/>
        <v>Red</v>
      </c>
    </row>
    <row r="902" spans="1:30" x14ac:dyDescent="0.2">
      <c r="A902" t="str">
        <f>L901&amp;F902&amp;G902</f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2886</v>
      </c>
      <c r="H902">
        <v>0</v>
      </c>
      <c r="I902">
        <v>0</v>
      </c>
      <c r="J902">
        <v>2</v>
      </c>
      <c r="K902">
        <v>0</v>
      </c>
      <c r="L902" s="22" t="str">
        <f t="shared" si="300"/>
        <v>25/07/2026</v>
      </c>
      <c r="M902" s="23">
        <f t="shared" si="301"/>
        <v>8.3333333333333343E-2</v>
      </c>
      <c r="N902" t="str">
        <f t="shared" si="302"/>
        <v>2 - 0</v>
      </c>
      <c r="O902" t="str">
        <f t="shared" si="303"/>
        <v>Green</v>
      </c>
      <c r="P902" t="str">
        <f t="shared" si="304"/>
        <v>Red</v>
      </c>
      <c r="Q902" t="str">
        <f t="shared" si="305"/>
        <v>Red</v>
      </c>
      <c r="R902" t="str">
        <f t="shared" si="306"/>
        <v>Green</v>
      </c>
      <c r="S902" t="str">
        <f t="shared" si="307"/>
        <v>Red</v>
      </c>
      <c r="T902" t="str">
        <f t="shared" si="308"/>
        <v>Green</v>
      </c>
      <c r="U902" t="str">
        <f t="shared" si="309"/>
        <v>Red</v>
      </c>
      <c r="V902" t="str">
        <f t="shared" si="310"/>
        <v>Green</v>
      </c>
      <c r="W902" t="str">
        <f t="shared" si="311"/>
        <v>Red</v>
      </c>
      <c r="X902" t="str">
        <f t="shared" si="312"/>
        <v>Red</v>
      </c>
      <c r="Y902" t="str">
        <f t="shared" si="313"/>
        <v>Green</v>
      </c>
      <c r="Z902" t="str">
        <f t="shared" si="314"/>
        <v>Red</v>
      </c>
      <c r="AA902" t="str">
        <f t="shared" si="315"/>
        <v>Green</v>
      </c>
      <c r="AB902" t="str">
        <f t="shared" si="316"/>
        <v>Green</v>
      </c>
      <c r="AC902" t="str">
        <f t="shared" si="317"/>
        <v>Red</v>
      </c>
      <c r="AD902" t="str">
        <f t="shared" si="318"/>
        <v>Green</v>
      </c>
    </row>
    <row r="903" spans="1:30" x14ac:dyDescent="0.2">
      <c r="A903" t="str">
        <f>L902&amp;F903&amp;G903</f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2927</v>
      </c>
      <c r="G903" t="s">
        <v>2928</v>
      </c>
      <c r="L903" s="22" t="str">
        <f t="shared" si="300"/>
        <v>25/07/2026</v>
      </c>
      <c r="M903" s="23">
        <f t="shared" si="301"/>
        <v>8.3333333333333343E-2</v>
      </c>
      <c r="N903" t="str">
        <f t="shared" si="302"/>
        <v xml:space="preserve"> - </v>
      </c>
      <c r="O903" t="str">
        <f t="shared" si="303"/>
        <v>Red</v>
      </c>
      <c r="P903" t="str">
        <f t="shared" si="304"/>
        <v>Green</v>
      </c>
      <c r="Q903" t="str">
        <f t="shared" si="305"/>
        <v>Red</v>
      </c>
      <c r="R903" t="str">
        <f t="shared" si="306"/>
        <v>Green</v>
      </c>
      <c r="S903" t="str">
        <f t="shared" si="307"/>
        <v>Green</v>
      </c>
      <c r="T903" t="str">
        <f t="shared" si="308"/>
        <v>Red</v>
      </c>
      <c r="U903" t="str">
        <f t="shared" si="309"/>
        <v>Red</v>
      </c>
      <c r="V903" t="str">
        <f t="shared" si="310"/>
        <v>Green</v>
      </c>
      <c r="W903" t="str">
        <f t="shared" si="311"/>
        <v>Red</v>
      </c>
      <c r="X903" t="str">
        <f t="shared" si="312"/>
        <v>Red</v>
      </c>
      <c r="Y903" t="str">
        <f t="shared" si="313"/>
        <v>Red</v>
      </c>
      <c r="Z903" t="str">
        <f t="shared" si="314"/>
        <v>Red</v>
      </c>
      <c r="AA903" t="str">
        <f t="shared" si="315"/>
        <v>Green</v>
      </c>
      <c r="AB903" t="str">
        <f t="shared" si="316"/>
        <v>Green</v>
      </c>
      <c r="AC903" t="str">
        <f t="shared" si="317"/>
        <v>Red</v>
      </c>
      <c r="AD903" t="str">
        <f t="shared" si="318"/>
        <v>Green</v>
      </c>
    </row>
    <row r="904" spans="1:30" x14ac:dyDescent="0.2">
      <c r="A904" t="str">
        <f>L903&amp;F904&amp;G904</f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2932</v>
      </c>
      <c r="G904" t="s">
        <v>2933</v>
      </c>
      <c r="H904">
        <v>0</v>
      </c>
      <c r="I904">
        <v>0</v>
      </c>
      <c r="J904">
        <v>1</v>
      </c>
      <c r="K904">
        <v>0</v>
      </c>
      <c r="L904" s="22" t="str">
        <f t="shared" si="300"/>
        <v>25/07/2026</v>
      </c>
      <c r="M904" s="23">
        <f t="shared" si="301"/>
        <v>8.3333333333333343E-2</v>
      </c>
      <c r="N904" t="str">
        <f t="shared" si="302"/>
        <v>1 - 0</v>
      </c>
      <c r="O904" t="str">
        <f t="shared" si="303"/>
        <v>Green</v>
      </c>
      <c r="P904" t="str">
        <f t="shared" si="304"/>
        <v>Red</v>
      </c>
      <c r="Q904" t="str">
        <f t="shared" si="305"/>
        <v>Red</v>
      </c>
      <c r="R904" t="str">
        <f t="shared" si="306"/>
        <v>Green</v>
      </c>
      <c r="S904" t="str">
        <f t="shared" si="307"/>
        <v>Red</v>
      </c>
      <c r="T904" t="str">
        <f t="shared" si="308"/>
        <v>Green</v>
      </c>
      <c r="U904" t="str">
        <f t="shared" si="309"/>
        <v>Red</v>
      </c>
      <c r="V904" t="str">
        <f t="shared" si="310"/>
        <v>Green</v>
      </c>
      <c r="W904" t="str">
        <f t="shared" si="311"/>
        <v>Red</v>
      </c>
      <c r="X904" t="str">
        <f t="shared" si="312"/>
        <v>Red</v>
      </c>
      <c r="Y904" t="str">
        <f t="shared" si="313"/>
        <v>Red</v>
      </c>
      <c r="Z904" t="str">
        <f t="shared" si="314"/>
        <v>Red</v>
      </c>
      <c r="AA904" t="str">
        <f t="shared" si="315"/>
        <v>Green</v>
      </c>
      <c r="AB904" t="str">
        <f t="shared" si="316"/>
        <v>Green</v>
      </c>
      <c r="AC904" t="str">
        <f t="shared" si="317"/>
        <v>Red</v>
      </c>
      <c r="AD904" t="str">
        <f t="shared" si="318"/>
        <v>Green</v>
      </c>
    </row>
    <row r="905" spans="1:30" x14ac:dyDescent="0.2">
      <c r="A905" t="str">
        <f>L904&amp;F905&amp;G905</f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2938</v>
      </c>
      <c r="G905" t="s">
        <v>2939</v>
      </c>
      <c r="H905">
        <v>1</v>
      </c>
      <c r="I905">
        <v>0</v>
      </c>
      <c r="J905">
        <v>6</v>
      </c>
      <c r="K905">
        <v>0</v>
      </c>
      <c r="L905" s="22" t="str">
        <f t="shared" si="300"/>
        <v>25/07/2026</v>
      </c>
      <c r="M905" s="23">
        <f t="shared" si="301"/>
        <v>8.3333333333333343E-2</v>
      </c>
      <c r="N905" t="str">
        <f t="shared" si="302"/>
        <v>6 - 0</v>
      </c>
      <c r="O905" t="str">
        <f t="shared" si="303"/>
        <v>Green</v>
      </c>
      <c r="P905" t="str">
        <f t="shared" si="304"/>
        <v>Red</v>
      </c>
      <c r="Q905" t="str">
        <f t="shared" si="305"/>
        <v>Red</v>
      </c>
      <c r="R905" t="str">
        <f t="shared" si="306"/>
        <v>Green</v>
      </c>
      <c r="S905" t="str">
        <f t="shared" si="307"/>
        <v>Red</v>
      </c>
      <c r="T905" t="str">
        <f t="shared" si="308"/>
        <v>Green</v>
      </c>
      <c r="U905" t="str">
        <f t="shared" si="309"/>
        <v>Green</v>
      </c>
      <c r="V905" t="str">
        <f t="shared" si="310"/>
        <v>Red</v>
      </c>
      <c r="W905" t="str">
        <f t="shared" si="311"/>
        <v>Red</v>
      </c>
      <c r="X905" t="str">
        <f t="shared" si="312"/>
        <v>Green</v>
      </c>
      <c r="Y905" t="str">
        <f t="shared" si="313"/>
        <v>Green</v>
      </c>
      <c r="Z905" t="str">
        <f t="shared" si="314"/>
        <v>Green</v>
      </c>
      <c r="AA905" t="str">
        <f t="shared" si="315"/>
        <v>Red</v>
      </c>
      <c r="AB905" t="str">
        <f t="shared" si="316"/>
        <v>Red</v>
      </c>
      <c r="AC905" t="str">
        <f t="shared" si="317"/>
        <v>Red</v>
      </c>
      <c r="AD905" t="str">
        <f t="shared" si="318"/>
        <v>Green</v>
      </c>
    </row>
    <row r="906" spans="1:30" x14ac:dyDescent="0.2">
      <c r="A906" t="str">
        <f>L905&amp;F906&amp;G906</f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2994</v>
      </c>
      <c r="G906" t="s">
        <v>2995</v>
      </c>
      <c r="H906">
        <v>3</v>
      </c>
      <c r="I906">
        <v>0</v>
      </c>
      <c r="J906">
        <v>5</v>
      </c>
      <c r="K906">
        <v>1</v>
      </c>
      <c r="L906" s="22" t="str">
        <f t="shared" si="300"/>
        <v>25/07/2026</v>
      </c>
      <c r="M906" s="23">
        <f t="shared" si="301"/>
        <v>8.3333333333333343E-2</v>
      </c>
      <c r="N906" t="str">
        <f t="shared" si="302"/>
        <v>5 - 1</v>
      </c>
      <c r="O906" t="str">
        <f t="shared" si="303"/>
        <v>Green</v>
      </c>
      <c r="P906" t="str">
        <f t="shared" si="304"/>
        <v>Red</v>
      </c>
      <c r="Q906" t="str">
        <f t="shared" si="305"/>
        <v>Red</v>
      </c>
      <c r="R906" t="str">
        <f t="shared" si="306"/>
        <v>Green</v>
      </c>
      <c r="S906" t="str">
        <f t="shared" si="307"/>
        <v>Red</v>
      </c>
      <c r="T906" t="str">
        <f t="shared" si="308"/>
        <v>Green</v>
      </c>
      <c r="U906" t="str">
        <f t="shared" si="309"/>
        <v>Green</v>
      </c>
      <c r="V906" t="str">
        <f t="shared" si="310"/>
        <v>Red</v>
      </c>
      <c r="W906" t="str">
        <f t="shared" si="311"/>
        <v>Red</v>
      </c>
      <c r="X906" t="str">
        <f t="shared" si="312"/>
        <v>Green</v>
      </c>
      <c r="Y906" t="str">
        <f t="shared" si="313"/>
        <v>Green</v>
      </c>
      <c r="Z906" t="str">
        <f t="shared" si="314"/>
        <v>Green</v>
      </c>
      <c r="AA906" t="str">
        <f t="shared" si="315"/>
        <v>Red</v>
      </c>
      <c r="AB906" t="str">
        <f t="shared" si="316"/>
        <v>Red</v>
      </c>
      <c r="AC906" t="str">
        <f t="shared" si="317"/>
        <v>Green</v>
      </c>
      <c r="AD906" t="str">
        <f t="shared" si="318"/>
        <v>Red</v>
      </c>
    </row>
    <row r="907" spans="1:30" x14ac:dyDescent="0.2">
      <c r="A907" t="str">
        <f>L906&amp;F907&amp;G907</f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2996</v>
      </c>
      <c r="G907" t="s">
        <v>2997</v>
      </c>
      <c r="H907">
        <v>1</v>
      </c>
      <c r="I907">
        <v>1</v>
      </c>
      <c r="J907">
        <v>4</v>
      </c>
      <c r="K907">
        <v>1</v>
      </c>
      <c r="L907" s="22" t="str">
        <f t="shared" si="300"/>
        <v>25/07/2026</v>
      </c>
      <c r="M907" s="23">
        <f t="shared" si="301"/>
        <v>8.3333333333333343E-2</v>
      </c>
      <c r="N907" t="str">
        <f t="shared" si="302"/>
        <v>4 - 1</v>
      </c>
      <c r="O907" t="str">
        <f t="shared" si="303"/>
        <v>Green</v>
      </c>
      <c r="P907" t="str">
        <f t="shared" si="304"/>
        <v>Red</v>
      </c>
      <c r="Q907" t="str">
        <f t="shared" si="305"/>
        <v>Red</v>
      </c>
      <c r="R907" t="str">
        <f t="shared" si="306"/>
        <v>Green</v>
      </c>
      <c r="S907" t="str">
        <f t="shared" si="307"/>
        <v>Red</v>
      </c>
      <c r="T907" t="str">
        <f t="shared" si="308"/>
        <v>Green</v>
      </c>
      <c r="U907" t="str">
        <f t="shared" si="309"/>
        <v>Red</v>
      </c>
      <c r="V907" t="str">
        <f t="shared" si="310"/>
        <v>Green</v>
      </c>
      <c r="W907" t="str">
        <f t="shared" si="311"/>
        <v>Red</v>
      </c>
      <c r="X907" t="str">
        <f t="shared" si="312"/>
        <v>Green</v>
      </c>
      <c r="Y907" t="str">
        <f t="shared" si="313"/>
        <v>Green</v>
      </c>
      <c r="Z907" t="str">
        <f t="shared" si="314"/>
        <v>Green</v>
      </c>
      <c r="AA907" t="str">
        <f t="shared" si="315"/>
        <v>Red</v>
      </c>
      <c r="AB907" t="str">
        <f t="shared" si="316"/>
        <v>Red</v>
      </c>
      <c r="AC907" t="str">
        <f t="shared" si="317"/>
        <v>Green</v>
      </c>
      <c r="AD907" t="str">
        <f t="shared" si="318"/>
        <v>Red</v>
      </c>
    </row>
    <row r="908" spans="1:30" x14ac:dyDescent="0.2">
      <c r="A908" t="str">
        <f>L907&amp;F908&amp;G908</f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2998</v>
      </c>
      <c r="G908" t="s">
        <v>2999</v>
      </c>
      <c r="H908">
        <v>1</v>
      </c>
      <c r="I908">
        <v>0</v>
      </c>
      <c r="J908">
        <v>3</v>
      </c>
      <c r="K908">
        <v>0</v>
      </c>
      <c r="L908" s="22" t="str">
        <f t="shared" si="300"/>
        <v>25/07/2026</v>
      </c>
      <c r="M908" s="23">
        <f t="shared" si="301"/>
        <v>8.3333333333333343E-2</v>
      </c>
      <c r="N908" t="str">
        <f t="shared" si="302"/>
        <v>3 - 0</v>
      </c>
      <c r="O908" t="str">
        <f t="shared" si="303"/>
        <v>Green</v>
      </c>
      <c r="P908" t="str">
        <f t="shared" si="304"/>
        <v>Red</v>
      </c>
      <c r="Q908" t="str">
        <f t="shared" si="305"/>
        <v>Red</v>
      </c>
      <c r="R908" t="str">
        <f t="shared" si="306"/>
        <v>Green</v>
      </c>
      <c r="S908" t="str">
        <f t="shared" si="307"/>
        <v>Red</v>
      </c>
      <c r="T908" t="str">
        <f t="shared" si="308"/>
        <v>Green</v>
      </c>
      <c r="U908" t="str">
        <f t="shared" si="309"/>
        <v>Green</v>
      </c>
      <c r="V908" t="str">
        <f t="shared" si="310"/>
        <v>Red</v>
      </c>
      <c r="W908" t="str">
        <f t="shared" si="311"/>
        <v>Red</v>
      </c>
      <c r="X908" t="str">
        <f t="shared" si="312"/>
        <v>Green</v>
      </c>
      <c r="Y908" t="str">
        <f t="shared" si="313"/>
        <v>Green</v>
      </c>
      <c r="Z908" t="str">
        <f t="shared" si="314"/>
        <v>Green</v>
      </c>
      <c r="AA908" t="str">
        <f t="shared" si="315"/>
        <v>Red</v>
      </c>
      <c r="AB908" t="str">
        <f t="shared" si="316"/>
        <v>Green</v>
      </c>
      <c r="AC908" t="str">
        <f t="shared" si="317"/>
        <v>Red</v>
      </c>
      <c r="AD908" t="str">
        <f t="shared" si="318"/>
        <v>Green</v>
      </c>
    </row>
    <row r="909" spans="1:30" x14ac:dyDescent="0.2">
      <c r="A909" t="str">
        <f>L908&amp;F909&amp;G909</f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3000</v>
      </c>
      <c r="G909" t="s">
        <v>3001</v>
      </c>
      <c r="H909">
        <v>1</v>
      </c>
      <c r="I909">
        <v>0</v>
      </c>
      <c r="J909">
        <v>3</v>
      </c>
      <c r="K909">
        <v>0</v>
      </c>
      <c r="L909" s="22" t="str">
        <f t="shared" si="300"/>
        <v>25/07/2026</v>
      </c>
      <c r="M909" s="23">
        <f t="shared" si="301"/>
        <v>8.3333333333333343E-2</v>
      </c>
      <c r="N909" t="str">
        <f t="shared" si="302"/>
        <v>3 - 0</v>
      </c>
      <c r="O909" t="str">
        <f t="shared" si="303"/>
        <v>Green</v>
      </c>
      <c r="P909" t="str">
        <f t="shared" si="304"/>
        <v>Red</v>
      </c>
      <c r="Q909" t="str">
        <f t="shared" si="305"/>
        <v>Red</v>
      </c>
      <c r="R909" t="str">
        <f t="shared" si="306"/>
        <v>Green</v>
      </c>
      <c r="S909" t="str">
        <f t="shared" si="307"/>
        <v>Red</v>
      </c>
      <c r="T909" t="str">
        <f t="shared" si="308"/>
        <v>Green</v>
      </c>
      <c r="U909" t="str">
        <f t="shared" si="309"/>
        <v>Green</v>
      </c>
      <c r="V909" t="str">
        <f t="shared" si="310"/>
        <v>Red</v>
      </c>
      <c r="W909" t="str">
        <f t="shared" si="311"/>
        <v>Red</v>
      </c>
      <c r="X909" t="str">
        <f t="shared" si="312"/>
        <v>Green</v>
      </c>
      <c r="Y909" t="str">
        <f t="shared" si="313"/>
        <v>Green</v>
      </c>
      <c r="Z909" t="str">
        <f t="shared" si="314"/>
        <v>Green</v>
      </c>
      <c r="AA909" t="str">
        <f t="shared" si="315"/>
        <v>Red</v>
      </c>
      <c r="AB909" t="str">
        <f t="shared" si="316"/>
        <v>Green</v>
      </c>
      <c r="AC909" t="str">
        <f t="shared" si="317"/>
        <v>Red</v>
      </c>
      <c r="AD909" t="str">
        <f t="shared" si="318"/>
        <v>Green</v>
      </c>
    </row>
    <row r="910" spans="1:30" x14ac:dyDescent="0.2">
      <c r="A910" t="str">
        <f>L909&amp;F910&amp;G910</f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3002</v>
      </c>
      <c r="G910" t="s">
        <v>3003</v>
      </c>
      <c r="H910">
        <v>2</v>
      </c>
      <c r="I910">
        <v>1</v>
      </c>
      <c r="J910">
        <v>3</v>
      </c>
      <c r="K910">
        <v>2</v>
      </c>
      <c r="L910" s="22" t="str">
        <f t="shared" si="300"/>
        <v>25/07/2026</v>
      </c>
      <c r="M910" s="23">
        <f t="shared" si="301"/>
        <v>8.3333333333333343E-2</v>
      </c>
      <c r="N910" t="str">
        <f t="shared" si="302"/>
        <v>3 - 2</v>
      </c>
      <c r="O910" t="str">
        <f t="shared" si="303"/>
        <v>Green</v>
      </c>
      <c r="P910" t="str">
        <f t="shared" si="304"/>
        <v>Red</v>
      </c>
      <c r="Q910" t="str">
        <f t="shared" si="305"/>
        <v>Red</v>
      </c>
      <c r="R910" t="str">
        <f t="shared" si="306"/>
        <v>Green</v>
      </c>
      <c r="S910" t="str">
        <f t="shared" si="307"/>
        <v>Red</v>
      </c>
      <c r="T910" t="str">
        <f t="shared" si="308"/>
        <v>Green</v>
      </c>
      <c r="U910" t="str">
        <f t="shared" si="309"/>
        <v>Green</v>
      </c>
      <c r="V910" t="str">
        <f t="shared" si="310"/>
        <v>Red</v>
      </c>
      <c r="W910" t="str">
        <f t="shared" si="311"/>
        <v>Red</v>
      </c>
      <c r="X910" t="str">
        <f t="shared" si="312"/>
        <v>Green</v>
      </c>
      <c r="Y910" t="str">
        <f t="shared" si="313"/>
        <v>Green</v>
      </c>
      <c r="Z910" t="str">
        <f t="shared" si="314"/>
        <v>Green</v>
      </c>
      <c r="AA910" t="str">
        <f t="shared" si="315"/>
        <v>Red</v>
      </c>
      <c r="AB910" t="str">
        <f t="shared" si="316"/>
        <v>Red</v>
      </c>
      <c r="AC910" t="str">
        <f t="shared" si="317"/>
        <v>Green</v>
      </c>
      <c r="AD910" t="str">
        <f t="shared" si="318"/>
        <v>Red</v>
      </c>
    </row>
    <row r="911" spans="1:30" x14ac:dyDescent="0.2">
      <c r="A911" t="str">
        <f>L910&amp;F911&amp;G911</f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2824</v>
      </c>
      <c r="G911" t="s">
        <v>2825</v>
      </c>
      <c r="H911">
        <v>1</v>
      </c>
      <c r="I911">
        <v>5</v>
      </c>
      <c r="J911">
        <v>1</v>
      </c>
      <c r="K911">
        <v>5</v>
      </c>
      <c r="L911" s="22" t="str">
        <f t="shared" si="300"/>
        <v>25/07/2026</v>
      </c>
      <c r="M911" s="23">
        <f t="shared" si="301"/>
        <v>9.375E-2</v>
      </c>
      <c r="N911" t="str">
        <f t="shared" si="302"/>
        <v>1 - 5</v>
      </c>
      <c r="O911" t="str">
        <f t="shared" si="303"/>
        <v>Red</v>
      </c>
      <c r="P911" t="str">
        <f t="shared" si="304"/>
        <v>Red</v>
      </c>
      <c r="Q911" t="str">
        <f t="shared" si="305"/>
        <v>Green</v>
      </c>
      <c r="R911" t="str">
        <f t="shared" si="306"/>
        <v>Red</v>
      </c>
      <c r="S911" t="str">
        <f t="shared" si="307"/>
        <v>Green</v>
      </c>
      <c r="T911" t="str">
        <f t="shared" si="308"/>
        <v>Green</v>
      </c>
      <c r="U911" t="str">
        <f t="shared" si="309"/>
        <v>Red</v>
      </c>
      <c r="V911" t="str">
        <f t="shared" si="310"/>
        <v>Red</v>
      </c>
      <c r="W911" t="str">
        <f t="shared" si="311"/>
        <v>Green</v>
      </c>
      <c r="X911" t="str">
        <f t="shared" si="312"/>
        <v>Green</v>
      </c>
      <c r="Y911" t="str">
        <f t="shared" si="313"/>
        <v>Green</v>
      </c>
      <c r="Z911" t="str">
        <f t="shared" si="314"/>
        <v>Green</v>
      </c>
      <c r="AA911" t="str">
        <f t="shared" si="315"/>
        <v>Red</v>
      </c>
      <c r="AB911" t="str">
        <f t="shared" si="316"/>
        <v>Red</v>
      </c>
      <c r="AC911" t="str">
        <f t="shared" si="317"/>
        <v>Green</v>
      </c>
      <c r="AD911" t="str">
        <f t="shared" si="318"/>
        <v>Red</v>
      </c>
    </row>
    <row r="912" spans="1:30" x14ac:dyDescent="0.2">
      <c r="A912" t="str">
        <f>L911&amp;F912&amp;G912</f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2812</v>
      </c>
      <c r="H912">
        <v>1</v>
      </c>
      <c r="I912">
        <v>0</v>
      </c>
      <c r="J912">
        <v>1</v>
      </c>
      <c r="K912">
        <v>0</v>
      </c>
      <c r="L912" s="22" t="str">
        <f t="shared" si="300"/>
        <v>25/07/2026</v>
      </c>
      <c r="M912" s="23">
        <f t="shared" si="301"/>
        <v>0.10416666666666666</v>
      </c>
      <c r="N912" t="str">
        <f t="shared" si="302"/>
        <v>1 - 0</v>
      </c>
      <c r="O912" t="str">
        <f t="shared" si="303"/>
        <v>Green</v>
      </c>
      <c r="P912" t="str">
        <f t="shared" si="304"/>
        <v>Red</v>
      </c>
      <c r="Q912" t="str">
        <f t="shared" si="305"/>
        <v>Red</v>
      </c>
      <c r="R912" t="str">
        <f t="shared" si="306"/>
        <v>Green</v>
      </c>
      <c r="S912" t="str">
        <f t="shared" si="307"/>
        <v>Red</v>
      </c>
      <c r="T912" t="str">
        <f t="shared" si="308"/>
        <v>Green</v>
      </c>
      <c r="U912" t="str">
        <f t="shared" si="309"/>
        <v>Green</v>
      </c>
      <c r="V912" t="str">
        <f t="shared" si="310"/>
        <v>Red</v>
      </c>
      <c r="W912" t="str">
        <f t="shared" si="311"/>
        <v>Red</v>
      </c>
      <c r="X912" t="str">
        <f t="shared" si="312"/>
        <v>Green</v>
      </c>
      <c r="Y912" t="str">
        <f t="shared" si="313"/>
        <v>Red</v>
      </c>
      <c r="Z912" t="str">
        <f t="shared" si="314"/>
        <v>Red</v>
      </c>
      <c r="AA912" t="str">
        <f t="shared" si="315"/>
        <v>Green</v>
      </c>
      <c r="AB912" t="str">
        <f t="shared" si="316"/>
        <v>Green</v>
      </c>
      <c r="AC912" t="str">
        <f t="shared" si="317"/>
        <v>Red</v>
      </c>
      <c r="AD912" t="str">
        <f t="shared" si="318"/>
        <v>Green</v>
      </c>
    </row>
    <row r="913" spans="1:30" x14ac:dyDescent="0.2">
      <c r="A913" t="str">
        <f>L912&amp;F913&amp;G913</f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2813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0"/>
        <v>25/07/2026</v>
      </c>
      <c r="M913" s="23">
        <f t="shared" si="301"/>
        <v>0.10416666666666666</v>
      </c>
      <c r="N913" t="str">
        <f t="shared" si="302"/>
        <v>2 - 3</v>
      </c>
      <c r="O913" t="str">
        <f t="shared" si="303"/>
        <v>Red</v>
      </c>
      <c r="P913" t="str">
        <f t="shared" si="304"/>
        <v>Red</v>
      </c>
      <c r="Q913" t="str">
        <f t="shared" si="305"/>
        <v>Green</v>
      </c>
      <c r="R913" t="str">
        <f t="shared" si="306"/>
        <v>Red</v>
      </c>
      <c r="S913" t="str">
        <f t="shared" si="307"/>
        <v>Green</v>
      </c>
      <c r="T913" t="str">
        <f t="shared" si="308"/>
        <v>Green</v>
      </c>
      <c r="U913" t="str">
        <f t="shared" si="309"/>
        <v>Red</v>
      </c>
      <c r="V913" t="str">
        <f t="shared" si="310"/>
        <v>Red</v>
      </c>
      <c r="W913" t="str">
        <f t="shared" si="311"/>
        <v>Green</v>
      </c>
      <c r="X913" t="str">
        <f t="shared" si="312"/>
        <v>Green</v>
      </c>
      <c r="Y913" t="str">
        <f t="shared" si="313"/>
        <v>Green</v>
      </c>
      <c r="Z913" t="str">
        <f t="shared" si="314"/>
        <v>Green</v>
      </c>
      <c r="AA913" t="str">
        <f t="shared" si="315"/>
        <v>Red</v>
      </c>
      <c r="AB913" t="str">
        <f t="shared" si="316"/>
        <v>Red</v>
      </c>
      <c r="AC913" t="str">
        <f t="shared" si="317"/>
        <v>Green</v>
      </c>
      <c r="AD913" t="str">
        <f t="shared" si="318"/>
        <v>Red</v>
      </c>
    </row>
    <row r="914" spans="1:30" x14ac:dyDescent="0.2">
      <c r="A914" t="str">
        <f>L913&amp;F914&amp;G914</f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0"/>
        <v>25/07/2026</v>
      </c>
      <c r="M914" s="23">
        <f t="shared" si="301"/>
        <v>0.10416666666666666</v>
      </c>
      <c r="N914" t="str">
        <f t="shared" si="302"/>
        <v>2 - 4</v>
      </c>
      <c r="O914" t="str">
        <f t="shared" si="303"/>
        <v>Red</v>
      </c>
      <c r="P914" t="str">
        <f t="shared" si="304"/>
        <v>Red</v>
      </c>
      <c r="Q914" t="str">
        <f t="shared" si="305"/>
        <v>Green</v>
      </c>
      <c r="R914" t="str">
        <f t="shared" si="306"/>
        <v>Red</v>
      </c>
      <c r="S914" t="str">
        <f t="shared" si="307"/>
        <v>Green</v>
      </c>
      <c r="T914" t="str">
        <f t="shared" si="308"/>
        <v>Green</v>
      </c>
      <c r="U914" t="str">
        <f t="shared" si="309"/>
        <v>Green</v>
      </c>
      <c r="V914" t="str">
        <f t="shared" si="310"/>
        <v>Red</v>
      </c>
      <c r="W914" t="str">
        <f t="shared" si="311"/>
        <v>Red</v>
      </c>
      <c r="X914" t="str">
        <f t="shared" si="312"/>
        <v>Green</v>
      </c>
      <c r="Y914" t="str">
        <f t="shared" si="313"/>
        <v>Green</v>
      </c>
      <c r="Z914" t="str">
        <f t="shared" si="314"/>
        <v>Green</v>
      </c>
      <c r="AA914" t="str">
        <f t="shared" si="315"/>
        <v>Red</v>
      </c>
      <c r="AB914" t="str">
        <f t="shared" si="316"/>
        <v>Red</v>
      </c>
      <c r="AC914" t="str">
        <f t="shared" si="317"/>
        <v>Green</v>
      </c>
      <c r="AD914" t="str">
        <f t="shared" si="318"/>
        <v>Red</v>
      </c>
    </row>
    <row r="915" spans="1:30" x14ac:dyDescent="0.2">
      <c r="A915" t="str">
        <f>L914&amp;F915&amp;G915</f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2842</v>
      </c>
      <c r="G915" t="s">
        <v>2843</v>
      </c>
      <c r="H915">
        <v>0</v>
      </c>
      <c r="I915">
        <v>0</v>
      </c>
      <c r="J915">
        <v>1</v>
      </c>
      <c r="K915">
        <v>0</v>
      </c>
      <c r="L915" s="22" t="str">
        <f t="shared" si="300"/>
        <v>25/07/2026</v>
      </c>
      <c r="M915" s="23">
        <f t="shared" si="301"/>
        <v>0.10416666666666666</v>
      </c>
      <c r="N915" t="str">
        <f t="shared" si="302"/>
        <v>1 - 0</v>
      </c>
      <c r="O915" t="str">
        <f t="shared" si="303"/>
        <v>Green</v>
      </c>
      <c r="P915" t="str">
        <f t="shared" si="304"/>
        <v>Red</v>
      </c>
      <c r="Q915" t="str">
        <f t="shared" si="305"/>
        <v>Red</v>
      </c>
      <c r="R915" t="str">
        <f t="shared" si="306"/>
        <v>Green</v>
      </c>
      <c r="S915" t="str">
        <f t="shared" si="307"/>
        <v>Red</v>
      </c>
      <c r="T915" t="str">
        <f t="shared" si="308"/>
        <v>Green</v>
      </c>
      <c r="U915" t="str">
        <f t="shared" si="309"/>
        <v>Red</v>
      </c>
      <c r="V915" t="str">
        <f t="shared" si="310"/>
        <v>Green</v>
      </c>
      <c r="W915" t="str">
        <f t="shared" si="311"/>
        <v>Red</v>
      </c>
      <c r="X915" t="str">
        <f t="shared" si="312"/>
        <v>Red</v>
      </c>
      <c r="Y915" t="str">
        <f t="shared" si="313"/>
        <v>Red</v>
      </c>
      <c r="Z915" t="str">
        <f t="shared" si="314"/>
        <v>Red</v>
      </c>
      <c r="AA915" t="str">
        <f t="shared" si="315"/>
        <v>Green</v>
      </c>
      <c r="AB915" t="str">
        <f t="shared" si="316"/>
        <v>Green</v>
      </c>
      <c r="AC915" t="str">
        <f t="shared" si="317"/>
        <v>Red</v>
      </c>
      <c r="AD915" t="str">
        <f t="shared" si="318"/>
        <v>Green</v>
      </c>
    </row>
    <row r="916" spans="1:30" x14ac:dyDescent="0.2">
      <c r="A916" t="str">
        <f>L915&amp;F916&amp;G916</f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2844</v>
      </c>
      <c r="G916" t="s">
        <v>2845</v>
      </c>
      <c r="H916">
        <v>1</v>
      </c>
      <c r="I916">
        <v>0</v>
      </c>
      <c r="J916">
        <v>4</v>
      </c>
      <c r="K916">
        <v>0</v>
      </c>
      <c r="L916" s="22" t="str">
        <f t="shared" si="300"/>
        <v>25/07/2026</v>
      </c>
      <c r="M916" s="23">
        <f t="shared" si="301"/>
        <v>0.10416666666666666</v>
      </c>
      <c r="N916" t="str">
        <f t="shared" si="302"/>
        <v>4 - 0</v>
      </c>
      <c r="O916" t="str">
        <f t="shared" si="303"/>
        <v>Green</v>
      </c>
      <c r="P916" t="str">
        <f t="shared" si="304"/>
        <v>Red</v>
      </c>
      <c r="Q916" t="str">
        <f t="shared" si="305"/>
        <v>Red</v>
      </c>
      <c r="R916" t="str">
        <f t="shared" si="306"/>
        <v>Green</v>
      </c>
      <c r="S916" t="str">
        <f t="shared" si="307"/>
        <v>Red</v>
      </c>
      <c r="T916" t="str">
        <f t="shared" si="308"/>
        <v>Green</v>
      </c>
      <c r="U916" t="str">
        <f t="shared" si="309"/>
        <v>Green</v>
      </c>
      <c r="V916" t="str">
        <f t="shared" si="310"/>
        <v>Red</v>
      </c>
      <c r="W916" t="str">
        <f t="shared" si="311"/>
        <v>Red</v>
      </c>
      <c r="X916" t="str">
        <f t="shared" si="312"/>
        <v>Green</v>
      </c>
      <c r="Y916" t="str">
        <f t="shared" si="313"/>
        <v>Green</v>
      </c>
      <c r="Z916" t="str">
        <f t="shared" si="314"/>
        <v>Green</v>
      </c>
      <c r="AA916" t="str">
        <f t="shared" si="315"/>
        <v>Red</v>
      </c>
      <c r="AB916" t="str">
        <f t="shared" si="316"/>
        <v>Red</v>
      </c>
      <c r="AC916" t="str">
        <f t="shared" si="317"/>
        <v>Red</v>
      </c>
      <c r="AD916" t="str">
        <f t="shared" si="318"/>
        <v>Green</v>
      </c>
    </row>
    <row r="917" spans="1:30" x14ac:dyDescent="0.2">
      <c r="A917" t="str">
        <f>L916&amp;F917&amp;G917</f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2851</v>
      </c>
      <c r="G917" t="s">
        <v>2852</v>
      </c>
      <c r="H917">
        <v>0</v>
      </c>
      <c r="I917">
        <v>0</v>
      </c>
      <c r="J917">
        <v>1</v>
      </c>
      <c r="K917">
        <v>2</v>
      </c>
      <c r="L917" s="22" t="str">
        <f t="shared" si="300"/>
        <v>25/07/2026</v>
      </c>
      <c r="M917" s="23">
        <f t="shared" si="301"/>
        <v>0.10416666666666666</v>
      </c>
      <c r="N917" t="str">
        <f t="shared" si="302"/>
        <v>1 - 2</v>
      </c>
      <c r="O917" t="str">
        <f t="shared" si="303"/>
        <v>Red</v>
      </c>
      <c r="P917" t="str">
        <f t="shared" si="304"/>
        <v>Red</v>
      </c>
      <c r="Q917" t="str">
        <f t="shared" si="305"/>
        <v>Green</v>
      </c>
      <c r="R917" t="str">
        <f t="shared" si="306"/>
        <v>Red</v>
      </c>
      <c r="S917" t="str">
        <f t="shared" si="307"/>
        <v>Green</v>
      </c>
      <c r="T917" t="str">
        <f t="shared" si="308"/>
        <v>Green</v>
      </c>
      <c r="U917" t="str">
        <f t="shared" si="309"/>
        <v>Red</v>
      </c>
      <c r="V917" t="str">
        <f t="shared" si="310"/>
        <v>Green</v>
      </c>
      <c r="W917" t="str">
        <f t="shared" si="311"/>
        <v>Red</v>
      </c>
      <c r="X917" t="str">
        <f t="shared" si="312"/>
        <v>Red</v>
      </c>
      <c r="Y917" t="str">
        <f t="shared" si="313"/>
        <v>Green</v>
      </c>
      <c r="Z917" t="str">
        <f t="shared" si="314"/>
        <v>Green</v>
      </c>
      <c r="AA917" t="str">
        <f t="shared" si="315"/>
        <v>Red</v>
      </c>
      <c r="AB917" t="str">
        <f t="shared" si="316"/>
        <v>Green</v>
      </c>
      <c r="AC917" t="str">
        <f t="shared" si="317"/>
        <v>Green</v>
      </c>
      <c r="AD917" t="str">
        <f t="shared" si="318"/>
        <v>Red</v>
      </c>
    </row>
    <row r="918" spans="1:30" x14ac:dyDescent="0.2">
      <c r="A918" t="str">
        <f>L917&amp;F918&amp;G918</f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2853</v>
      </c>
      <c r="G918" t="s">
        <v>2854</v>
      </c>
      <c r="H918">
        <v>0</v>
      </c>
      <c r="I918">
        <v>0</v>
      </c>
      <c r="J918">
        <v>1</v>
      </c>
      <c r="K918">
        <v>0</v>
      </c>
      <c r="L918" s="22" t="str">
        <f t="shared" si="300"/>
        <v>25/07/2026</v>
      </c>
      <c r="M918" s="23">
        <f t="shared" si="301"/>
        <v>0.10416666666666666</v>
      </c>
      <c r="N918" t="str">
        <f t="shared" si="302"/>
        <v>1 - 0</v>
      </c>
      <c r="O918" t="str">
        <f t="shared" si="303"/>
        <v>Green</v>
      </c>
      <c r="P918" t="str">
        <f t="shared" si="304"/>
        <v>Red</v>
      </c>
      <c r="Q918" t="str">
        <f t="shared" si="305"/>
        <v>Red</v>
      </c>
      <c r="R918" t="str">
        <f t="shared" si="306"/>
        <v>Green</v>
      </c>
      <c r="S918" t="str">
        <f t="shared" si="307"/>
        <v>Red</v>
      </c>
      <c r="T918" t="str">
        <f t="shared" si="308"/>
        <v>Green</v>
      </c>
      <c r="U918" t="str">
        <f t="shared" si="309"/>
        <v>Red</v>
      </c>
      <c r="V918" t="str">
        <f t="shared" si="310"/>
        <v>Green</v>
      </c>
      <c r="W918" t="str">
        <f t="shared" si="311"/>
        <v>Red</v>
      </c>
      <c r="X918" t="str">
        <f t="shared" si="312"/>
        <v>Red</v>
      </c>
      <c r="Y918" t="str">
        <f t="shared" si="313"/>
        <v>Red</v>
      </c>
      <c r="Z918" t="str">
        <f t="shared" si="314"/>
        <v>Red</v>
      </c>
      <c r="AA918" t="str">
        <f t="shared" si="315"/>
        <v>Green</v>
      </c>
      <c r="AB918" t="str">
        <f t="shared" si="316"/>
        <v>Green</v>
      </c>
      <c r="AC918" t="str">
        <f t="shared" si="317"/>
        <v>Red</v>
      </c>
      <c r="AD918" t="str">
        <f t="shared" si="318"/>
        <v>Green</v>
      </c>
    </row>
    <row r="919" spans="1:30" x14ac:dyDescent="0.2">
      <c r="A919" t="str">
        <f>L918&amp;F919&amp;G919</f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2855</v>
      </c>
      <c r="G919" t="s">
        <v>2856</v>
      </c>
      <c r="H919">
        <v>0</v>
      </c>
      <c r="I919">
        <v>3</v>
      </c>
      <c r="J919">
        <v>1</v>
      </c>
      <c r="K919">
        <v>8</v>
      </c>
      <c r="L919" s="22" t="str">
        <f t="shared" si="300"/>
        <v>25/07/2026</v>
      </c>
      <c r="M919" s="23">
        <f t="shared" si="301"/>
        <v>0.10416666666666666</v>
      </c>
      <c r="N919" t="str">
        <f t="shared" si="302"/>
        <v>1 - 8</v>
      </c>
      <c r="O919" t="str">
        <f t="shared" si="303"/>
        <v>Red</v>
      </c>
      <c r="P919" t="str">
        <f t="shared" si="304"/>
        <v>Red</v>
      </c>
      <c r="Q919" t="str">
        <f t="shared" si="305"/>
        <v>Green</v>
      </c>
      <c r="R919" t="str">
        <f t="shared" si="306"/>
        <v>Red</v>
      </c>
      <c r="S919" t="str">
        <f t="shared" si="307"/>
        <v>Green</v>
      </c>
      <c r="T919" t="str">
        <f t="shared" si="308"/>
        <v>Green</v>
      </c>
      <c r="U919" t="str">
        <f t="shared" si="309"/>
        <v>Red</v>
      </c>
      <c r="V919" t="str">
        <f t="shared" si="310"/>
        <v>Red</v>
      </c>
      <c r="W919" t="str">
        <f t="shared" si="311"/>
        <v>Green</v>
      </c>
      <c r="X919" t="str">
        <f t="shared" si="312"/>
        <v>Green</v>
      </c>
      <c r="Y919" t="str">
        <f t="shared" si="313"/>
        <v>Green</v>
      </c>
      <c r="Z919" t="str">
        <f t="shared" si="314"/>
        <v>Green</v>
      </c>
      <c r="AA919" t="str">
        <f t="shared" si="315"/>
        <v>Red</v>
      </c>
      <c r="AB919" t="str">
        <f t="shared" si="316"/>
        <v>Red</v>
      </c>
      <c r="AC919" t="str">
        <f t="shared" si="317"/>
        <v>Green</v>
      </c>
      <c r="AD919" t="str">
        <f t="shared" si="318"/>
        <v>Red</v>
      </c>
    </row>
    <row r="920" spans="1:30" x14ac:dyDescent="0.2">
      <c r="A920" t="str">
        <f>L919&amp;F920&amp;G920</f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2857</v>
      </c>
      <c r="G920" t="s">
        <v>2858</v>
      </c>
      <c r="H920">
        <v>1</v>
      </c>
      <c r="I920">
        <v>0</v>
      </c>
      <c r="J920">
        <v>2</v>
      </c>
      <c r="K920">
        <v>0</v>
      </c>
      <c r="L920" s="22" t="str">
        <f t="shared" si="300"/>
        <v>25/07/2026</v>
      </c>
      <c r="M920" s="23">
        <f t="shared" si="301"/>
        <v>0.10416666666666666</v>
      </c>
      <c r="N920" t="str">
        <f t="shared" si="302"/>
        <v>2 - 0</v>
      </c>
      <c r="O920" t="str">
        <f t="shared" si="303"/>
        <v>Green</v>
      </c>
      <c r="P920" t="str">
        <f t="shared" si="304"/>
        <v>Red</v>
      </c>
      <c r="Q920" t="str">
        <f t="shared" si="305"/>
        <v>Red</v>
      </c>
      <c r="R920" t="str">
        <f t="shared" si="306"/>
        <v>Green</v>
      </c>
      <c r="S920" t="str">
        <f t="shared" si="307"/>
        <v>Red</v>
      </c>
      <c r="T920" t="str">
        <f t="shared" si="308"/>
        <v>Green</v>
      </c>
      <c r="U920" t="str">
        <f t="shared" si="309"/>
        <v>Green</v>
      </c>
      <c r="V920" t="str">
        <f t="shared" si="310"/>
        <v>Red</v>
      </c>
      <c r="W920" t="str">
        <f t="shared" si="311"/>
        <v>Red</v>
      </c>
      <c r="X920" t="str">
        <f t="shared" si="312"/>
        <v>Green</v>
      </c>
      <c r="Y920" t="str">
        <f t="shared" si="313"/>
        <v>Green</v>
      </c>
      <c r="Z920" t="str">
        <f t="shared" si="314"/>
        <v>Red</v>
      </c>
      <c r="AA920" t="str">
        <f t="shared" si="315"/>
        <v>Green</v>
      </c>
      <c r="AB920" t="str">
        <f t="shared" si="316"/>
        <v>Green</v>
      </c>
      <c r="AC920" t="str">
        <f t="shared" si="317"/>
        <v>Red</v>
      </c>
      <c r="AD920" t="str">
        <f t="shared" si="318"/>
        <v>Green</v>
      </c>
    </row>
    <row r="921" spans="1:30" x14ac:dyDescent="0.2">
      <c r="A921" t="str">
        <f>L920&amp;F921&amp;G921</f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2859</v>
      </c>
      <c r="G921" t="s">
        <v>2860</v>
      </c>
      <c r="H921">
        <v>4</v>
      </c>
      <c r="I921">
        <v>2</v>
      </c>
      <c r="J921">
        <v>4</v>
      </c>
      <c r="K921">
        <v>2</v>
      </c>
      <c r="L921" s="22" t="str">
        <f t="shared" si="300"/>
        <v>25/07/2026</v>
      </c>
      <c r="M921" s="23">
        <f t="shared" si="301"/>
        <v>0.10416666666666666</v>
      </c>
      <c r="N921" t="str">
        <f t="shared" si="302"/>
        <v>4 - 2</v>
      </c>
      <c r="O921" t="str">
        <f t="shared" si="303"/>
        <v>Green</v>
      </c>
      <c r="P921" t="str">
        <f t="shared" si="304"/>
        <v>Red</v>
      </c>
      <c r="Q921" t="str">
        <f t="shared" si="305"/>
        <v>Red</v>
      </c>
      <c r="R921" t="str">
        <f t="shared" si="306"/>
        <v>Green</v>
      </c>
      <c r="S921" t="str">
        <f t="shared" si="307"/>
        <v>Red</v>
      </c>
      <c r="T921" t="str">
        <f t="shared" si="308"/>
        <v>Green</v>
      </c>
      <c r="U921" t="str">
        <f t="shared" si="309"/>
        <v>Green</v>
      </c>
      <c r="V921" t="str">
        <f t="shared" si="310"/>
        <v>Red</v>
      </c>
      <c r="W921" t="str">
        <f t="shared" si="311"/>
        <v>Red</v>
      </c>
      <c r="X921" t="str">
        <f t="shared" si="312"/>
        <v>Green</v>
      </c>
      <c r="Y921" t="str">
        <f t="shared" si="313"/>
        <v>Green</v>
      </c>
      <c r="Z921" t="str">
        <f t="shared" si="314"/>
        <v>Green</v>
      </c>
      <c r="AA921" t="str">
        <f t="shared" si="315"/>
        <v>Red</v>
      </c>
      <c r="AB921" t="str">
        <f t="shared" si="316"/>
        <v>Red</v>
      </c>
      <c r="AC921" t="str">
        <f t="shared" si="317"/>
        <v>Green</v>
      </c>
      <c r="AD921" t="str">
        <f t="shared" si="318"/>
        <v>Red</v>
      </c>
    </row>
    <row r="922" spans="1:30" x14ac:dyDescent="0.2">
      <c r="A922" t="str">
        <f>L921&amp;F922&amp;G922</f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2861</v>
      </c>
      <c r="G922" t="s">
        <v>2862</v>
      </c>
      <c r="L922" s="22" t="str">
        <f t="shared" si="300"/>
        <v>25/07/2026</v>
      </c>
      <c r="M922" s="23">
        <f t="shared" si="301"/>
        <v>0.10416666666666666</v>
      </c>
      <c r="N922" t="str">
        <f t="shared" si="302"/>
        <v xml:space="preserve"> - </v>
      </c>
      <c r="O922" t="str">
        <f t="shared" si="303"/>
        <v>Red</v>
      </c>
      <c r="P922" t="str">
        <f t="shared" si="304"/>
        <v>Green</v>
      </c>
      <c r="Q922" t="str">
        <f t="shared" si="305"/>
        <v>Red</v>
      </c>
      <c r="R922" t="str">
        <f t="shared" si="306"/>
        <v>Green</v>
      </c>
      <c r="S922" t="str">
        <f t="shared" si="307"/>
        <v>Green</v>
      </c>
      <c r="T922" t="str">
        <f t="shared" si="308"/>
        <v>Red</v>
      </c>
      <c r="U922" t="str">
        <f t="shared" si="309"/>
        <v>Red</v>
      </c>
      <c r="V922" t="str">
        <f t="shared" si="310"/>
        <v>Green</v>
      </c>
      <c r="W922" t="str">
        <f t="shared" si="311"/>
        <v>Red</v>
      </c>
      <c r="X922" t="str">
        <f t="shared" si="312"/>
        <v>Red</v>
      </c>
      <c r="Y922" t="str">
        <f t="shared" si="313"/>
        <v>Red</v>
      </c>
      <c r="Z922" t="str">
        <f t="shared" si="314"/>
        <v>Red</v>
      </c>
      <c r="AA922" t="str">
        <f t="shared" si="315"/>
        <v>Green</v>
      </c>
      <c r="AB922" t="str">
        <f t="shared" si="316"/>
        <v>Green</v>
      </c>
      <c r="AC922" t="str">
        <f t="shared" si="317"/>
        <v>Red</v>
      </c>
      <c r="AD922" t="str">
        <f t="shared" si="318"/>
        <v>Green</v>
      </c>
    </row>
    <row r="923" spans="1:30" x14ac:dyDescent="0.2">
      <c r="A923" t="str">
        <f>L922&amp;F923&amp;G923</f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2940</v>
      </c>
      <c r="G923" t="s">
        <v>2941</v>
      </c>
      <c r="H923">
        <v>0</v>
      </c>
      <c r="I923">
        <v>1</v>
      </c>
      <c r="J923">
        <v>1</v>
      </c>
      <c r="K923">
        <v>2</v>
      </c>
      <c r="L923" s="22" t="str">
        <f t="shared" si="300"/>
        <v>25/07/2026</v>
      </c>
      <c r="M923" s="23">
        <f t="shared" si="301"/>
        <v>0.10416666666666666</v>
      </c>
      <c r="N923" t="str">
        <f t="shared" si="302"/>
        <v>1 - 2</v>
      </c>
      <c r="O923" t="str">
        <f t="shared" si="303"/>
        <v>Red</v>
      </c>
      <c r="P923" t="str">
        <f t="shared" si="304"/>
        <v>Red</v>
      </c>
      <c r="Q923" t="str">
        <f t="shared" si="305"/>
        <v>Green</v>
      </c>
      <c r="R923" t="str">
        <f t="shared" si="306"/>
        <v>Red</v>
      </c>
      <c r="S923" t="str">
        <f t="shared" si="307"/>
        <v>Green</v>
      </c>
      <c r="T923" t="str">
        <f t="shared" si="308"/>
        <v>Green</v>
      </c>
      <c r="U923" t="str">
        <f t="shared" si="309"/>
        <v>Red</v>
      </c>
      <c r="V923" t="str">
        <f t="shared" si="310"/>
        <v>Red</v>
      </c>
      <c r="W923" t="str">
        <f t="shared" si="311"/>
        <v>Green</v>
      </c>
      <c r="X923" t="str">
        <f t="shared" si="312"/>
        <v>Green</v>
      </c>
      <c r="Y923" t="str">
        <f t="shared" si="313"/>
        <v>Green</v>
      </c>
      <c r="Z923" t="str">
        <f t="shared" si="314"/>
        <v>Green</v>
      </c>
      <c r="AA923" t="str">
        <f t="shared" si="315"/>
        <v>Red</v>
      </c>
      <c r="AB923" t="str">
        <f t="shared" si="316"/>
        <v>Green</v>
      </c>
      <c r="AC923" t="str">
        <f t="shared" si="317"/>
        <v>Green</v>
      </c>
      <c r="AD923" t="str">
        <f t="shared" si="318"/>
        <v>Red</v>
      </c>
    </row>
    <row r="924" spans="1:30" x14ac:dyDescent="0.2">
      <c r="A924" t="str">
        <f>L923&amp;F924&amp;G924</f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2966</v>
      </c>
      <c r="G924" t="s">
        <v>2967</v>
      </c>
      <c r="H924">
        <v>0</v>
      </c>
      <c r="I924">
        <v>0</v>
      </c>
      <c r="J924">
        <v>1</v>
      </c>
      <c r="K924">
        <v>0</v>
      </c>
      <c r="L924" s="22" t="str">
        <f t="shared" si="300"/>
        <v>25/07/2026</v>
      </c>
      <c r="M924" s="23">
        <f t="shared" si="301"/>
        <v>0.10416666666666666</v>
      </c>
      <c r="N924" t="str">
        <f t="shared" si="302"/>
        <v>1 - 0</v>
      </c>
      <c r="O924" t="str">
        <f t="shared" si="303"/>
        <v>Green</v>
      </c>
      <c r="P924" t="str">
        <f t="shared" si="304"/>
        <v>Red</v>
      </c>
      <c r="Q924" t="str">
        <f t="shared" si="305"/>
        <v>Red</v>
      </c>
      <c r="R924" t="str">
        <f t="shared" si="306"/>
        <v>Green</v>
      </c>
      <c r="S924" t="str">
        <f t="shared" si="307"/>
        <v>Red</v>
      </c>
      <c r="T924" t="str">
        <f t="shared" si="308"/>
        <v>Green</v>
      </c>
      <c r="U924" t="str">
        <f t="shared" si="309"/>
        <v>Red</v>
      </c>
      <c r="V924" t="str">
        <f t="shared" si="310"/>
        <v>Green</v>
      </c>
      <c r="W924" t="str">
        <f t="shared" si="311"/>
        <v>Red</v>
      </c>
      <c r="X924" t="str">
        <f t="shared" si="312"/>
        <v>Red</v>
      </c>
      <c r="Y924" t="str">
        <f t="shared" si="313"/>
        <v>Red</v>
      </c>
      <c r="Z924" t="str">
        <f t="shared" si="314"/>
        <v>Red</v>
      </c>
      <c r="AA924" t="str">
        <f t="shared" si="315"/>
        <v>Green</v>
      </c>
      <c r="AB924" t="str">
        <f t="shared" si="316"/>
        <v>Green</v>
      </c>
      <c r="AC924" t="str">
        <f t="shared" si="317"/>
        <v>Red</v>
      </c>
      <c r="AD924" t="str">
        <f t="shared" si="318"/>
        <v>Green</v>
      </c>
    </row>
    <row r="925" spans="1:30" x14ac:dyDescent="0.2">
      <c r="A925" t="str">
        <f>L924&amp;F925&amp;G925</f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3008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0"/>
        <v>25/07/2026</v>
      </c>
      <c r="M925" s="23">
        <f t="shared" si="301"/>
        <v>0.10416666666666666</v>
      </c>
      <c r="N925" t="str">
        <f t="shared" si="302"/>
        <v>1 - 2</v>
      </c>
      <c r="O925" t="str">
        <f t="shared" si="303"/>
        <v>Red</v>
      </c>
      <c r="P925" t="str">
        <f t="shared" si="304"/>
        <v>Red</v>
      </c>
      <c r="Q925" t="str">
        <f t="shared" si="305"/>
        <v>Green</v>
      </c>
      <c r="R925" t="str">
        <f t="shared" si="306"/>
        <v>Red</v>
      </c>
      <c r="S925" t="str">
        <f t="shared" si="307"/>
        <v>Green</v>
      </c>
      <c r="T925" t="str">
        <f t="shared" si="308"/>
        <v>Green</v>
      </c>
      <c r="U925" t="str">
        <f t="shared" si="309"/>
        <v>Red</v>
      </c>
      <c r="V925" t="str">
        <f t="shared" si="310"/>
        <v>Red</v>
      </c>
      <c r="W925" t="str">
        <f t="shared" si="311"/>
        <v>Green</v>
      </c>
      <c r="X925" t="str">
        <f t="shared" si="312"/>
        <v>Green</v>
      </c>
      <c r="Y925" t="str">
        <f t="shared" si="313"/>
        <v>Green</v>
      </c>
      <c r="Z925" t="str">
        <f t="shared" si="314"/>
        <v>Green</v>
      </c>
      <c r="AA925" t="str">
        <f t="shared" si="315"/>
        <v>Red</v>
      </c>
      <c r="AB925" t="str">
        <f t="shared" si="316"/>
        <v>Green</v>
      </c>
      <c r="AC925" t="str">
        <f t="shared" si="317"/>
        <v>Green</v>
      </c>
      <c r="AD925" t="str">
        <f t="shared" si="318"/>
        <v>Red</v>
      </c>
    </row>
    <row r="926" spans="1:30" x14ac:dyDescent="0.2">
      <c r="A926" t="str">
        <f>L925&amp;F926&amp;G926</f>
        <v>25/07/2026Taringa RoversPine Hills</v>
      </c>
      <c r="B926" t="s">
        <v>810</v>
      </c>
      <c r="D926" s="2">
        <v>46228</v>
      </c>
      <c r="E926" s="3">
        <v>0.25</v>
      </c>
      <c r="F926" t="s">
        <v>2834</v>
      </c>
      <c r="G926" t="s">
        <v>2835</v>
      </c>
      <c r="H926">
        <v>0</v>
      </c>
      <c r="I926">
        <v>1</v>
      </c>
      <c r="J926">
        <v>0</v>
      </c>
      <c r="K926">
        <v>1</v>
      </c>
      <c r="L926" s="22" t="str">
        <f t="shared" si="300"/>
        <v>25/07/2026</v>
      </c>
      <c r="M926" s="23">
        <f t="shared" si="301"/>
        <v>0.125</v>
      </c>
      <c r="N926" t="str">
        <f t="shared" si="302"/>
        <v>0 - 1</v>
      </c>
      <c r="O926" t="str">
        <f t="shared" si="303"/>
        <v>Red</v>
      </c>
      <c r="P926" t="str">
        <f t="shared" si="304"/>
        <v>Red</v>
      </c>
      <c r="Q926" t="str">
        <f t="shared" si="305"/>
        <v>Green</v>
      </c>
      <c r="R926" t="str">
        <f t="shared" si="306"/>
        <v>Red</v>
      </c>
      <c r="S926" t="str">
        <f t="shared" si="307"/>
        <v>Green</v>
      </c>
      <c r="T926" t="str">
        <f t="shared" si="308"/>
        <v>Green</v>
      </c>
      <c r="U926" t="str">
        <f t="shared" si="309"/>
        <v>Red</v>
      </c>
      <c r="V926" t="str">
        <f t="shared" si="310"/>
        <v>Red</v>
      </c>
      <c r="W926" t="str">
        <f t="shared" si="311"/>
        <v>Green</v>
      </c>
      <c r="X926" t="str">
        <f t="shared" si="312"/>
        <v>Green</v>
      </c>
      <c r="Y926" t="str">
        <f t="shared" si="313"/>
        <v>Red</v>
      </c>
      <c r="Z926" t="str">
        <f t="shared" si="314"/>
        <v>Red</v>
      </c>
      <c r="AA926" t="str">
        <f t="shared" si="315"/>
        <v>Green</v>
      </c>
      <c r="AB926" t="str">
        <f t="shared" si="316"/>
        <v>Green</v>
      </c>
      <c r="AC926" t="str">
        <f t="shared" si="317"/>
        <v>Red</v>
      </c>
      <c r="AD926" t="str">
        <f t="shared" si="318"/>
        <v>Green</v>
      </c>
    </row>
    <row r="927" spans="1:30" x14ac:dyDescent="0.2">
      <c r="A927" t="str">
        <f>L926&amp;F927&amp;G927</f>
        <v>25/07/2026Elizabeth GroveNorthern Demons</v>
      </c>
      <c r="B927" t="s">
        <v>810</v>
      </c>
      <c r="D927" s="2">
        <v>46228</v>
      </c>
      <c r="E927" s="3">
        <v>0.25</v>
      </c>
      <c r="F927" t="s">
        <v>2863</v>
      </c>
      <c r="G927" t="s">
        <v>2864</v>
      </c>
      <c r="H927">
        <v>0</v>
      </c>
      <c r="I927">
        <v>0</v>
      </c>
      <c r="J927">
        <v>0</v>
      </c>
      <c r="K927">
        <v>1</v>
      </c>
      <c r="L927" s="22" t="str">
        <f t="shared" si="300"/>
        <v>25/07/2026</v>
      </c>
      <c r="M927" s="23">
        <f t="shared" si="301"/>
        <v>0.125</v>
      </c>
      <c r="N927" t="str">
        <f t="shared" si="302"/>
        <v>0 - 1</v>
      </c>
      <c r="O927" t="str">
        <f t="shared" si="303"/>
        <v>Red</v>
      </c>
      <c r="P927" t="str">
        <f t="shared" si="304"/>
        <v>Red</v>
      </c>
      <c r="Q927" t="str">
        <f t="shared" si="305"/>
        <v>Green</v>
      </c>
      <c r="R927" t="str">
        <f t="shared" si="306"/>
        <v>Red</v>
      </c>
      <c r="S927" t="str">
        <f t="shared" si="307"/>
        <v>Green</v>
      </c>
      <c r="T927" t="str">
        <f t="shared" si="308"/>
        <v>Green</v>
      </c>
      <c r="U927" t="str">
        <f t="shared" si="309"/>
        <v>Red</v>
      </c>
      <c r="V927" t="str">
        <f t="shared" si="310"/>
        <v>Green</v>
      </c>
      <c r="W927" t="str">
        <f t="shared" si="311"/>
        <v>Red</v>
      </c>
      <c r="X927" t="str">
        <f t="shared" si="312"/>
        <v>Red</v>
      </c>
      <c r="Y927" t="str">
        <f t="shared" si="313"/>
        <v>Red</v>
      </c>
      <c r="Z927" t="str">
        <f t="shared" si="314"/>
        <v>Red</v>
      </c>
      <c r="AA927" t="str">
        <f t="shared" si="315"/>
        <v>Green</v>
      </c>
      <c r="AB927" t="str">
        <f t="shared" si="316"/>
        <v>Green</v>
      </c>
      <c r="AC927" t="str">
        <f t="shared" si="317"/>
        <v>Red</v>
      </c>
      <c r="AD927" t="str">
        <f t="shared" si="318"/>
        <v>Green</v>
      </c>
    </row>
    <row r="928" spans="1:30" x14ac:dyDescent="0.2">
      <c r="A928" t="str">
        <f>L927&amp;F928&amp;G928</f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2942</v>
      </c>
      <c r="G928" t="s">
        <v>2943</v>
      </c>
      <c r="H928">
        <v>1</v>
      </c>
      <c r="I928">
        <v>0</v>
      </c>
      <c r="J928">
        <v>2</v>
      </c>
      <c r="K928">
        <v>0</v>
      </c>
      <c r="L928" s="22" t="str">
        <f t="shared" si="300"/>
        <v>25/07/2026</v>
      </c>
      <c r="M928" s="23">
        <f t="shared" si="301"/>
        <v>0.125</v>
      </c>
      <c r="N928" t="str">
        <f t="shared" si="302"/>
        <v>2 - 0</v>
      </c>
      <c r="O928" t="str">
        <f t="shared" si="303"/>
        <v>Green</v>
      </c>
      <c r="P928" t="str">
        <f t="shared" si="304"/>
        <v>Red</v>
      </c>
      <c r="Q928" t="str">
        <f t="shared" si="305"/>
        <v>Red</v>
      </c>
      <c r="R928" t="str">
        <f t="shared" si="306"/>
        <v>Green</v>
      </c>
      <c r="S928" t="str">
        <f t="shared" si="307"/>
        <v>Red</v>
      </c>
      <c r="T928" t="str">
        <f t="shared" si="308"/>
        <v>Green</v>
      </c>
      <c r="U928" t="str">
        <f t="shared" si="309"/>
        <v>Green</v>
      </c>
      <c r="V928" t="str">
        <f t="shared" si="310"/>
        <v>Red</v>
      </c>
      <c r="W928" t="str">
        <f t="shared" si="311"/>
        <v>Red</v>
      </c>
      <c r="X928" t="str">
        <f t="shared" si="312"/>
        <v>Green</v>
      </c>
      <c r="Y928" t="str">
        <f t="shared" si="313"/>
        <v>Green</v>
      </c>
      <c r="Z928" t="str">
        <f t="shared" si="314"/>
        <v>Red</v>
      </c>
      <c r="AA928" t="str">
        <f t="shared" si="315"/>
        <v>Green</v>
      </c>
      <c r="AB928" t="str">
        <f t="shared" si="316"/>
        <v>Green</v>
      </c>
      <c r="AC928" t="str">
        <f t="shared" si="317"/>
        <v>Red</v>
      </c>
      <c r="AD928" t="str">
        <f t="shared" si="318"/>
        <v>Green</v>
      </c>
    </row>
    <row r="929" spans="1:30" x14ac:dyDescent="0.2">
      <c r="A929" t="str">
        <f>L928&amp;F929&amp;G929</f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3004</v>
      </c>
      <c r="G929" t="s">
        <v>3005</v>
      </c>
      <c r="H929">
        <v>1</v>
      </c>
      <c r="I929">
        <v>2</v>
      </c>
      <c r="J929">
        <v>2</v>
      </c>
      <c r="K929">
        <v>4</v>
      </c>
      <c r="L929" s="22" t="str">
        <f t="shared" si="300"/>
        <v>25/07/2026</v>
      </c>
      <c r="M929" s="23">
        <f t="shared" si="301"/>
        <v>0.125</v>
      </c>
      <c r="N929" t="str">
        <f t="shared" si="302"/>
        <v>2 - 4</v>
      </c>
      <c r="O929" t="str">
        <f t="shared" si="303"/>
        <v>Red</v>
      </c>
      <c r="P929" t="str">
        <f t="shared" si="304"/>
        <v>Red</v>
      </c>
      <c r="Q929" t="str">
        <f t="shared" si="305"/>
        <v>Green</v>
      </c>
      <c r="R929" t="str">
        <f t="shared" si="306"/>
        <v>Red</v>
      </c>
      <c r="S929" t="str">
        <f t="shared" si="307"/>
        <v>Green</v>
      </c>
      <c r="T929" t="str">
        <f t="shared" si="308"/>
        <v>Green</v>
      </c>
      <c r="U929" t="str">
        <f t="shared" si="309"/>
        <v>Red</v>
      </c>
      <c r="V929" t="str">
        <f t="shared" si="310"/>
        <v>Red</v>
      </c>
      <c r="W929" t="str">
        <f t="shared" si="311"/>
        <v>Green</v>
      </c>
      <c r="X929" t="str">
        <f t="shared" si="312"/>
        <v>Green</v>
      </c>
      <c r="Y929" t="str">
        <f t="shared" si="313"/>
        <v>Green</v>
      </c>
      <c r="Z929" t="str">
        <f t="shared" si="314"/>
        <v>Green</v>
      </c>
      <c r="AA929" t="str">
        <f t="shared" si="315"/>
        <v>Red</v>
      </c>
      <c r="AB929" t="str">
        <f t="shared" si="316"/>
        <v>Red</v>
      </c>
      <c r="AC929" t="str">
        <f t="shared" si="317"/>
        <v>Green</v>
      </c>
      <c r="AD929" t="str">
        <f t="shared" si="318"/>
        <v>Red</v>
      </c>
    </row>
    <row r="930" spans="1:30" x14ac:dyDescent="0.2">
      <c r="A930" t="str">
        <f>L929&amp;F930&amp;G930</f>
        <v>25/07/2026Fencibles UnitedAuckland City</v>
      </c>
      <c r="D930" s="2">
        <v>46228</v>
      </c>
      <c r="E930" s="3">
        <v>0.25</v>
      </c>
      <c r="F930" t="s">
        <v>3434</v>
      </c>
      <c r="G930" t="s">
        <v>3435</v>
      </c>
      <c r="H930">
        <v>2</v>
      </c>
      <c r="I930">
        <v>0</v>
      </c>
      <c r="J930">
        <v>3</v>
      </c>
      <c r="K930">
        <v>2</v>
      </c>
      <c r="L930" s="22" t="str">
        <f t="shared" si="300"/>
        <v>25/07/2026</v>
      </c>
      <c r="M930" s="23">
        <f t="shared" si="301"/>
        <v>0.125</v>
      </c>
      <c r="N930" t="str">
        <f t="shared" si="302"/>
        <v>3 - 2</v>
      </c>
      <c r="O930" t="str">
        <f t="shared" si="303"/>
        <v>Green</v>
      </c>
      <c r="P930" t="str">
        <f t="shared" si="304"/>
        <v>Red</v>
      </c>
      <c r="Q930" t="str">
        <f t="shared" si="305"/>
        <v>Red</v>
      </c>
      <c r="R930" t="str">
        <f t="shared" si="306"/>
        <v>Green</v>
      </c>
      <c r="S930" t="str">
        <f t="shared" si="307"/>
        <v>Red</v>
      </c>
      <c r="T930" t="str">
        <f t="shared" si="308"/>
        <v>Green</v>
      </c>
      <c r="U930" t="str">
        <f t="shared" si="309"/>
        <v>Green</v>
      </c>
      <c r="V930" t="str">
        <f t="shared" si="310"/>
        <v>Red</v>
      </c>
      <c r="W930" t="str">
        <f t="shared" si="311"/>
        <v>Red</v>
      </c>
      <c r="X930" t="str">
        <f t="shared" si="312"/>
        <v>Green</v>
      </c>
      <c r="Y930" t="str">
        <f t="shared" si="313"/>
        <v>Green</v>
      </c>
      <c r="Z930" t="str">
        <f t="shared" si="314"/>
        <v>Green</v>
      </c>
      <c r="AA930" t="str">
        <f t="shared" si="315"/>
        <v>Red</v>
      </c>
      <c r="AB930" t="str">
        <f t="shared" si="316"/>
        <v>Red</v>
      </c>
      <c r="AC930" t="str">
        <f t="shared" si="317"/>
        <v>Green</v>
      </c>
      <c r="AD930" t="str">
        <f t="shared" si="318"/>
        <v>Red</v>
      </c>
    </row>
    <row r="931" spans="1:30" x14ac:dyDescent="0.2">
      <c r="A931" t="str">
        <f>L930&amp;F931&amp;G931</f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2944</v>
      </c>
      <c r="G931" t="s">
        <v>2945</v>
      </c>
      <c r="H931">
        <v>0</v>
      </c>
      <c r="I931">
        <v>4</v>
      </c>
      <c r="J931">
        <v>0</v>
      </c>
      <c r="K931">
        <v>4</v>
      </c>
      <c r="L931" s="22" t="str">
        <f t="shared" si="300"/>
        <v>25/07/2026</v>
      </c>
      <c r="M931" s="23">
        <f t="shared" si="301"/>
        <v>0.13541666666666669</v>
      </c>
      <c r="N931" t="str">
        <f t="shared" si="302"/>
        <v>0 - 4</v>
      </c>
      <c r="O931" t="str">
        <f t="shared" si="303"/>
        <v>Red</v>
      </c>
      <c r="P931" t="str">
        <f t="shared" si="304"/>
        <v>Red</v>
      </c>
      <c r="Q931" t="str">
        <f t="shared" si="305"/>
        <v>Green</v>
      </c>
      <c r="R931" t="str">
        <f t="shared" si="306"/>
        <v>Red</v>
      </c>
      <c r="S931" t="str">
        <f t="shared" si="307"/>
        <v>Green</v>
      </c>
      <c r="T931" t="str">
        <f t="shared" si="308"/>
        <v>Green</v>
      </c>
      <c r="U931" t="str">
        <f t="shared" si="309"/>
        <v>Red</v>
      </c>
      <c r="V931" t="str">
        <f t="shared" si="310"/>
        <v>Red</v>
      </c>
      <c r="W931" t="str">
        <f t="shared" si="311"/>
        <v>Green</v>
      </c>
      <c r="X931" t="str">
        <f t="shared" si="312"/>
        <v>Green</v>
      </c>
      <c r="Y931" t="str">
        <f t="shared" si="313"/>
        <v>Green</v>
      </c>
      <c r="Z931" t="str">
        <f t="shared" si="314"/>
        <v>Green</v>
      </c>
      <c r="AA931" t="str">
        <f t="shared" si="315"/>
        <v>Red</v>
      </c>
      <c r="AB931" t="str">
        <f t="shared" si="316"/>
        <v>Red</v>
      </c>
      <c r="AC931" t="str">
        <f t="shared" si="317"/>
        <v>Red</v>
      </c>
      <c r="AD931" t="str">
        <f t="shared" si="318"/>
        <v>Green</v>
      </c>
    </row>
    <row r="932" spans="1:30" x14ac:dyDescent="0.2">
      <c r="A932" t="str">
        <f>L931&amp;F932&amp;G932</f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0"/>
        <v>25/07/2026</v>
      </c>
      <c r="M932" s="23">
        <f t="shared" si="301"/>
        <v>0.14583333333333331</v>
      </c>
      <c r="N932" t="str">
        <f t="shared" si="302"/>
        <v>1 - 1</v>
      </c>
      <c r="O932" t="str">
        <f t="shared" si="303"/>
        <v>Red</v>
      </c>
      <c r="P932" t="str">
        <f t="shared" si="304"/>
        <v>Green</v>
      </c>
      <c r="Q932" t="str">
        <f t="shared" si="305"/>
        <v>Red</v>
      </c>
      <c r="R932" t="str">
        <f t="shared" si="306"/>
        <v>Green</v>
      </c>
      <c r="S932" t="str">
        <f t="shared" si="307"/>
        <v>Green</v>
      </c>
      <c r="T932" t="str">
        <f t="shared" si="308"/>
        <v>Red</v>
      </c>
      <c r="U932" t="str">
        <f t="shared" si="309"/>
        <v>Green</v>
      </c>
      <c r="V932" t="str">
        <f t="shared" si="310"/>
        <v>Red</v>
      </c>
      <c r="W932" t="str">
        <f t="shared" si="311"/>
        <v>Red</v>
      </c>
      <c r="X932" t="str">
        <f t="shared" si="312"/>
        <v>Green</v>
      </c>
      <c r="Y932" t="str">
        <f t="shared" si="313"/>
        <v>Green</v>
      </c>
      <c r="Z932" t="str">
        <f t="shared" si="314"/>
        <v>Red</v>
      </c>
      <c r="AA932" t="str">
        <f t="shared" si="315"/>
        <v>Green</v>
      </c>
      <c r="AB932" t="str">
        <f t="shared" si="316"/>
        <v>Green</v>
      </c>
      <c r="AC932" t="str">
        <f t="shared" si="317"/>
        <v>Green</v>
      </c>
      <c r="AD932" t="str">
        <f t="shared" si="318"/>
        <v>Red</v>
      </c>
    </row>
    <row r="933" spans="1:30" x14ac:dyDescent="0.2">
      <c r="A933" t="str">
        <f>L932&amp;F933&amp;G933</f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0"/>
        <v>25/07/2026</v>
      </c>
      <c r="M933" s="23">
        <f t="shared" si="301"/>
        <v>0.14583333333333331</v>
      </c>
      <c r="N933" t="str">
        <f t="shared" si="302"/>
        <v>0 - 1</v>
      </c>
      <c r="O933" t="str">
        <f t="shared" si="303"/>
        <v>Red</v>
      </c>
      <c r="P933" t="str">
        <f t="shared" si="304"/>
        <v>Red</v>
      </c>
      <c r="Q933" t="str">
        <f t="shared" si="305"/>
        <v>Green</v>
      </c>
      <c r="R933" t="str">
        <f t="shared" si="306"/>
        <v>Red</v>
      </c>
      <c r="S933" t="str">
        <f t="shared" si="307"/>
        <v>Green</v>
      </c>
      <c r="T933" t="str">
        <f t="shared" si="308"/>
        <v>Green</v>
      </c>
      <c r="U933" t="str">
        <f t="shared" si="309"/>
        <v>Red</v>
      </c>
      <c r="V933" t="str">
        <f t="shared" si="310"/>
        <v>Green</v>
      </c>
      <c r="W933" t="str">
        <f t="shared" si="311"/>
        <v>Red</v>
      </c>
      <c r="X933" t="str">
        <f t="shared" si="312"/>
        <v>Red</v>
      </c>
      <c r="Y933" t="str">
        <f t="shared" si="313"/>
        <v>Red</v>
      </c>
      <c r="Z933" t="str">
        <f t="shared" si="314"/>
        <v>Red</v>
      </c>
      <c r="AA933" t="str">
        <f t="shared" si="315"/>
        <v>Green</v>
      </c>
      <c r="AB933" t="str">
        <f t="shared" si="316"/>
        <v>Green</v>
      </c>
      <c r="AC933" t="str">
        <f t="shared" si="317"/>
        <v>Red</v>
      </c>
      <c r="AD933" t="str">
        <f t="shared" si="318"/>
        <v>Green</v>
      </c>
    </row>
    <row r="934" spans="1:30" x14ac:dyDescent="0.2">
      <c r="A934" t="str">
        <f>L933&amp;F934&amp;G934</f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2808</v>
      </c>
      <c r="H934">
        <v>0</v>
      </c>
      <c r="I934">
        <v>0</v>
      </c>
      <c r="J934">
        <v>1</v>
      </c>
      <c r="K934">
        <v>0</v>
      </c>
      <c r="L934" s="22" t="str">
        <f t="shared" si="300"/>
        <v>25/07/2026</v>
      </c>
      <c r="M934" s="23">
        <f t="shared" si="301"/>
        <v>0.14583333333333331</v>
      </c>
      <c r="N934" t="str">
        <f t="shared" si="302"/>
        <v>1 - 0</v>
      </c>
      <c r="O934" t="str">
        <f t="shared" si="303"/>
        <v>Green</v>
      </c>
      <c r="P934" t="str">
        <f t="shared" si="304"/>
        <v>Red</v>
      </c>
      <c r="Q934" t="str">
        <f t="shared" si="305"/>
        <v>Red</v>
      </c>
      <c r="R934" t="str">
        <f t="shared" si="306"/>
        <v>Green</v>
      </c>
      <c r="S934" t="str">
        <f t="shared" si="307"/>
        <v>Red</v>
      </c>
      <c r="T934" t="str">
        <f t="shared" si="308"/>
        <v>Green</v>
      </c>
      <c r="U934" t="str">
        <f t="shared" si="309"/>
        <v>Red</v>
      </c>
      <c r="V934" t="str">
        <f t="shared" si="310"/>
        <v>Green</v>
      </c>
      <c r="W934" t="str">
        <f t="shared" si="311"/>
        <v>Red</v>
      </c>
      <c r="X934" t="str">
        <f t="shared" si="312"/>
        <v>Red</v>
      </c>
      <c r="Y934" t="str">
        <f t="shared" si="313"/>
        <v>Red</v>
      </c>
      <c r="Z934" t="str">
        <f t="shared" si="314"/>
        <v>Red</v>
      </c>
      <c r="AA934" t="str">
        <f t="shared" si="315"/>
        <v>Green</v>
      </c>
      <c r="AB934" t="str">
        <f t="shared" si="316"/>
        <v>Green</v>
      </c>
      <c r="AC934" t="str">
        <f t="shared" si="317"/>
        <v>Red</v>
      </c>
      <c r="AD934" t="str">
        <f t="shared" si="318"/>
        <v>Green</v>
      </c>
    </row>
    <row r="935" spans="1:30" x14ac:dyDescent="0.2">
      <c r="A935" t="str">
        <f>L934&amp;F935&amp;G935</f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2891</v>
      </c>
      <c r="G935" t="s">
        <v>2892</v>
      </c>
      <c r="H935">
        <v>3</v>
      </c>
      <c r="I935">
        <v>2</v>
      </c>
      <c r="J935">
        <v>5</v>
      </c>
      <c r="K935">
        <v>2</v>
      </c>
      <c r="L935" s="22" t="str">
        <f t="shared" si="300"/>
        <v>25/07/2026</v>
      </c>
      <c r="M935" s="23">
        <f t="shared" si="301"/>
        <v>0.14583333333333331</v>
      </c>
      <c r="N935" t="str">
        <f t="shared" si="302"/>
        <v>5 - 2</v>
      </c>
      <c r="O935" t="str">
        <f t="shared" si="303"/>
        <v>Green</v>
      </c>
      <c r="P935" t="str">
        <f t="shared" si="304"/>
        <v>Red</v>
      </c>
      <c r="Q935" t="str">
        <f t="shared" si="305"/>
        <v>Red</v>
      </c>
      <c r="R935" t="str">
        <f t="shared" si="306"/>
        <v>Green</v>
      </c>
      <c r="S935" t="str">
        <f t="shared" si="307"/>
        <v>Red</v>
      </c>
      <c r="T935" t="str">
        <f t="shared" si="308"/>
        <v>Green</v>
      </c>
      <c r="U935" t="str">
        <f t="shared" si="309"/>
        <v>Green</v>
      </c>
      <c r="V935" t="str">
        <f t="shared" si="310"/>
        <v>Red</v>
      </c>
      <c r="W935" t="str">
        <f t="shared" si="311"/>
        <v>Red</v>
      </c>
      <c r="X935" t="str">
        <f t="shared" si="312"/>
        <v>Green</v>
      </c>
      <c r="Y935" t="str">
        <f t="shared" si="313"/>
        <v>Green</v>
      </c>
      <c r="Z935" t="str">
        <f t="shared" si="314"/>
        <v>Green</v>
      </c>
      <c r="AA935" t="str">
        <f t="shared" si="315"/>
        <v>Red</v>
      </c>
      <c r="AB935" t="str">
        <f t="shared" si="316"/>
        <v>Red</v>
      </c>
      <c r="AC935" t="str">
        <f t="shared" si="317"/>
        <v>Green</v>
      </c>
      <c r="AD935" t="str">
        <f t="shared" si="318"/>
        <v>Red</v>
      </c>
    </row>
    <row r="936" spans="1:30" x14ac:dyDescent="0.2">
      <c r="A936" t="str">
        <f>L935&amp;F936&amp;G936</f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2905</v>
      </c>
      <c r="G936" t="s">
        <v>2906</v>
      </c>
      <c r="H936">
        <v>0</v>
      </c>
      <c r="I936">
        <v>0</v>
      </c>
      <c r="J936">
        <v>1</v>
      </c>
      <c r="K936">
        <v>0</v>
      </c>
      <c r="L936" s="22" t="str">
        <f t="shared" si="300"/>
        <v>25/07/2026</v>
      </c>
      <c r="M936" s="23">
        <f t="shared" si="301"/>
        <v>0.14583333333333331</v>
      </c>
      <c r="N936" t="str">
        <f t="shared" si="302"/>
        <v>1 - 0</v>
      </c>
      <c r="O936" t="str">
        <f t="shared" si="303"/>
        <v>Green</v>
      </c>
      <c r="P936" t="str">
        <f t="shared" si="304"/>
        <v>Red</v>
      </c>
      <c r="Q936" t="str">
        <f t="shared" si="305"/>
        <v>Red</v>
      </c>
      <c r="R936" t="str">
        <f t="shared" si="306"/>
        <v>Green</v>
      </c>
      <c r="S936" t="str">
        <f t="shared" si="307"/>
        <v>Red</v>
      </c>
      <c r="T936" t="str">
        <f t="shared" si="308"/>
        <v>Green</v>
      </c>
      <c r="U936" t="str">
        <f t="shared" si="309"/>
        <v>Red</v>
      </c>
      <c r="V936" t="str">
        <f t="shared" si="310"/>
        <v>Green</v>
      </c>
      <c r="W936" t="str">
        <f t="shared" si="311"/>
        <v>Red</v>
      </c>
      <c r="X936" t="str">
        <f t="shared" si="312"/>
        <v>Red</v>
      </c>
      <c r="Y936" t="str">
        <f t="shared" si="313"/>
        <v>Red</v>
      </c>
      <c r="Z936" t="str">
        <f t="shared" si="314"/>
        <v>Red</v>
      </c>
      <c r="AA936" t="str">
        <f t="shared" si="315"/>
        <v>Green</v>
      </c>
      <c r="AB936" t="str">
        <f t="shared" si="316"/>
        <v>Green</v>
      </c>
      <c r="AC936" t="str">
        <f t="shared" si="317"/>
        <v>Red</v>
      </c>
      <c r="AD936" t="str">
        <f t="shared" si="318"/>
        <v>Green</v>
      </c>
    </row>
    <row r="937" spans="1:30" x14ac:dyDescent="0.2">
      <c r="A937" t="str">
        <f>L936&amp;F937&amp;G937</f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2907</v>
      </c>
      <c r="G937" t="s">
        <v>2908</v>
      </c>
      <c r="H937">
        <v>0</v>
      </c>
      <c r="I937">
        <v>0</v>
      </c>
      <c r="J937">
        <v>1</v>
      </c>
      <c r="K937">
        <v>2</v>
      </c>
      <c r="L937" s="22" t="str">
        <f t="shared" si="300"/>
        <v>25/07/2026</v>
      </c>
      <c r="M937" s="23">
        <f t="shared" si="301"/>
        <v>0.14583333333333331</v>
      </c>
      <c r="N937" t="str">
        <f t="shared" si="302"/>
        <v>1 - 2</v>
      </c>
      <c r="O937" t="str">
        <f t="shared" si="303"/>
        <v>Red</v>
      </c>
      <c r="P937" t="str">
        <f t="shared" si="304"/>
        <v>Red</v>
      </c>
      <c r="Q937" t="str">
        <f t="shared" si="305"/>
        <v>Green</v>
      </c>
      <c r="R937" t="str">
        <f t="shared" si="306"/>
        <v>Red</v>
      </c>
      <c r="S937" t="str">
        <f t="shared" si="307"/>
        <v>Green</v>
      </c>
      <c r="T937" t="str">
        <f t="shared" si="308"/>
        <v>Green</v>
      </c>
      <c r="U937" t="str">
        <f t="shared" si="309"/>
        <v>Red</v>
      </c>
      <c r="V937" t="str">
        <f t="shared" si="310"/>
        <v>Green</v>
      </c>
      <c r="W937" t="str">
        <f t="shared" si="311"/>
        <v>Red</v>
      </c>
      <c r="X937" t="str">
        <f t="shared" si="312"/>
        <v>Red</v>
      </c>
      <c r="Y937" t="str">
        <f t="shared" si="313"/>
        <v>Green</v>
      </c>
      <c r="Z937" t="str">
        <f t="shared" si="314"/>
        <v>Green</v>
      </c>
      <c r="AA937" t="str">
        <f t="shared" si="315"/>
        <v>Red</v>
      </c>
      <c r="AB937" t="str">
        <f t="shared" si="316"/>
        <v>Green</v>
      </c>
      <c r="AC937" t="str">
        <f t="shared" si="317"/>
        <v>Green</v>
      </c>
      <c r="AD937" t="str">
        <f t="shared" si="318"/>
        <v>Red</v>
      </c>
    </row>
    <row r="938" spans="1:30" x14ac:dyDescent="0.2">
      <c r="A938" t="str">
        <f>L937&amp;F938&amp;G938</f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2909</v>
      </c>
      <c r="G938" t="s">
        <v>2910</v>
      </c>
      <c r="H938">
        <v>0</v>
      </c>
      <c r="I938">
        <v>3</v>
      </c>
      <c r="J938">
        <v>0</v>
      </c>
      <c r="K938">
        <v>3</v>
      </c>
      <c r="L938" s="22" t="str">
        <f t="shared" si="300"/>
        <v>25/07/2026</v>
      </c>
      <c r="M938" s="23">
        <f t="shared" si="301"/>
        <v>0.14583333333333331</v>
      </c>
      <c r="N938" t="str">
        <f t="shared" si="302"/>
        <v>0 - 3</v>
      </c>
      <c r="O938" t="str">
        <f t="shared" si="303"/>
        <v>Red</v>
      </c>
      <c r="P938" t="str">
        <f t="shared" si="304"/>
        <v>Red</v>
      </c>
      <c r="Q938" t="str">
        <f t="shared" si="305"/>
        <v>Green</v>
      </c>
      <c r="R938" t="str">
        <f t="shared" si="306"/>
        <v>Red</v>
      </c>
      <c r="S938" t="str">
        <f t="shared" si="307"/>
        <v>Green</v>
      </c>
      <c r="T938" t="str">
        <f t="shared" si="308"/>
        <v>Green</v>
      </c>
      <c r="U938" t="str">
        <f t="shared" si="309"/>
        <v>Red</v>
      </c>
      <c r="V938" t="str">
        <f t="shared" si="310"/>
        <v>Red</v>
      </c>
      <c r="W938" t="str">
        <f t="shared" si="311"/>
        <v>Green</v>
      </c>
      <c r="X938" t="str">
        <f t="shared" si="312"/>
        <v>Green</v>
      </c>
      <c r="Y938" t="str">
        <f t="shared" si="313"/>
        <v>Green</v>
      </c>
      <c r="Z938" t="str">
        <f t="shared" si="314"/>
        <v>Green</v>
      </c>
      <c r="AA938" t="str">
        <f t="shared" si="315"/>
        <v>Red</v>
      </c>
      <c r="AB938" t="str">
        <f t="shared" si="316"/>
        <v>Green</v>
      </c>
      <c r="AC938" t="str">
        <f t="shared" si="317"/>
        <v>Red</v>
      </c>
      <c r="AD938" t="str">
        <f t="shared" si="318"/>
        <v>Green</v>
      </c>
    </row>
    <row r="939" spans="1:30" x14ac:dyDescent="0.2">
      <c r="A939" t="str">
        <f>L938&amp;F939&amp;G939</f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2968</v>
      </c>
      <c r="G939" t="s">
        <v>2969</v>
      </c>
      <c r="H939">
        <v>2</v>
      </c>
      <c r="I939">
        <v>1</v>
      </c>
      <c r="J939">
        <v>2</v>
      </c>
      <c r="K939">
        <v>3</v>
      </c>
      <c r="L939" s="22" t="str">
        <f t="shared" si="300"/>
        <v>25/07/2026</v>
      </c>
      <c r="M939" s="23">
        <f t="shared" si="301"/>
        <v>0.14583333333333331</v>
      </c>
      <c r="N939" t="str">
        <f t="shared" si="302"/>
        <v>2 - 3</v>
      </c>
      <c r="O939" t="str">
        <f t="shared" si="303"/>
        <v>Red</v>
      </c>
      <c r="P939" t="str">
        <f t="shared" si="304"/>
        <v>Red</v>
      </c>
      <c r="Q939" t="str">
        <f t="shared" si="305"/>
        <v>Green</v>
      </c>
      <c r="R939" t="str">
        <f t="shared" si="306"/>
        <v>Red</v>
      </c>
      <c r="S939" t="str">
        <f t="shared" si="307"/>
        <v>Green</v>
      </c>
      <c r="T939" t="str">
        <f t="shared" si="308"/>
        <v>Green</v>
      </c>
      <c r="U939" t="str">
        <f t="shared" si="309"/>
        <v>Green</v>
      </c>
      <c r="V939" t="str">
        <f t="shared" si="310"/>
        <v>Red</v>
      </c>
      <c r="W939" t="str">
        <f t="shared" si="311"/>
        <v>Red</v>
      </c>
      <c r="X939" t="str">
        <f t="shared" si="312"/>
        <v>Green</v>
      </c>
      <c r="Y939" t="str">
        <f t="shared" si="313"/>
        <v>Green</v>
      </c>
      <c r="Z939" t="str">
        <f t="shared" si="314"/>
        <v>Green</v>
      </c>
      <c r="AA939" t="str">
        <f t="shared" si="315"/>
        <v>Red</v>
      </c>
      <c r="AB939" t="str">
        <f t="shared" si="316"/>
        <v>Red</v>
      </c>
      <c r="AC939" t="str">
        <f t="shared" si="317"/>
        <v>Green</v>
      </c>
      <c r="AD939" t="str">
        <f t="shared" si="318"/>
        <v>Red</v>
      </c>
    </row>
    <row r="940" spans="1:30" x14ac:dyDescent="0.2">
      <c r="A940" t="str">
        <f>L939&amp;F940&amp;G940</f>
        <v>25/07/2026SD Raiders FCMarconi Stallions</v>
      </c>
      <c r="B940" t="s">
        <v>810</v>
      </c>
      <c r="C940" t="s">
        <v>2254</v>
      </c>
      <c r="D940" s="2">
        <v>46228</v>
      </c>
      <c r="E940" s="3">
        <v>0.29166666666666669</v>
      </c>
      <c r="F940" t="s">
        <v>2799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0"/>
        <v>25/07/2026</v>
      </c>
      <c r="M940" s="23">
        <f t="shared" si="301"/>
        <v>0.16666666666666669</v>
      </c>
      <c r="N940" t="str">
        <f t="shared" si="302"/>
        <v>2 - 1</v>
      </c>
      <c r="O940" t="str">
        <f t="shared" si="303"/>
        <v>Green</v>
      </c>
      <c r="P940" t="str">
        <f t="shared" si="304"/>
        <v>Red</v>
      </c>
      <c r="Q940" t="str">
        <f t="shared" si="305"/>
        <v>Red</v>
      </c>
      <c r="R940" t="str">
        <f t="shared" si="306"/>
        <v>Green</v>
      </c>
      <c r="S940" t="str">
        <f t="shared" si="307"/>
        <v>Red</v>
      </c>
      <c r="T940" t="str">
        <f t="shared" si="308"/>
        <v>Green</v>
      </c>
      <c r="U940" t="str">
        <f t="shared" si="309"/>
        <v>Red</v>
      </c>
      <c r="V940" t="str">
        <f t="shared" si="310"/>
        <v>Red</v>
      </c>
      <c r="W940" t="str">
        <f t="shared" si="311"/>
        <v>Green</v>
      </c>
      <c r="X940" t="str">
        <f t="shared" si="312"/>
        <v>Green</v>
      </c>
      <c r="Y940" t="str">
        <f t="shared" si="313"/>
        <v>Green</v>
      </c>
      <c r="Z940" t="str">
        <f t="shared" si="314"/>
        <v>Green</v>
      </c>
      <c r="AA940" t="str">
        <f t="shared" si="315"/>
        <v>Red</v>
      </c>
      <c r="AB940" t="str">
        <f t="shared" si="316"/>
        <v>Green</v>
      </c>
      <c r="AC940" t="str">
        <f t="shared" si="317"/>
        <v>Green</v>
      </c>
      <c r="AD940" t="str">
        <f t="shared" si="318"/>
        <v>Red</v>
      </c>
    </row>
    <row r="941" spans="1:30" x14ac:dyDescent="0.2">
      <c r="A941" t="str">
        <f>L940&amp;F941&amp;G941</f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0"/>
        <v>25/07/2026</v>
      </c>
      <c r="M941" s="23">
        <f t="shared" si="301"/>
        <v>0.16666666666666669</v>
      </c>
      <c r="N941" t="str">
        <f t="shared" si="302"/>
        <v>0 - 2</v>
      </c>
      <c r="O941" t="str">
        <f t="shared" si="303"/>
        <v>Red</v>
      </c>
      <c r="P941" t="str">
        <f t="shared" si="304"/>
        <v>Red</v>
      </c>
      <c r="Q941" t="str">
        <f t="shared" si="305"/>
        <v>Green</v>
      </c>
      <c r="R941" t="str">
        <f t="shared" si="306"/>
        <v>Red</v>
      </c>
      <c r="S941" t="str">
        <f t="shared" si="307"/>
        <v>Green</v>
      </c>
      <c r="T941" t="str">
        <f t="shared" si="308"/>
        <v>Green</v>
      </c>
      <c r="U941" t="str">
        <f t="shared" si="309"/>
        <v>Red</v>
      </c>
      <c r="V941" t="str">
        <f t="shared" si="310"/>
        <v>Green</v>
      </c>
      <c r="W941" t="str">
        <f t="shared" si="311"/>
        <v>Red</v>
      </c>
      <c r="X941" t="str">
        <f t="shared" si="312"/>
        <v>Red</v>
      </c>
      <c r="Y941" t="str">
        <f t="shared" si="313"/>
        <v>Green</v>
      </c>
      <c r="Z941" t="str">
        <f t="shared" si="314"/>
        <v>Red</v>
      </c>
      <c r="AA941" t="str">
        <f t="shared" si="315"/>
        <v>Green</v>
      </c>
      <c r="AB941" t="str">
        <f t="shared" si="316"/>
        <v>Green</v>
      </c>
      <c r="AC941" t="str">
        <f t="shared" si="317"/>
        <v>Red</v>
      </c>
      <c r="AD941" t="str">
        <f t="shared" si="318"/>
        <v>Green</v>
      </c>
    </row>
    <row r="942" spans="1:30" x14ac:dyDescent="0.2">
      <c r="A942" t="str">
        <f>L941&amp;F942&amp;G942</f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0"/>
        <v>25/07/2026</v>
      </c>
      <c r="M942" s="23">
        <f t="shared" si="301"/>
        <v>0.16666666666666669</v>
      </c>
      <c r="N942" t="str">
        <f t="shared" si="302"/>
        <v>4 - 0</v>
      </c>
      <c r="O942" t="str">
        <f t="shared" si="303"/>
        <v>Green</v>
      </c>
      <c r="P942" t="str">
        <f t="shared" si="304"/>
        <v>Red</v>
      </c>
      <c r="Q942" t="str">
        <f t="shared" si="305"/>
        <v>Red</v>
      </c>
      <c r="R942" t="str">
        <f t="shared" si="306"/>
        <v>Green</v>
      </c>
      <c r="S942" t="str">
        <f t="shared" si="307"/>
        <v>Red</v>
      </c>
      <c r="T942" t="str">
        <f t="shared" si="308"/>
        <v>Green</v>
      </c>
      <c r="U942" t="str">
        <f t="shared" si="309"/>
        <v>Green</v>
      </c>
      <c r="V942" t="str">
        <f t="shared" si="310"/>
        <v>Red</v>
      </c>
      <c r="W942" t="str">
        <f t="shared" si="311"/>
        <v>Red</v>
      </c>
      <c r="X942" t="str">
        <f t="shared" si="312"/>
        <v>Green</v>
      </c>
      <c r="Y942" t="str">
        <f t="shared" si="313"/>
        <v>Green</v>
      </c>
      <c r="Z942" t="str">
        <f t="shared" si="314"/>
        <v>Green</v>
      </c>
      <c r="AA942" t="str">
        <f t="shared" si="315"/>
        <v>Red</v>
      </c>
      <c r="AB942" t="str">
        <f t="shared" si="316"/>
        <v>Red</v>
      </c>
      <c r="AC942" t="str">
        <f t="shared" si="317"/>
        <v>Red</v>
      </c>
      <c r="AD942" t="str">
        <f t="shared" si="318"/>
        <v>Green</v>
      </c>
    </row>
    <row r="943" spans="1:30" x14ac:dyDescent="0.2">
      <c r="A943" t="str">
        <f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2817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19">DAY(D943)&amp;"/"&amp;"07"&amp;"/"&amp;YEAR(D943)</f>
        <v>25/07/2026</v>
      </c>
      <c r="M943" s="23">
        <f t="shared" ref="M943:M1006" si="320">E943-TIME(3,0,0)</f>
        <v>0.16666666666666669</v>
      </c>
      <c r="N943" t="str">
        <f t="shared" ref="N943:N1006" si="321">J943&amp;" - "&amp;K943</f>
        <v>0 - 0</v>
      </c>
      <c r="O943" t="str">
        <f t="shared" si="303"/>
        <v>Red</v>
      </c>
      <c r="P943" t="str">
        <f t="shared" si="304"/>
        <v>Green</v>
      </c>
      <c r="Q943" t="str">
        <f t="shared" si="305"/>
        <v>Red</v>
      </c>
      <c r="R943" t="str">
        <f t="shared" si="306"/>
        <v>Green</v>
      </c>
      <c r="S943" t="str">
        <f t="shared" si="307"/>
        <v>Green</v>
      </c>
      <c r="T943" t="str">
        <f t="shared" si="308"/>
        <v>Red</v>
      </c>
      <c r="U943" t="str">
        <f t="shared" si="309"/>
        <v>Red</v>
      </c>
      <c r="V943" t="str">
        <f t="shared" si="310"/>
        <v>Green</v>
      </c>
      <c r="W943" t="str">
        <f t="shared" si="311"/>
        <v>Red</v>
      </c>
      <c r="X943" t="str">
        <f t="shared" si="312"/>
        <v>Red</v>
      </c>
      <c r="Y943" t="str">
        <f t="shared" si="313"/>
        <v>Red</v>
      </c>
      <c r="Z943" t="str">
        <f t="shared" si="314"/>
        <v>Red</v>
      </c>
      <c r="AA943" t="str">
        <f t="shared" si="315"/>
        <v>Green</v>
      </c>
      <c r="AB943" t="str">
        <f t="shared" si="316"/>
        <v>Green</v>
      </c>
      <c r="AC943" t="str">
        <f t="shared" si="317"/>
        <v>Red</v>
      </c>
      <c r="AD943" t="str">
        <f t="shared" si="318"/>
        <v>Green</v>
      </c>
    </row>
    <row r="944" spans="1:30" x14ac:dyDescent="0.2">
      <c r="A944" t="str">
        <f>L943&amp;F944&amp;G944</f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2818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19"/>
        <v>25/07/2026</v>
      </c>
      <c r="M944" s="23">
        <f t="shared" si="320"/>
        <v>0.16666666666666669</v>
      </c>
      <c r="N944" t="str">
        <f t="shared" si="321"/>
        <v>0 - 2</v>
      </c>
      <c r="O944" t="str">
        <f t="shared" si="303"/>
        <v>Red</v>
      </c>
      <c r="P944" t="str">
        <f t="shared" si="304"/>
        <v>Red</v>
      </c>
      <c r="Q944" t="str">
        <f t="shared" si="305"/>
        <v>Green</v>
      </c>
      <c r="R944" t="str">
        <f t="shared" si="306"/>
        <v>Red</v>
      </c>
      <c r="S944" t="str">
        <f t="shared" si="307"/>
        <v>Green</v>
      </c>
      <c r="T944" t="str">
        <f t="shared" si="308"/>
        <v>Green</v>
      </c>
      <c r="U944" t="str">
        <f t="shared" si="309"/>
        <v>Red</v>
      </c>
      <c r="V944" t="str">
        <f t="shared" si="310"/>
        <v>Red</v>
      </c>
      <c r="W944" t="str">
        <f t="shared" si="311"/>
        <v>Green</v>
      </c>
      <c r="X944" t="str">
        <f t="shared" si="312"/>
        <v>Green</v>
      </c>
      <c r="Y944" t="str">
        <f t="shared" si="313"/>
        <v>Green</v>
      </c>
      <c r="Z944" t="str">
        <f t="shared" si="314"/>
        <v>Red</v>
      </c>
      <c r="AA944" t="str">
        <f t="shared" si="315"/>
        <v>Green</v>
      </c>
      <c r="AB944" t="str">
        <f t="shared" si="316"/>
        <v>Green</v>
      </c>
      <c r="AC944" t="str">
        <f t="shared" si="317"/>
        <v>Red</v>
      </c>
      <c r="AD944" t="str">
        <f t="shared" si="318"/>
        <v>Green</v>
      </c>
    </row>
    <row r="945" spans="1:30" x14ac:dyDescent="0.2">
      <c r="A945" t="str">
        <f>L944&amp;F945&amp;G945</f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2819</v>
      </c>
      <c r="G945" t="s">
        <v>905</v>
      </c>
      <c r="L945" s="22" t="str">
        <f t="shared" si="319"/>
        <v>25/07/2026</v>
      </c>
      <c r="M945" s="23">
        <f t="shared" si="320"/>
        <v>0.16666666666666669</v>
      </c>
      <c r="N945" t="str">
        <f t="shared" si="321"/>
        <v xml:space="preserve"> - </v>
      </c>
      <c r="O945" t="str">
        <f t="shared" si="303"/>
        <v>Red</v>
      </c>
      <c r="P945" t="str">
        <f t="shared" si="304"/>
        <v>Green</v>
      </c>
      <c r="Q945" t="str">
        <f t="shared" si="305"/>
        <v>Red</v>
      </c>
      <c r="R945" t="str">
        <f t="shared" si="306"/>
        <v>Green</v>
      </c>
      <c r="S945" t="str">
        <f t="shared" si="307"/>
        <v>Green</v>
      </c>
      <c r="T945" t="str">
        <f t="shared" si="308"/>
        <v>Red</v>
      </c>
      <c r="U945" t="str">
        <f t="shared" si="309"/>
        <v>Red</v>
      </c>
      <c r="V945" t="str">
        <f t="shared" si="310"/>
        <v>Green</v>
      </c>
      <c r="W945" t="str">
        <f t="shared" si="311"/>
        <v>Red</v>
      </c>
      <c r="X945" t="str">
        <f t="shared" si="312"/>
        <v>Red</v>
      </c>
      <c r="Y945" t="str">
        <f t="shared" si="313"/>
        <v>Red</v>
      </c>
      <c r="Z945" t="str">
        <f t="shared" si="314"/>
        <v>Red</v>
      </c>
      <c r="AA945" t="str">
        <f t="shared" si="315"/>
        <v>Green</v>
      </c>
      <c r="AB945" t="str">
        <f t="shared" si="316"/>
        <v>Green</v>
      </c>
      <c r="AC945" t="str">
        <f t="shared" si="317"/>
        <v>Red</v>
      </c>
      <c r="AD945" t="str">
        <f t="shared" si="318"/>
        <v>Green</v>
      </c>
    </row>
    <row r="946" spans="1:30" x14ac:dyDescent="0.2">
      <c r="A946" t="str">
        <f>L945&amp;F946&amp;G946</f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2820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19"/>
        <v>25/07/2026</v>
      </c>
      <c r="M946" s="23">
        <f t="shared" si="320"/>
        <v>0.16666666666666669</v>
      </c>
      <c r="N946" t="str">
        <f t="shared" si="321"/>
        <v>1 - 1</v>
      </c>
      <c r="O946" t="str">
        <f t="shared" si="303"/>
        <v>Red</v>
      </c>
      <c r="P946" t="str">
        <f t="shared" si="304"/>
        <v>Green</v>
      </c>
      <c r="Q946" t="str">
        <f t="shared" si="305"/>
        <v>Red</v>
      </c>
      <c r="R946" t="str">
        <f t="shared" si="306"/>
        <v>Green</v>
      </c>
      <c r="S946" t="str">
        <f t="shared" si="307"/>
        <v>Green</v>
      </c>
      <c r="T946" t="str">
        <f t="shared" si="308"/>
        <v>Red</v>
      </c>
      <c r="U946" t="str">
        <f t="shared" si="309"/>
        <v>Red</v>
      </c>
      <c r="V946" t="str">
        <f t="shared" si="310"/>
        <v>Red</v>
      </c>
      <c r="W946" t="str">
        <f t="shared" si="311"/>
        <v>Green</v>
      </c>
      <c r="X946" t="str">
        <f t="shared" si="312"/>
        <v>Green</v>
      </c>
      <c r="Y946" t="str">
        <f t="shared" si="313"/>
        <v>Green</v>
      </c>
      <c r="Z946" t="str">
        <f t="shared" si="314"/>
        <v>Red</v>
      </c>
      <c r="AA946" t="str">
        <f t="shared" si="315"/>
        <v>Green</v>
      </c>
      <c r="AB946" t="str">
        <f t="shared" si="316"/>
        <v>Green</v>
      </c>
      <c r="AC946" t="str">
        <f t="shared" si="317"/>
        <v>Green</v>
      </c>
      <c r="AD946" t="str">
        <f t="shared" si="318"/>
        <v>Red</v>
      </c>
    </row>
    <row r="947" spans="1:30" x14ac:dyDescent="0.2">
      <c r="A947" t="str">
        <f>L946&amp;F947&amp;G947</f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2821</v>
      </c>
      <c r="H947">
        <v>0</v>
      </c>
      <c r="I947">
        <v>0</v>
      </c>
      <c r="J947">
        <v>1</v>
      </c>
      <c r="K947">
        <v>2</v>
      </c>
      <c r="L947" s="22" t="str">
        <f t="shared" si="319"/>
        <v>25/07/2026</v>
      </c>
      <c r="M947" s="23">
        <f t="shared" si="320"/>
        <v>0.16666666666666669</v>
      </c>
      <c r="N947" t="str">
        <f t="shared" si="321"/>
        <v>1 - 2</v>
      </c>
      <c r="O947" t="str">
        <f t="shared" si="303"/>
        <v>Red</v>
      </c>
      <c r="P947" t="str">
        <f t="shared" si="304"/>
        <v>Red</v>
      </c>
      <c r="Q947" t="str">
        <f t="shared" si="305"/>
        <v>Green</v>
      </c>
      <c r="R947" t="str">
        <f t="shared" si="306"/>
        <v>Red</v>
      </c>
      <c r="S947" t="str">
        <f t="shared" si="307"/>
        <v>Green</v>
      </c>
      <c r="T947" t="str">
        <f t="shared" si="308"/>
        <v>Green</v>
      </c>
      <c r="U947" t="str">
        <f t="shared" si="309"/>
        <v>Red</v>
      </c>
      <c r="V947" t="str">
        <f t="shared" si="310"/>
        <v>Green</v>
      </c>
      <c r="W947" t="str">
        <f t="shared" si="311"/>
        <v>Red</v>
      </c>
      <c r="X947" t="str">
        <f t="shared" si="312"/>
        <v>Red</v>
      </c>
      <c r="Y947" t="str">
        <f t="shared" si="313"/>
        <v>Green</v>
      </c>
      <c r="Z947" t="str">
        <f t="shared" si="314"/>
        <v>Green</v>
      </c>
      <c r="AA947" t="str">
        <f t="shared" si="315"/>
        <v>Red</v>
      </c>
      <c r="AB947" t="str">
        <f t="shared" si="316"/>
        <v>Green</v>
      </c>
      <c r="AC947" t="str">
        <f t="shared" si="317"/>
        <v>Green</v>
      </c>
      <c r="AD947" t="str">
        <f t="shared" si="318"/>
        <v>Red</v>
      </c>
    </row>
    <row r="948" spans="1:30" x14ac:dyDescent="0.2">
      <c r="A948" t="str">
        <f>L947&amp;F948&amp;G948</f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2830</v>
      </c>
      <c r="G948" t="s">
        <v>2831</v>
      </c>
      <c r="H948">
        <v>0</v>
      </c>
      <c r="I948">
        <v>0</v>
      </c>
      <c r="J948">
        <v>2</v>
      </c>
      <c r="K948">
        <v>1</v>
      </c>
      <c r="L948" s="22" t="str">
        <f t="shared" si="319"/>
        <v>25/07/2026</v>
      </c>
      <c r="M948" s="23">
        <f t="shared" si="320"/>
        <v>0.16666666666666669</v>
      </c>
      <c r="N948" t="str">
        <f t="shared" si="321"/>
        <v>2 - 1</v>
      </c>
      <c r="O948" t="str">
        <f t="shared" si="303"/>
        <v>Green</v>
      </c>
      <c r="P948" t="str">
        <f t="shared" si="304"/>
        <v>Red</v>
      </c>
      <c r="Q948" t="str">
        <f t="shared" si="305"/>
        <v>Red</v>
      </c>
      <c r="R948" t="str">
        <f t="shared" si="306"/>
        <v>Green</v>
      </c>
      <c r="S948" t="str">
        <f t="shared" si="307"/>
        <v>Red</v>
      </c>
      <c r="T948" t="str">
        <f t="shared" si="308"/>
        <v>Green</v>
      </c>
      <c r="U948" t="str">
        <f t="shared" si="309"/>
        <v>Red</v>
      </c>
      <c r="V948" t="str">
        <f t="shared" si="310"/>
        <v>Green</v>
      </c>
      <c r="W948" t="str">
        <f t="shared" si="311"/>
        <v>Red</v>
      </c>
      <c r="X948" t="str">
        <f t="shared" si="312"/>
        <v>Red</v>
      </c>
      <c r="Y948" t="str">
        <f t="shared" si="313"/>
        <v>Green</v>
      </c>
      <c r="Z948" t="str">
        <f t="shared" si="314"/>
        <v>Green</v>
      </c>
      <c r="AA948" t="str">
        <f t="shared" si="315"/>
        <v>Red</v>
      </c>
      <c r="AB948" t="str">
        <f t="shared" si="316"/>
        <v>Green</v>
      </c>
      <c r="AC948" t="str">
        <f t="shared" si="317"/>
        <v>Green</v>
      </c>
      <c r="AD948" t="str">
        <f t="shared" si="318"/>
        <v>Red</v>
      </c>
    </row>
    <row r="949" spans="1:30" x14ac:dyDescent="0.2">
      <c r="A949" t="str">
        <f>L948&amp;F949&amp;G949</f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2836</v>
      </c>
      <c r="G949" t="s">
        <v>2837</v>
      </c>
      <c r="H949">
        <v>1</v>
      </c>
      <c r="I949">
        <v>0</v>
      </c>
      <c r="J949">
        <v>4</v>
      </c>
      <c r="K949">
        <v>0</v>
      </c>
      <c r="L949" s="22" t="str">
        <f t="shared" si="319"/>
        <v>25/07/2026</v>
      </c>
      <c r="M949" s="23">
        <f t="shared" si="320"/>
        <v>0.16666666666666669</v>
      </c>
      <c r="N949" t="str">
        <f t="shared" si="321"/>
        <v>4 - 0</v>
      </c>
      <c r="O949" t="str">
        <f t="shared" si="303"/>
        <v>Green</v>
      </c>
      <c r="P949" t="str">
        <f t="shared" si="304"/>
        <v>Red</v>
      </c>
      <c r="Q949" t="str">
        <f t="shared" si="305"/>
        <v>Red</v>
      </c>
      <c r="R949" t="str">
        <f t="shared" si="306"/>
        <v>Green</v>
      </c>
      <c r="S949" t="str">
        <f t="shared" si="307"/>
        <v>Red</v>
      </c>
      <c r="T949" t="str">
        <f t="shared" si="308"/>
        <v>Green</v>
      </c>
      <c r="U949" t="str">
        <f t="shared" si="309"/>
        <v>Green</v>
      </c>
      <c r="V949" t="str">
        <f t="shared" si="310"/>
        <v>Red</v>
      </c>
      <c r="W949" t="str">
        <f t="shared" si="311"/>
        <v>Red</v>
      </c>
      <c r="X949" t="str">
        <f t="shared" si="312"/>
        <v>Green</v>
      </c>
      <c r="Y949" t="str">
        <f t="shared" si="313"/>
        <v>Green</v>
      </c>
      <c r="Z949" t="str">
        <f t="shared" si="314"/>
        <v>Green</v>
      </c>
      <c r="AA949" t="str">
        <f t="shared" si="315"/>
        <v>Red</v>
      </c>
      <c r="AB949" t="str">
        <f t="shared" si="316"/>
        <v>Red</v>
      </c>
      <c r="AC949" t="str">
        <f t="shared" si="317"/>
        <v>Red</v>
      </c>
      <c r="AD949" t="str">
        <f t="shared" si="318"/>
        <v>Green</v>
      </c>
    </row>
    <row r="950" spans="1:30" x14ac:dyDescent="0.2">
      <c r="A950" t="str">
        <f>L949&amp;F950&amp;G950</f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2867</v>
      </c>
      <c r="G950" t="s">
        <v>2868</v>
      </c>
      <c r="H950">
        <v>0</v>
      </c>
      <c r="I950">
        <v>1</v>
      </c>
      <c r="J950">
        <v>1</v>
      </c>
      <c r="K950">
        <v>1</v>
      </c>
      <c r="L950" s="22" t="str">
        <f t="shared" si="319"/>
        <v>25/07/2026</v>
      </c>
      <c r="M950" s="23">
        <f t="shared" si="320"/>
        <v>0.16666666666666669</v>
      </c>
      <c r="N950" t="str">
        <f t="shared" si="321"/>
        <v>1 - 1</v>
      </c>
      <c r="O950" t="str">
        <f t="shared" si="303"/>
        <v>Red</v>
      </c>
      <c r="P950" t="str">
        <f t="shared" si="304"/>
        <v>Green</v>
      </c>
      <c r="Q950" t="str">
        <f t="shared" si="305"/>
        <v>Red</v>
      </c>
      <c r="R950" t="str">
        <f t="shared" si="306"/>
        <v>Green</v>
      </c>
      <c r="S950" t="str">
        <f t="shared" si="307"/>
        <v>Green</v>
      </c>
      <c r="T950" t="str">
        <f t="shared" si="308"/>
        <v>Red</v>
      </c>
      <c r="U950" t="str">
        <f t="shared" si="309"/>
        <v>Red</v>
      </c>
      <c r="V950" t="str">
        <f t="shared" si="310"/>
        <v>Red</v>
      </c>
      <c r="W950" t="str">
        <f t="shared" si="311"/>
        <v>Green</v>
      </c>
      <c r="X950" t="str">
        <f t="shared" si="312"/>
        <v>Green</v>
      </c>
      <c r="Y950" t="str">
        <f t="shared" si="313"/>
        <v>Green</v>
      </c>
      <c r="Z950" t="str">
        <f t="shared" si="314"/>
        <v>Red</v>
      </c>
      <c r="AA950" t="str">
        <f t="shared" si="315"/>
        <v>Green</v>
      </c>
      <c r="AB950" t="str">
        <f t="shared" si="316"/>
        <v>Green</v>
      </c>
      <c r="AC950" t="str">
        <f t="shared" si="317"/>
        <v>Green</v>
      </c>
      <c r="AD950" t="str">
        <f t="shared" si="318"/>
        <v>Red</v>
      </c>
    </row>
    <row r="951" spans="1:30" x14ac:dyDescent="0.2">
      <c r="A951" t="str">
        <f>L950&amp;F951&amp;G951</f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2869</v>
      </c>
      <c r="G951" t="s">
        <v>2870</v>
      </c>
      <c r="H951">
        <v>1</v>
      </c>
      <c r="I951">
        <v>1</v>
      </c>
      <c r="J951">
        <v>5</v>
      </c>
      <c r="K951">
        <v>3</v>
      </c>
      <c r="L951" s="22" t="str">
        <f t="shared" si="319"/>
        <v>25/07/2026</v>
      </c>
      <c r="M951" s="23">
        <f t="shared" si="320"/>
        <v>0.16666666666666669</v>
      </c>
      <c r="N951" t="str">
        <f t="shared" si="321"/>
        <v>5 - 3</v>
      </c>
      <c r="O951" t="str">
        <f t="shared" si="303"/>
        <v>Green</v>
      </c>
      <c r="P951" t="str">
        <f t="shared" si="304"/>
        <v>Red</v>
      </c>
      <c r="Q951" t="str">
        <f t="shared" si="305"/>
        <v>Red</v>
      </c>
      <c r="R951" t="str">
        <f t="shared" si="306"/>
        <v>Green</v>
      </c>
      <c r="S951" t="str">
        <f t="shared" si="307"/>
        <v>Red</v>
      </c>
      <c r="T951" t="str">
        <f t="shared" si="308"/>
        <v>Green</v>
      </c>
      <c r="U951" t="str">
        <f t="shared" si="309"/>
        <v>Red</v>
      </c>
      <c r="V951" t="str">
        <f t="shared" si="310"/>
        <v>Green</v>
      </c>
      <c r="W951" t="str">
        <f t="shared" si="311"/>
        <v>Red</v>
      </c>
      <c r="X951" t="str">
        <f t="shared" si="312"/>
        <v>Green</v>
      </c>
      <c r="Y951" t="str">
        <f t="shared" si="313"/>
        <v>Green</v>
      </c>
      <c r="Z951" t="str">
        <f t="shared" si="314"/>
        <v>Green</v>
      </c>
      <c r="AA951" t="str">
        <f t="shared" si="315"/>
        <v>Red</v>
      </c>
      <c r="AB951" t="str">
        <f t="shared" si="316"/>
        <v>Red</v>
      </c>
      <c r="AC951" t="str">
        <f t="shared" si="317"/>
        <v>Green</v>
      </c>
      <c r="AD951" t="str">
        <f t="shared" si="318"/>
        <v>Red</v>
      </c>
    </row>
    <row r="952" spans="1:30" x14ac:dyDescent="0.2">
      <c r="A952" t="str">
        <f>L951&amp;F952&amp;G952</f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2871</v>
      </c>
      <c r="G952" t="s">
        <v>2872</v>
      </c>
      <c r="H952">
        <v>0</v>
      </c>
      <c r="I952">
        <v>1</v>
      </c>
      <c r="J952">
        <v>3</v>
      </c>
      <c r="K952">
        <v>1</v>
      </c>
      <c r="L952" s="22" t="str">
        <f t="shared" si="319"/>
        <v>25/07/2026</v>
      </c>
      <c r="M952" s="23">
        <f t="shared" si="320"/>
        <v>0.16666666666666669</v>
      </c>
      <c r="N952" t="str">
        <f t="shared" si="321"/>
        <v>3 - 1</v>
      </c>
      <c r="O952" t="str">
        <f t="shared" si="303"/>
        <v>Green</v>
      </c>
      <c r="P952" t="str">
        <f t="shared" si="304"/>
        <v>Red</v>
      </c>
      <c r="Q952" t="str">
        <f t="shared" si="305"/>
        <v>Red</v>
      </c>
      <c r="R952" t="str">
        <f t="shared" si="306"/>
        <v>Green</v>
      </c>
      <c r="S952" t="str">
        <f t="shared" si="307"/>
        <v>Red</v>
      </c>
      <c r="T952" t="str">
        <f t="shared" si="308"/>
        <v>Green</v>
      </c>
      <c r="U952" t="str">
        <f t="shared" si="309"/>
        <v>Red</v>
      </c>
      <c r="V952" t="str">
        <f t="shared" si="310"/>
        <v>Red</v>
      </c>
      <c r="W952" t="str">
        <f t="shared" si="311"/>
        <v>Green</v>
      </c>
      <c r="X952" t="str">
        <f t="shared" si="312"/>
        <v>Green</v>
      </c>
      <c r="Y952" t="str">
        <f t="shared" si="313"/>
        <v>Green</v>
      </c>
      <c r="Z952" t="str">
        <f t="shared" si="314"/>
        <v>Green</v>
      </c>
      <c r="AA952" t="str">
        <f t="shared" si="315"/>
        <v>Red</v>
      </c>
      <c r="AB952" t="str">
        <f t="shared" si="316"/>
        <v>Red</v>
      </c>
      <c r="AC952" t="str">
        <f t="shared" si="317"/>
        <v>Green</v>
      </c>
      <c r="AD952" t="str">
        <f t="shared" si="318"/>
        <v>Red</v>
      </c>
    </row>
    <row r="953" spans="1:30" x14ac:dyDescent="0.2">
      <c r="A953" t="str">
        <f>L952&amp;F953&amp;G953</f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2873</v>
      </c>
      <c r="G953" t="s">
        <v>2874</v>
      </c>
      <c r="H953">
        <v>1</v>
      </c>
      <c r="I953">
        <v>0</v>
      </c>
      <c r="J953">
        <v>1</v>
      </c>
      <c r="K953">
        <v>2</v>
      </c>
      <c r="L953" s="22" t="str">
        <f t="shared" si="319"/>
        <v>25/07/2026</v>
      </c>
      <c r="M953" s="23">
        <f t="shared" si="320"/>
        <v>0.16666666666666669</v>
      </c>
      <c r="N953" t="str">
        <f t="shared" si="321"/>
        <v>1 - 2</v>
      </c>
      <c r="O953" t="str">
        <f t="shared" si="303"/>
        <v>Red</v>
      </c>
      <c r="P953" t="str">
        <f t="shared" si="304"/>
        <v>Red</v>
      </c>
      <c r="Q953" t="str">
        <f t="shared" si="305"/>
        <v>Green</v>
      </c>
      <c r="R953" t="str">
        <f t="shared" si="306"/>
        <v>Red</v>
      </c>
      <c r="S953" t="str">
        <f t="shared" si="307"/>
        <v>Green</v>
      </c>
      <c r="T953" t="str">
        <f t="shared" si="308"/>
        <v>Green</v>
      </c>
      <c r="U953" t="str">
        <f t="shared" si="309"/>
        <v>Green</v>
      </c>
      <c r="V953" t="str">
        <f t="shared" si="310"/>
        <v>Red</v>
      </c>
      <c r="W953" t="str">
        <f t="shared" si="311"/>
        <v>Red</v>
      </c>
      <c r="X953" t="str">
        <f t="shared" si="312"/>
        <v>Green</v>
      </c>
      <c r="Y953" t="str">
        <f t="shared" si="313"/>
        <v>Green</v>
      </c>
      <c r="Z953" t="str">
        <f t="shared" si="314"/>
        <v>Green</v>
      </c>
      <c r="AA953" t="str">
        <f t="shared" si="315"/>
        <v>Red</v>
      </c>
      <c r="AB953" t="str">
        <f t="shared" si="316"/>
        <v>Green</v>
      </c>
      <c r="AC953" t="str">
        <f t="shared" si="317"/>
        <v>Green</v>
      </c>
      <c r="AD953" t="str">
        <f t="shared" si="318"/>
        <v>Red</v>
      </c>
    </row>
    <row r="954" spans="1:30" x14ac:dyDescent="0.2">
      <c r="A954" t="str">
        <f>L953&amp;F954&amp;G954</f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2875</v>
      </c>
      <c r="G954" t="s">
        <v>2876</v>
      </c>
      <c r="H954">
        <v>1</v>
      </c>
      <c r="I954">
        <v>0</v>
      </c>
      <c r="J954">
        <v>2</v>
      </c>
      <c r="K954">
        <v>1</v>
      </c>
      <c r="L954" s="22" t="str">
        <f t="shared" si="319"/>
        <v>25/07/2026</v>
      </c>
      <c r="M954" s="23">
        <f t="shared" si="320"/>
        <v>0.16666666666666669</v>
      </c>
      <c r="N954" t="str">
        <f t="shared" si="321"/>
        <v>2 - 1</v>
      </c>
      <c r="O954" t="str">
        <f t="shared" si="303"/>
        <v>Green</v>
      </c>
      <c r="P954" t="str">
        <f t="shared" si="304"/>
        <v>Red</v>
      </c>
      <c r="Q954" t="str">
        <f t="shared" si="305"/>
        <v>Red</v>
      </c>
      <c r="R954" t="str">
        <f t="shared" si="306"/>
        <v>Green</v>
      </c>
      <c r="S954" t="str">
        <f t="shared" si="307"/>
        <v>Red</v>
      </c>
      <c r="T954" t="str">
        <f t="shared" si="308"/>
        <v>Green</v>
      </c>
      <c r="U954" t="str">
        <f t="shared" si="309"/>
        <v>Green</v>
      </c>
      <c r="V954" t="str">
        <f t="shared" si="310"/>
        <v>Red</v>
      </c>
      <c r="W954" t="str">
        <f t="shared" si="311"/>
        <v>Red</v>
      </c>
      <c r="X954" t="str">
        <f t="shared" si="312"/>
        <v>Green</v>
      </c>
      <c r="Y954" t="str">
        <f t="shared" si="313"/>
        <v>Green</v>
      </c>
      <c r="Z954" t="str">
        <f t="shared" si="314"/>
        <v>Green</v>
      </c>
      <c r="AA954" t="str">
        <f t="shared" si="315"/>
        <v>Red</v>
      </c>
      <c r="AB954" t="str">
        <f t="shared" si="316"/>
        <v>Green</v>
      </c>
      <c r="AC954" t="str">
        <f t="shared" si="317"/>
        <v>Green</v>
      </c>
      <c r="AD954" t="str">
        <f t="shared" si="318"/>
        <v>Red</v>
      </c>
    </row>
    <row r="955" spans="1:30" x14ac:dyDescent="0.2">
      <c r="A955" t="str">
        <f>L954&amp;F955&amp;G955</f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2911</v>
      </c>
      <c r="G955" t="s">
        <v>2912</v>
      </c>
      <c r="H955">
        <v>0</v>
      </c>
      <c r="I955">
        <v>0</v>
      </c>
      <c r="J955">
        <v>2</v>
      </c>
      <c r="K955">
        <v>1</v>
      </c>
      <c r="L955" s="22" t="str">
        <f t="shared" si="319"/>
        <v>25/07/2026</v>
      </c>
      <c r="M955" s="23">
        <f t="shared" si="320"/>
        <v>0.16666666666666669</v>
      </c>
      <c r="N955" t="str">
        <f t="shared" si="321"/>
        <v>2 - 1</v>
      </c>
      <c r="O955" t="str">
        <f t="shared" si="303"/>
        <v>Green</v>
      </c>
      <c r="P955" t="str">
        <f t="shared" si="304"/>
        <v>Red</v>
      </c>
      <c r="Q955" t="str">
        <f t="shared" si="305"/>
        <v>Red</v>
      </c>
      <c r="R955" t="str">
        <f t="shared" si="306"/>
        <v>Green</v>
      </c>
      <c r="S955" t="str">
        <f t="shared" si="307"/>
        <v>Red</v>
      </c>
      <c r="T955" t="str">
        <f t="shared" si="308"/>
        <v>Green</v>
      </c>
      <c r="U955" t="str">
        <f t="shared" si="309"/>
        <v>Red</v>
      </c>
      <c r="V955" t="str">
        <f t="shared" si="310"/>
        <v>Green</v>
      </c>
      <c r="W955" t="str">
        <f t="shared" si="311"/>
        <v>Red</v>
      </c>
      <c r="X955" t="str">
        <f t="shared" si="312"/>
        <v>Red</v>
      </c>
      <c r="Y955" t="str">
        <f t="shared" si="313"/>
        <v>Green</v>
      </c>
      <c r="Z955" t="str">
        <f t="shared" si="314"/>
        <v>Green</v>
      </c>
      <c r="AA955" t="str">
        <f t="shared" si="315"/>
        <v>Red</v>
      </c>
      <c r="AB955" t="str">
        <f t="shared" si="316"/>
        <v>Green</v>
      </c>
      <c r="AC955" t="str">
        <f t="shared" si="317"/>
        <v>Green</v>
      </c>
      <c r="AD955" t="str">
        <f t="shared" si="318"/>
        <v>Red</v>
      </c>
    </row>
    <row r="956" spans="1:30" x14ac:dyDescent="0.2">
      <c r="A956" t="str">
        <f>L955&amp;F956&amp;G956</f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2913</v>
      </c>
      <c r="G956" t="s">
        <v>2914</v>
      </c>
      <c r="H956">
        <v>1</v>
      </c>
      <c r="I956">
        <v>0</v>
      </c>
      <c r="J956">
        <v>4</v>
      </c>
      <c r="K956">
        <v>0</v>
      </c>
      <c r="L956" s="22" t="str">
        <f t="shared" si="319"/>
        <v>25/07/2026</v>
      </c>
      <c r="M956" s="23">
        <f t="shared" si="320"/>
        <v>0.16666666666666669</v>
      </c>
      <c r="N956" t="str">
        <f t="shared" si="321"/>
        <v>4 - 0</v>
      </c>
      <c r="O956" t="str">
        <f t="shared" si="303"/>
        <v>Green</v>
      </c>
      <c r="P956" t="str">
        <f t="shared" si="304"/>
        <v>Red</v>
      </c>
      <c r="Q956" t="str">
        <f t="shared" si="305"/>
        <v>Red</v>
      </c>
      <c r="R956" t="str">
        <f t="shared" si="306"/>
        <v>Green</v>
      </c>
      <c r="S956" t="str">
        <f t="shared" si="307"/>
        <v>Red</v>
      </c>
      <c r="T956" t="str">
        <f t="shared" si="308"/>
        <v>Green</v>
      </c>
      <c r="U956" t="str">
        <f t="shared" si="309"/>
        <v>Green</v>
      </c>
      <c r="V956" t="str">
        <f t="shared" si="310"/>
        <v>Red</v>
      </c>
      <c r="W956" t="str">
        <f t="shared" si="311"/>
        <v>Red</v>
      </c>
      <c r="X956" t="str">
        <f t="shared" si="312"/>
        <v>Green</v>
      </c>
      <c r="Y956" t="str">
        <f t="shared" si="313"/>
        <v>Green</v>
      </c>
      <c r="Z956" t="str">
        <f t="shared" si="314"/>
        <v>Green</v>
      </c>
      <c r="AA956" t="str">
        <f t="shared" si="315"/>
        <v>Red</v>
      </c>
      <c r="AB956" t="str">
        <f t="shared" si="316"/>
        <v>Red</v>
      </c>
      <c r="AC956" t="str">
        <f t="shared" si="317"/>
        <v>Red</v>
      </c>
      <c r="AD956" t="str">
        <f t="shared" si="318"/>
        <v>Green</v>
      </c>
    </row>
    <row r="957" spans="1:30" x14ac:dyDescent="0.2">
      <c r="A957" t="str">
        <f>L956&amp;F957&amp;G957</f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2915</v>
      </c>
      <c r="G957" t="s">
        <v>2916</v>
      </c>
      <c r="H957">
        <v>1</v>
      </c>
      <c r="I957">
        <v>0</v>
      </c>
      <c r="J957">
        <v>1</v>
      </c>
      <c r="K957">
        <v>1</v>
      </c>
      <c r="L957" s="22" t="str">
        <f t="shared" si="319"/>
        <v>25/07/2026</v>
      </c>
      <c r="M957" s="23">
        <f t="shared" si="320"/>
        <v>0.16666666666666669</v>
      </c>
      <c r="N957" t="str">
        <f t="shared" si="321"/>
        <v>1 - 1</v>
      </c>
      <c r="O957" t="str">
        <f t="shared" si="303"/>
        <v>Red</v>
      </c>
      <c r="P957" t="str">
        <f t="shared" si="304"/>
        <v>Green</v>
      </c>
      <c r="Q957" t="str">
        <f t="shared" si="305"/>
        <v>Red</v>
      </c>
      <c r="R957" t="str">
        <f t="shared" si="306"/>
        <v>Green</v>
      </c>
      <c r="S957" t="str">
        <f t="shared" si="307"/>
        <v>Green</v>
      </c>
      <c r="T957" t="str">
        <f t="shared" si="308"/>
        <v>Red</v>
      </c>
      <c r="U957" t="str">
        <f t="shared" si="309"/>
        <v>Green</v>
      </c>
      <c r="V957" t="str">
        <f t="shared" si="310"/>
        <v>Red</v>
      </c>
      <c r="W957" t="str">
        <f t="shared" si="311"/>
        <v>Red</v>
      </c>
      <c r="X957" t="str">
        <f t="shared" si="312"/>
        <v>Green</v>
      </c>
      <c r="Y957" t="str">
        <f t="shared" si="313"/>
        <v>Green</v>
      </c>
      <c r="Z957" t="str">
        <f t="shared" si="314"/>
        <v>Red</v>
      </c>
      <c r="AA957" t="str">
        <f t="shared" si="315"/>
        <v>Green</v>
      </c>
      <c r="AB957" t="str">
        <f t="shared" si="316"/>
        <v>Green</v>
      </c>
      <c r="AC957" t="str">
        <f t="shared" si="317"/>
        <v>Green</v>
      </c>
      <c r="AD957" t="str">
        <f t="shared" si="318"/>
        <v>Red</v>
      </c>
    </row>
    <row r="958" spans="1:30" x14ac:dyDescent="0.2">
      <c r="A958" t="str">
        <f>L957&amp;F958&amp;G958</f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2917</v>
      </c>
      <c r="G958" t="s">
        <v>2918</v>
      </c>
      <c r="H958">
        <v>2</v>
      </c>
      <c r="I958">
        <v>0</v>
      </c>
      <c r="J958">
        <v>2</v>
      </c>
      <c r="K958">
        <v>1</v>
      </c>
      <c r="L958" s="22" t="str">
        <f t="shared" si="319"/>
        <v>25/07/2026</v>
      </c>
      <c r="M958" s="23">
        <f t="shared" si="320"/>
        <v>0.16666666666666669</v>
      </c>
      <c r="N958" t="str">
        <f t="shared" si="321"/>
        <v>2 - 1</v>
      </c>
      <c r="O958" t="str">
        <f t="shared" si="303"/>
        <v>Green</v>
      </c>
      <c r="P958" t="str">
        <f t="shared" si="304"/>
        <v>Red</v>
      </c>
      <c r="Q958" t="str">
        <f t="shared" si="305"/>
        <v>Red</v>
      </c>
      <c r="R958" t="str">
        <f t="shared" si="306"/>
        <v>Green</v>
      </c>
      <c r="S958" t="str">
        <f t="shared" si="307"/>
        <v>Red</v>
      </c>
      <c r="T958" t="str">
        <f t="shared" si="308"/>
        <v>Green</v>
      </c>
      <c r="U958" t="str">
        <f t="shared" si="309"/>
        <v>Green</v>
      </c>
      <c r="V958" t="str">
        <f t="shared" si="310"/>
        <v>Red</v>
      </c>
      <c r="W958" t="str">
        <f t="shared" si="311"/>
        <v>Red</v>
      </c>
      <c r="X958" t="str">
        <f t="shared" si="312"/>
        <v>Green</v>
      </c>
      <c r="Y958" t="str">
        <f t="shared" si="313"/>
        <v>Green</v>
      </c>
      <c r="Z958" t="str">
        <f t="shared" si="314"/>
        <v>Green</v>
      </c>
      <c r="AA958" t="str">
        <f t="shared" si="315"/>
        <v>Red</v>
      </c>
      <c r="AB958" t="str">
        <f t="shared" si="316"/>
        <v>Green</v>
      </c>
      <c r="AC958" t="str">
        <f t="shared" si="317"/>
        <v>Green</v>
      </c>
      <c r="AD958" t="str">
        <f t="shared" si="318"/>
        <v>Red</v>
      </c>
    </row>
    <row r="959" spans="1:30" x14ac:dyDescent="0.2">
      <c r="A959" t="str">
        <f>L958&amp;F959&amp;G959</f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2919</v>
      </c>
      <c r="G959" t="s">
        <v>2920</v>
      </c>
      <c r="H959">
        <v>1</v>
      </c>
      <c r="I959">
        <v>0</v>
      </c>
      <c r="J959">
        <v>2</v>
      </c>
      <c r="K959">
        <v>0</v>
      </c>
      <c r="L959" s="22" t="str">
        <f t="shared" si="319"/>
        <v>25/07/2026</v>
      </c>
      <c r="M959" s="23">
        <f t="shared" si="320"/>
        <v>0.16666666666666669</v>
      </c>
      <c r="N959" t="str">
        <f t="shared" si="321"/>
        <v>2 - 0</v>
      </c>
      <c r="O959" t="str">
        <f t="shared" si="303"/>
        <v>Green</v>
      </c>
      <c r="P959" t="str">
        <f t="shared" si="304"/>
        <v>Red</v>
      </c>
      <c r="Q959" t="str">
        <f t="shared" si="305"/>
        <v>Red</v>
      </c>
      <c r="R959" t="str">
        <f t="shared" si="306"/>
        <v>Green</v>
      </c>
      <c r="S959" t="str">
        <f t="shared" si="307"/>
        <v>Red</v>
      </c>
      <c r="T959" t="str">
        <f t="shared" si="308"/>
        <v>Green</v>
      </c>
      <c r="U959" t="str">
        <f t="shared" si="309"/>
        <v>Green</v>
      </c>
      <c r="V959" t="str">
        <f t="shared" si="310"/>
        <v>Red</v>
      </c>
      <c r="W959" t="str">
        <f t="shared" si="311"/>
        <v>Red</v>
      </c>
      <c r="X959" t="str">
        <f t="shared" si="312"/>
        <v>Green</v>
      </c>
      <c r="Y959" t="str">
        <f t="shared" si="313"/>
        <v>Green</v>
      </c>
      <c r="Z959" t="str">
        <f t="shared" si="314"/>
        <v>Red</v>
      </c>
      <c r="AA959" t="str">
        <f t="shared" si="315"/>
        <v>Green</v>
      </c>
      <c r="AB959" t="str">
        <f t="shared" si="316"/>
        <v>Green</v>
      </c>
      <c r="AC959" t="str">
        <f t="shared" si="317"/>
        <v>Red</v>
      </c>
      <c r="AD959" t="str">
        <f t="shared" si="318"/>
        <v>Green</v>
      </c>
    </row>
    <row r="960" spans="1:30" x14ac:dyDescent="0.2">
      <c r="A960" t="str">
        <f>L959&amp;F960&amp;G960</f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2921</v>
      </c>
      <c r="G960" t="s">
        <v>2922</v>
      </c>
      <c r="H960">
        <v>0</v>
      </c>
      <c r="I960">
        <v>1</v>
      </c>
      <c r="J960">
        <v>1</v>
      </c>
      <c r="K960">
        <v>5</v>
      </c>
      <c r="L960" s="22" t="str">
        <f t="shared" si="319"/>
        <v>25/07/2026</v>
      </c>
      <c r="M960" s="23">
        <f t="shared" si="320"/>
        <v>0.16666666666666669</v>
      </c>
      <c r="N960" t="str">
        <f t="shared" si="321"/>
        <v>1 - 5</v>
      </c>
      <c r="O960" t="str">
        <f t="shared" si="303"/>
        <v>Red</v>
      </c>
      <c r="P960" t="str">
        <f t="shared" si="304"/>
        <v>Red</v>
      </c>
      <c r="Q960" t="str">
        <f t="shared" si="305"/>
        <v>Green</v>
      </c>
      <c r="R960" t="str">
        <f t="shared" si="306"/>
        <v>Red</v>
      </c>
      <c r="S960" t="str">
        <f t="shared" si="307"/>
        <v>Green</v>
      </c>
      <c r="T960" t="str">
        <f t="shared" si="308"/>
        <v>Green</v>
      </c>
      <c r="U960" t="str">
        <f t="shared" si="309"/>
        <v>Red</v>
      </c>
      <c r="V960" t="str">
        <f t="shared" si="310"/>
        <v>Red</v>
      </c>
      <c r="W960" t="str">
        <f t="shared" si="311"/>
        <v>Green</v>
      </c>
      <c r="X960" t="str">
        <f t="shared" si="312"/>
        <v>Green</v>
      </c>
      <c r="Y960" t="str">
        <f t="shared" si="313"/>
        <v>Green</v>
      </c>
      <c r="Z960" t="str">
        <f t="shared" si="314"/>
        <v>Green</v>
      </c>
      <c r="AA960" t="str">
        <f t="shared" si="315"/>
        <v>Red</v>
      </c>
      <c r="AB960" t="str">
        <f t="shared" si="316"/>
        <v>Red</v>
      </c>
      <c r="AC960" t="str">
        <f t="shared" si="317"/>
        <v>Green</v>
      </c>
      <c r="AD960" t="str">
        <f t="shared" si="318"/>
        <v>Red</v>
      </c>
    </row>
    <row r="961" spans="1:30" x14ac:dyDescent="0.2">
      <c r="A961" t="str">
        <f>L960&amp;F961&amp;G961</f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2923</v>
      </c>
      <c r="G961" t="s">
        <v>2924</v>
      </c>
      <c r="H961">
        <v>0</v>
      </c>
      <c r="I961">
        <v>1</v>
      </c>
      <c r="J961">
        <v>0</v>
      </c>
      <c r="K961">
        <v>2</v>
      </c>
      <c r="L961" s="22" t="str">
        <f t="shared" si="319"/>
        <v>25/07/2026</v>
      </c>
      <c r="M961" s="23">
        <f t="shared" si="320"/>
        <v>0.16666666666666669</v>
      </c>
      <c r="N961" t="str">
        <f t="shared" si="321"/>
        <v>0 - 2</v>
      </c>
      <c r="O961" t="str">
        <f t="shared" si="303"/>
        <v>Red</v>
      </c>
      <c r="P961" t="str">
        <f t="shared" si="304"/>
        <v>Red</v>
      </c>
      <c r="Q961" t="str">
        <f t="shared" si="305"/>
        <v>Green</v>
      </c>
      <c r="R961" t="str">
        <f t="shared" si="306"/>
        <v>Red</v>
      </c>
      <c r="S961" t="str">
        <f t="shared" si="307"/>
        <v>Green</v>
      </c>
      <c r="T961" t="str">
        <f t="shared" si="308"/>
        <v>Green</v>
      </c>
      <c r="U961" t="str">
        <f t="shared" si="309"/>
        <v>Red</v>
      </c>
      <c r="V961" t="str">
        <f t="shared" si="310"/>
        <v>Red</v>
      </c>
      <c r="W961" t="str">
        <f t="shared" si="311"/>
        <v>Green</v>
      </c>
      <c r="X961" t="str">
        <f t="shared" si="312"/>
        <v>Green</v>
      </c>
      <c r="Y961" t="str">
        <f t="shared" si="313"/>
        <v>Green</v>
      </c>
      <c r="Z961" t="str">
        <f t="shared" si="314"/>
        <v>Red</v>
      </c>
      <c r="AA961" t="str">
        <f t="shared" si="315"/>
        <v>Green</v>
      </c>
      <c r="AB961" t="str">
        <f t="shared" si="316"/>
        <v>Green</v>
      </c>
      <c r="AC961" t="str">
        <f t="shared" si="317"/>
        <v>Red</v>
      </c>
      <c r="AD961" t="str">
        <f t="shared" si="318"/>
        <v>Green</v>
      </c>
    </row>
    <row r="962" spans="1:30" x14ac:dyDescent="0.2">
      <c r="A962" t="str">
        <f>L961&amp;F962&amp;G962</f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2934</v>
      </c>
      <c r="G962" t="s">
        <v>2935</v>
      </c>
      <c r="H962">
        <v>1</v>
      </c>
      <c r="I962">
        <v>1</v>
      </c>
      <c r="J962">
        <v>1</v>
      </c>
      <c r="K962">
        <v>1</v>
      </c>
      <c r="L962" s="22" t="str">
        <f t="shared" si="319"/>
        <v>25/07/2026</v>
      </c>
      <c r="M962" s="23">
        <f t="shared" si="320"/>
        <v>0.16666666666666669</v>
      </c>
      <c r="N962" t="str">
        <f t="shared" si="321"/>
        <v>1 - 1</v>
      </c>
      <c r="O962" t="str">
        <f t="shared" ref="O962:O1025" si="322">IF($J962&gt;$K962,"Green","Red")</f>
        <v>Red</v>
      </c>
      <c r="P962" t="str">
        <f t="shared" ref="P962:P1025" si="323">IF($J962=$K962,"Green","Red")</f>
        <v>Green</v>
      </c>
      <c r="Q962" t="str">
        <f t="shared" ref="Q962:Q1025" si="324">IF($J962&lt;$K962,"Green","Red")</f>
        <v>Red</v>
      </c>
      <c r="R962" t="str">
        <f t="shared" ref="R962:R1025" si="325">IF($J962&gt;=$K962,"Green","Red")</f>
        <v>Green</v>
      </c>
      <c r="S962" t="str">
        <f t="shared" ref="S962:S1025" si="326">IF($J962&lt;=$K962,"Green","Red")</f>
        <v>Green</v>
      </c>
      <c r="T962" t="str">
        <f t="shared" ref="T962:T1025" si="327">IF(OR($J962&gt;$K962,$J962&lt;$K962),"Green","Red")</f>
        <v>Red</v>
      </c>
      <c r="U962" t="str">
        <f t="shared" ref="U962:U1025" si="328">IF($H962&gt;$I962,"Green","Red")</f>
        <v>Red</v>
      </c>
      <c r="V962" t="str">
        <f t="shared" ref="V962:V1025" si="329">IF($H962=$I962,"Green","Red")</f>
        <v>Green</v>
      </c>
      <c r="W962" t="str">
        <f t="shared" ref="W962:W1025" si="330">IF($H962&lt;$I962,"Green","Red")</f>
        <v>Red</v>
      </c>
      <c r="X962" t="str">
        <f t="shared" ref="X962:X1025" si="331">IF($H962+$I962&gt;0,"Green","Red")</f>
        <v>Green</v>
      </c>
      <c r="Y962" t="str">
        <f t="shared" ref="Y962:Y1025" si="332">IF($J962+$K962&gt;1.5,"Green","Red")</f>
        <v>Green</v>
      </c>
      <c r="Z962" t="str">
        <f t="shared" ref="Z962:Z1025" si="333">IF($J962+$K962&gt;2.5,"Green","Red")</f>
        <v>Red</v>
      </c>
      <c r="AA962" t="str">
        <f t="shared" ref="AA962:AA1025" si="334">IF($J962+$K962&lt;2.5,"Green","Red")</f>
        <v>Green</v>
      </c>
      <c r="AB962" t="str">
        <f t="shared" ref="AB962:AB1025" si="335">IF($J962+$K962&lt;3.5,"Green","Red")</f>
        <v>Green</v>
      </c>
      <c r="AC962" t="str">
        <f t="shared" ref="AC962:AC1025" si="336">IF(AND($J962&gt;0,$K962&gt;0),"Green","Red")</f>
        <v>Green</v>
      </c>
      <c r="AD962" t="str">
        <f t="shared" ref="AD962:AD1025" si="337">IF(OR($J962=0,$K962=0),"Green","Red")</f>
        <v>Red</v>
      </c>
    </row>
    <row r="963" spans="1:30" x14ac:dyDescent="0.2">
      <c r="A963" t="str">
        <f>L962&amp;F963&amp;G963</f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2946</v>
      </c>
      <c r="G963" t="s">
        <v>2947</v>
      </c>
      <c r="H963">
        <v>2</v>
      </c>
      <c r="I963">
        <v>0</v>
      </c>
      <c r="J963">
        <v>2</v>
      </c>
      <c r="K963">
        <v>1</v>
      </c>
      <c r="L963" s="22" t="str">
        <f t="shared" si="319"/>
        <v>25/07/2026</v>
      </c>
      <c r="M963" s="23">
        <f t="shared" si="320"/>
        <v>0.16666666666666669</v>
      </c>
      <c r="N963" t="str">
        <f t="shared" si="321"/>
        <v>2 - 1</v>
      </c>
      <c r="O963" t="str">
        <f t="shared" si="322"/>
        <v>Green</v>
      </c>
      <c r="P963" t="str">
        <f t="shared" si="323"/>
        <v>Red</v>
      </c>
      <c r="Q963" t="str">
        <f t="shared" si="324"/>
        <v>Red</v>
      </c>
      <c r="R963" t="str">
        <f t="shared" si="325"/>
        <v>Green</v>
      </c>
      <c r="S963" t="str">
        <f t="shared" si="326"/>
        <v>Red</v>
      </c>
      <c r="T963" t="str">
        <f t="shared" si="327"/>
        <v>Green</v>
      </c>
      <c r="U963" t="str">
        <f t="shared" si="328"/>
        <v>Green</v>
      </c>
      <c r="V963" t="str">
        <f t="shared" si="329"/>
        <v>Red</v>
      </c>
      <c r="W963" t="str">
        <f t="shared" si="330"/>
        <v>Red</v>
      </c>
      <c r="X963" t="str">
        <f t="shared" si="331"/>
        <v>Green</v>
      </c>
      <c r="Y963" t="str">
        <f t="shared" si="332"/>
        <v>Green</v>
      </c>
      <c r="Z963" t="str">
        <f t="shared" si="333"/>
        <v>Green</v>
      </c>
      <c r="AA963" t="str">
        <f t="shared" si="334"/>
        <v>Red</v>
      </c>
      <c r="AB963" t="str">
        <f t="shared" si="335"/>
        <v>Green</v>
      </c>
      <c r="AC963" t="str">
        <f t="shared" si="336"/>
        <v>Green</v>
      </c>
      <c r="AD963" t="str">
        <f t="shared" si="337"/>
        <v>Red</v>
      </c>
    </row>
    <row r="964" spans="1:30" x14ac:dyDescent="0.2">
      <c r="A964" t="str">
        <f>L963&amp;F964&amp;G964</f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2950</v>
      </c>
      <c r="G964" t="s">
        <v>2951</v>
      </c>
      <c r="H964">
        <v>5</v>
      </c>
      <c r="I964">
        <v>0</v>
      </c>
      <c r="J964">
        <v>8</v>
      </c>
      <c r="K964">
        <v>0</v>
      </c>
      <c r="L964" s="22" t="str">
        <f t="shared" si="319"/>
        <v>25/07/2026</v>
      </c>
      <c r="M964" s="23">
        <f t="shared" si="320"/>
        <v>0.16666666666666669</v>
      </c>
      <c r="N964" t="str">
        <f t="shared" si="321"/>
        <v>8 - 0</v>
      </c>
      <c r="O964" t="str">
        <f t="shared" si="322"/>
        <v>Green</v>
      </c>
      <c r="P964" t="str">
        <f t="shared" si="323"/>
        <v>Red</v>
      </c>
      <c r="Q964" t="str">
        <f t="shared" si="324"/>
        <v>Red</v>
      </c>
      <c r="R964" t="str">
        <f t="shared" si="325"/>
        <v>Green</v>
      </c>
      <c r="S964" t="str">
        <f t="shared" si="326"/>
        <v>Red</v>
      </c>
      <c r="T964" t="str">
        <f t="shared" si="327"/>
        <v>Green</v>
      </c>
      <c r="U964" t="str">
        <f t="shared" si="328"/>
        <v>Green</v>
      </c>
      <c r="V964" t="str">
        <f t="shared" si="329"/>
        <v>Red</v>
      </c>
      <c r="W964" t="str">
        <f t="shared" si="330"/>
        <v>Red</v>
      </c>
      <c r="X964" t="str">
        <f t="shared" si="331"/>
        <v>Green</v>
      </c>
      <c r="Y964" t="str">
        <f t="shared" si="332"/>
        <v>Green</v>
      </c>
      <c r="Z964" t="str">
        <f t="shared" si="333"/>
        <v>Green</v>
      </c>
      <c r="AA964" t="str">
        <f t="shared" si="334"/>
        <v>Red</v>
      </c>
      <c r="AB964" t="str">
        <f t="shared" si="335"/>
        <v>Red</v>
      </c>
      <c r="AC964" t="str">
        <f t="shared" si="336"/>
        <v>Red</v>
      </c>
      <c r="AD964" t="str">
        <f t="shared" si="337"/>
        <v>Green</v>
      </c>
    </row>
    <row r="965" spans="1:30" x14ac:dyDescent="0.2">
      <c r="A965" t="str">
        <f>L964&amp;F965&amp;G965</f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2956</v>
      </c>
      <c r="G965" t="s">
        <v>2957</v>
      </c>
      <c r="H965">
        <v>1</v>
      </c>
      <c r="I965">
        <v>0</v>
      </c>
      <c r="J965">
        <v>1</v>
      </c>
      <c r="K965">
        <v>0</v>
      </c>
      <c r="L965" s="22" t="str">
        <f t="shared" si="319"/>
        <v>25/07/2026</v>
      </c>
      <c r="M965" s="23">
        <f t="shared" si="320"/>
        <v>0.16666666666666669</v>
      </c>
      <c r="N965" t="str">
        <f t="shared" si="321"/>
        <v>1 - 0</v>
      </c>
      <c r="O965" t="str">
        <f t="shared" si="322"/>
        <v>Green</v>
      </c>
      <c r="P965" t="str">
        <f t="shared" si="323"/>
        <v>Red</v>
      </c>
      <c r="Q965" t="str">
        <f t="shared" si="324"/>
        <v>Red</v>
      </c>
      <c r="R965" t="str">
        <f t="shared" si="325"/>
        <v>Green</v>
      </c>
      <c r="S965" t="str">
        <f t="shared" si="326"/>
        <v>Red</v>
      </c>
      <c r="T965" t="str">
        <f t="shared" si="327"/>
        <v>Green</v>
      </c>
      <c r="U965" t="str">
        <f t="shared" si="328"/>
        <v>Green</v>
      </c>
      <c r="V965" t="str">
        <f t="shared" si="329"/>
        <v>Red</v>
      </c>
      <c r="W965" t="str">
        <f t="shared" si="330"/>
        <v>Red</v>
      </c>
      <c r="X965" t="str">
        <f t="shared" si="331"/>
        <v>Green</v>
      </c>
      <c r="Y965" t="str">
        <f t="shared" si="332"/>
        <v>Red</v>
      </c>
      <c r="Z965" t="str">
        <f t="shared" si="333"/>
        <v>Red</v>
      </c>
      <c r="AA965" t="str">
        <f t="shared" si="334"/>
        <v>Green</v>
      </c>
      <c r="AB965" t="str">
        <f t="shared" si="335"/>
        <v>Green</v>
      </c>
      <c r="AC965" t="str">
        <f t="shared" si="336"/>
        <v>Red</v>
      </c>
      <c r="AD965" t="str">
        <f t="shared" si="337"/>
        <v>Green</v>
      </c>
    </row>
    <row r="966" spans="1:30" x14ac:dyDescent="0.2">
      <c r="A966" t="str">
        <f>L965&amp;F966&amp;G966</f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2970</v>
      </c>
      <c r="G966" t="s">
        <v>2971</v>
      </c>
      <c r="H966">
        <v>0</v>
      </c>
      <c r="I966">
        <v>1</v>
      </c>
      <c r="J966">
        <v>1</v>
      </c>
      <c r="K966">
        <v>1</v>
      </c>
      <c r="L966" s="22" t="str">
        <f t="shared" si="319"/>
        <v>25/07/2026</v>
      </c>
      <c r="M966" s="23">
        <f t="shared" si="320"/>
        <v>0.16666666666666669</v>
      </c>
      <c r="N966" t="str">
        <f t="shared" si="321"/>
        <v>1 - 1</v>
      </c>
      <c r="O966" t="str">
        <f t="shared" si="322"/>
        <v>Red</v>
      </c>
      <c r="P966" t="str">
        <f t="shared" si="323"/>
        <v>Green</v>
      </c>
      <c r="Q966" t="str">
        <f t="shared" si="324"/>
        <v>Red</v>
      </c>
      <c r="R966" t="str">
        <f t="shared" si="325"/>
        <v>Green</v>
      </c>
      <c r="S966" t="str">
        <f t="shared" si="326"/>
        <v>Green</v>
      </c>
      <c r="T966" t="str">
        <f t="shared" si="327"/>
        <v>Red</v>
      </c>
      <c r="U966" t="str">
        <f t="shared" si="328"/>
        <v>Red</v>
      </c>
      <c r="V966" t="str">
        <f t="shared" si="329"/>
        <v>Red</v>
      </c>
      <c r="W966" t="str">
        <f t="shared" si="330"/>
        <v>Green</v>
      </c>
      <c r="X966" t="str">
        <f t="shared" si="331"/>
        <v>Green</v>
      </c>
      <c r="Y966" t="str">
        <f t="shared" si="332"/>
        <v>Green</v>
      </c>
      <c r="Z966" t="str">
        <f t="shared" si="333"/>
        <v>Red</v>
      </c>
      <c r="AA966" t="str">
        <f t="shared" si="334"/>
        <v>Green</v>
      </c>
      <c r="AB966" t="str">
        <f t="shared" si="335"/>
        <v>Green</v>
      </c>
      <c r="AC966" t="str">
        <f t="shared" si="336"/>
        <v>Green</v>
      </c>
      <c r="AD966" t="str">
        <f t="shared" si="337"/>
        <v>Red</v>
      </c>
    </row>
    <row r="967" spans="1:30" x14ac:dyDescent="0.2">
      <c r="A967" t="str">
        <f>L966&amp;F967&amp;G967</f>
        <v>25/07/2026Spirit FCWestern Sydney Wanderers U21</v>
      </c>
      <c r="B967" t="s">
        <v>810</v>
      </c>
      <c r="C967" t="s">
        <v>2254</v>
      </c>
      <c r="D967" s="2">
        <v>46228</v>
      </c>
      <c r="E967" s="3">
        <v>0.3125</v>
      </c>
      <c r="F967" t="s">
        <v>2800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19"/>
        <v>25/07/2026</v>
      </c>
      <c r="M967" s="23">
        <f t="shared" si="320"/>
        <v>0.1875</v>
      </c>
      <c r="N967" t="str">
        <f t="shared" si="321"/>
        <v>0 - 4</v>
      </c>
      <c r="O967" t="str">
        <f t="shared" si="322"/>
        <v>Red</v>
      </c>
      <c r="P967" t="str">
        <f t="shared" si="323"/>
        <v>Red</v>
      </c>
      <c r="Q967" t="str">
        <f t="shared" si="324"/>
        <v>Green</v>
      </c>
      <c r="R967" t="str">
        <f t="shared" si="325"/>
        <v>Red</v>
      </c>
      <c r="S967" t="str">
        <f t="shared" si="326"/>
        <v>Green</v>
      </c>
      <c r="T967" t="str">
        <f t="shared" si="327"/>
        <v>Green</v>
      </c>
      <c r="U967" t="str">
        <f t="shared" si="328"/>
        <v>Red</v>
      </c>
      <c r="V967" t="str">
        <f t="shared" si="329"/>
        <v>Red</v>
      </c>
      <c r="W967" t="str">
        <f t="shared" si="330"/>
        <v>Green</v>
      </c>
      <c r="X967" t="str">
        <f t="shared" si="331"/>
        <v>Green</v>
      </c>
      <c r="Y967" t="str">
        <f t="shared" si="332"/>
        <v>Green</v>
      </c>
      <c r="Z967" t="str">
        <f t="shared" si="333"/>
        <v>Green</v>
      </c>
      <c r="AA967" t="str">
        <f t="shared" si="334"/>
        <v>Red</v>
      </c>
      <c r="AB967" t="str">
        <f t="shared" si="335"/>
        <v>Red</v>
      </c>
      <c r="AC967" t="str">
        <f t="shared" si="336"/>
        <v>Red</v>
      </c>
      <c r="AD967" t="str">
        <f t="shared" si="337"/>
        <v>Green</v>
      </c>
    </row>
    <row r="968" spans="1:30" x14ac:dyDescent="0.2">
      <c r="A968" t="str">
        <f>L967&amp;F968&amp;G968</f>
        <v>25/07/2026The Cove FCAdelaide Cobras</v>
      </c>
      <c r="B968" t="s">
        <v>810</v>
      </c>
      <c r="D968" s="2">
        <v>46228</v>
      </c>
      <c r="E968" s="3">
        <v>0.3125</v>
      </c>
      <c r="F968" t="s">
        <v>2846</v>
      </c>
      <c r="G968" t="s">
        <v>2847</v>
      </c>
      <c r="H968">
        <v>0</v>
      </c>
      <c r="I968">
        <v>1</v>
      </c>
      <c r="J968">
        <v>0</v>
      </c>
      <c r="K968">
        <v>1</v>
      </c>
      <c r="L968" s="22" t="str">
        <f t="shared" si="319"/>
        <v>25/07/2026</v>
      </c>
      <c r="M968" s="23">
        <f t="shared" si="320"/>
        <v>0.1875</v>
      </c>
      <c r="N968" t="str">
        <f t="shared" si="321"/>
        <v>0 - 1</v>
      </c>
      <c r="O968" t="str">
        <f t="shared" si="322"/>
        <v>Red</v>
      </c>
      <c r="P968" t="str">
        <f t="shared" si="323"/>
        <v>Red</v>
      </c>
      <c r="Q968" t="str">
        <f t="shared" si="324"/>
        <v>Green</v>
      </c>
      <c r="R968" t="str">
        <f t="shared" si="325"/>
        <v>Red</v>
      </c>
      <c r="S968" t="str">
        <f t="shared" si="326"/>
        <v>Green</v>
      </c>
      <c r="T968" t="str">
        <f t="shared" si="327"/>
        <v>Green</v>
      </c>
      <c r="U968" t="str">
        <f t="shared" si="328"/>
        <v>Red</v>
      </c>
      <c r="V968" t="str">
        <f t="shared" si="329"/>
        <v>Red</v>
      </c>
      <c r="W968" t="str">
        <f t="shared" si="330"/>
        <v>Green</v>
      </c>
      <c r="X968" t="str">
        <f t="shared" si="331"/>
        <v>Green</v>
      </c>
      <c r="Y968" t="str">
        <f t="shared" si="332"/>
        <v>Red</v>
      </c>
      <c r="Z968" t="str">
        <f t="shared" si="333"/>
        <v>Red</v>
      </c>
      <c r="AA968" t="str">
        <f t="shared" si="334"/>
        <v>Green</v>
      </c>
      <c r="AB968" t="str">
        <f t="shared" si="335"/>
        <v>Green</v>
      </c>
      <c r="AC968" t="str">
        <f t="shared" si="336"/>
        <v>Red</v>
      </c>
      <c r="AD968" t="str">
        <f t="shared" si="337"/>
        <v>Green</v>
      </c>
    </row>
    <row r="969" spans="1:30" x14ac:dyDescent="0.2">
      <c r="A969" t="str">
        <f>L968&amp;F969&amp;G969</f>
        <v>25/07/2026Salisbury InterElizabeth Downs</v>
      </c>
      <c r="B969" t="s">
        <v>810</v>
      </c>
      <c r="D969" s="2">
        <v>46228</v>
      </c>
      <c r="E969" s="3">
        <v>0.3125</v>
      </c>
      <c r="F969" t="s">
        <v>2865</v>
      </c>
      <c r="G969" t="s">
        <v>2866</v>
      </c>
      <c r="H969">
        <v>1</v>
      </c>
      <c r="I969">
        <v>0</v>
      </c>
      <c r="J969">
        <v>1</v>
      </c>
      <c r="K969">
        <v>0</v>
      </c>
      <c r="L969" s="22" t="str">
        <f t="shared" si="319"/>
        <v>25/07/2026</v>
      </c>
      <c r="M969" s="23">
        <f t="shared" si="320"/>
        <v>0.1875</v>
      </c>
      <c r="N969" t="str">
        <f t="shared" si="321"/>
        <v>1 - 0</v>
      </c>
      <c r="O969" t="str">
        <f t="shared" si="322"/>
        <v>Green</v>
      </c>
      <c r="P969" t="str">
        <f t="shared" si="323"/>
        <v>Red</v>
      </c>
      <c r="Q969" t="str">
        <f t="shared" si="324"/>
        <v>Red</v>
      </c>
      <c r="R969" t="str">
        <f t="shared" si="325"/>
        <v>Green</v>
      </c>
      <c r="S969" t="str">
        <f t="shared" si="326"/>
        <v>Red</v>
      </c>
      <c r="T969" t="str">
        <f t="shared" si="327"/>
        <v>Green</v>
      </c>
      <c r="U969" t="str">
        <f t="shared" si="328"/>
        <v>Green</v>
      </c>
      <c r="V969" t="str">
        <f t="shared" si="329"/>
        <v>Red</v>
      </c>
      <c r="W969" t="str">
        <f t="shared" si="330"/>
        <v>Red</v>
      </c>
      <c r="X969" t="str">
        <f t="shared" si="331"/>
        <v>Green</v>
      </c>
      <c r="Y969" t="str">
        <f t="shared" si="332"/>
        <v>Red</v>
      </c>
      <c r="Z969" t="str">
        <f t="shared" si="333"/>
        <v>Red</v>
      </c>
      <c r="AA969" t="str">
        <f t="shared" si="334"/>
        <v>Green</v>
      </c>
      <c r="AB969" t="str">
        <f t="shared" si="335"/>
        <v>Green</v>
      </c>
      <c r="AC969" t="str">
        <f t="shared" si="336"/>
        <v>Red</v>
      </c>
      <c r="AD969" t="str">
        <f t="shared" si="337"/>
        <v>Green</v>
      </c>
    </row>
    <row r="970" spans="1:30" x14ac:dyDescent="0.2">
      <c r="A970" t="str">
        <f>L969&amp;F970&amp;G970</f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19"/>
        <v>25/07/2026</v>
      </c>
      <c r="M970" s="23">
        <f t="shared" si="320"/>
        <v>0.20833333333333331</v>
      </c>
      <c r="N970" t="str">
        <f t="shared" si="321"/>
        <v>4 - 1</v>
      </c>
      <c r="O970" t="str">
        <f t="shared" si="322"/>
        <v>Green</v>
      </c>
      <c r="P970" t="str">
        <f t="shared" si="323"/>
        <v>Red</v>
      </c>
      <c r="Q970" t="str">
        <f t="shared" si="324"/>
        <v>Red</v>
      </c>
      <c r="R970" t="str">
        <f t="shared" si="325"/>
        <v>Green</v>
      </c>
      <c r="S970" t="str">
        <f t="shared" si="326"/>
        <v>Red</v>
      </c>
      <c r="T970" t="str">
        <f t="shared" si="327"/>
        <v>Green</v>
      </c>
      <c r="U970" t="str">
        <f t="shared" si="328"/>
        <v>Green</v>
      </c>
      <c r="V970" t="str">
        <f t="shared" si="329"/>
        <v>Red</v>
      </c>
      <c r="W970" t="str">
        <f t="shared" si="330"/>
        <v>Red</v>
      </c>
      <c r="X970" t="str">
        <f t="shared" si="331"/>
        <v>Green</v>
      </c>
      <c r="Y970" t="str">
        <f t="shared" si="332"/>
        <v>Green</v>
      </c>
      <c r="Z970" t="str">
        <f t="shared" si="333"/>
        <v>Green</v>
      </c>
      <c r="AA970" t="str">
        <f t="shared" si="334"/>
        <v>Red</v>
      </c>
      <c r="AB970" t="str">
        <f t="shared" si="335"/>
        <v>Red</v>
      </c>
      <c r="AC970" t="str">
        <f t="shared" si="336"/>
        <v>Green</v>
      </c>
      <c r="AD970" t="str">
        <f t="shared" si="337"/>
        <v>Red</v>
      </c>
    </row>
    <row r="971" spans="1:30" x14ac:dyDescent="0.2">
      <c r="A971" t="str">
        <f>L970&amp;F971&amp;G971</f>
        <v>25/07/2026APIA Leichhardt TigersUNSW</v>
      </c>
      <c r="B971" t="s">
        <v>810</v>
      </c>
      <c r="C971" t="s">
        <v>2254</v>
      </c>
      <c r="D971" s="2">
        <v>46228</v>
      </c>
      <c r="E971" s="3">
        <v>0.33333333333333331</v>
      </c>
      <c r="F971" t="s">
        <v>2801</v>
      </c>
      <c r="G971" t="s">
        <v>2802</v>
      </c>
      <c r="H971">
        <v>2</v>
      </c>
      <c r="I971">
        <v>0</v>
      </c>
      <c r="J971">
        <v>4</v>
      </c>
      <c r="K971">
        <v>1</v>
      </c>
      <c r="L971" s="22" t="str">
        <f t="shared" si="319"/>
        <v>25/07/2026</v>
      </c>
      <c r="M971" s="23">
        <f t="shared" si="320"/>
        <v>0.20833333333333331</v>
      </c>
      <c r="N971" t="str">
        <f t="shared" si="321"/>
        <v>4 - 1</v>
      </c>
      <c r="O971" t="str">
        <f t="shared" si="322"/>
        <v>Green</v>
      </c>
      <c r="P971" t="str">
        <f t="shared" si="323"/>
        <v>Red</v>
      </c>
      <c r="Q971" t="str">
        <f t="shared" si="324"/>
        <v>Red</v>
      </c>
      <c r="R971" t="str">
        <f t="shared" si="325"/>
        <v>Green</v>
      </c>
      <c r="S971" t="str">
        <f t="shared" si="326"/>
        <v>Red</v>
      </c>
      <c r="T971" t="str">
        <f t="shared" si="327"/>
        <v>Green</v>
      </c>
      <c r="U971" t="str">
        <f t="shared" si="328"/>
        <v>Green</v>
      </c>
      <c r="V971" t="str">
        <f t="shared" si="329"/>
        <v>Red</v>
      </c>
      <c r="W971" t="str">
        <f t="shared" si="330"/>
        <v>Red</v>
      </c>
      <c r="X971" t="str">
        <f t="shared" si="331"/>
        <v>Green</v>
      </c>
      <c r="Y971" t="str">
        <f t="shared" si="332"/>
        <v>Green</v>
      </c>
      <c r="Z971" t="str">
        <f t="shared" si="333"/>
        <v>Green</v>
      </c>
      <c r="AA971" t="str">
        <f t="shared" si="334"/>
        <v>Red</v>
      </c>
      <c r="AB971" t="str">
        <f t="shared" si="335"/>
        <v>Red</v>
      </c>
      <c r="AC971" t="str">
        <f t="shared" si="336"/>
        <v>Green</v>
      </c>
      <c r="AD971" t="str">
        <f t="shared" si="337"/>
        <v>Red</v>
      </c>
    </row>
    <row r="972" spans="1:30" x14ac:dyDescent="0.2">
      <c r="A972" t="str">
        <f>L971&amp;F972&amp;G972</f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2826</v>
      </c>
      <c r="G972" t="s">
        <v>2827</v>
      </c>
      <c r="H972">
        <v>2</v>
      </c>
      <c r="I972">
        <v>0</v>
      </c>
      <c r="J972">
        <v>3</v>
      </c>
      <c r="K972">
        <v>0</v>
      </c>
      <c r="L972" s="22" t="str">
        <f t="shared" si="319"/>
        <v>25/07/2026</v>
      </c>
      <c r="M972" s="23">
        <f t="shared" si="320"/>
        <v>0.20833333333333331</v>
      </c>
      <c r="N972" t="str">
        <f t="shared" si="321"/>
        <v>3 - 0</v>
      </c>
      <c r="O972" t="str">
        <f t="shared" si="322"/>
        <v>Green</v>
      </c>
      <c r="P972" t="str">
        <f t="shared" si="323"/>
        <v>Red</v>
      </c>
      <c r="Q972" t="str">
        <f t="shared" si="324"/>
        <v>Red</v>
      </c>
      <c r="R972" t="str">
        <f t="shared" si="325"/>
        <v>Green</v>
      </c>
      <c r="S972" t="str">
        <f t="shared" si="326"/>
        <v>Red</v>
      </c>
      <c r="T972" t="str">
        <f t="shared" si="327"/>
        <v>Green</v>
      </c>
      <c r="U972" t="str">
        <f t="shared" si="328"/>
        <v>Green</v>
      </c>
      <c r="V972" t="str">
        <f t="shared" si="329"/>
        <v>Red</v>
      </c>
      <c r="W972" t="str">
        <f t="shared" si="330"/>
        <v>Red</v>
      </c>
      <c r="X972" t="str">
        <f t="shared" si="331"/>
        <v>Green</v>
      </c>
      <c r="Y972" t="str">
        <f t="shared" si="332"/>
        <v>Green</v>
      </c>
      <c r="Z972" t="str">
        <f t="shared" si="333"/>
        <v>Green</v>
      </c>
      <c r="AA972" t="str">
        <f t="shared" si="334"/>
        <v>Red</v>
      </c>
      <c r="AB972" t="str">
        <f t="shared" si="335"/>
        <v>Green</v>
      </c>
      <c r="AC972" t="str">
        <f t="shared" si="336"/>
        <v>Red</v>
      </c>
      <c r="AD972" t="str">
        <f t="shared" si="337"/>
        <v>Green</v>
      </c>
    </row>
    <row r="973" spans="1:30" x14ac:dyDescent="0.2">
      <c r="A973" t="str">
        <f>L972&amp;F973&amp;G973</f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2838</v>
      </c>
      <c r="G973" t="s">
        <v>2839</v>
      </c>
      <c r="H973">
        <v>1</v>
      </c>
      <c r="I973">
        <v>0</v>
      </c>
      <c r="J973">
        <v>2</v>
      </c>
      <c r="K973">
        <v>0</v>
      </c>
      <c r="L973" s="22" t="str">
        <f t="shared" si="319"/>
        <v>25/07/2026</v>
      </c>
      <c r="M973" s="23">
        <f t="shared" si="320"/>
        <v>0.20833333333333331</v>
      </c>
      <c r="N973" t="str">
        <f t="shared" si="321"/>
        <v>2 - 0</v>
      </c>
      <c r="O973" t="str">
        <f t="shared" si="322"/>
        <v>Green</v>
      </c>
      <c r="P973" t="str">
        <f t="shared" si="323"/>
        <v>Red</v>
      </c>
      <c r="Q973" t="str">
        <f t="shared" si="324"/>
        <v>Red</v>
      </c>
      <c r="R973" t="str">
        <f t="shared" si="325"/>
        <v>Green</v>
      </c>
      <c r="S973" t="str">
        <f t="shared" si="326"/>
        <v>Red</v>
      </c>
      <c r="T973" t="str">
        <f t="shared" si="327"/>
        <v>Green</v>
      </c>
      <c r="U973" t="str">
        <f t="shared" si="328"/>
        <v>Green</v>
      </c>
      <c r="V973" t="str">
        <f t="shared" si="329"/>
        <v>Red</v>
      </c>
      <c r="W973" t="str">
        <f t="shared" si="330"/>
        <v>Red</v>
      </c>
      <c r="X973" t="str">
        <f t="shared" si="331"/>
        <v>Green</v>
      </c>
      <c r="Y973" t="str">
        <f t="shared" si="332"/>
        <v>Green</v>
      </c>
      <c r="Z973" t="str">
        <f t="shared" si="333"/>
        <v>Red</v>
      </c>
      <c r="AA973" t="str">
        <f t="shared" si="334"/>
        <v>Green</v>
      </c>
      <c r="AB973" t="str">
        <f t="shared" si="335"/>
        <v>Green</v>
      </c>
      <c r="AC973" t="str">
        <f t="shared" si="336"/>
        <v>Red</v>
      </c>
      <c r="AD973" t="str">
        <f t="shared" si="337"/>
        <v>Green</v>
      </c>
    </row>
    <row r="974" spans="1:30" x14ac:dyDescent="0.2">
      <c r="A974" t="str">
        <f>L973&amp;F974&amp;G974</f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2887</v>
      </c>
      <c r="G974" t="s">
        <v>2888</v>
      </c>
      <c r="H974">
        <v>0</v>
      </c>
      <c r="I974">
        <v>2</v>
      </c>
      <c r="J974">
        <v>0</v>
      </c>
      <c r="K974">
        <v>2</v>
      </c>
      <c r="L974" s="22" t="str">
        <f t="shared" si="319"/>
        <v>25/07/2026</v>
      </c>
      <c r="M974" s="23">
        <f t="shared" si="320"/>
        <v>0.20833333333333331</v>
      </c>
      <c r="N974" t="str">
        <f t="shared" si="321"/>
        <v>0 - 2</v>
      </c>
      <c r="O974" t="str">
        <f t="shared" si="322"/>
        <v>Red</v>
      </c>
      <c r="P974" t="str">
        <f t="shared" si="323"/>
        <v>Red</v>
      </c>
      <c r="Q974" t="str">
        <f t="shared" si="324"/>
        <v>Green</v>
      </c>
      <c r="R974" t="str">
        <f t="shared" si="325"/>
        <v>Red</v>
      </c>
      <c r="S974" t="str">
        <f t="shared" si="326"/>
        <v>Green</v>
      </c>
      <c r="T974" t="str">
        <f t="shared" si="327"/>
        <v>Green</v>
      </c>
      <c r="U974" t="str">
        <f t="shared" si="328"/>
        <v>Red</v>
      </c>
      <c r="V974" t="str">
        <f t="shared" si="329"/>
        <v>Red</v>
      </c>
      <c r="W974" t="str">
        <f t="shared" si="330"/>
        <v>Green</v>
      </c>
      <c r="X974" t="str">
        <f t="shared" si="331"/>
        <v>Green</v>
      </c>
      <c r="Y974" t="str">
        <f t="shared" si="332"/>
        <v>Green</v>
      </c>
      <c r="Z974" t="str">
        <f t="shared" si="333"/>
        <v>Red</v>
      </c>
      <c r="AA974" t="str">
        <f t="shared" si="334"/>
        <v>Green</v>
      </c>
      <c r="AB974" t="str">
        <f t="shared" si="335"/>
        <v>Green</v>
      </c>
      <c r="AC974" t="str">
        <f t="shared" si="336"/>
        <v>Red</v>
      </c>
      <c r="AD974" t="str">
        <f t="shared" si="337"/>
        <v>Green</v>
      </c>
    </row>
    <row r="975" spans="1:30" x14ac:dyDescent="0.2">
      <c r="A975" t="str">
        <f>L974&amp;F975&amp;G975</f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2929</v>
      </c>
      <c r="G975" t="s">
        <v>2930</v>
      </c>
      <c r="H975">
        <v>0</v>
      </c>
      <c r="I975">
        <v>0</v>
      </c>
      <c r="J975">
        <v>0</v>
      </c>
      <c r="K975">
        <v>3</v>
      </c>
      <c r="L975" s="22" t="str">
        <f t="shared" si="319"/>
        <v>25/07/2026</v>
      </c>
      <c r="M975" s="23">
        <f t="shared" si="320"/>
        <v>0.20833333333333331</v>
      </c>
      <c r="N975" t="str">
        <f t="shared" si="321"/>
        <v>0 - 3</v>
      </c>
      <c r="O975" t="str">
        <f t="shared" si="322"/>
        <v>Red</v>
      </c>
      <c r="P975" t="str">
        <f t="shared" si="323"/>
        <v>Red</v>
      </c>
      <c r="Q975" t="str">
        <f t="shared" si="324"/>
        <v>Green</v>
      </c>
      <c r="R975" t="str">
        <f t="shared" si="325"/>
        <v>Red</v>
      </c>
      <c r="S975" t="str">
        <f t="shared" si="326"/>
        <v>Green</v>
      </c>
      <c r="T975" t="str">
        <f t="shared" si="327"/>
        <v>Green</v>
      </c>
      <c r="U975" t="str">
        <f t="shared" si="328"/>
        <v>Red</v>
      </c>
      <c r="V975" t="str">
        <f t="shared" si="329"/>
        <v>Green</v>
      </c>
      <c r="W975" t="str">
        <f t="shared" si="330"/>
        <v>Red</v>
      </c>
      <c r="X975" t="str">
        <f t="shared" si="331"/>
        <v>Red</v>
      </c>
      <c r="Y975" t="str">
        <f t="shared" si="332"/>
        <v>Green</v>
      </c>
      <c r="Z975" t="str">
        <f t="shared" si="333"/>
        <v>Green</v>
      </c>
      <c r="AA975" t="str">
        <f t="shared" si="334"/>
        <v>Red</v>
      </c>
      <c r="AB975" t="str">
        <f t="shared" si="335"/>
        <v>Green</v>
      </c>
      <c r="AC975" t="str">
        <f t="shared" si="336"/>
        <v>Red</v>
      </c>
      <c r="AD975" t="str">
        <f t="shared" si="337"/>
        <v>Green</v>
      </c>
    </row>
    <row r="976" spans="1:30" x14ac:dyDescent="0.2">
      <c r="A976" t="str">
        <f>L975&amp;F976&amp;G976</f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2958</v>
      </c>
      <c r="G976" t="s">
        <v>2959</v>
      </c>
      <c r="H976">
        <v>1</v>
      </c>
      <c r="I976">
        <v>1</v>
      </c>
      <c r="J976">
        <v>3</v>
      </c>
      <c r="K976">
        <v>1</v>
      </c>
      <c r="L976" s="22" t="str">
        <f t="shared" si="319"/>
        <v>25/07/2026</v>
      </c>
      <c r="M976" s="23">
        <f t="shared" si="320"/>
        <v>0.20833333333333331</v>
      </c>
      <c r="N976" t="str">
        <f t="shared" si="321"/>
        <v>3 - 1</v>
      </c>
      <c r="O976" t="str">
        <f t="shared" si="322"/>
        <v>Green</v>
      </c>
      <c r="P976" t="str">
        <f t="shared" si="323"/>
        <v>Red</v>
      </c>
      <c r="Q976" t="str">
        <f t="shared" si="324"/>
        <v>Red</v>
      </c>
      <c r="R976" t="str">
        <f t="shared" si="325"/>
        <v>Green</v>
      </c>
      <c r="S976" t="str">
        <f t="shared" si="326"/>
        <v>Red</v>
      </c>
      <c r="T976" t="str">
        <f t="shared" si="327"/>
        <v>Green</v>
      </c>
      <c r="U976" t="str">
        <f t="shared" si="328"/>
        <v>Red</v>
      </c>
      <c r="V976" t="str">
        <f t="shared" si="329"/>
        <v>Green</v>
      </c>
      <c r="W976" t="str">
        <f t="shared" si="330"/>
        <v>Red</v>
      </c>
      <c r="X976" t="str">
        <f t="shared" si="331"/>
        <v>Green</v>
      </c>
      <c r="Y976" t="str">
        <f t="shared" si="332"/>
        <v>Green</v>
      </c>
      <c r="Z976" t="str">
        <f t="shared" si="333"/>
        <v>Green</v>
      </c>
      <c r="AA976" t="str">
        <f t="shared" si="334"/>
        <v>Red</v>
      </c>
      <c r="AB976" t="str">
        <f t="shared" si="335"/>
        <v>Red</v>
      </c>
      <c r="AC976" t="str">
        <f t="shared" si="336"/>
        <v>Green</v>
      </c>
      <c r="AD976" t="str">
        <f t="shared" si="337"/>
        <v>Red</v>
      </c>
    </row>
    <row r="977" spans="1:30" x14ac:dyDescent="0.2">
      <c r="A977" t="str">
        <f>L976&amp;F977&amp;G977</f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2960</v>
      </c>
      <c r="G977" t="s">
        <v>2961</v>
      </c>
      <c r="H977">
        <v>1</v>
      </c>
      <c r="I977">
        <v>1</v>
      </c>
      <c r="J977">
        <v>3</v>
      </c>
      <c r="K977">
        <v>1</v>
      </c>
      <c r="L977" s="22" t="str">
        <f t="shared" si="319"/>
        <v>25/07/2026</v>
      </c>
      <c r="M977" s="23">
        <f t="shared" si="320"/>
        <v>0.20833333333333331</v>
      </c>
      <c r="N977" t="str">
        <f t="shared" si="321"/>
        <v>3 - 1</v>
      </c>
      <c r="O977" t="str">
        <f t="shared" si="322"/>
        <v>Green</v>
      </c>
      <c r="P977" t="str">
        <f t="shared" si="323"/>
        <v>Red</v>
      </c>
      <c r="Q977" t="str">
        <f t="shared" si="324"/>
        <v>Red</v>
      </c>
      <c r="R977" t="str">
        <f t="shared" si="325"/>
        <v>Green</v>
      </c>
      <c r="S977" t="str">
        <f t="shared" si="326"/>
        <v>Red</v>
      </c>
      <c r="T977" t="str">
        <f t="shared" si="327"/>
        <v>Green</v>
      </c>
      <c r="U977" t="str">
        <f t="shared" si="328"/>
        <v>Red</v>
      </c>
      <c r="V977" t="str">
        <f t="shared" si="329"/>
        <v>Green</v>
      </c>
      <c r="W977" t="str">
        <f t="shared" si="330"/>
        <v>Red</v>
      </c>
      <c r="X977" t="str">
        <f t="shared" si="331"/>
        <v>Green</v>
      </c>
      <c r="Y977" t="str">
        <f t="shared" si="332"/>
        <v>Green</v>
      </c>
      <c r="Z977" t="str">
        <f t="shared" si="333"/>
        <v>Green</v>
      </c>
      <c r="AA977" t="str">
        <f t="shared" si="334"/>
        <v>Red</v>
      </c>
      <c r="AB977" t="str">
        <f t="shared" si="335"/>
        <v>Red</v>
      </c>
      <c r="AC977" t="str">
        <f t="shared" si="336"/>
        <v>Green</v>
      </c>
      <c r="AD977" t="str">
        <f t="shared" si="337"/>
        <v>Red</v>
      </c>
    </row>
    <row r="978" spans="1:30" x14ac:dyDescent="0.2">
      <c r="A978" t="str">
        <f>L977&amp;F978&amp;G978</f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19"/>
        <v>25/07/2026</v>
      </c>
      <c r="M978" s="23">
        <f t="shared" si="320"/>
        <v>0.20833333333333331</v>
      </c>
      <c r="N978" t="str">
        <f t="shared" si="321"/>
        <v>0 - 1</v>
      </c>
      <c r="O978" t="str">
        <f t="shared" si="322"/>
        <v>Red</v>
      </c>
      <c r="P978" t="str">
        <f t="shared" si="323"/>
        <v>Red</v>
      </c>
      <c r="Q978" t="str">
        <f t="shared" si="324"/>
        <v>Green</v>
      </c>
      <c r="R978" t="str">
        <f t="shared" si="325"/>
        <v>Red</v>
      </c>
      <c r="S978" t="str">
        <f t="shared" si="326"/>
        <v>Green</v>
      </c>
      <c r="T978" t="str">
        <f t="shared" si="327"/>
        <v>Green</v>
      </c>
      <c r="U978" t="str">
        <f t="shared" si="328"/>
        <v>Red</v>
      </c>
      <c r="V978" t="str">
        <f t="shared" si="329"/>
        <v>Red</v>
      </c>
      <c r="W978" t="str">
        <f t="shared" si="330"/>
        <v>Green</v>
      </c>
      <c r="X978" t="str">
        <f t="shared" si="331"/>
        <v>Green</v>
      </c>
      <c r="Y978" t="str">
        <f t="shared" si="332"/>
        <v>Red</v>
      </c>
      <c r="Z978" t="str">
        <f t="shared" si="333"/>
        <v>Red</v>
      </c>
      <c r="AA978" t="str">
        <f t="shared" si="334"/>
        <v>Green</v>
      </c>
      <c r="AB978" t="str">
        <f t="shared" si="335"/>
        <v>Green</v>
      </c>
      <c r="AC978" t="str">
        <f t="shared" si="336"/>
        <v>Red</v>
      </c>
      <c r="AD978" t="str">
        <f t="shared" si="337"/>
        <v>Green</v>
      </c>
    </row>
    <row r="979" spans="1:30" x14ac:dyDescent="0.2">
      <c r="A979" t="str">
        <f>L978&amp;F979&amp;G979</f>
        <v>25/07/2026Gyeongju KHNPSiheung Citizen</v>
      </c>
      <c r="D979" s="2">
        <v>46228</v>
      </c>
      <c r="E979" s="3">
        <v>0.33333333333333331</v>
      </c>
      <c r="F979" t="s">
        <v>3648</v>
      </c>
      <c r="G979" t="s">
        <v>3649</v>
      </c>
      <c r="H979">
        <v>0</v>
      </c>
      <c r="I979">
        <v>0</v>
      </c>
      <c r="J979">
        <v>1</v>
      </c>
      <c r="K979">
        <v>0</v>
      </c>
      <c r="L979" s="22" t="str">
        <f t="shared" si="319"/>
        <v>25/07/2026</v>
      </c>
      <c r="M979" s="23">
        <f t="shared" si="320"/>
        <v>0.20833333333333331</v>
      </c>
      <c r="N979" t="str">
        <f t="shared" si="321"/>
        <v>1 - 0</v>
      </c>
      <c r="O979" t="str">
        <f t="shared" si="322"/>
        <v>Green</v>
      </c>
      <c r="P979" t="str">
        <f t="shared" si="323"/>
        <v>Red</v>
      </c>
      <c r="Q979" t="str">
        <f t="shared" si="324"/>
        <v>Red</v>
      </c>
      <c r="R979" t="str">
        <f t="shared" si="325"/>
        <v>Green</v>
      </c>
      <c r="S979" t="str">
        <f t="shared" si="326"/>
        <v>Red</v>
      </c>
      <c r="T979" t="str">
        <f t="shared" si="327"/>
        <v>Green</v>
      </c>
      <c r="U979" t="str">
        <f t="shared" si="328"/>
        <v>Red</v>
      </c>
      <c r="V979" t="str">
        <f t="shared" si="329"/>
        <v>Green</v>
      </c>
      <c r="W979" t="str">
        <f t="shared" si="330"/>
        <v>Red</v>
      </c>
      <c r="X979" t="str">
        <f t="shared" si="331"/>
        <v>Red</v>
      </c>
      <c r="Y979" t="str">
        <f t="shared" si="332"/>
        <v>Red</v>
      </c>
      <c r="Z979" t="str">
        <f t="shared" si="333"/>
        <v>Red</v>
      </c>
      <c r="AA979" t="str">
        <f t="shared" si="334"/>
        <v>Green</v>
      </c>
      <c r="AB979" t="str">
        <f t="shared" si="335"/>
        <v>Green</v>
      </c>
      <c r="AC979" t="str">
        <f t="shared" si="336"/>
        <v>Red</v>
      </c>
      <c r="AD979" t="str">
        <f t="shared" si="337"/>
        <v>Green</v>
      </c>
    </row>
    <row r="980" spans="1:30" x14ac:dyDescent="0.2">
      <c r="A980" t="str">
        <f>L979&amp;F980&amp;G980</f>
        <v>25/07/2026EldenseAl Ettifaq</v>
      </c>
      <c r="D980" s="2">
        <v>46228</v>
      </c>
      <c r="E980" s="3">
        <v>0.33333333333333331</v>
      </c>
      <c r="F980" t="s">
        <v>1809</v>
      </c>
      <c r="G980" t="s">
        <v>2674</v>
      </c>
      <c r="H980">
        <v>3</v>
      </c>
      <c r="I980">
        <v>1</v>
      </c>
      <c r="J980">
        <v>3</v>
      </c>
      <c r="K980">
        <v>1</v>
      </c>
      <c r="L980" s="22" t="str">
        <f t="shared" si="319"/>
        <v>25/07/2026</v>
      </c>
      <c r="M980" s="23">
        <f t="shared" si="320"/>
        <v>0.20833333333333331</v>
      </c>
      <c r="N980" t="str">
        <f t="shared" si="321"/>
        <v>3 - 1</v>
      </c>
      <c r="O980" t="str">
        <f t="shared" si="322"/>
        <v>Green</v>
      </c>
      <c r="P980" t="str">
        <f t="shared" si="323"/>
        <v>Red</v>
      </c>
      <c r="Q980" t="str">
        <f t="shared" si="324"/>
        <v>Red</v>
      </c>
      <c r="R980" t="str">
        <f t="shared" si="325"/>
        <v>Green</v>
      </c>
      <c r="S980" t="str">
        <f t="shared" si="326"/>
        <v>Red</v>
      </c>
      <c r="T980" t="str">
        <f t="shared" si="327"/>
        <v>Green</v>
      </c>
      <c r="U980" t="str">
        <f t="shared" si="328"/>
        <v>Green</v>
      </c>
      <c r="V980" t="str">
        <f t="shared" si="329"/>
        <v>Red</v>
      </c>
      <c r="W980" t="str">
        <f t="shared" si="330"/>
        <v>Red</v>
      </c>
      <c r="X980" t="str">
        <f t="shared" si="331"/>
        <v>Green</v>
      </c>
      <c r="Y980" t="str">
        <f t="shared" si="332"/>
        <v>Green</v>
      </c>
      <c r="Z980" t="str">
        <f t="shared" si="333"/>
        <v>Green</v>
      </c>
      <c r="AA980" t="str">
        <f t="shared" si="334"/>
        <v>Red</v>
      </c>
      <c r="AB980" t="str">
        <f t="shared" si="335"/>
        <v>Red</v>
      </c>
      <c r="AC980" t="str">
        <f t="shared" si="336"/>
        <v>Green</v>
      </c>
      <c r="AD980" t="str">
        <f t="shared" si="337"/>
        <v>Red</v>
      </c>
    </row>
    <row r="981" spans="1:30" x14ac:dyDescent="0.2">
      <c r="A981" t="str">
        <f>L980&amp;F981&amp;G981</f>
        <v>25/07/2026Matsumoto Yamaga Ventforet Kofu</v>
      </c>
      <c r="D981" s="2">
        <v>46228</v>
      </c>
      <c r="E981" s="3">
        <v>0.33333333333333331</v>
      </c>
      <c r="F981" t="s">
        <v>3742</v>
      </c>
      <c r="G981" t="s">
        <v>3743</v>
      </c>
      <c r="H981">
        <v>2</v>
      </c>
      <c r="I981">
        <v>0</v>
      </c>
      <c r="J981">
        <v>3</v>
      </c>
      <c r="K981">
        <v>0</v>
      </c>
      <c r="L981" s="22" t="str">
        <f t="shared" si="319"/>
        <v>25/07/2026</v>
      </c>
      <c r="M981" s="23">
        <f t="shared" si="320"/>
        <v>0.20833333333333331</v>
      </c>
      <c r="N981" t="str">
        <f t="shared" si="321"/>
        <v>3 - 0</v>
      </c>
      <c r="O981" t="str">
        <f t="shared" si="322"/>
        <v>Green</v>
      </c>
      <c r="P981" t="str">
        <f t="shared" si="323"/>
        <v>Red</v>
      </c>
      <c r="Q981" t="str">
        <f t="shared" si="324"/>
        <v>Red</v>
      </c>
      <c r="R981" t="str">
        <f t="shared" si="325"/>
        <v>Green</v>
      </c>
      <c r="S981" t="str">
        <f t="shared" si="326"/>
        <v>Red</v>
      </c>
      <c r="T981" t="str">
        <f t="shared" si="327"/>
        <v>Green</v>
      </c>
      <c r="U981" t="str">
        <f t="shared" si="328"/>
        <v>Green</v>
      </c>
      <c r="V981" t="str">
        <f t="shared" si="329"/>
        <v>Red</v>
      </c>
      <c r="W981" t="str">
        <f t="shared" si="330"/>
        <v>Red</v>
      </c>
      <c r="X981" t="str">
        <f t="shared" si="331"/>
        <v>Green</v>
      </c>
      <c r="Y981" t="str">
        <f t="shared" si="332"/>
        <v>Green</v>
      </c>
      <c r="Z981" t="str">
        <f t="shared" si="333"/>
        <v>Green</v>
      </c>
      <c r="AA981" t="str">
        <f t="shared" si="334"/>
        <v>Red</v>
      </c>
      <c r="AB981" t="str">
        <f t="shared" si="335"/>
        <v>Green</v>
      </c>
      <c r="AC981" t="str">
        <f t="shared" si="336"/>
        <v>Red</v>
      </c>
      <c r="AD981" t="str">
        <f t="shared" si="337"/>
        <v>Green</v>
      </c>
    </row>
    <row r="982" spans="1:30" x14ac:dyDescent="0.2">
      <c r="A982" t="str">
        <f>L981&amp;F982&amp;G982</f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19"/>
        <v>25/07/2026</v>
      </c>
      <c r="M982" s="23">
        <f t="shared" si="320"/>
        <v>0.20833333333333331</v>
      </c>
      <c r="N982" t="str">
        <f t="shared" si="321"/>
        <v>0 - 1</v>
      </c>
      <c r="O982" t="str">
        <f t="shared" si="322"/>
        <v>Red</v>
      </c>
      <c r="P982" t="str">
        <f t="shared" si="323"/>
        <v>Red</v>
      </c>
      <c r="Q982" t="str">
        <f t="shared" si="324"/>
        <v>Green</v>
      </c>
      <c r="R982" t="str">
        <f t="shared" si="325"/>
        <v>Red</v>
      </c>
      <c r="S982" t="str">
        <f t="shared" si="326"/>
        <v>Green</v>
      </c>
      <c r="T982" t="str">
        <f t="shared" si="327"/>
        <v>Green</v>
      </c>
      <c r="U982" t="str">
        <f t="shared" si="328"/>
        <v>Red</v>
      </c>
      <c r="V982" t="str">
        <f t="shared" si="329"/>
        <v>Red</v>
      </c>
      <c r="W982" t="str">
        <f t="shared" si="330"/>
        <v>Green</v>
      </c>
      <c r="X982" t="str">
        <f t="shared" si="331"/>
        <v>Green</v>
      </c>
      <c r="Y982" t="str">
        <f t="shared" si="332"/>
        <v>Red</v>
      </c>
      <c r="Z982" t="str">
        <f t="shared" si="333"/>
        <v>Red</v>
      </c>
      <c r="AA982" t="str">
        <f t="shared" si="334"/>
        <v>Green</v>
      </c>
      <c r="AB982" t="str">
        <f t="shared" si="335"/>
        <v>Green</v>
      </c>
      <c r="AC982" t="str">
        <f t="shared" si="336"/>
        <v>Red</v>
      </c>
      <c r="AD982" t="str">
        <f t="shared" si="337"/>
        <v>Green</v>
      </c>
    </row>
    <row r="983" spans="1:30" x14ac:dyDescent="0.2">
      <c r="A983" t="str">
        <f>L982&amp;F983&amp;G983</f>
        <v>25/07/2026NK Radnik-KrizevciNK Jarun</v>
      </c>
      <c r="D983" s="2">
        <v>46228</v>
      </c>
      <c r="E983" s="3">
        <v>0.33333333333333331</v>
      </c>
      <c r="F983" t="s">
        <v>3744</v>
      </c>
      <c r="G983" t="s">
        <v>3745</v>
      </c>
      <c r="H983">
        <v>1</v>
      </c>
      <c r="I983">
        <v>0</v>
      </c>
      <c r="J983">
        <v>1</v>
      </c>
      <c r="K983">
        <v>1</v>
      </c>
      <c r="L983" s="22" t="str">
        <f t="shared" si="319"/>
        <v>25/07/2026</v>
      </c>
      <c r="M983" s="23">
        <f t="shared" si="320"/>
        <v>0.20833333333333331</v>
      </c>
      <c r="N983" t="str">
        <f t="shared" si="321"/>
        <v>1 - 1</v>
      </c>
      <c r="O983" t="str">
        <f t="shared" si="322"/>
        <v>Red</v>
      </c>
      <c r="P983" t="str">
        <f t="shared" si="323"/>
        <v>Green</v>
      </c>
      <c r="Q983" t="str">
        <f t="shared" si="324"/>
        <v>Red</v>
      </c>
      <c r="R983" t="str">
        <f t="shared" si="325"/>
        <v>Green</v>
      </c>
      <c r="S983" t="str">
        <f t="shared" si="326"/>
        <v>Green</v>
      </c>
      <c r="T983" t="str">
        <f t="shared" si="327"/>
        <v>Red</v>
      </c>
      <c r="U983" t="str">
        <f t="shared" si="328"/>
        <v>Green</v>
      </c>
      <c r="V983" t="str">
        <f t="shared" si="329"/>
        <v>Red</v>
      </c>
      <c r="W983" t="str">
        <f t="shared" si="330"/>
        <v>Red</v>
      </c>
      <c r="X983" t="str">
        <f t="shared" si="331"/>
        <v>Green</v>
      </c>
      <c r="Y983" t="str">
        <f t="shared" si="332"/>
        <v>Green</v>
      </c>
      <c r="Z983" t="str">
        <f t="shared" si="333"/>
        <v>Red</v>
      </c>
      <c r="AA983" t="str">
        <f t="shared" si="334"/>
        <v>Green</v>
      </c>
      <c r="AB983" t="str">
        <f t="shared" si="335"/>
        <v>Green</v>
      </c>
      <c r="AC983" t="str">
        <f t="shared" si="336"/>
        <v>Green</v>
      </c>
      <c r="AD983" t="str">
        <f t="shared" si="337"/>
        <v>Red</v>
      </c>
    </row>
    <row r="984" spans="1:30" x14ac:dyDescent="0.2">
      <c r="A984" t="str">
        <f>L983&amp;F984&amp;G984</f>
        <v>25/07/2026SD HuescaPetro Luanda</v>
      </c>
      <c r="D984" s="2">
        <v>46228</v>
      </c>
      <c r="E984" s="3">
        <v>0.33333333333333331</v>
      </c>
      <c r="F984" t="s">
        <v>3746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19"/>
        <v>25/07/2026</v>
      </c>
      <c r="M984" s="23">
        <f t="shared" si="320"/>
        <v>0.20833333333333331</v>
      </c>
      <c r="N984" t="str">
        <f t="shared" si="321"/>
        <v>1 - 0</v>
      </c>
      <c r="O984" t="str">
        <f t="shared" si="322"/>
        <v>Green</v>
      </c>
      <c r="P984" t="str">
        <f t="shared" si="323"/>
        <v>Red</v>
      </c>
      <c r="Q984" t="str">
        <f t="shared" si="324"/>
        <v>Red</v>
      </c>
      <c r="R984" t="str">
        <f t="shared" si="325"/>
        <v>Green</v>
      </c>
      <c r="S984" t="str">
        <f t="shared" si="326"/>
        <v>Red</v>
      </c>
      <c r="T984" t="str">
        <f t="shared" si="327"/>
        <v>Green</v>
      </c>
      <c r="U984" t="str">
        <f t="shared" si="328"/>
        <v>Green</v>
      </c>
      <c r="V984" t="str">
        <f t="shared" si="329"/>
        <v>Red</v>
      </c>
      <c r="W984" t="str">
        <f t="shared" si="330"/>
        <v>Red</v>
      </c>
      <c r="X984" t="str">
        <f t="shared" si="331"/>
        <v>Green</v>
      </c>
      <c r="Y984" t="str">
        <f t="shared" si="332"/>
        <v>Red</v>
      </c>
      <c r="Z984" t="str">
        <f t="shared" si="333"/>
        <v>Red</v>
      </c>
      <c r="AA984" t="str">
        <f t="shared" si="334"/>
        <v>Green</v>
      </c>
      <c r="AB984" t="str">
        <f t="shared" si="335"/>
        <v>Green</v>
      </c>
      <c r="AC984" t="str">
        <f t="shared" si="336"/>
        <v>Red</v>
      </c>
      <c r="AD984" t="str">
        <f t="shared" si="337"/>
        <v>Green</v>
      </c>
    </row>
    <row r="985" spans="1:30" x14ac:dyDescent="0.2">
      <c r="A985" t="str">
        <f>L984&amp;F985&amp;G985</f>
        <v>25/07/2026SK Aritma PrahaBenatky Nad Jizerou</v>
      </c>
      <c r="D985" s="2">
        <v>46228</v>
      </c>
      <c r="E985" s="3">
        <v>0.33333333333333331</v>
      </c>
      <c r="F985" t="s">
        <v>3747</v>
      </c>
      <c r="G985" t="s">
        <v>3748</v>
      </c>
      <c r="H985">
        <v>0</v>
      </c>
      <c r="I985">
        <v>0</v>
      </c>
      <c r="J985">
        <v>1</v>
      </c>
      <c r="K985">
        <v>0</v>
      </c>
      <c r="L985" s="22" t="str">
        <f t="shared" si="319"/>
        <v>25/07/2026</v>
      </c>
      <c r="M985" s="23">
        <f t="shared" si="320"/>
        <v>0.20833333333333331</v>
      </c>
      <c r="N985" t="str">
        <f t="shared" si="321"/>
        <v>1 - 0</v>
      </c>
      <c r="O985" t="str">
        <f t="shared" si="322"/>
        <v>Green</v>
      </c>
      <c r="P985" t="str">
        <f t="shared" si="323"/>
        <v>Red</v>
      </c>
      <c r="Q985" t="str">
        <f t="shared" si="324"/>
        <v>Red</v>
      </c>
      <c r="R985" t="str">
        <f t="shared" si="325"/>
        <v>Green</v>
      </c>
      <c r="S985" t="str">
        <f t="shared" si="326"/>
        <v>Red</v>
      </c>
      <c r="T985" t="str">
        <f t="shared" si="327"/>
        <v>Green</v>
      </c>
      <c r="U985" t="str">
        <f t="shared" si="328"/>
        <v>Red</v>
      </c>
      <c r="V985" t="str">
        <f t="shared" si="329"/>
        <v>Green</v>
      </c>
      <c r="W985" t="str">
        <f t="shared" si="330"/>
        <v>Red</v>
      </c>
      <c r="X985" t="str">
        <f t="shared" si="331"/>
        <v>Red</v>
      </c>
      <c r="Y985" t="str">
        <f t="shared" si="332"/>
        <v>Red</v>
      </c>
      <c r="Z985" t="str">
        <f t="shared" si="333"/>
        <v>Red</v>
      </c>
      <c r="AA985" t="str">
        <f t="shared" si="334"/>
        <v>Green</v>
      </c>
      <c r="AB985" t="str">
        <f t="shared" si="335"/>
        <v>Green</v>
      </c>
      <c r="AC985" t="str">
        <f t="shared" si="336"/>
        <v>Red</v>
      </c>
      <c r="AD985" t="str">
        <f t="shared" si="337"/>
        <v>Green</v>
      </c>
    </row>
    <row r="986" spans="1:30" x14ac:dyDescent="0.2">
      <c r="A986" t="str">
        <f>L985&amp;F986&amp;G986</f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3749</v>
      </c>
      <c r="H986">
        <v>2</v>
      </c>
      <c r="I986">
        <v>1</v>
      </c>
      <c r="J986">
        <v>2</v>
      </c>
      <c r="K986">
        <v>1</v>
      </c>
      <c r="L986" s="22" t="str">
        <f t="shared" si="319"/>
        <v>25/07/2026</v>
      </c>
      <c r="M986" s="23">
        <f t="shared" si="320"/>
        <v>0.20833333333333331</v>
      </c>
      <c r="N986" t="str">
        <f t="shared" si="321"/>
        <v>2 - 1</v>
      </c>
      <c r="O986" t="str">
        <f t="shared" si="322"/>
        <v>Green</v>
      </c>
      <c r="P986" t="str">
        <f t="shared" si="323"/>
        <v>Red</v>
      </c>
      <c r="Q986" t="str">
        <f t="shared" si="324"/>
        <v>Red</v>
      </c>
      <c r="R986" t="str">
        <f t="shared" si="325"/>
        <v>Green</v>
      </c>
      <c r="S986" t="str">
        <f t="shared" si="326"/>
        <v>Red</v>
      </c>
      <c r="T986" t="str">
        <f t="shared" si="327"/>
        <v>Green</v>
      </c>
      <c r="U986" t="str">
        <f t="shared" si="328"/>
        <v>Green</v>
      </c>
      <c r="V986" t="str">
        <f t="shared" si="329"/>
        <v>Red</v>
      </c>
      <c r="W986" t="str">
        <f t="shared" si="330"/>
        <v>Red</v>
      </c>
      <c r="X986" t="str">
        <f t="shared" si="331"/>
        <v>Green</v>
      </c>
      <c r="Y986" t="str">
        <f t="shared" si="332"/>
        <v>Green</v>
      </c>
      <c r="Z986" t="str">
        <f t="shared" si="333"/>
        <v>Green</v>
      </c>
      <c r="AA986" t="str">
        <f t="shared" si="334"/>
        <v>Red</v>
      </c>
      <c r="AB986" t="str">
        <f t="shared" si="335"/>
        <v>Green</v>
      </c>
      <c r="AC986" t="str">
        <f t="shared" si="336"/>
        <v>Green</v>
      </c>
      <c r="AD986" t="str">
        <f t="shared" si="337"/>
        <v>Red</v>
      </c>
    </row>
    <row r="987" spans="1:30" x14ac:dyDescent="0.2">
      <c r="A987" t="str">
        <f>L986&amp;F987&amp;G987</f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2810</v>
      </c>
      <c r="H987">
        <v>0</v>
      </c>
      <c r="I987">
        <v>0</v>
      </c>
      <c r="J987">
        <v>1</v>
      </c>
      <c r="K987">
        <v>1</v>
      </c>
      <c r="L987" s="22" t="str">
        <f t="shared" si="319"/>
        <v>25/07/2026</v>
      </c>
      <c r="M987" s="23">
        <f t="shared" si="320"/>
        <v>0.21875</v>
      </c>
      <c r="N987" t="str">
        <f t="shared" si="321"/>
        <v>1 - 1</v>
      </c>
      <c r="O987" t="str">
        <f t="shared" si="322"/>
        <v>Red</v>
      </c>
      <c r="P987" t="str">
        <f t="shared" si="323"/>
        <v>Green</v>
      </c>
      <c r="Q987" t="str">
        <f t="shared" si="324"/>
        <v>Red</v>
      </c>
      <c r="R987" t="str">
        <f t="shared" si="325"/>
        <v>Green</v>
      </c>
      <c r="S987" t="str">
        <f t="shared" si="326"/>
        <v>Green</v>
      </c>
      <c r="T987" t="str">
        <f t="shared" si="327"/>
        <v>Red</v>
      </c>
      <c r="U987" t="str">
        <f t="shared" si="328"/>
        <v>Red</v>
      </c>
      <c r="V987" t="str">
        <f t="shared" si="329"/>
        <v>Green</v>
      </c>
      <c r="W987" t="str">
        <f t="shared" si="330"/>
        <v>Red</v>
      </c>
      <c r="X987" t="str">
        <f t="shared" si="331"/>
        <v>Red</v>
      </c>
      <c r="Y987" t="str">
        <f t="shared" si="332"/>
        <v>Green</v>
      </c>
      <c r="Z987" t="str">
        <f t="shared" si="333"/>
        <v>Red</v>
      </c>
      <c r="AA987" t="str">
        <f t="shared" si="334"/>
        <v>Green</v>
      </c>
      <c r="AB987" t="str">
        <f t="shared" si="335"/>
        <v>Green</v>
      </c>
      <c r="AC987" t="str">
        <f t="shared" si="336"/>
        <v>Green</v>
      </c>
      <c r="AD987" t="str">
        <f t="shared" si="337"/>
        <v>Red</v>
      </c>
    </row>
    <row r="988" spans="1:30" x14ac:dyDescent="0.2">
      <c r="A988" t="str">
        <f>L987&amp;F988&amp;G988</f>
        <v>25/07/2026Altona CityWhittlesea United SC</v>
      </c>
      <c r="B988" t="s">
        <v>810</v>
      </c>
      <c r="D988" s="2">
        <v>46228</v>
      </c>
      <c r="E988" s="3">
        <v>0.34375</v>
      </c>
      <c r="F988" t="s">
        <v>2832</v>
      </c>
      <c r="G988" t="s">
        <v>2833</v>
      </c>
      <c r="H988">
        <v>0</v>
      </c>
      <c r="I988">
        <v>0</v>
      </c>
      <c r="J988">
        <v>0</v>
      </c>
      <c r="K988">
        <v>0</v>
      </c>
      <c r="L988" s="22" t="str">
        <f t="shared" si="319"/>
        <v>25/07/2026</v>
      </c>
      <c r="M988" s="23">
        <f t="shared" si="320"/>
        <v>0.21875</v>
      </c>
      <c r="N988" t="str">
        <f t="shared" si="321"/>
        <v>0 - 0</v>
      </c>
      <c r="O988" t="str">
        <f t="shared" si="322"/>
        <v>Red</v>
      </c>
      <c r="P988" t="str">
        <f t="shared" si="323"/>
        <v>Green</v>
      </c>
      <c r="Q988" t="str">
        <f t="shared" si="324"/>
        <v>Red</v>
      </c>
      <c r="R988" t="str">
        <f t="shared" si="325"/>
        <v>Green</v>
      </c>
      <c r="S988" t="str">
        <f t="shared" si="326"/>
        <v>Green</v>
      </c>
      <c r="T988" t="str">
        <f t="shared" si="327"/>
        <v>Red</v>
      </c>
      <c r="U988" t="str">
        <f t="shared" si="328"/>
        <v>Red</v>
      </c>
      <c r="V988" t="str">
        <f t="shared" si="329"/>
        <v>Green</v>
      </c>
      <c r="W988" t="str">
        <f t="shared" si="330"/>
        <v>Red</v>
      </c>
      <c r="X988" t="str">
        <f t="shared" si="331"/>
        <v>Red</v>
      </c>
      <c r="Y988" t="str">
        <f t="shared" si="332"/>
        <v>Red</v>
      </c>
      <c r="Z988" t="str">
        <f t="shared" si="333"/>
        <v>Red</v>
      </c>
      <c r="AA988" t="str">
        <f t="shared" si="334"/>
        <v>Green</v>
      </c>
      <c r="AB988" t="str">
        <f t="shared" si="335"/>
        <v>Green</v>
      </c>
      <c r="AC988" t="str">
        <f t="shared" si="336"/>
        <v>Red</v>
      </c>
      <c r="AD988" t="str">
        <f t="shared" si="337"/>
        <v>Green</v>
      </c>
    </row>
    <row r="989" spans="1:30" x14ac:dyDescent="0.2">
      <c r="A989" t="str">
        <f>L988&amp;F989&amp;G989</f>
        <v>25/07/2026FC VratimovMFK Havirov</v>
      </c>
      <c r="D989" s="2">
        <v>46228</v>
      </c>
      <c r="E989" s="3">
        <v>0.34375</v>
      </c>
      <c r="F989" t="s">
        <v>3166</v>
      </c>
      <c r="G989" t="s">
        <v>3167</v>
      </c>
      <c r="H989">
        <v>0</v>
      </c>
      <c r="I989">
        <v>0</v>
      </c>
      <c r="J989">
        <v>1</v>
      </c>
      <c r="K989">
        <v>1</v>
      </c>
      <c r="L989" s="22" t="str">
        <f t="shared" si="319"/>
        <v>25/07/2026</v>
      </c>
      <c r="M989" s="23">
        <f t="shared" si="320"/>
        <v>0.21875</v>
      </c>
      <c r="N989" t="str">
        <f t="shared" si="321"/>
        <v>1 - 1</v>
      </c>
      <c r="O989" t="str">
        <f t="shared" si="322"/>
        <v>Red</v>
      </c>
      <c r="P989" t="str">
        <f t="shared" si="323"/>
        <v>Green</v>
      </c>
      <c r="Q989" t="str">
        <f t="shared" si="324"/>
        <v>Red</v>
      </c>
      <c r="R989" t="str">
        <f t="shared" si="325"/>
        <v>Green</v>
      </c>
      <c r="S989" t="str">
        <f t="shared" si="326"/>
        <v>Green</v>
      </c>
      <c r="T989" t="str">
        <f t="shared" si="327"/>
        <v>Red</v>
      </c>
      <c r="U989" t="str">
        <f t="shared" si="328"/>
        <v>Red</v>
      </c>
      <c r="V989" t="str">
        <f t="shared" si="329"/>
        <v>Green</v>
      </c>
      <c r="W989" t="str">
        <f t="shared" si="330"/>
        <v>Red</v>
      </c>
      <c r="X989" t="str">
        <f t="shared" si="331"/>
        <v>Red</v>
      </c>
      <c r="Y989" t="str">
        <f t="shared" si="332"/>
        <v>Green</v>
      </c>
      <c r="Z989" t="str">
        <f t="shared" si="333"/>
        <v>Red</v>
      </c>
      <c r="AA989" t="str">
        <f t="shared" si="334"/>
        <v>Green</v>
      </c>
      <c r="AB989" t="str">
        <f t="shared" si="335"/>
        <v>Green</v>
      </c>
      <c r="AC989" t="str">
        <f t="shared" si="336"/>
        <v>Green</v>
      </c>
      <c r="AD989" t="str">
        <f t="shared" si="337"/>
        <v>Red</v>
      </c>
    </row>
    <row r="990" spans="1:30" x14ac:dyDescent="0.2">
      <c r="A990" t="str">
        <f>L989&amp;F990&amp;G990</f>
        <v>25/07/2026TJ Tatran BohuniceCSK Uhersky Brod</v>
      </c>
      <c r="D990" s="2">
        <v>46228</v>
      </c>
      <c r="E990" s="3">
        <v>0.34375</v>
      </c>
      <c r="F990" t="s">
        <v>3168</v>
      </c>
      <c r="G990" t="s">
        <v>3169</v>
      </c>
      <c r="H990">
        <v>0</v>
      </c>
      <c r="I990">
        <v>0</v>
      </c>
      <c r="J990">
        <v>1</v>
      </c>
      <c r="K990">
        <v>1</v>
      </c>
      <c r="L990" s="22" t="str">
        <f t="shared" si="319"/>
        <v>25/07/2026</v>
      </c>
      <c r="M990" s="23">
        <f t="shared" si="320"/>
        <v>0.21875</v>
      </c>
      <c r="N990" t="str">
        <f t="shared" si="321"/>
        <v>1 - 1</v>
      </c>
      <c r="O990" t="str">
        <f t="shared" si="322"/>
        <v>Red</v>
      </c>
      <c r="P990" t="str">
        <f t="shared" si="323"/>
        <v>Green</v>
      </c>
      <c r="Q990" t="str">
        <f t="shared" si="324"/>
        <v>Red</v>
      </c>
      <c r="R990" t="str">
        <f t="shared" si="325"/>
        <v>Green</v>
      </c>
      <c r="S990" t="str">
        <f t="shared" si="326"/>
        <v>Green</v>
      </c>
      <c r="T990" t="str">
        <f t="shared" si="327"/>
        <v>Red</v>
      </c>
      <c r="U990" t="str">
        <f t="shared" si="328"/>
        <v>Red</v>
      </c>
      <c r="V990" t="str">
        <f t="shared" si="329"/>
        <v>Green</v>
      </c>
      <c r="W990" t="str">
        <f t="shared" si="330"/>
        <v>Red</v>
      </c>
      <c r="X990" t="str">
        <f t="shared" si="331"/>
        <v>Red</v>
      </c>
      <c r="Y990" t="str">
        <f t="shared" si="332"/>
        <v>Green</v>
      </c>
      <c r="Z990" t="str">
        <f t="shared" si="333"/>
        <v>Red</v>
      </c>
      <c r="AA990" t="str">
        <f t="shared" si="334"/>
        <v>Green</v>
      </c>
      <c r="AB990" t="str">
        <f t="shared" si="335"/>
        <v>Green</v>
      </c>
      <c r="AC990" t="str">
        <f t="shared" si="336"/>
        <v>Green</v>
      </c>
      <c r="AD990" t="str">
        <f t="shared" si="337"/>
        <v>Red</v>
      </c>
    </row>
    <row r="991" spans="1:30" x14ac:dyDescent="0.2">
      <c r="A991" t="str">
        <f>L990&amp;F991&amp;G991</f>
        <v>25/07/2026FC HlinskoUsti Nad Orlici</v>
      </c>
      <c r="D991" s="2">
        <v>46228</v>
      </c>
      <c r="E991" s="3">
        <v>0.34375</v>
      </c>
      <c r="F991" t="s">
        <v>3750</v>
      </c>
      <c r="G991" t="s">
        <v>3751</v>
      </c>
      <c r="H991">
        <v>0</v>
      </c>
      <c r="I991">
        <v>3</v>
      </c>
      <c r="J991">
        <v>2</v>
      </c>
      <c r="K991">
        <v>4</v>
      </c>
      <c r="L991" s="22" t="str">
        <f t="shared" si="319"/>
        <v>25/07/2026</v>
      </c>
      <c r="M991" s="23">
        <f t="shared" si="320"/>
        <v>0.21875</v>
      </c>
      <c r="N991" t="str">
        <f t="shared" si="321"/>
        <v>2 - 4</v>
      </c>
      <c r="O991" t="str">
        <f t="shared" si="322"/>
        <v>Red</v>
      </c>
      <c r="P991" t="str">
        <f t="shared" si="323"/>
        <v>Red</v>
      </c>
      <c r="Q991" t="str">
        <f t="shared" si="324"/>
        <v>Green</v>
      </c>
      <c r="R991" t="str">
        <f t="shared" si="325"/>
        <v>Red</v>
      </c>
      <c r="S991" t="str">
        <f t="shared" si="326"/>
        <v>Green</v>
      </c>
      <c r="T991" t="str">
        <f t="shared" si="327"/>
        <v>Green</v>
      </c>
      <c r="U991" t="str">
        <f t="shared" si="328"/>
        <v>Red</v>
      </c>
      <c r="V991" t="str">
        <f t="shared" si="329"/>
        <v>Red</v>
      </c>
      <c r="W991" t="str">
        <f t="shared" si="330"/>
        <v>Green</v>
      </c>
      <c r="X991" t="str">
        <f t="shared" si="331"/>
        <v>Green</v>
      </c>
      <c r="Y991" t="str">
        <f t="shared" si="332"/>
        <v>Green</v>
      </c>
      <c r="Z991" t="str">
        <f t="shared" si="333"/>
        <v>Green</v>
      </c>
      <c r="AA991" t="str">
        <f t="shared" si="334"/>
        <v>Red</v>
      </c>
      <c r="AB991" t="str">
        <f t="shared" si="335"/>
        <v>Red</v>
      </c>
      <c r="AC991" t="str">
        <f t="shared" si="336"/>
        <v>Green</v>
      </c>
      <c r="AD991" t="str">
        <f t="shared" si="337"/>
        <v>Red</v>
      </c>
    </row>
    <row r="992" spans="1:30" x14ac:dyDescent="0.2">
      <c r="A992" t="str">
        <f>L991&amp;F992&amp;G992</f>
        <v>25/07/2026St GeorgeSydney U21</v>
      </c>
      <c r="B992" t="s">
        <v>810</v>
      </c>
      <c r="C992" t="s">
        <v>2254</v>
      </c>
      <c r="D992" s="2">
        <v>46228</v>
      </c>
      <c r="E992" s="3">
        <v>0.35416666666666669</v>
      </c>
      <c r="F992" t="s">
        <v>2803</v>
      </c>
      <c r="G992" t="s">
        <v>2804</v>
      </c>
      <c r="H992">
        <v>0</v>
      </c>
      <c r="I992">
        <v>0</v>
      </c>
      <c r="J992">
        <v>0</v>
      </c>
      <c r="K992">
        <v>0</v>
      </c>
      <c r="L992" s="22" t="str">
        <f t="shared" si="319"/>
        <v>25/07/2026</v>
      </c>
      <c r="M992" s="23">
        <f t="shared" si="320"/>
        <v>0.22916666666666669</v>
      </c>
      <c r="N992" t="str">
        <f t="shared" si="321"/>
        <v>0 - 0</v>
      </c>
      <c r="O992" t="str">
        <f t="shared" si="322"/>
        <v>Red</v>
      </c>
      <c r="P992" t="str">
        <f t="shared" si="323"/>
        <v>Green</v>
      </c>
      <c r="Q992" t="str">
        <f t="shared" si="324"/>
        <v>Red</v>
      </c>
      <c r="R992" t="str">
        <f t="shared" si="325"/>
        <v>Green</v>
      </c>
      <c r="S992" t="str">
        <f t="shared" si="326"/>
        <v>Green</v>
      </c>
      <c r="T992" t="str">
        <f t="shared" si="327"/>
        <v>Red</v>
      </c>
      <c r="U992" t="str">
        <f t="shared" si="328"/>
        <v>Red</v>
      </c>
      <c r="V992" t="str">
        <f t="shared" si="329"/>
        <v>Green</v>
      </c>
      <c r="W992" t="str">
        <f t="shared" si="330"/>
        <v>Red</v>
      </c>
      <c r="X992" t="str">
        <f t="shared" si="331"/>
        <v>Red</v>
      </c>
      <c r="Y992" t="str">
        <f t="shared" si="332"/>
        <v>Red</v>
      </c>
      <c r="Z992" t="str">
        <f t="shared" si="333"/>
        <v>Red</v>
      </c>
      <c r="AA992" t="str">
        <f t="shared" si="334"/>
        <v>Green</v>
      </c>
      <c r="AB992" t="str">
        <f t="shared" si="335"/>
        <v>Green</v>
      </c>
      <c r="AC992" t="str">
        <f t="shared" si="336"/>
        <v>Red</v>
      </c>
      <c r="AD992" t="str">
        <f t="shared" si="337"/>
        <v>Green</v>
      </c>
    </row>
    <row r="993" spans="1:30" x14ac:dyDescent="0.2">
      <c r="A993" t="str">
        <f>L992&amp;F993&amp;G993</f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19"/>
        <v>25/07/2026</v>
      </c>
      <c r="M993" s="23">
        <f t="shared" si="320"/>
        <v>0.22916666666666669</v>
      </c>
      <c r="N993" t="str">
        <f t="shared" si="321"/>
        <v>5 - 1</v>
      </c>
      <c r="O993" t="str">
        <f t="shared" si="322"/>
        <v>Green</v>
      </c>
      <c r="P993" t="str">
        <f t="shared" si="323"/>
        <v>Red</v>
      </c>
      <c r="Q993" t="str">
        <f t="shared" si="324"/>
        <v>Red</v>
      </c>
      <c r="R993" t="str">
        <f t="shared" si="325"/>
        <v>Green</v>
      </c>
      <c r="S993" t="str">
        <f t="shared" si="326"/>
        <v>Red</v>
      </c>
      <c r="T993" t="str">
        <f t="shared" si="327"/>
        <v>Green</v>
      </c>
      <c r="U993" t="str">
        <f t="shared" si="328"/>
        <v>Green</v>
      </c>
      <c r="V993" t="str">
        <f t="shared" si="329"/>
        <v>Red</v>
      </c>
      <c r="W993" t="str">
        <f t="shared" si="330"/>
        <v>Red</v>
      </c>
      <c r="X993" t="str">
        <f t="shared" si="331"/>
        <v>Green</v>
      </c>
      <c r="Y993" t="str">
        <f t="shared" si="332"/>
        <v>Green</v>
      </c>
      <c r="Z993" t="str">
        <f t="shared" si="333"/>
        <v>Green</v>
      </c>
      <c r="AA993" t="str">
        <f t="shared" si="334"/>
        <v>Red</v>
      </c>
      <c r="AB993" t="str">
        <f t="shared" si="335"/>
        <v>Red</v>
      </c>
      <c r="AC993" t="str">
        <f t="shared" si="336"/>
        <v>Green</v>
      </c>
      <c r="AD993" t="str">
        <f t="shared" si="337"/>
        <v>Red</v>
      </c>
    </row>
    <row r="994" spans="1:30" x14ac:dyDescent="0.2">
      <c r="A994" t="str">
        <f>L993&amp;F994&amp;G994</f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2972</v>
      </c>
      <c r="G994" t="s">
        <v>2973</v>
      </c>
      <c r="H994">
        <v>1</v>
      </c>
      <c r="I994">
        <v>1</v>
      </c>
      <c r="J994">
        <v>2</v>
      </c>
      <c r="K994">
        <v>1</v>
      </c>
      <c r="L994" s="22" t="str">
        <f t="shared" si="319"/>
        <v>25/07/2026</v>
      </c>
      <c r="M994" s="23">
        <f t="shared" si="320"/>
        <v>0.22916666666666669</v>
      </c>
      <c r="N994" t="str">
        <f t="shared" si="321"/>
        <v>2 - 1</v>
      </c>
      <c r="O994" t="str">
        <f t="shared" si="322"/>
        <v>Green</v>
      </c>
      <c r="P994" t="str">
        <f t="shared" si="323"/>
        <v>Red</v>
      </c>
      <c r="Q994" t="str">
        <f t="shared" si="324"/>
        <v>Red</v>
      </c>
      <c r="R994" t="str">
        <f t="shared" si="325"/>
        <v>Green</v>
      </c>
      <c r="S994" t="str">
        <f t="shared" si="326"/>
        <v>Red</v>
      </c>
      <c r="T994" t="str">
        <f t="shared" si="327"/>
        <v>Green</v>
      </c>
      <c r="U994" t="str">
        <f t="shared" si="328"/>
        <v>Red</v>
      </c>
      <c r="V994" t="str">
        <f t="shared" si="329"/>
        <v>Green</v>
      </c>
      <c r="W994" t="str">
        <f t="shared" si="330"/>
        <v>Red</v>
      </c>
      <c r="X994" t="str">
        <f t="shared" si="331"/>
        <v>Green</v>
      </c>
      <c r="Y994" t="str">
        <f t="shared" si="332"/>
        <v>Green</v>
      </c>
      <c r="Z994" t="str">
        <f t="shared" si="333"/>
        <v>Green</v>
      </c>
      <c r="AA994" t="str">
        <f t="shared" si="334"/>
        <v>Red</v>
      </c>
      <c r="AB994" t="str">
        <f t="shared" si="335"/>
        <v>Green</v>
      </c>
      <c r="AC994" t="str">
        <f t="shared" si="336"/>
        <v>Green</v>
      </c>
      <c r="AD994" t="str">
        <f t="shared" si="337"/>
        <v>Red</v>
      </c>
    </row>
    <row r="995" spans="1:30" x14ac:dyDescent="0.2">
      <c r="A995" t="str">
        <f>L994&amp;F995&amp;G995</f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2974</v>
      </c>
      <c r="G995" t="s">
        <v>2975</v>
      </c>
      <c r="H995">
        <v>0</v>
      </c>
      <c r="I995">
        <v>2</v>
      </c>
      <c r="J995">
        <v>1</v>
      </c>
      <c r="K995">
        <v>2</v>
      </c>
      <c r="L995" s="22" t="str">
        <f t="shared" si="319"/>
        <v>25/07/2026</v>
      </c>
      <c r="M995" s="23">
        <f t="shared" si="320"/>
        <v>0.22916666666666669</v>
      </c>
      <c r="N995" t="str">
        <f t="shared" si="321"/>
        <v>1 - 2</v>
      </c>
      <c r="O995" t="str">
        <f t="shared" si="322"/>
        <v>Red</v>
      </c>
      <c r="P995" t="str">
        <f t="shared" si="323"/>
        <v>Red</v>
      </c>
      <c r="Q995" t="str">
        <f t="shared" si="324"/>
        <v>Green</v>
      </c>
      <c r="R995" t="str">
        <f t="shared" si="325"/>
        <v>Red</v>
      </c>
      <c r="S995" t="str">
        <f t="shared" si="326"/>
        <v>Green</v>
      </c>
      <c r="T995" t="str">
        <f t="shared" si="327"/>
        <v>Green</v>
      </c>
      <c r="U995" t="str">
        <f t="shared" si="328"/>
        <v>Red</v>
      </c>
      <c r="V995" t="str">
        <f t="shared" si="329"/>
        <v>Red</v>
      </c>
      <c r="W995" t="str">
        <f t="shared" si="330"/>
        <v>Green</v>
      </c>
      <c r="X995" t="str">
        <f t="shared" si="331"/>
        <v>Green</v>
      </c>
      <c r="Y995" t="str">
        <f t="shared" si="332"/>
        <v>Green</v>
      </c>
      <c r="Z995" t="str">
        <f t="shared" si="333"/>
        <v>Green</v>
      </c>
      <c r="AA995" t="str">
        <f t="shared" si="334"/>
        <v>Red</v>
      </c>
      <c r="AB995" t="str">
        <f t="shared" si="335"/>
        <v>Green</v>
      </c>
      <c r="AC995" t="str">
        <f t="shared" si="336"/>
        <v>Green</v>
      </c>
      <c r="AD995" t="str">
        <f t="shared" si="337"/>
        <v>Red</v>
      </c>
    </row>
    <row r="996" spans="1:30" x14ac:dyDescent="0.2">
      <c r="A996" t="str">
        <f>L995&amp;F996&amp;G996</f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2976</v>
      </c>
      <c r="G996" t="s">
        <v>2977</v>
      </c>
      <c r="H996">
        <v>3</v>
      </c>
      <c r="I996">
        <v>1</v>
      </c>
      <c r="J996">
        <v>3</v>
      </c>
      <c r="K996">
        <v>1</v>
      </c>
      <c r="L996" s="22" t="str">
        <f t="shared" si="319"/>
        <v>25/07/2026</v>
      </c>
      <c r="M996" s="23">
        <f t="shared" si="320"/>
        <v>0.22916666666666669</v>
      </c>
      <c r="N996" t="str">
        <f t="shared" si="321"/>
        <v>3 - 1</v>
      </c>
      <c r="O996" t="str">
        <f t="shared" si="322"/>
        <v>Green</v>
      </c>
      <c r="P996" t="str">
        <f t="shared" si="323"/>
        <v>Red</v>
      </c>
      <c r="Q996" t="str">
        <f t="shared" si="324"/>
        <v>Red</v>
      </c>
      <c r="R996" t="str">
        <f t="shared" si="325"/>
        <v>Green</v>
      </c>
      <c r="S996" t="str">
        <f t="shared" si="326"/>
        <v>Red</v>
      </c>
      <c r="T996" t="str">
        <f t="shared" si="327"/>
        <v>Green</v>
      </c>
      <c r="U996" t="str">
        <f t="shared" si="328"/>
        <v>Green</v>
      </c>
      <c r="V996" t="str">
        <f t="shared" si="329"/>
        <v>Red</v>
      </c>
      <c r="W996" t="str">
        <f t="shared" si="330"/>
        <v>Red</v>
      </c>
      <c r="X996" t="str">
        <f t="shared" si="331"/>
        <v>Green</v>
      </c>
      <c r="Y996" t="str">
        <f t="shared" si="332"/>
        <v>Green</v>
      </c>
      <c r="Z996" t="str">
        <f t="shared" si="333"/>
        <v>Green</v>
      </c>
      <c r="AA996" t="str">
        <f t="shared" si="334"/>
        <v>Red</v>
      </c>
      <c r="AB996" t="str">
        <f t="shared" si="335"/>
        <v>Red</v>
      </c>
      <c r="AC996" t="str">
        <f t="shared" si="336"/>
        <v>Green</v>
      </c>
      <c r="AD996" t="str">
        <f t="shared" si="337"/>
        <v>Red</v>
      </c>
    </row>
    <row r="997" spans="1:30" x14ac:dyDescent="0.2">
      <c r="A997" t="str">
        <f>L996&amp;F997&amp;G997</f>
        <v>25/07/2026FK BlanskoVelka Bites</v>
      </c>
      <c r="D997" s="2">
        <v>46228</v>
      </c>
      <c r="E997" s="3">
        <v>0.35416666666666669</v>
      </c>
      <c r="F997" t="s">
        <v>3170</v>
      </c>
      <c r="G997" t="s">
        <v>3171</v>
      </c>
      <c r="H997">
        <v>0</v>
      </c>
      <c r="I997">
        <v>0</v>
      </c>
      <c r="J997">
        <v>1</v>
      </c>
      <c r="K997">
        <v>1</v>
      </c>
      <c r="L997" s="22" t="str">
        <f t="shared" si="319"/>
        <v>25/07/2026</v>
      </c>
      <c r="M997" s="23">
        <f t="shared" si="320"/>
        <v>0.22916666666666669</v>
      </c>
      <c r="N997" t="str">
        <f t="shared" si="321"/>
        <v>1 - 1</v>
      </c>
      <c r="O997" t="str">
        <f t="shared" si="322"/>
        <v>Red</v>
      </c>
      <c r="P997" t="str">
        <f t="shared" si="323"/>
        <v>Green</v>
      </c>
      <c r="Q997" t="str">
        <f t="shared" si="324"/>
        <v>Red</v>
      </c>
      <c r="R997" t="str">
        <f t="shared" si="325"/>
        <v>Green</v>
      </c>
      <c r="S997" t="str">
        <f t="shared" si="326"/>
        <v>Green</v>
      </c>
      <c r="T997" t="str">
        <f t="shared" si="327"/>
        <v>Red</v>
      </c>
      <c r="U997" t="str">
        <f t="shared" si="328"/>
        <v>Red</v>
      </c>
      <c r="V997" t="str">
        <f t="shared" si="329"/>
        <v>Green</v>
      </c>
      <c r="W997" t="str">
        <f t="shared" si="330"/>
        <v>Red</v>
      </c>
      <c r="X997" t="str">
        <f t="shared" si="331"/>
        <v>Red</v>
      </c>
      <c r="Y997" t="str">
        <f t="shared" si="332"/>
        <v>Green</v>
      </c>
      <c r="Z997" t="str">
        <f t="shared" si="333"/>
        <v>Red</v>
      </c>
      <c r="AA997" t="str">
        <f t="shared" si="334"/>
        <v>Green</v>
      </c>
      <c r="AB997" t="str">
        <f t="shared" si="335"/>
        <v>Green</v>
      </c>
      <c r="AC997" t="str">
        <f t="shared" si="336"/>
        <v>Green</v>
      </c>
      <c r="AD997" t="str">
        <f t="shared" si="337"/>
        <v>Red</v>
      </c>
    </row>
    <row r="998" spans="1:30" x14ac:dyDescent="0.2">
      <c r="A998" t="str">
        <f>L997&amp;F998&amp;G998</f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3172</v>
      </c>
      <c r="H998">
        <v>0</v>
      </c>
      <c r="I998">
        <v>0</v>
      </c>
      <c r="J998">
        <v>1</v>
      </c>
      <c r="K998">
        <v>0</v>
      </c>
      <c r="L998" s="22" t="str">
        <f t="shared" si="319"/>
        <v>25/07/2026</v>
      </c>
      <c r="M998" s="23">
        <f t="shared" si="320"/>
        <v>0.22916666666666669</v>
      </c>
      <c r="N998" t="str">
        <f t="shared" si="321"/>
        <v>1 - 0</v>
      </c>
      <c r="O998" t="str">
        <f t="shared" si="322"/>
        <v>Green</v>
      </c>
      <c r="P998" t="str">
        <f t="shared" si="323"/>
        <v>Red</v>
      </c>
      <c r="Q998" t="str">
        <f t="shared" si="324"/>
        <v>Red</v>
      </c>
      <c r="R998" t="str">
        <f t="shared" si="325"/>
        <v>Green</v>
      </c>
      <c r="S998" t="str">
        <f t="shared" si="326"/>
        <v>Red</v>
      </c>
      <c r="T998" t="str">
        <f t="shared" si="327"/>
        <v>Green</v>
      </c>
      <c r="U998" t="str">
        <f t="shared" si="328"/>
        <v>Red</v>
      </c>
      <c r="V998" t="str">
        <f t="shared" si="329"/>
        <v>Green</v>
      </c>
      <c r="W998" t="str">
        <f t="shared" si="330"/>
        <v>Red</v>
      </c>
      <c r="X998" t="str">
        <f t="shared" si="331"/>
        <v>Red</v>
      </c>
      <c r="Y998" t="str">
        <f t="shared" si="332"/>
        <v>Red</v>
      </c>
      <c r="Z998" t="str">
        <f t="shared" si="333"/>
        <v>Red</v>
      </c>
      <c r="AA998" t="str">
        <f t="shared" si="334"/>
        <v>Green</v>
      </c>
      <c r="AB998" t="str">
        <f t="shared" si="335"/>
        <v>Green</v>
      </c>
      <c r="AC998" t="str">
        <f t="shared" si="336"/>
        <v>Red</v>
      </c>
      <c r="AD998" t="str">
        <f t="shared" si="337"/>
        <v>Green</v>
      </c>
    </row>
    <row r="999" spans="1:30" x14ac:dyDescent="0.2">
      <c r="A999" t="str">
        <f>L998&amp;F999&amp;G999</f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3752</v>
      </c>
      <c r="H999">
        <v>0</v>
      </c>
      <c r="I999">
        <v>0</v>
      </c>
      <c r="J999">
        <v>1</v>
      </c>
      <c r="K999">
        <v>1</v>
      </c>
      <c r="L999" s="22" t="str">
        <f t="shared" si="319"/>
        <v>25/07/2026</v>
      </c>
      <c r="M999" s="23">
        <f t="shared" si="320"/>
        <v>0.22916666666666669</v>
      </c>
      <c r="N999" t="str">
        <f t="shared" si="321"/>
        <v>1 - 1</v>
      </c>
      <c r="O999" t="str">
        <f t="shared" si="322"/>
        <v>Red</v>
      </c>
      <c r="P999" t="str">
        <f t="shared" si="323"/>
        <v>Green</v>
      </c>
      <c r="Q999" t="str">
        <f t="shared" si="324"/>
        <v>Red</v>
      </c>
      <c r="R999" t="str">
        <f t="shared" si="325"/>
        <v>Green</v>
      </c>
      <c r="S999" t="str">
        <f t="shared" si="326"/>
        <v>Green</v>
      </c>
      <c r="T999" t="str">
        <f t="shared" si="327"/>
        <v>Red</v>
      </c>
      <c r="U999" t="str">
        <f t="shared" si="328"/>
        <v>Red</v>
      </c>
      <c r="V999" t="str">
        <f t="shared" si="329"/>
        <v>Green</v>
      </c>
      <c r="W999" t="str">
        <f t="shared" si="330"/>
        <v>Red</v>
      </c>
      <c r="X999" t="str">
        <f t="shared" si="331"/>
        <v>Red</v>
      </c>
      <c r="Y999" t="str">
        <f t="shared" si="332"/>
        <v>Green</v>
      </c>
      <c r="Z999" t="str">
        <f t="shared" si="333"/>
        <v>Red</v>
      </c>
      <c r="AA999" t="str">
        <f t="shared" si="334"/>
        <v>Green</v>
      </c>
      <c r="AB999" t="str">
        <f t="shared" si="335"/>
        <v>Green</v>
      </c>
      <c r="AC999" t="str">
        <f t="shared" si="336"/>
        <v>Green</v>
      </c>
      <c r="AD999" t="str">
        <f t="shared" si="337"/>
        <v>Red</v>
      </c>
    </row>
    <row r="1000" spans="1:30" x14ac:dyDescent="0.2">
      <c r="A1000" t="str">
        <f>L999&amp;F1000&amp;G1000</f>
        <v>25/07/2026FK Jedinstvo Stara PazovaVeternik</v>
      </c>
      <c r="D1000" s="2">
        <v>46228</v>
      </c>
      <c r="E1000" s="3">
        <v>0.35416666666666669</v>
      </c>
      <c r="F1000" t="s">
        <v>3753</v>
      </c>
      <c r="G1000" t="s">
        <v>3754</v>
      </c>
      <c r="H1000">
        <v>2</v>
      </c>
      <c r="I1000">
        <v>0</v>
      </c>
      <c r="J1000">
        <v>3</v>
      </c>
      <c r="K1000">
        <v>1</v>
      </c>
      <c r="L1000" s="22" t="str">
        <f t="shared" si="319"/>
        <v>25/07/2026</v>
      </c>
      <c r="M1000" s="23">
        <f t="shared" si="320"/>
        <v>0.22916666666666669</v>
      </c>
      <c r="N1000" t="str">
        <f t="shared" si="321"/>
        <v>3 - 1</v>
      </c>
      <c r="O1000" t="str">
        <f t="shared" si="322"/>
        <v>Green</v>
      </c>
      <c r="P1000" t="str">
        <f t="shared" si="323"/>
        <v>Red</v>
      </c>
      <c r="Q1000" t="str">
        <f t="shared" si="324"/>
        <v>Red</v>
      </c>
      <c r="R1000" t="str">
        <f t="shared" si="325"/>
        <v>Green</v>
      </c>
      <c r="S1000" t="str">
        <f t="shared" si="326"/>
        <v>Red</v>
      </c>
      <c r="T1000" t="str">
        <f t="shared" si="327"/>
        <v>Green</v>
      </c>
      <c r="U1000" t="str">
        <f t="shared" si="328"/>
        <v>Green</v>
      </c>
      <c r="V1000" t="str">
        <f t="shared" si="329"/>
        <v>Red</v>
      </c>
      <c r="W1000" t="str">
        <f t="shared" si="330"/>
        <v>Red</v>
      </c>
      <c r="X1000" t="str">
        <f t="shared" si="331"/>
        <v>Green</v>
      </c>
      <c r="Y1000" t="str">
        <f t="shared" si="332"/>
        <v>Green</v>
      </c>
      <c r="Z1000" t="str">
        <f t="shared" si="333"/>
        <v>Green</v>
      </c>
      <c r="AA1000" t="str">
        <f t="shared" si="334"/>
        <v>Red</v>
      </c>
      <c r="AB1000" t="str">
        <f t="shared" si="335"/>
        <v>Red</v>
      </c>
      <c r="AC1000" t="str">
        <f t="shared" si="336"/>
        <v>Green</v>
      </c>
      <c r="AD1000" t="str">
        <f t="shared" si="337"/>
        <v>Red</v>
      </c>
    </row>
    <row r="1001" spans="1:30" x14ac:dyDescent="0.2">
      <c r="A1001" t="str">
        <f>L1000&amp;F1001&amp;G1001</f>
        <v>25/07/2026GironaAlaves</v>
      </c>
      <c r="D1001" s="2">
        <v>46228</v>
      </c>
      <c r="E1001" s="3">
        <v>0.35416666666666669</v>
      </c>
      <c r="F1001" t="s">
        <v>1807</v>
      </c>
      <c r="G1001" t="s">
        <v>3755</v>
      </c>
      <c r="H1001">
        <v>0</v>
      </c>
      <c r="I1001">
        <v>0</v>
      </c>
      <c r="J1001">
        <v>0</v>
      </c>
      <c r="K1001">
        <v>1</v>
      </c>
      <c r="L1001" s="22" t="str">
        <f t="shared" si="319"/>
        <v>25/07/2026</v>
      </c>
      <c r="M1001" s="23">
        <f t="shared" si="320"/>
        <v>0.22916666666666669</v>
      </c>
      <c r="N1001" t="str">
        <f t="shared" si="321"/>
        <v>0 - 1</v>
      </c>
      <c r="O1001" t="str">
        <f t="shared" si="322"/>
        <v>Red</v>
      </c>
      <c r="P1001" t="str">
        <f t="shared" si="323"/>
        <v>Red</v>
      </c>
      <c r="Q1001" t="str">
        <f t="shared" si="324"/>
        <v>Green</v>
      </c>
      <c r="R1001" t="str">
        <f t="shared" si="325"/>
        <v>Red</v>
      </c>
      <c r="S1001" t="str">
        <f t="shared" si="326"/>
        <v>Green</v>
      </c>
      <c r="T1001" t="str">
        <f t="shared" si="327"/>
        <v>Green</v>
      </c>
      <c r="U1001" t="str">
        <f t="shared" si="328"/>
        <v>Red</v>
      </c>
      <c r="V1001" t="str">
        <f t="shared" si="329"/>
        <v>Green</v>
      </c>
      <c r="W1001" t="str">
        <f t="shared" si="330"/>
        <v>Red</v>
      </c>
      <c r="X1001" t="str">
        <f t="shared" si="331"/>
        <v>Red</v>
      </c>
      <c r="Y1001" t="str">
        <f t="shared" si="332"/>
        <v>Red</v>
      </c>
      <c r="Z1001" t="str">
        <f t="shared" si="333"/>
        <v>Red</v>
      </c>
      <c r="AA1001" t="str">
        <f t="shared" si="334"/>
        <v>Green</v>
      </c>
      <c r="AB1001" t="str">
        <f t="shared" si="335"/>
        <v>Green</v>
      </c>
      <c r="AC1001" t="str">
        <f t="shared" si="336"/>
        <v>Red</v>
      </c>
      <c r="AD1001" t="str">
        <f t="shared" si="337"/>
        <v>Green</v>
      </c>
    </row>
    <row r="1002" spans="1:30" x14ac:dyDescent="0.2">
      <c r="A1002" t="str">
        <f>L1001&amp;F1002&amp;G1002</f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2840</v>
      </c>
      <c r="G1002" t="s">
        <v>2841</v>
      </c>
      <c r="H1002">
        <v>0</v>
      </c>
      <c r="I1002">
        <v>0</v>
      </c>
      <c r="J1002">
        <v>3</v>
      </c>
      <c r="K1002">
        <v>0</v>
      </c>
      <c r="L1002" s="22" t="str">
        <f t="shared" si="319"/>
        <v>25/07/2026</v>
      </c>
      <c r="M1002" s="23">
        <f t="shared" si="320"/>
        <v>0.25</v>
      </c>
      <c r="N1002" t="str">
        <f t="shared" si="321"/>
        <v>3 - 0</v>
      </c>
      <c r="O1002" t="str">
        <f t="shared" si="322"/>
        <v>Green</v>
      </c>
      <c r="P1002" t="str">
        <f t="shared" si="323"/>
        <v>Red</v>
      </c>
      <c r="Q1002" t="str">
        <f t="shared" si="324"/>
        <v>Red</v>
      </c>
      <c r="R1002" t="str">
        <f t="shared" si="325"/>
        <v>Green</v>
      </c>
      <c r="S1002" t="str">
        <f t="shared" si="326"/>
        <v>Red</v>
      </c>
      <c r="T1002" t="str">
        <f t="shared" si="327"/>
        <v>Green</v>
      </c>
      <c r="U1002" t="str">
        <f t="shared" si="328"/>
        <v>Red</v>
      </c>
      <c r="V1002" t="str">
        <f t="shared" si="329"/>
        <v>Green</v>
      </c>
      <c r="W1002" t="str">
        <f t="shared" si="330"/>
        <v>Red</v>
      </c>
      <c r="X1002" t="str">
        <f t="shared" si="331"/>
        <v>Red</v>
      </c>
      <c r="Y1002" t="str">
        <f t="shared" si="332"/>
        <v>Green</v>
      </c>
      <c r="Z1002" t="str">
        <f t="shared" si="333"/>
        <v>Green</v>
      </c>
      <c r="AA1002" t="str">
        <f t="shared" si="334"/>
        <v>Red</v>
      </c>
      <c r="AB1002" t="str">
        <f t="shared" si="335"/>
        <v>Green</v>
      </c>
      <c r="AC1002" t="str">
        <f t="shared" si="336"/>
        <v>Red</v>
      </c>
      <c r="AD1002" t="str">
        <f t="shared" si="337"/>
        <v>Green</v>
      </c>
    </row>
    <row r="1003" spans="1:30" x14ac:dyDescent="0.2">
      <c r="A1003" t="str">
        <f>L1002&amp;F1003&amp;G1003</f>
        <v>25/07/2026Camden TigersNepean FC</v>
      </c>
      <c r="B1003" t="s">
        <v>810</v>
      </c>
      <c r="D1003" s="2">
        <v>46228</v>
      </c>
      <c r="E1003" s="3">
        <v>0.375</v>
      </c>
      <c r="F1003" t="s">
        <v>2925</v>
      </c>
      <c r="G1003" t="s">
        <v>2926</v>
      </c>
      <c r="H1003">
        <v>1</v>
      </c>
      <c r="I1003">
        <v>1</v>
      </c>
      <c r="J1003">
        <v>2</v>
      </c>
      <c r="K1003">
        <v>2</v>
      </c>
      <c r="L1003" s="22" t="str">
        <f t="shared" si="319"/>
        <v>25/07/2026</v>
      </c>
      <c r="M1003" s="23">
        <f t="shared" si="320"/>
        <v>0.25</v>
      </c>
      <c r="N1003" t="str">
        <f t="shared" si="321"/>
        <v>2 - 2</v>
      </c>
      <c r="O1003" t="str">
        <f t="shared" si="322"/>
        <v>Red</v>
      </c>
      <c r="P1003" t="str">
        <f t="shared" si="323"/>
        <v>Green</v>
      </c>
      <c r="Q1003" t="str">
        <f t="shared" si="324"/>
        <v>Red</v>
      </c>
      <c r="R1003" t="str">
        <f t="shared" si="325"/>
        <v>Green</v>
      </c>
      <c r="S1003" t="str">
        <f t="shared" si="326"/>
        <v>Green</v>
      </c>
      <c r="T1003" t="str">
        <f t="shared" si="327"/>
        <v>Red</v>
      </c>
      <c r="U1003" t="str">
        <f t="shared" si="328"/>
        <v>Red</v>
      </c>
      <c r="V1003" t="str">
        <f t="shared" si="329"/>
        <v>Green</v>
      </c>
      <c r="W1003" t="str">
        <f t="shared" si="330"/>
        <v>Red</v>
      </c>
      <c r="X1003" t="str">
        <f t="shared" si="331"/>
        <v>Green</v>
      </c>
      <c r="Y1003" t="str">
        <f t="shared" si="332"/>
        <v>Green</v>
      </c>
      <c r="Z1003" t="str">
        <f t="shared" si="333"/>
        <v>Green</v>
      </c>
      <c r="AA1003" t="str">
        <f t="shared" si="334"/>
        <v>Red</v>
      </c>
      <c r="AB1003" t="str">
        <f t="shared" si="335"/>
        <v>Red</v>
      </c>
      <c r="AC1003" t="str">
        <f t="shared" si="336"/>
        <v>Green</v>
      </c>
      <c r="AD1003" t="str">
        <f t="shared" si="337"/>
        <v>Red</v>
      </c>
    </row>
    <row r="1004" spans="1:30" x14ac:dyDescent="0.2">
      <c r="A1004" t="str">
        <f>L1003&amp;F1004&amp;G1004</f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2531</v>
      </c>
      <c r="G1004" t="s">
        <v>2931</v>
      </c>
      <c r="H1004">
        <v>1</v>
      </c>
      <c r="I1004">
        <v>0</v>
      </c>
      <c r="J1004">
        <v>3</v>
      </c>
      <c r="K1004">
        <v>0</v>
      </c>
      <c r="L1004" s="22" t="str">
        <f t="shared" si="319"/>
        <v>25/07/2026</v>
      </c>
      <c r="M1004" s="23">
        <f t="shared" si="320"/>
        <v>0.25</v>
      </c>
      <c r="N1004" t="str">
        <f t="shared" si="321"/>
        <v>3 - 0</v>
      </c>
      <c r="O1004" t="str">
        <f t="shared" si="322"/>
        <v>Green</v>
      </c>
      <c r="P1004" t="str">
        <f t="shared" si="323"/>
        <v>Red</v>
      </c>
      <c r="Q1004" t="str">
        <f t="shared" si="324"/>
        <v>Red</v>
      </c>
      <c r="R1004" t="str">
        <f t="shared" si="325"/>
        <v>Green</v>
      </c>
      <c r="S1004" t="str">
        <f t="shared" si="326"/>
        <v>Red</v>
      </c>
      <c r="T1004" t="str">
        <f t="shared" si="327"/>
        <v>Green</v>
      </c>
      <c r="U1004" t="str">
        <f t="shared" si="328"/>
        <v>Green</v>
      </c>
      <c r="V1004" t="str">
        <f t="shared" si="329"/>
        <v>Red</v>
      </c>
      <c r="W1004" t="str">
        <f t="shared" si="330"/>
        <v>Red</v>
      </c>
      <c r="X1004" t="str">
        <f t="shared" si="331"/>
        <v>Green</v>
      </c>
      <c r="Y1004" t="str">
        <f t="shared" si="332"/>
        <v>Green</v>
      </c>
      <c r="Z1004" t="str">
        <f t="shared" si="333"/>
        <v>Green</v>
      </c>
      <c r="AA1004" t="str">
        <f t="shared" si="334"/>
        <v>Red</v>
      </c>
      <c r="AB1004" t="str">
        <f t="shared" si="335"/>
        <v>Green</v>
      </c>
      <c r="AC1004" t="str">
        <f t="shared" si="336"/>
        <v>Red</v>
      </c>
      <c r="AD1004" t="str">
        <f t="shared" si="337"/>
        <v>Green</v>
      </c>
    </row>
    <row r="1005" spans="1:30" x14ac:dyDescent="0.2">
      <c r="A1005" t="str">
        <f>L1004&amp;F1005&amp;G1005</f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2948</v>
      </c>
      <c r="G1005" t="s">
        <v>2949</v>
      </c>
      <c r="H1005">
        <v>0</v>
      </c>
      <c r="I1005">
        <v>3</v>
      </c>
      <c r="J1005">
        <v>1</v>
      </c>
      <c r="K1005">
        <v>5</v>
      </c>
      <c r="L1005" s="22" t="str">
        <f t="shared" si="319"/>
        <v>25/07/2026</v>
      </c>
      <c r="M1005" s="23">
        <f t="shared" si="320"/>
        <v>0.25</v>
      </c>
      <c r="N1005" t="str">
        <f t="shared" si="321"/>
        <v>1 - 5</v>
      </c>
      <c r="O1005" t="str">
        <f t="shared" si="322"/>
        <v>Red</v>
      </c>
      <c r="P1005" t="str">
        <f t="shared" si="323"/>
        <v>Red</v>
      </c>
      <c r="Q1005" t="str">
        <f t="shared" si="324"/>
        <v>Green</v>
      </c>
      <c r="R1005" t="str">
        <f t="shared" si="325"/>
        <v>Red</v>
      </c>
      <c r="S1005" t="str">
        <f t="shared" si="326"/>
        <v>Green</v>
      </c>
      <c r="T1005" t="str">
        <f t="shared" si="327"/>
        <v>Green</v>
      </c>
      <c r="U1005" t="str">
        <f t="shared" si="328"/>
        <v>Red</v>
      </c>
      <c r="V1005" t="str">
        <f t="shared" si="329"/>
        <v>Red</v>
      </c>
      <c r="W1005" t="str">
        <f t="shared" si="330"/>
        <v>Green</v>
      </c>
      <c r="X1005" t="str">
        <f t="shared" si="331"/>
        <v>Green</v>
      </c>
      <c r="Y1005" t="str">
        <f t="shared" si="332"/>
        <v>Green</v>
      </c>
      <c r="Z1005" t="str">
        <f t="shared" si="333"/>
        <v>Green</v>
      </c>
      <c r="AA1005" t="str">
        <f t="shared" si="334"/>
        <v>Red</v>
      </c>
      <c r="AB1005" t="str">
        <f t="shared" si="335"/>
        <v>Red</v>
      </c>
      <c r="AC1005" t="str">
        <f t="shared" si="336"/>
        <v>Green</v>
      </c>
      <c r="AD1005" t="str">
        <f t="shared" si="337"/>
        <v>Red</v>
      </c>
    </row>
    <row r="1006" spans="1:30" x14ac:dyDescent="0.2">
      <c r="A1006" t="str">
        <f>L1005&amp;F1006&amp;G1006</f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2962</v>
      </c>
      <c r="G1006" t="s">
        <v>2963</v>
      </c>
      <c r="H1006">
        <v>0</v>
      </c>
      <c r="I1006">
        <v>0</v>
      </c>
      <c r="J1006">
        <v>1</v>
      </c>
      <c r="K1006">
        <v>1</v>
      </c>
      <c r="L1006" s="22" t="str">
        <f t="shared" si="319"/>
        <v>25/07/2026</v>
      </c>
      <c r="M1006" s="23">
        <f t="shared" si="320"/>
        <v>0.25</v>
      </c>
      <c r="N1006" t="str">
        <f t="shared" si="321"/>
        <v>1 - 1</v>
      </c>
      <c r="O1006" t="str">
        <f t="shared" si="322"/>
        <v>Red</v>
      </c>
      <c r="P1006" t="str">
        <f t="shared" si="323"/>
        <v>Green</v>
      </c>
      <c r="Q1006" t="str">
        <f t="shared" si="324"/>
        <v>Red</v>
      </c>
      <c r="R1006" t="str">
        <f t="shared" si="325"/>
        <v>Green</v>
      </c>
      <c r="S1006" t="str">
        <f t="shared" si="326"/>
        <v>Green</v>
      </c>
      <c r="T1006" t="str">
        <f t="shared" si="327"/>
        <v>Red</v>
      </c>
      <c r="U1006" t="str">
        <f t="shared" si="328"/>
        <v>Red</v>
      </c>
      <c r="V1006" t="str">
        <f t="shared" si="329"/>
        <v>Green</v>
      </c>
      <c r="W1006" t="str">
        <f t="shared" si="330"/>
        <v>Red</v>
      </c>
      <c r="X1006" t="str">
        <f t="shared" si="331"/>
        <v>Red</v>
      </c>
      <c r="Y1006" t="str">
        <f t="shared" si="332"/>
        <v>Green</v>
      </c>
      <c r="Z1006" t="str">
        <f t="shared" si="333"/>
        <v>Red</v>
      </c>
      <c r="AA1006" t="str">
        <f t="shared" si="334"/>
        <v>Green</v>
      </c>
      <c r="AB1006" t="str">
        <f t="shared" si="335"/>
        <v>Green</v>
      </c>
      <c r="AC1006" t="str">
        <f t="shared" si="336"/>
        <v>Green</v>
      </c>
      <c r="AD1006" t="str">
        <f t="shared" si="337"/>
        <v>Red</v>
      </c>
    </row>
    <row r="1007" spans="1:30" x14ac:dyDescent="0.2">
      <c r="A1007" t="str">
        <f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2978</v>
      </c>
      <c r="G1007" t="s">
        <v>2979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38">DAY(D1007)&amp;"/"&amp;"07"&amp;"/"&amp;YEAR(D1007)</f>
        <v>25/07/2026</v>
      </c>
      <c r="M1007" s="23">
        <f t="shared" ref="M1007:M1070" si="339">E1007-TIME(3,0,0)</f>
        <v>0.25</v>
      </c>
      <c r="N1007" t="str">
        <f t="shared" ref="N1007:N1070" si="340">J1007&amp;" - "&amp;K1007</f>
        <v>2 - 0</v>
      </c>
      <c r="O1007" t="str">
        <f t="shared" si="322"/>
        <v>Green</v>
      </c>
      <c r="P1007" t="str">
        <f t="shared" si="323"/>
        <v>Red</v>
      </c>
      <c r="Q1007" t="str">
        <f t="shared" si="324"/>
        <v>Red</v>
      </c>
      <c r="R1007" t="str">
        <f t="shared" si="325"/>
        <v>Green</v>
      </c>
      <c r="S1007" t="str">
        <f t="shared" si="326"/>
        <v>Red</v>
      </c>
      <c r="T1007" t="str">
        <f t="shared" si="327"/>
        <v>Green</v>
      </c>
      <c r="U1007" t="str">
        <f t="shared" si="328"/>
        <v>Green</v>
      </c>
      <c r="V1007" t="str">
        <f t="shared" si="329"/>
        <v>Red</v>
      </c>
      <c r="W1007" t="str">
        <f t="shared" si="330"/>
        <v>Red</v>
      </c>
      <c r="X1007" t="str">
        <f t="shared" si="331"/>
        <v>Green</v>
      </c>
      <c r="Y1007" t="str">
        <f t="shared" si="332"/>
        <v>Green</v>
      </c>
      <c r="Z1007" t="str">
        <f t="shared" si="333"/>
        <v>Red</v>
      </c>
      <c r="AA1007" t="str">
        <f t="shared" si="334"/>
        <v>Green</v>
      </c>
      <c r="AB1007" t="str">
        <f t="shared" si="335"/>
        <v>Green</v>
      </c>
      <c r="AC1007" t="str">
        <f t="shared" si="336"/>
        <v>Red</v>
      </c>
      <c r="AD1007" t="str">
        <f t="shared" si="337"/>
        <v>Green</v>
      </c>
    </row>
    <row r="1008" spans="1:30" x14ac:dyDescent="0.2">
      <c r="A1008" t="str">
        <f>L1007&amp;F1008&amp;G1008</f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2980</v>
      </c>
      <c r="G1008" t="s">
        <v>2981</v>
      </c>
      <c r="H1008">
        <v>3</v>
      </c>
      <c r="I1008">
        <v>2</v>
      </c>
      <c r="J1008">
        <v>3</v>
      </c>
      <c r="K1008">
        <v>2</v>
      </c>
      <c r="L1008" s="22" t="str">
        <f t="shared" si="338"/>
        <v>25/07/2026</v>
      </c>
      <c r="M1008" s="23">
        <f t="shared" si="339"/>
        <v>0.25</v>
      </c>
      <c r="N1008" t="str">
        <f t="shared" si="340"/>
        <v>3 - 2</v>
      </c>
      <c r="O1008" t="str">
        <f t="shared" si="322"/>
        <v>Green</v>
      </c>
      <c r="P1008" t="str">
        <f t="shared" si="323"/>
        <v>Red</v>
      </c>
      <c r="Q1008" t="str">
        <f t="shared" si="324"/>
        <v>Red</v>
      </c>
      <c r="R1008" t="str">
        <f t="shared" si="325"/>
        <v>Green</v>
      </c>
      <c r="S1008" t="str">
        <f t="shared" si="326"/>
        <v>Red</v>
      </c>
      <c r="T1008" t="str">
        <f t="shared" si="327"/>
        <v>Green</v>
      </c>
      <c r="U1008" t="str">
        <f t="shared" si="328"/>
        <v>Green</v>
      </c>
      <c r="V1008" t="str">
        <f t="shared" si="329"/>
        <v>Red</v>
      </c>
      <c r="W1008" t="str">
        <f t="shared" si="330"/>
        <v>Red</v>
      </c>
      <c r="X1008" t="str">
        <f t="shared" si="331"/>
        <v>Green</v>
      </c>
      <c r="Y1008" t="str">
        <f t="shared" si="332"/>
        <v>Green</v>
      </c>
      <c r="Z1008" t="str">
        <f t="shared" si="333"/>
        <v>Green</v>
      </c>
      <c r="AA1008" t="str">
        <f t="shared" si="334"/>
        <v>Red</v>
      </c>
      <c r="AB1008" t="str">
        <f t="shared" si="335"/>
        <v>Red</v>
      </c>
      <c r="AC1008" t="str">
        <f t="shared" si="336"/>
        <v>Green</v>
      </c>
      <c r="AD1008" t="str">
        <f t="shared" si="337"/>
        <v>Red</v>
      </c>
    </row>
    <row r="1009" spans="1:30" x14ac:dyDescent="0.2">
      <c r="A1009" t="str">
        <f>L1008&amp;F1009&amp;G1009</f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2982</v>
      </c>
      <c r="G1009" t="s">
        <v>2983</v>
      </c>
      <c r="H1009">
        <v>0</v>
      </c>
      <c r="I1009">
        <v>2</v>
      </c>
      <c r="J1009">
        <v>1</v>
      </c>
      <c r="K1009">
        <v>4</v>
      </c>
      <c r="L1009" s="22" t="str">
        <f t="shared" si="338"/>
        <v>25/07/2026</v>
      </c>
      <c r="M1009" s="23">
        <f t="shared" si="339"/>
        <v>0.25</v>
      </c>
      <c r="N1009" t="str">
        <f t="shared" si="340"/>
        <v>1 - 4</v>
      </c>
      <c r="O1009" t="str">
        <f t="shared" si="322"/>
        <v>Red</v>
      </c>
      <c r="P1009" t="str">
        <f t="shared" si="323"/>
        <v>Red</v>
      </c>
      <c r="Q1009" t="str">
        <f t="shared" si="324"/>
        <v>Green</v>
      </c>
      <c r="R1009" t="str">
        <f t="shared" si="325"/>
        <v>Red</v>
      </c>
      <c r="S1009" t="str">
        <f t="shared" si="326"/>
        <v>Green</v>
      </c>
      <c r="T1009" t="str">
        <f t="shared" si="327"/>
        <v>Green</v>
      </c>
      <c r="U1009" t="str">
        <f t="shared" si="328"/>
        <v>Red</v>
      </c>
      <c r="V1009" t="str">
        <f t="shared" si="329"/>
        <v>Red</v>
      </c>
      <c r="W1009" t="str">
        <f t="shared" si="330"/>
        <v>Green</v>
      </c>
      <c r="X1009" t="str">
        <f t="shared" si="331"/>
        <v>Green</v>
      </c>
      <c r="Y1009" t="str">
        <f t="shared" si="332"/>
        <v>Green</v>
      </c>
      <c r="Z1009" t="str">
        <f t="shared" si="333"/>
        <v>Green</v>
      </c>
      <c r="AA1009" t="str">
        <f t="shared" si="334"/>
        <v>Red</v>
      </c>
      <c r="AB1009" t="str">
        <f t="shared" si="335"/>
        <v>Red</v>
      </c>
      <c r="AC1009" t="str">
        <f t="shared" si="336"/>
        <v>Green</v>
      </c>
      <c r="AD1009" t="str">
        <f t="shared" si="337"/>
        <v>Red</v>
      </c>
    </row>
    <row r="1010" spans="1:30" x14ac:dyDescent="0.2">
      <c r="A1010" t="str">
        <f>L1009&amp;F1010&amp;G1010</f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2984</v>
      </c>
      <c r="G1010" t="s">
        <v>2985</v>
      </c>
      <c r="H1010">
        <v>0</v>
      </c>
      <c r="I1010">
        <v>0</v>
      </c>
      <c r="J1010">
        <v>0</v>
      </c>
      <c r="K1010">
        <v>1</v>
      </c>
      <c r="L1010" s="22" t="str">
        <f t="shared" si="338"/>
        <v>25/07/2026</v>
      </c>
      <c r="M1010" s="23">
        <f t="shared" si="339"/>
        <v>0.25</v>
      </c>
      <c r="N1010" t="str">
        <f t="shared" si="340"/>
        <v>0 - 1</v>
      </c>
      <c r="O1010" t="str">
        <f t="shared" si="322"/>
        <v>Red</v>
      </c>
      <c r="P1010" t="str">
        <f t="shared" si="323"/>
        <v>Red</v>
      </c>
      <c r="Q1010" t="str">
        <f t="shared" si="324"/>
        <v>Green</v>
      </c>
      <c r="R1010" t="str">
        <f t="shared" si="325"/>
        <v>Red</v>
      </c>
      <c r="S1010" t="str">
        <f t="shared" si="326"/>
        <v>Green</v>
      </c>
      <c r="T1010" t="str">
        <f t="shared" si="327"/>
        <v>Green</v>
      </c>
      <c r="U1010" t="str">
        <f t="shared" si="328"/>
        <v>Red</v>
      </c>
      <c r="V1010" t="str">
        <f t="shared" si="329"/>
        <v>Green</v>
      </c>
      <c r="W1010" t="str">
        <f t="shared" si="330"/>
        <v>Red</v>
      </c>
      <c r="X1010" t="str">
        <f t="shared" si="331"/>
        <v>Red</v>
      </c>
      <c r="Y1010" t="str">
        <f t="shared" si="332"/>
        <v>Red</v>
      </c>
      <c r="Z1010" t="str">
        <f t="shared" si="333"/>
        <v>Red</v>
      </c>
      <c r="AA1010" t="str">
        <f t="shared" si="334"/>
        <v>Green</v>
      </c>
      <c r="AB1010" t="str">
        <f t="shared" si="335"/>
        <v>Green</v>
      </c>
      <c r="AC1010" t="str">
        <f t="shared" si="336"/>
        <v>Red</v>
      </c>
      <c r="AD1010" t="str">
        <f t="shared" si="337"/>
        <v>Green</v>
      </c>
    </row>
    <row r="1011" spans="1:30" x14ac:dyDescent="0.2">
      <c r="A1011" t="str">
        <f>L1010&amp;F1011&amp;G1011</f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2986</v>
      </c>
      <c r="G1011" t="s">
        <v>2987</v>
      </c>
      <c r="H1011">
        <v>1</v>
      </c>
      <c r="I1011">
        <v>0</v>
      </c>
      <c r="J1011">
        <v>1</v>
      </c>
      <c r="K1011">
        <v>2</v>
      </c>
      <c r="L1011" s="22" t="str">
        <f t="shared" si="338"/>
        <v>25/07/2026</v>
      </c>
      <c r="M1011" s="23">
        <f t="shared" si="339"/>
        <v>0.25</v>
      </c>
      <c r="N1011" t="str">
        <f t="shared" si="340"/>
        <v>1 - 2</v>
      </c>
      <c r="O1011" t="str">
        <f t="shared" si="322"/>
        <v>Red</v>
      </c>
      <c r="P1011" t="str">
        <f t="shared" si="323"/>
        <v>Red</v>
      </c>
      <c r="Q1011" t="str">
        <f t="shared" si="324"/>
        <v>Green</v>
      </c>
      <c r="R1011" t="str">
        <f t="shared" si="325"/>
        <v>Red</v>
      </c>
      <c r="S1011" t="str">
        <f t="shared" si="326"/>
        <v>Green</v>
      </c>
      <c r="T1011" t="str">
        <f t="shared" si="327"/>
        <v>Green</v>
      </c>
      <c r="U1011" t="str">
        <f t="shared" si="328"/>
        <v>Green</v>
      </c>
      <c r="V1011" t="str">
        <f t="shared" si="329"/>
        <v>Red</v>
      </c>
      <c r="W1011" t="str">
        <f t="shared" si="330"/>
        <v>Red</v>
      </c>
      <c r="X1011" t="str">
        <f t="shared" si="331"/>
        <v>Green</v>
      </c>
      <c r="Y1011" t="str">
        <f t="shared" si="332"/>
        <v>Green</v>
      </c>
      <c r="Z1011" t="str">
        <f t="shared" si="333"/>
        <v>Green</v>
      </c>
      <c r="AA1011" t="str">
        <f t="shared" si="334"/>
        <v>Red</v>
      </c>
      <c r="AB1011" t="str">
        <f t="shared" si="335"/>
        <v>Green</v>
      </c>
      <c r="AC1011" t="str">
        <f t="shared" si="336"/>
        <v>Green</v>
      </c>
      <c r="AD1011" t="str">
        <f t="shared" si="337"/>
        <v>Red</v>
      </c>
    </row>
    <row r="1012" spans="1:30" x14ac:dyDescent="0.2">
      <c r="A1012" t="str">
        <f>L1011&amp;F1012&amp;G1012</f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38"/>
        <v>25/07/2026</v>
      </c>
      <c r="M1012" s="23">
        <f t="shared" si="339"/>
        <v>0.25</v>
      </c>
      <c r="N1012" t="str">
        <f t="shared" si="340"/>
        <v>2 - 0</v>
      </c>
      <c r="O1012" t="str">
        <f t="shared" si="322"/>
        <v>Green</v>
      </c>
      <c r="P1012" t="str">
        <f t="shared" si="323"/>
        <v>Red</v>
      </c>
      <c r="Q1012" t="str">
        <f t="shared" si="324"/>
        <v>Red</v>
      </c>
      <c r="R1012" t="str">
        <f t="shared" si="325"/>
        <v>Green</v>
      </c>
      <c r="S1012" t="str">
        <f t="shared" si="326"/>
        <v>Red</v>
      </c>
      <c r="T1012" t="str">
        <f t="shared" si="327"/>
        <v>Green</v>
      </c>
      <c r="U1012" t="str">
        <f t="shared" si="328"/>
        <v>Green</v>
      </c>
      <c r="V1012" t="str">
        <f t="shared" si="329"/>
        <v>Red</v>
      </c>
      <c r="W1012" t="str">
        <f t="shared" si="330"/>
        <v>Red</v>
      </c>
      <c r="X1012" t="str">
        <f t="shared" si="331"/>
        <v>Green</v>
      </c>
      <c r="Y1012" t="str">
        <f t="shared" si="332"/>
        <v>Green</v>
      </c>
      <c r="Z1012" t="str">
        <f t="shared" si="333"/>
        <v>Red</v>
      </c>
      <c r="AA1012" t="str">
        <f t="shared" si="334"/>
        <v>Green</v>
      </c>
      <c r="AB1012" t="str">
        <f t="shared" si="335"/>
        <v>Green</v>
      </c>
      <c r="AC1012" t="str">
        <f t="shared" si="336"/>
        <v>Red</v>
      </c>
      <c r="AD1012" t="str">
        <f t="shared" si="337"/>
        <v>Green</v>
      </c>
    </row>
    <row r="1013" spans="1:30" x14ac:dyDescent="0.2">
      <c r="A1013" t="str">
        <f>L1012&amp;F1013&amp;G1013</f>
        <v>25/07/2026Aaland United WomenVIFK Vaasa Women</v>
      </c>
      <c r="D1013" s="2">
        <v>46228</v>
      </c>
      <c r="E1013" s="3">
        <v>0.375</v>
      </c>
      <c r="F1013" t="s">
        <v>3257</v>
      </c>
      <c r="G1013" t="s">
        <v>3258</v>
      </c>
      <c r="H1013">
        <v>2</v>
      </c>
      <c r="I1013">
        <v>0</v>
      </c>
      <c r="J1013">
        <v>6</v>
      </c>
      <c r="K1013">
        <v>1</v>
      </c>
      <c r="L1013" s="22" t="str">
        <f t="shared" si="338"/>
        <v>25/07/2026</v>
      </c>
      <c r="M1013" s="23">
        <f t="shared" si="339"/>
        <v>0.25</v>
      </c>
      <c r="N1013" t="str">
        <f t="shared" si="340"/>
        <v>6 - 1</v>
      </c>
      <c r="O1013" t="str">
        <f t="shared" si="322"/>
        <v>Green</v>
      </c>
      <c r="P1013" t="str">
        <f t="shared" si="323"/>
        <v>Red</v>
      </c>
      <c r="Q1013" t="str">
        <f t="shared" si="324"/>
        <v>Red</v>
      </c>
      <c r="R1013" t="str">
        <f t="shared" si="325"/>
        <v>Green</v>
      </c>
      <c r="S1013" t="str">
        <f t="shared" si="326"/>
        <v>Red</v>
      </c>
      <c r="T1013" t="str">
        <f t="shared" si="327"/>
        <v>Green</v>
      </c>
      <c r="U1013" t="str">
        <f t="shared" si="328"/>
        <v>Green</v>
      </c>
      <c r="V1013" t="str">
        <f t="shared" si="329"/>
        <v>Red</v>
      </c>
      <c r="W1013" t="str">
        <f t="shared" si="330"/>
        <v>Red</v>
      </c>
      <c r="X1013" t="str">
        <f t="shared" si="331"/>
        <v>Green</v>
      </c>
      <c r="Y1013" t="str">
        <f t="shared" si="332"/>
        <v>Green</v>
      </c>
      <c r="Z1013" t="str">
        <f t="shared" si="333"/>
        <v>Green</v>
      </c>
      <c r="AA1013" t="str">
        <f t="shared" si="334"/>
        <v>Red</v>
      </c>
      <c r="AB1013" t="str">
        <f t="shared" si="335"/>
        <v>Red</v>
      </c>
      <c r="AC1013" t="str">
        <f t="shared" si="336"/>
        <v>Green</v>
      </c>
      <c r="AD1013" t="str">
        <f t="shared" si="337"/>
        <v>Red</v>
      </c>
    </row>
    <row r="1014" spans="1:30" x14ac:dyDescent="0.2">
      <c r="A1014" t="str">
        <f>L1013&amp;F1014&amp;G1014</f>
        <v>25/07/2026Nyiregyhaza Spartacus IIDiosgyori VTK II</v>
      </c>
      <c r="D1014" s="2">
        <v>46228</v>
      </c>
      <c r="E1014" s="3">
        <v>0.375</v>
      </c>
      <c r="F1014" t="s">
        <v>3322</v>
      </c>
      <c r="G1014" t="s">
        <v>3323</v>
      </c>
      <c r="H1014">
        <v>1</v>
      </c>
      <c r="I1014">
        <v>0</v>
      </c>
      <c r="J1014">
        <v>3</v>
      </c>
      <c r="K1014">
        <v>1</v>
      </c>
      <c r="L1014" s="22" t="str">
        <f t="shared" si="338"/>
        <v>25/07/2026</v>
      </c>
      <c r="M1014" s="23">
        <f t="shared" si="339"/>
        <v>0.25</v>
      </c>
      <c r="N1014" t="str">
        <f t="shared" si="340"/>
        <v>3 - 1</v>
      </c>
      <c r="O1014" t="str">
        <f t="shared" si="322"/>
        <v>Green</v>
      </c>
      <c r="P1014" t="str">
        <f t="shared" si="323"/>
        <v>Red</v>
      </c>
      <c r="Q1014" t="str">
        <f t="shared" si="324"/>
        <v>Red</v>
      </c>
      <c r="R1014" t="str">
        <f t="shared" si="325"/>
        <v>Green</v>
      </c>
      <c r="S1014" t="str">
        <f t="shared" si="326"/>
        <v>Red</v>
      </c>
      <c r="T1014" t="str">
        <f t="shared" si="327"/>
        <v>Green</v>
      </c>
      <c r="U1014" t="str">
        <f t="shared" si="328"/>
        <v>Green</v>
      </c>
      <c r="V1014" t="str">
        <f t="shared" si="329"/>
        <v>Red</v>
      </c>
      <c r="W1014" t="str">
        <f t="shared" si="330"/>
        <v>Red</v>
      </c>
      <c r="X1014" t="str">
        <f t="shared" si="331"/>
        <v>Green</v>
      </c>
      <c r="Y1014" t="str">
        <f t="shared" si="332"/>
        <v>Green</v>
      </c>
      <c r="Z1014" t="str">
        <f t="shared" si="333"/>
        <v>Green</v>
      </c>
      <c r="AA1014" t="str">
        <f t="shared" si="334"/>
        <v>Red</v>
      </c>
      <c r="AB1014" t="str">
        <f t="shared" si="335"/>
        <v>Red</v>
      </c>
      <c r="AC1014" t="str">
        <f t="shared" si="336"/>
        <v>Green</v>
      </c>
      <c r="AD1014" t="str">
        <f t="shared" si="337"/>
        <v>Red</v>
      </c>
    </row>
    <row r="1015" spans="1:30" x14ac:dyDescent="0.2">
      <c r="A1015" t="str">
        <f>L1014&amp;F1015&amp;G1015</f>
        <v>25/07/2026PocheonDaejeon Korail</v>
      </c>
      <c r="D1015" s="2">
        <v>46228</v>
      </c>
      <c r="E1015" s="3">
        <v>0.375</v>
      </c>
      <c r="F1015" t="s">
        <v>3650</v>
      </c>
      <c r="G1015" t="s">
        <v>3651</v>
      </c>
      <c r="H1015">
        <v>1</v>
      </c>
      <c r="I1015">
        <v>1</v>
      </c>
      <c r="J1015">
        <v>1</v>
      </c>
      <c r="K1015">
        <v>1</v>
      </c>
      <c r="L1015" s="22" t="str">
        <f t="shared" si="338"/>
        <v>25/07/2026</v>
      </c>
      <c r="M1015" s="23">
        <f t="shared" si="339"/>
        <v>0.25</v>
      </c>
      <c r="N1015" t="str">
        <f t="shared" si="340"/>
        <v>1 - 1</v>
      </c>
      <c r="O1015" t="str">
        <f t="shared" si="322"/>
        <v>Red</v>
      </c>
      <c r="P1015" t="str">
        <f t="shared" si="323"/>
        <v>Green</v>
      </c>
      <c r="Q1015" t="str">
        <f t="shared" si="324"/>
        <v>Red</v>
      </c>
      <c r="R1015" t="str">
        <f t="shared" si="325"/>
        <v>Green</v>
      </c>
      <c r="S1015" t="str">
        <f t="shared" si="326"/>
        <v>Green</v>
      </c>
      <c r="T1015" t="str">
        <f t="shared" si="327"/>
        <v>Red</v>
      </c>
      <c r="U1015" t="str">
        <f t="shared" si="328"/>
        <v>Red</v>
      </c>
      <c r="V1015" t="str">
        <f t="shared" si="329"/>
        <v>Green</v>
      </c>
      <c r="W1015" t="str">
        <f t="shared" si="330"/>
        <v>Red</v>
      </c>
      <c r="X1015" t="str">
        <f t="shared" si="331"/>
        <v>Green</v>
      </c>
      <c r="Y1015" t="str">
        <f t="shared" si="332"/>
        <v>Green</v>
      </c>
      <c r="Z1015" t="str">
        <f t="shared" si="333"/>
        <v>Red</v>
      </c>
      <c r="AA1015" t="str">
        <f t="shared" si="334"/>
        <v>Green</v>
      </c>
      <c r="AB1015" t="str">
        <f t="shared" si="335"/>
        <v>Green</v>
      </c>
      <c r="AC1015" t="str">
        <f t="shared" si="336"/>
        <v>Green</v>
      </c>
      <c r="AD1015" t="str">
        <f t="shared" si="337"/>
        <v>Red</v>
      </c>
    </row>
    <row r="1016" spans="1:30" x14ac:dyDescent="0.2">
      <c r="A1016" t="str">
        <f>L1015&amp;F1016&amp;G1016</f>
        <v>25/07/2026Agrobiznes VolochyskSC Poltava</v>
      </c>
      <c r="D1016" s="2">
        <v>46228</v>
      </c>
      <c r="E1016" s="3">
        <v>0.375</v>
      </c>
      <c r="F1016" t="s">
        <v>3683</v>
      </c>
      <c r="G1016" t="s">
        <v>3684</v>
      </c>
      <c r="H1016">
        <v>0</v>
      </c>
      <c r="I1016">
        <v>0</v>
      </c>
      <c r="J1016">
        <v>0</v>
      </c>
      <c r="K1016">
        <v>3</v>
      </c>
      <c r="L1016" s="22" t="str">
        <f t="shared" si="338"/>
        <v>25/07/2026</v>
      </c>
      <c r="M1016" s="23">
        <f t="shared" si="339"/>
        <v>0.25</v>
      </c>
      <c r="N1016" t="str">
        <f t="shared" si="340"/>
        <v>0 - 3</v>
      </c>
      <c r="O1016" t="str">
        <f t="shared" si="322"/>
        <v>Red</v>
      </c>
      <c r="P1016" t="str">
        <f t="shared" si="323"/>
        <v>Red</v>
      </c>
      <c r="Q1016" t="str">
        <f t="shared" si="324"/>
        <v>Green</v>
      </c>
      <c r="R1016" t="str">
        <f t="shared" si="325"/>
        <v>Red</v>
      </c>
      <c r="S1016" t="str">
        <f t="shared" si="326"/>
        <v>Green</v>
      </c>
      <c r="T1016" t="str">
        <f t="shared" si="327"/>
        <v>Green</v>
      </c>
      <c r="U1016" t="str">
        <f t="shared" si="328"/>
        <v>Red</v>
      </c>
      <c r="V1016" t="str">
        <f t="shared" si="329"/>
        <v>Green</v>
      </c>
      <c r="W1016" t="str">
        <f t="shared" si="330"/>
        <v>Red</v>
      </c>
      <c r="X1016" t="str">
        <f t="shared" si="331"/>
        <v>Red</v>
      </c>
      <c r="Y1016" t="str">
        <f t="shared" si="332"/>
        <v>Green</v>
      </c>
      <c r="Z1016" t="str">
        <f t="shared" si="333"/>
        <v>Green</v>
      </c>
      <c r="AA1016" t="str">
        <f t="shared" si="334"/>
        <v>Red</v>
      </c>
      <c r="AB1016" t="str">
        <f t="shared" si="335"/>
        <v>Green</v>
      </c>
      <c r="AC1016" t="str">
        <f t="shared" si="336"/>
        <v>Red</v>
      </c>
      <c r="AD1016" t="str">
        <f t="shared" si="337"/>
        <v>Green</v>
      </c>
    </row>
    <row r="1017" spans="1:30" x14ac:dyDescent="0.2">
      <c r="A1017" t="str">
        <f>L1016&amp;F1017&amp;G1017</f>
        <v>25/07/2026Chainat HornbillLopburi City</v>
      </c>
      <c r="D1017" s="2">
        <v>46228</v>
      </c>
      <c r="E1017" s="3">
        <v>0.375</v>
      </c>
      <c r="F1017" t="s">
        <v>3756</v>
      </c>
      <c r="G1017" t="s">
        <v>3757</v>
      </c>
      <c r="H1017">
        <v>1</v>
      </c>
      <c r="I1017">
        <v>1</v>
      </c>
      <c r="J1017">
        <v>1</v>
      </c>
      <c r="K1017">
        <v>1</v>
      </c>
      <c r="L1017" s="22" t="str">
        <f t="shared" si="338"/>
        <v>25/07/2026</v>
      </c>
      <c r="M1017" s="23">
        <f t="shared" si="339"/>
        <v>0.25</v>
      </c>
      <c r="N1017" t="str">
        <f t="shared" si="340"/>
        <v>1 - 1</v>
      </c>
      <c r="O1017" t="str">
        <f t="shared" si="322"/>
        <v>Red</v>
      </c>
      <c r="P1017" t="str">
        <f t="shared" si="323"/>
        <v>Green</v>
      </c>
      <c r="Q1017" t="str">
        <f t="shared" si="324"/>
        <v>Red</v>
      </c>
      <c r="R1017" t="str">
        <f t="shared" si="325"/>
        <v>Green</v>
      </c>
      <c r="S1017" t="str">
        <f t="shared" si="326"/>
        <v>Green</v>
      </c>
      <c r="T1017" t="str">
        <f t="shared" si="327"/>
        <v>Red</v>
      </c>
      <c r="U1017" t="str">
        <f t="shared" si="328"/>
        <v>Red</v>
      </c>
      <c r="V1017" t="str">
        <f t="shared" si="329"/>
        <v>Green</v>
      </c>
      <c r="W1017" t="str">
        <f t="shared" si="330"/>
        <v>Red</v>
      </c>
      <c r="X1017" t="str">
        <f t="shared" si="331"/>
        <v>Green</v>
      </c>
      <c r="Y1017" t="str">
        <f t="shared" si="332"/>
        <v>Green</v>
      </c>
      <c r="Z1017" t="str">
        <f t="shared" si="333"/>
        <v>Red</v>
      </c>
      <c r="AA1017" t="str">
        <f t="shared" si="334"/>
        <v>Green</v>
      </c>
      <c r="AB1017" t="str">
        <f t="shared" si="335"/>
        <v>Green</v>
      </c>
      <c r="AC1017" t="str">
        <f t="shared" si="336"/>
        <v>Green</v>
      </c>
      <c r="AD1017" t="str">
        <f t="shared" si="337"/>
        <v>Red</v>
      </c>
    </row>
    <row r="1018" spans="1:30" x14ac:dyDescent="0.2">
      <c r="A1018" t="str">
        <f>L1017&amp;F1018&amp;G1018</f>
        <v>25/07/2026FC LangenthalFC Rotkreuz</v>
      </c>
      <c r="D1018" s="2">
        <v>46228</v>
      </c>
      <c r="E1018" s="3">
        <v>0.375</v>
      </c>
      <c r="F1018" t="s">
        <v>3758</v>
      </c>
      <c r="G1018" t="s">
        <v>3759</v>
      </c>
      <c r="L1018" s="22" t="str">
        <f t="shared" si="338"/>
        <v>25/07/2026</v>
      </c>
      <c r="M1018" s="23">
        <f t="shared" si="339"/>
        <v>0.25</v>
      </c>
      <c r="N1018" t="str">
        <f t="shared" si="340"/>
        <v xml:space="preserve"> - </v>
      </c>
      <c r="O1018" t="str">
        <f t="shared" si="322"/>
        <v>Red</v>
      </c>
      <c r="P1018" t="str">
        <f t="shared" si="323"/>
        <v>Green</v>
      </c>
      <c r="Q1018" t="str">
        <f t="shared" si="324"/>
        <v>Red</v>
      </c>
      <c r="R1018" t="str">
        <f t="shared" si="325"/>
        <v>Green</v>
      </c>
      <c r="S1018" t="str">
        <f t="shared" si="326"/>
        <v>Green</v>
      </c>
      <c r="T1018" t="str">
        <f t="shared" si="327"/>
        <v>Red</v>
      </c>
      <c r="U1018" t="str">
        <f t="shared" si="328"/>
        <v>Red</v>
      </c>
      <c r="V1018" t="str">
        <f t="shared" si="329"/>
        <v>Green</v>
      </c>
      <c r="W1018" t="str">
        <f t="shared" si="330"/>
        <v>Red</v>
      </c>
      <c r="X1018" t="str">
        <f t="shared" si="331"/>
        <v>Red</v>
      </c>
      <c r="Y1018" t="str">
        <f t="shared" si="332"/>
        <v>Red</v>
      </c>
      <c r="Z1018" t="str">
        <f t="shared" si="333"/>
        <v>Red</v>
      </c>
      <c r="AA1018" t="str">
        <f t="shared" si="334"/>
        <v>Green</v>
      </c>
      <c r="AB1018" t="str">
        <f t="shared" si="335"/>
        <v>Green</v>
      </c>
      <c r="AC1018" t="str">
        <f t="shared" si="336"/>
        <v>Red</v>
      </c>
      <c r="AD1018" t="str">
        <f t="shared" si="337"/>
        <v>Green</v>
      </c>
    </row>
    <row r="1019" spans="1:30" x14ac:dyDescent="0.2">
      <c r="A1019" t="str">
        <f>L1018&amp;F1019&amp;G1019</f>
        <v>25/07/2026KaiserslauternFC Sudtirol</v>
      </c>
      <c r="D1019" s="2">
        <v>46228</v>
      </c>
      <c r="E1019" s="3">
        <v>0.375</v>
      </c>
      <c r="F1019" t="s">
        <v>3760</v>
      </c>
      <c r="G1019" t="s">
        <v>3761</v>
      </c>
      <c r="H1019">
        <v>0</v>
      </c>
      <c r="I1019">
        <v>0</v>
      </c>
      <c r="J1019">
        <v>0</v>
      </c>
      <c r="K1019">
        <v>0</v>
      </c>
      <c r="L1019" s="22" t="str">
        <f t="shared" si="338"/>
        <v>25/07/2026</v>
      </c>
      <c r="M1019" s="23">
        <f t="shared" si="339"/>
        <v>0.25</v>
      </c>
      <c r="N1019" t="str">
        <f t="shared" si="340"/>
        <v>0 - 0</v>
      </c>
      <c r="O1019" t="str">
        <f t="shared" si="322"/>
        <v>Red</v>
      </c>
      <c r="P1019" t="str">
        <f t="shared" si="323"/>
        <v>Green</v>
      </c>
      <c r="Q1019" t="str">
        <f t="shared" si="324"/>
        <v>Red</v>
      </c>
      <c r="R1019" t="str">
        <f t="shared" si="325"/>
        <v>Green</v>
      </c>
      <c r="S1019" t="str">
        <f t="shared" si="326"/>
        <v>Green</v>
      </c>
      <c r="T1019" t="str">
        <f t="shared" si="327"/>
        <v>Red</v>
      </c>
      <c r="U1019" t="str">
        <f t="shared" si="328"/>
        <v>Red</v>
      </c>
      <c r="V1019" t="str">
        <f t="shared" si="329"/>
        <v>Green</v>
      </c>
      <c r="W1019" t="str">
        <f t="shared" si="330"/>
        <v>Red</v>
      </c>
      <c r="X1019" t="str">
        <f t="shared" si="331"/>
        <v>Red</v>
      </c>
      <c r="Y1019" t="str">
        <f t="shared" si="332"/>
        <v>Red</v>
      </c>
      <c r="Z1019" t="str">
        <f t="shared" si="333"/>
        <v>Red</v>
      </c>
      <c r="AA1019" t="str">
        <f t="shared" si="334"/>
        <v>Green</v>
      </c>
      <c r="AB1019" t="str">
        <f t="shared" si="335"/>
        <v>Green</v>
      </c>
      <c r="AC1019" t="str">
        <f t="shared" si="336"/>
        <v>Red</v>
      </c>
      <c r="AD1019" t="str">
        <f t="shared" si="337"/>
        <v>Green</v>
      </c>
    </row>
    <row r="1020" spans="1:30" x14ac:dyDescent="0.2">
      <c r="A1020" t="str">
        <f>L1019&amp;F1020&amp;G1020</f>
        <v>25/07/2026KV KortrijkRoyal Knokke</v>
      </c>
      <c r="D1020" s="2">
        <v>46228</v>
      </c>
      <c r="E1020" s="3">
        <v>0.375</v>
      </c>
      <c r="F1020" t="s">
        <v>3762</v>
      </c>
      <c r="G1020" t="s">
        <v>3763</v>
      </c>
      <c r="H1020">
        <v>1</v>
      </c>
      <c r="I1020">
        <v>0</v>
      </c>
      <c r="J1020">
        <v>4</v>
      </c>
      <c r="K1020">
        <v>1</v>
      </c>
      <c r="L1020" s="22" t="str">
        <f t="shared" si="338"/>
        <v>25/07/2026</v>
      </c>
      <c r="M1020" s="23">
        <f t="shared" si="339"/>
        <v>0.25</v>
      </c>
      <c r="N1020" t="str">
        <f t="shared" si="340"/>
        <v>4 - 1</v>
      </c>
      <c r="O1020" t="str">
        <f t="shared" si="322"/>
        <v>Green</v>
      </c>
      <c r="P1020" t="str">
        <f t="shared" si="323"/>
        <v>Red</v>
      </c>
      <c r="Q1020" t="str">
        <f t="shared" si="324"/>
        <v>Red</v>
      </c>
      <c r="R1020" t="str">
        <f t="shared" si="325"/>
        <v>Green</v>
      </c>
      <c r="S1020" t="str">
        <f t="shared" si="326"/>
        <v>Red</v>
      </c>
      <c r="T1020" t="str">
        <f t="shared" si="327"/>
        <v>Green</v>
      </c>
      <c r="U1020" t="str">
        <f t="shared" si="328"/>
        <v>Green</v>
      </c>
      <c r="V1020" t="str">
        <f t="shared" si="329"/>
        <v>Red</v>
      </c>
      <c r="W1020" t="str">
        <f t="shared" si="330"/>
        <v>Red</v>
      </c>
      <c r="X1020" t="str">
        <f t="shared" si="331"/>
        <v>Green</v>
      </c>
      <c r="Y1020" t="str">
        <f t="shared" si="332"/>
        <v>Green</v>
      </c>
      <c r="Z1020" t="str">
        <f t="shared" si="333"/>
        <v>Green</v>
      </c>
      <c r="AA1020" t="str">
        <f t="shared" si="334"/>
        <v>Red</v>
      </c>
      <c r="AB1020" t="str">
        <f t="shared" si="335"/>
        <v>Red</v>
      </c>
      <c r="AC1020" t="str">
        <f t="shared" si="336"/>
        <v>Green</v>
      </c>
      <c r="AD1020" t="str">
        <f t="shared" si="337"/>
        <v>Red</v>
      </c>
    </row>
    <row r="1021" spans="1:30" x14ac:dyDescent="0.2">
      <c r="A1021" t="str">
        <f>L1020&amp;F1021&amp;G1021</f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38"/>
        <v>25/07/2026</v>
      </c>
      <c r="M1021" s="23">
        <f t="shared" si="339"/>
        <v>0.25</v>
      </c>
      <c r="N1021" t="str">
        <f t="shared" si="340"/>
        <v>1 - 2</v>
      </c>
      <c r="O1021" t="str">
        <f t="shared" si="322"/>
        <v>Red</v>
      </c>
      <c r="P1021" t="str">
        <f t="shared" si="323"/>
        <v>Red</v>
      </c>
      <c r="Q1021" t="str">
        <f t="shared" si="324"/>
        <v>Green</v>
      </c>
      <c r="R1021" t="str">
        <f t="shared" si="325"/>
        <v>Red</v>
      </c>
      <c r="S1021" t="str">
        <f t="shared" si="326"/>
        <v>Green</v>
      </c>
      <c r="T1021" t="str">
        <f t="shared" si="327"/>
        <v>Green</v>
      </c>
      <c r="U1021" t="str">
        <f t="shared" si="328"/>
        <v>Red</v>
      </c>
      <c r="V1021" t="str">
        <f t="shared" si="329"/>
        <v>Green</v>
      </c>
      <c r="W1021" t="str">
        <f t="shared" si="330"/>
        <v>Red</v>
      </c>
      <c r="X1021" t="str">
        <f t="shared" si="331"/>
        <v>Green</v>
      </c>
      <c r="Y1021" t="str">
        <f t="shared" si="332"/>
        <v>Green</v>
      </c>
      <c r="Z1021" t="str">
        <f t="shared" si="333"/>
        <v>Green</v>
      </c>
      <c r="AA1021" t="str">
        <f t="shared" si="334"/>
        <v>Red</v>
      </c>
      <c r="AB1021" t="str">
        <f t="shared" si="335"/>
        <v>Green</v>
      </c>
      <c r="AC1021" t="str">
        <f t="shared" si="336"/>
        <v>Green</v>
      </c>
      <c r="AD1021" t="str">
        <f t="shared" si="337"/>
        <v>Red</v>
      </c>
    </row>
    <row r="1022" spans="1:30" x14ac:dyDescent="0.2">
      <c r="A1022" t="str">
        <f>L1021&amp;F1022&amp;G1022</f>
        <v>25/07/2026Luton TownAl Kholood</v>
      </c>
      <c r="D1022" s="2">
        <v>46228</v>
      </c>
      <c r="E1022" s="3">
        <v>0.375</v>
      </c>
      <c r="F1022" t="s">
        <v>3764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38"/>
        <v>25/07/2026</v>
      </c>
      <c r="M1022" s="23">
        <f t="shared" si="339"/>
        <v>0.25</v>
      </c>
      <c r="N1022" t="str">
        <f t="shared" si="340"/>
        <v>2 - 0</v>
      </c>
      <c r="O1022" t="str">
        <f t="shared" si="322"/>
        <v>Green</v>
      </c>
      <c r="P1022" t="str">
        <f t="shared" si="323"/>
        <v>Red</v>
      </c>
      <c r="Q1022" t="str">
        <f t="shared" si="324"/>
        <v>Red</v>
      </c>
      <c r="R1022" t="str">
        <f t="shared" si="325"/>
        <v>Green</v>
      </c>
      <c r="S1022" t="str">
        <f t="shared" si="326"/>
        <v>Red</v>
      </c>
      <c r="T1022" t="str">
        <f t="shared" si="327"/>
        <v>Green</v>
      </c>
      <c r="U1022" t="str">
        <f t="shared" si="328"/>
        <v>Green</v>
      </c>
      <c r="V1022" t="str">
        <f t="shared" si="329"/>
        <v>Red</v>
      </c>
      <c r="W1022" t="str">
        <f t="shared" si="330"/>
        <v>Red</v>
      </c>
      <c r="X1022" t="str">
        <f t="shared" si="331"/>
        <v>Green</v>
      </c>
      <c r="Y1022" t="str">
        <f t="shared" si="332"/>
        <v>Green</v>
      </c>
      <c r="Z1022" t="str">
        <f t="shared" si="333"/>
        <v>Red</v>
      </c>
      <c r="AA1022" t="str">
        <f t="shared" si="334"/>
        <v>Green</v>
      </c>
      <c r="AB1022" t="str">
        <f t="shared" si="335"/>
        <v>Green</v>
      </c>
      <c r="AC1022" t="str">
        <f t="shared" si="336"/>
        <v>Red</v>
      </c>
      <c r="AD1022" t="str">
        <f t="shared" si="337"/>
        <v>Green</v>
      </c>
    </row>
    <row r="1023" spans="1:30" x14ac:dyDescent="0.2">
      <c r="A1023" t="str">
        <f>L1022&amp;F1023&amp;G1023</f>
        <v>25/07/2026Real Oviedo BReal Aviles</v>
      </c>
      <c r="D1023" s="2">
        <v>46228</v>
      </c>
      <c r="E1023" s="3">
        <v>0.375</v>
      </c>
      <c r="F1023" t="s">
        <v>3765</v>
      </c>
      <c r="G1023" t="s">
        <v>3766</v>
      </c>
      <c r="H1023">
        <v>0</v>
      </c>
      <c r="I1023">
        <v>0</v>
      </c>
      <c r="J1023">
        <v>0</v>
      </c>
      <c r="K1023">
        <v>0</v>
      </c>
      <c r="L1023" s="22" t="str">
        <f t="shared" si="338"/>
        <v>25/07/2026</v>
      </c>
      <c r="M1023" s="23">
        <f t="shared" si="339"/>
        <v>0.25</v>
      </c>
      <c r="N1023" t="str">
        <f t="shared" si="340"/>
        <v>0 - 0</v>
      </c>
      <c r="O1023" t="str">
        <f t="shared" si="322"/>
        <v>Red</v>
      </c>
      <c r="P1023" t="str">
        <f t="shared" si="323"/>
        <v>Green</v>
      </c>
      <c r="Q1023" t="str">
        <f t="shared" si="324"/>
        <v>Red</v>
      </c>
      <c r="R1023" t="str">
        <f t="shared" si="325"/>
        <v>Green</v>
      </c>
      <c r="S1023" t="str">
        <f t="shared" si="326"/>
        <v>Green</v>
      </c>
      <c r="T1023" t="str">
        <f t="shared" si="327"/>
        <v>Red</v>
      </c>
      <c r="U1023" t="str">
        <f t="shared" si="328"/>
        <v>Red</v>
      </c>
      <c r="V1023" t="str">
        <f t="shared" si="329"/>
        <v>Green</v>
      </c>
      <c r="W1023" t="str">
        <f t="shared" si="330"/>
        <v>Red</v>
      </c>
      <c r="X1023" t="str">
        <f t="shared" si="331"/>
        <v>Red</v>
      </c>
      <c r="Y1023" t="str">
        <f t="shared" si="332"/>
        <v>Red</v>
      </c>
      <c r="Z1023" t="str">
        <f t="shared" si="333"/>
        <v>Red</v>
      </c>
      <c r="AA1023" t="str">
        <f t="shared" si="334"/>
        <v>Green</v>
      </c>
      <c r="AB1023" t="str">
        <f t="shared" si="335"/>
        <v>Green</v>
      </c>
      <c r="AC1023" t="str">
        <f t="shared" si="336"/>
        <v>Red</v>
      </c>
      <c r="AD1023" t="str">
        <f t="shared" si="337"/>
        <v>Green</v>
      </c>
    </row>
    <row r="1024" spans="1:30" x14ac:dyDescent="0.2">
      <c r="A1024" t="str">
        <f>L1023&amp;F1024&amp;G1024</f>
        <v>25/07/2026Versailles 78Fleury Merogis</v>
      </c>
      <c r="D1024" s="2">
        <v>46228</v>
      </c>
      <c r="E1024" s="3">
        <v>0.375</v>
      </c>
      <c r="F1024" t="s">
        <v>1706</v>
      </c>
      <c r="G1024" t="s">
        <v>3767</v>
      </c>
      <c r="H1024">
        <v>1</v>
      </c>
      <c r="I1024">
        <v>0</v>
      </c>
      <c r="J1024">
        <v>2</v>
      </c>
      <c r="K1024">
        <v>1</v>
      </c>
      <c r="L1024" s="22" t="str">
        <f t="shared" si="338"/>
        <v>25/07/2026</v>
      </c>
      <c r="M1024" s="23">
        <f t="shared" si="339"/>
        <v>0.25</v>
      </c>
      <c r="N1024" t="str">
        <f t="shared" si="340"/>
        <v>2 - 1</v>
      </c>
      <c r="O1024" t="str">
        <f t="shared" si="322"/>
        <v>Green</v>
      </c>
      <c r="P1024" t="str">
        <f t="shared" si="323"/>
        <v>Red</v>
      </c>
      <c r="Q1024" t="str">
        <f t="shared" si="324"/>
        <v>Red</v>
      </c>
      <c r="R1024" t="str">
        <f t="shared" si="325"/>
        <v>Green</v>
      </c>
      <c r="S1024" t="str">
        <f t="shared" si="326"/>
        <v>Red</v>
      </c>
      <c r="T1024" t="str">
        <f t="shared" si="327"/>
        <v>Green</v>
      </c>
      <c r="U1024" t="str">
        <f t="shared" si="328"/>
        <v>Green</v>
      </c>
      <c r="V1024" t="str">
        <f t="shared" si="329"/>
        <v>Red</v>
      </c>
      <c r="W1024" t="str">
        <f t="shared" si="330"/>
        <v>Red</v>
      </c>
      <c r="X1024" t="str">
        <f t="shared" si="331"/>
        <v>Green</v>
      </c>
      <c r="Y1024" t="str">
        <f t="shared" si="332"/>
        <v>Green</v>
      </c>
      <c r="Z1024" t="str">
        <f t="shared" si="333"/>
        <v>Green</v>
      </c>
      <c r="AA1024" t="str">
        <f t="shared" si="334"/>
        <v>Red</v>
      </c>
      <c r="AB1024" t="str">
        <f t="shared" si="335"/>
        <v>Green</v>
      </c>
      <c r="AC1024" t="str">
        <f t="shared" si="336"/>
        <v>Green</v>
      </c>
      <c r="AD1024" t="str">
        <f t="shared" si="337"/>
        <v>Red</v>
      </c>
    </row>
    <row r="1025" spans="1:30" x14ac:dyDescent="0.2">
      <c r="A1025" t="str">
        <f>L1024&amp;F1025&amp;G1025</f>
        <v>25/07/2026St George CitySydney United 58</v>
      </c>
      <c r="B1025" t="s">
        <v>810</v>
      </c>
      <c r="C1025" t="s">
        <v>2254</v>
      </c>
      <c r="D1025" s="2">
        <v>46228</v>
      </c>
      <c r="E1025" s="3">
        <v>0.38541666666666669</v>
      </c>
      <c r="F1025" t="s">
        <v>2805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38"/>
        <v>25/07/2026</v>
      </c>
      <c r="M1025" s="23">
        <f t="shared" si="339"/>
        <v>0.26041666666666669</v>
      </c>
      <c r="N1025" t="str">
        <f t="shared" si="340"/>
        <v>1 - 0</v>
      </c>
      <c r="O1025" t="str">
        <f t="shared" si="322"/>
        <v>Green</v>
      </c>
      <c r="P1025" t="str">
        <f t="shared" si="323"/>
        <v>Red</v>
      </c>
      <c r="Q1025" t="str">
        <f t="shared" si="324"/>
        <v>Red</v>
      </c>
      <c r="R1025" t="str">
        <f t="shared" si="325"/>
        <v>Green</v>
      </c>
      <c r="S1025" t="str">
        <f t="shared" si="326"/>
        <v>Red</v>
      </c>
      <c r="T1025" t="str">
        <f t="shared" si="327"/>
        <v>Green</v>
      </c>
      <c r="U1025" t="str">
        <f t="shared" si="328"/>
        <v>Red</v>
      </c>
      <c r="V1025" t="str">
        <f t="shared" si="329"/>
        <v>Green</v>
      </c>
      <c r="W1025" t="str">
        <f t="shared" si="330"/>
        <v>Red</v>
      </c>
      <c r="X1025" t="str">
        <f t="shared" si="331"/>
        <v>Red</v>
      </c>
      <c r="Y1025" t="str">
        <f t="shared" si="332"/>
        <v>Red</v>
      </c>
      <c r="Z1025" t="str">
        <f t="shared" si="333"/>
        <v>Red</v>
      </c>
      <c r="AA1025" t="str">
        <f t="shared" si="334"/>
        <v>Green</v>
      </c>
      <c r="AB1025" t="str">
        <f t="shared" si="335"/>
        <v>Green</v>
      </c>
      <c r="AC1025" t="str">
        <f t="shared" si="336"/>
        <v>Red</v>
      </c>
      <c r="AD1025" t="str">
        <f t="shared" si="337"/>
        <v>Green</v>
      </c>
    </row>
    <row r="1026" spans="1:30" x14ac:dyDescent="0.2">
      <c r="A1026" t="str">
        <f>L1025&amp;F1026&amp;G1026</f>
        <v>25/07/2026NKP PodhaleSlask Wroclaw II</v>
      </c>
      <c r="D1026" s="2">
        <v>46228</v>
      </c>
      <c r="E1026" s="3">
        <v>0.38541666666666669</v>
      </c>
      <c r="F1026" t="s">
        <v>3547</v>
      </c>
      <c r="G1026" t="s">
        <v>3548</v>
      </c>
      <c r="H1026">
        <v>2</v>
      </c>
      <c r="I1026">
        <v>0</v>
      </c>
      <c r="J1026">
        <v>3</v>
      </c>
      <c r="K1026">
        <v>1</v>
      </c>
      <c r="L1026" s="22" t="str">
        <f t="shared" si="338"/>
        <v>25/07/2026</v>
      </c>
      <c r="M1026" s="23">
        <f t="shared" si="339"/>
        <v>0.26041666666666669</v>
      </c>
      <c r="N1026" t="str">
        <f t="shared" si="340"/>
        <v>3 - 1</v>
      </c>
      <c r="O1026" t="str">
        <f t="shared" ref="O1026:O1089" si="341">IF($J1026&gt;$K1026,"Green","Red")</f>
        <v>Green</v>
      </c>
      <c r="P1026" t="str">
        <f t="shared" ref="P1026:P1089" si="342">IF($J1026=$K1026,"Green","Red")</f>
        <v>Red</v>
      </c>
      <c r="Q1026" t="str">
        <f t="shared" ref="Q1026:Q1089" si="343">IF($J1026&lt;$K1026,"Green","Red")</f>
        <v>Red</v>
      </c>
      <c r="R1026" t="str">
        <f t="shared" ref="R1026:R1089" si="344">IF($J1026&gt;=$K1026,"Green","Red")</f>
        <v>Green</v>
      </c>
      <c r="S1026" t="str">
        <f t="shared" ref="S1026:S1089" si="345">IF($J1026&lt;=$K1026,"Green","Red")</f>
        <v>Red</v>
      </c>
      <c r="T1026" t="str">
        <f t="shared" ref="T1026:T1089" si="346">IF(OR($J1026&gt;$K1026,$J1026&lt;$K1026),"Green","Red")</f>
        <v>Green</v>
      </c>
      <c r="U1026" t="str">
        <f t="shared" ref="U1026:U1089" si="347">IF($H1026&gt;$I1026,"Green","Red")</f>
        <v>Green</v>
      </c>
      <c r="V1026" t="str">
        <f t="shared" ref="V1026:V1089" si="348">IF($H1026=$I1026,"Green","Red")</f>
        <v>Red</v>
      </c>
      <c r="W1026" t="str">
        <f t="shared" ref="W1026:W1089" si="349">IF($H1026&lt;$I1026,"Green","Red")</f>
        <v>Red</v>
      </c>
      <c r="X1026" t="str">
        <f t="shared" ref="X1026:X1089" si="350">IF($H1026+$I1026&gt;0,"Green","Red")</f>
        <v>Green</v>
      </c>
      <c r="Y1026" t="str">
        <f t="shared" ref="Y1026:Y1089" si="351">IF($J1026+$K1026&gt;1.5,"Green","Red")</f>
        <v>Green</v>
      </c>
      <c r="Z1026" t="str">
        <f t="shared" ref="Z1026:Z1089" si="352">IF($J1026+$K1026&gt;2.5,"Green","Red")</f>
        <v>Green</v>
      </c>
      <c r="AA1026" t="str">
        <f t="shared" ref="AA1026:AA1089" si="353">IF($J1026+$K1026&lt;2.5,"Green","Red")</f>
        <v>Red</v>
      </c>
      <c r="AB1026" t="str">
        <f t="shared" ref="AB1026:AB1089" si="354">IF($J1026+$K1026&lt;3.5,"Green","Red")</f>
        <v>Red</v>
      </c>
      <c r="AC1026" t="str">
        <f t="shared" ref="AC1026:AC1089" si="355">IF(AND($J1026&gt;0,$K1026&gt;0),"Green","Red")</f>
        <v>Green</v>
      </c>
      <c r="AD1026" t="str">
        <f t="shared" ref="AD1026:AD1089" si="356">IF(OR($J1026=0,$K1026=0),"Green","Red")</f>
        <v>Red</v>
      </c>
    </row>
    <row r="1027" spans="1:30" x14ac:dyDescent="0.2">
      <c r="A1027" t="str">
        <f>L1026&amp;F1027&amp;G1027</f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2848</v>
      </c>
      <c r="H1027">
        <v>1</v>
      </c>
      <c r="I1027">
        <v>1</v>
      </c>
      <c r="J1027">
        <v>2</v>
      </c>
      <c r="K1027">
        <v>1</v>
      </c>
      <c r="L1027" s="22" t="str">
        <f t="shared" si="338"/>
        <v>25/07/2026</v>
      </c>
      <c r="M1027" s="23">
        <f t="shared" si="339"/>
        <v>0.27083333333333331</v>
      </c>
      <c r="N1027" t="str">
        <f t="shared" si="340"/>
        <v>2 - 1</v>
      </c>
      <c r="O1027" t="str">
        <f t="shared" si="341"/>
        <v>Green</v>
      </c>
      <c r="P1027" t="str">
        <f t="shared" si="342"/>
        <v>Red</v>
      </c>
      <c r="Q1027" t="str">
        <f t="shared" si="343"/>
        <v>Red</v>
      </c>
      <c r="R1027" t="str">
        <f t="shared" si="344"/>
        <v>Green</v>
      </c>
      <c r="S1027" t="str">
        <f t="shared" si="345"/>
        <v>Red</v>
      </c>
      <c r="T1027" t="str">
        <f t="shared" si="346"/>
        <v>Green</v>
      </c>
      <c r="U1027" t="str">
        <f t="shared" si="347"/>
        <v>Red</v>
      </c>
      <c r="V1027" t="str">
        <f t="shared" si="348"/>
        <v>Green</v>
      </c>
      <c r="W1027" t="str">
        <f t="shared" si="349"/>
        <v>Red</v>
      </c>
      <c r="X1027" t="str">
        <f t="shared" si="350"/>
        <v>Green</v>
      </c>
      <c r="Y1027" t="str">
        <f t="shared" si="351"/>
        <v>Green</v>
      </c>
      <c r="Z1027" t="str">
        <f t="shared" si="352"/>
        <v>Green</v>
      </c>
      <c r="AA1027" t="str">
        <f t="shared" si="353"/>
        <v>Red</v>
      </c>
      <c r="AB1027" t="str">
        <f t="shared" si="354"/>
        <v>Green</v>
      </c>
      <c r="AC1027" t="str">
        <f t="shared" si="355"/>
        <v>Green</v>
      </c>
      <c r="AD1027" t="str">
        <f t="shared" si="356"/>
        <v>Red</v>
      </c>
    </row>
    <row r="1028" spans="1:30" x14ac:dyDescent="0.2">
      <c r="A1028" t="str">
        <f>L1027&amp;F1028&amp;G1028</f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3130</v>
      </c>
      <c r="H1028">
        <v>0</v>
      </c>
      <c r="I1028">
        <v>1</v>
      </c>
      <c r="J1028">
        <v>0</v>
      </c>
      <c r="K1028">
        <v>2</v>
      </c>
      <c r="L1028" s="22" t="str">
        <f t="shared" si="338"/>
        <v>25/07/2026</v>
      </c>
      <c r="M1028" s="23">
        <f t="shared" si="339"/>
        <v>0.27083333333333331</v>
      </c>
      <c r="N1028" t="str">
        <f t="shared" si="340"/>
        <v>0 - 2</v>
      </c>
      <c r="O1028" t="str">
        <f t="shared" si="341"/>
        <v>Red</v>
      </c>
      <c r="P1028" t="str">
        <f t="shared" si="342"/>
        <v>Red</v>
      </c>
      <c r="Q1028" t="str">
        <f t="shared" si="343"/>
        <v>Green</v>
      </c>
      <c r="R1028" t="str">
        <f t="shared" si="344"/>
        <v>Red</v>
      </c>
      <c r="S1028" t="str">
        <f t="shared" si="345"/>
        <v>Green</v>
      </c>
      <c r="T1028" t="str">
        <f t="shared" si="346"/>
        <v>Green</v>
      </c>
      <c r="U1028" t="str">
        <f t="shared" si="347"/>
        <v>Red</v>
      </c>
      <c r="V1028" t="str">
        <f t="shared" si="348"/>
        <v>Red</v>
      </c>
      <c r="W1028" t="str">
        <f t="shared" si="349"/>
        <v>Green</v>
      </c>
      <c r="X1028" t="str">
        <f t="shared" si="350"/>
        <v>Green</v>
      </c>
      <c r="Y1028" t="str">
        <f t="shared" si="351"/>
        <v>Green</v>
      </c>
      <c r="Z1028" t="str">
        <f t="shared" si="352"/>
        <v>Red</v>
      </c>
      <c r="AA1028" t="str">
        <f t="shared" si="353"/>
        <v>Green</v>
      </c>
      <c r="AB1028" t="str">
        <f t="shared" si="354"/>
        <v>Green</v>
      </c>
      <c r="AC1028" t="str">
        <f t="shared" si="355"/>
        <v>Red</v>
      </c>
      <c r="AD1028" t="str">
        <f t="shared" si="356"/>
        <v>Green</v>
      </c>
    </row>
    <row r="1029" spans="1:30" x14ac:dyDescent="0.2">
      <c r="A1029" t="str">
        <f>L1028&amp;F1029&amp;G1029</f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3136</v>
      </c>
      <c r="H1029">
        <v>1</v>
      </c>
      <c r="I1029">
        <v>0</v>
      </c>
      <c r="J1029">
        <v>2</v>
      </c>
      <c r="K1029">
        <v>0</v>
      </c>
      <c r="L1029" s="22" t="str">
        <f t="shared" si="338"/>
        <v>25/07/2026</v>
      </c>
      <c r="M1029" s="23">
        <f t="shared" si="339"/>
        <v>0.27083333333333331</v>
      </c>
      <c r="N1029" t="str">
        <f t="shared" si="340"/>
        <v>2 - 0</v>
      </c>
      <c r="O1029" t="str">
        <f t="shared" si="341"/>
        <v>Green</v>
      </c>
      <c r="P1029" t="str">
        <f t="shared" si="342"/>
        <v>Red</v>
      </c>
      <c r="Q1029" t="str">
        <f t="shared" si="343"/>
        <v>Red</v>
      </c>
      <c r="R1029" t="str">
        <f t="shared" si="344"/>
        <v>Green</v>
      </c>
      <c r="S1029" t="str">
        <f t="shared" si="345"/>
        <v>Red</v>
      </c>
      <c r="T1029" t="str">
        <f t="shared" si="346"/>
        <v>Green</v>
      </c>
      <c r="U1029" t="str">
        <f t="shared" si="347"/>
        <v>Green</v>
      </c>
      <c r="V1029" t="str">
        <f t="shared" si="348"/>
        <v>Red</v>
      </c>
      <c r="W1029" t="str">
        <f t="shared" si="349"/>
        <v>Red</v>
      </c>
      <c r="X1029" t="str">
        <f t="shared" si="350"/>
        <v>Green</v>
      </c>
      <c r="Y1029" t="str">
        <f t="shared" si="351"/>
        <v>Green</v>
      </c>
      <c r="Z1029" t="str">
        <f t="shared" si="352"/>
        <v>Red</v>
      </c>
      <c r="AA1029" t="str">
        <f t="shared" si="353"/>
        <v>Green</v>
      </c>
      <c r="AB1029" t="str">
        <f t="shared" si="354"/>
        <v>Green</v>
      </c>
      <c r="AC1029" t="str">
        <f t="shared" si="355"/>
        <v>Red</v>
      </c>
      <c r="AD1029" t="str">
        <f t="shared" si="356"/>
        <v>Green</v>
      </c>
    </row>
    <row r="1030" spans="1:30" x14ac:dyDescent="0.2">
      <c r="A1030" t="str">
        <f>L1029&amp;F1030&amp;G1030</f>
        <v>25/07/2026RB LeipzigIngolstadt</v>
      </c>
      <c r="D1030" s="2">
        <v>46228</v>
      </c>
      <c r="E1030" s="3">
        <v>0.39583333333333331</v>
      </c>
      <c r="F1030" t="s">
        <v>3768</v>
      </c>
      <c r="G1030" t="s">
        <v>3769</v>
      </c>
      <c r="H1030">
        <v>1</v>
      </c>
      <c r="I1030">
        <v>0</v>
      </c>
      <c r="J1030">
        <v>1</v>
      </c>
      <c r="K1030">
        <v>0</v>
      </c>
      <c r="L1030" s="22" t="str">
        <f t="shared" si="338"/>
        <v>25/07/2026</v>
      </c>
      <c r="M1030" s="23">
        <f t="shared" si="339"/>
        <v>0.27083333333333331</v>
      </c>
      <c r="N1030" t="str">
        <f t="shared" si="340"/>
        <v>1 - 0</v>
      </c>
      <c r="O1030" t="str">
        <f t="shared" si="341"/>
        <v>Green</v>
      </c>
      <c r="P1030" t="str">
        <f t="shared" si="342"/>
        <v>Red</v>
      </c>
      <c r="Q1030" t="str">
        <f t="shared" si="343"/>
        <v>Red</v>
      </c>
      <c r="R1030" t="str">
        <f t="shared" si="344"/>
        <v>Green</v>
      </c>
      <c r="S1030" t="str">
        <f t="shared" si="345"/>
        <v>Red</v>
      </c>
      <c r="T1030" t="str">
        <f t="shared" si="346"/>
        <v>Green</v>
      </c>
      <c r="U1030" t="str">
        <f t="shared" si="347"/>
        <v>Green</v>
      </c>
      <c r="V1030" t="str">
        <f t="shared" si="348"/>
        <v>Red</v>
      </c>
      <c r="W1030" t="str">
        <f t="shared" si="349"/>
        <v>Red</v>
      </c>
      <c r="X1030" t="str">
        <f t="shared" si="350"/>
        <v>Green</v>
      </c>
      <c r="Y1030" t="str">
        <f t="shared" si="351"/>
        <v>Red</v>
      </c>
      <c r="Z1030" t="str">
        <f t="shared" si="352"/>
        <v>Red</v>
      </c>
      <c r="AA1030" t="str">
        <f t="shared" si="353"/>
        <v>Green</v>
      </c>
      <c r="AB1030" t="str">
        <f t="shared" si="354"/>
        <v>Green</v>
      </c>
      <c r="AC1030" t="str">
        <f t="shared" si="355"/>
        <v>Red</v>
      </c>
      <c r="AD1030" t="str">
        <f t="shared" si="356"/>
        <v>Green</v>
      </c>
    </row>
    <row r="1031" spans="1:30" x14ac:dyDescent="0.2">
      <c r="A1031" t="str">
        <f>L1030&amp;F1031&amp;G1031</f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2814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38"/>
        <v>25/07/2026</v>
      </c>
      <c r="M1031" s="23">
        <f t="shared" si="339"/>
        <v>0.28125</v>
      </c>
      <c r="N1031" t="str">
        <f t="shared" si="340"/>
        <v>1 - 3</v>
      </c>
      <c r="O1031" t="str">
        <f t="shared" si="341"/>
        <v>Red</v>
      </c>
      <c r="P1031" t="str">
        <f t="shared" si="342"/>
        <v>Red</v>
      </c>
      <c r="Q1031" t="str">
        <f t="shared" si="343"/>
        <v>Green</v>
      </c>
      <c r="R1031" t="str">
        <f t="shared" si="344"/>
        <v>Red</v>
      </c>
      <c r="S1031" t="str">
        <f t="shared" si="345"/>
        <v>Green</v>
      </c>
      <c r="T1031" t="str">
        <f t="shared" si="346"/>
        <v>Green</v>
      </c>
      <c r="U1031" t="str">
        <f t="shared" si="347"/>
        <v>Red</v>
      </c>
      <c r="V1031" t="str">
        <f t="shared" si="348"/>
        <v>Red</v>
      </c>
      <c r="W1031" t="str">
        <f t="shared" si="349"/>
        <v>Green</v>
      </c>
      <c r="X1031" t="str">
        <f t="shared" si="350"/>
        <v>Green</v>
      </c>
      <c r="Y1031" t="str">
        <f t="shared" si="351"/>
        <v>Green</v>
      </c>
      <c r="Z1031" t="str">
        <f t="shared" si="352"/>
        <v>Green</v>
      </c>
      <c r="AA1031" t="str">
        <f t="shared" si="353"/>
        <v>Red</v>
      </c>
      <c r="AB1031" t="str">
        <f t="shared" si="354"/>
        <v>Red</v>
      </c>
      <c r="AC1031" t="str">
        <f t="shared" si="355"/>
        <v>Green</v>
      </c>
      <c r="AD1031" t="str">
        <f t="shared" si="356"/>
        <v>Red</v>
      </c>
    </row>
    <row r="1032" spans="1:30" x14ac:dyDescent="0.2">
      <c r="A1032" t="str">
        <f>L1031&amp;F1032&amp;G1032</f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2988</v>
      </c>
      <c r="G1032" t="s">
        <v>2989</v>
      </c>
      <c r="H1032">
        <v>3</v>
      </c>
      <c r="I1032">
        <v>2</v>
      </c>
      <c r="J1032">
        <v>4</v>
      </c>
      <c r="K1032">
        <v>3</v>
      </c>
      <c r="L1032" s="22" t="str">
        <f t="shared" si="338"/>
        <v>25/07/2026</v>
      </c>
      <c r="M1032" s="23">
        <f t="shared" si="339"/>
        <v>0.28125</v>
      </c>
      <c r="N1032" t="str">
        <f t="shared" si="340"/>
        <v>4 - 3</v>
      </c>
      <c r="O1032" t="str">
        <f t="shared" si="341"/>
        <v>Green</v>
      </c>
      <c r="P1032" t="str">
        <f t="shared" si="342"/>
        <v>Red</v>
      </c>
      <c r="Q1032" t="str">
        <f t="shared" si="343"/>
        <v>Red</v>
      </c>
      <c r="R1032" t="str">
        <f t="shared" si="344"/>
        <v>Green</v>
      </c>
      <c r="S1032" t="str">
        <f t="shared" si="345"/>
        <v>Red</v>
      </c>
      <c r="T1032" t="str">
        <f t="shared" si="346"/>
        <v>Green</v>
      </c>
      <c r="U1032" t="str">
        <f t="shared" si="347"/>
        <v>Green</v>
      </c>
      <c r="V1032" t="str">
        <f t="shared" si="348"/>
        <v>Red</v>
      </c>
      <c r="W1032" t="str">
        <f t="shared" si="349"/>
        <v>Red</v>
      </c>
      <c r="X1032" t="str">
        <f t="shared" si="350"/>
        <v>Green</v>
      </c>
      <c r="Y1032" t="str">
        <f t="shared" si="351"/>
        <v>Green</v>
      </c>
      <c r="Z1032" t="str">
        <f t="shared" si="352"/>
        <v>Green</v>
      </c>
      <c r="AA1032" t="str">
        <f t="shared" si="353"/>
        <v>Red</v>
      </c>
      <c r="AB1032" t="str">
        <f t="shared" si="354"/>
        <v>Red</v>
      </c>
      <c r="AC1032" t="str">
        <f t="shared" si="355"/>
        <v>Green</v>
      </c>
      <c r="AD1032" t="str">
        <f t="shared" si="356"/>
        <v>Red</v>
      </c>
    </row>
    <row r="1033" spans="1:30" x14ac:dyDescent="0.2">
      <c r="A1033" t="str">
        <f>L1032&amp;F1033&amp;G1033</f>
        <v>25/07/2026MyanmarMalaysia</v>
      </c>
      <c r="B1033" t="s">
        <v>2248</v>
      </c>
      <c r="C1033" t="s">
        <v>2249</v>
      </c>
      <c r="D1033" s="2">
        <v>46228</v>
      </c>
      <c r="E1033" s="3">
        <v>0.41666666666666669</v>
      </c>
      <c r="F1033" t="s">
        <v>2794</v>
      </c>
      <c r="G1033" t="s">
        <v>2795</v>
      </c>
      <c r="H1033">
        <v>1</v>
      </c>
      <c r="I1033">
        <v>0</v>
      </c>
      <c r="J1033">
        <v>1</v>
      </c>
      <c r="K1033">
        <v>2</v>
      </c>
      <c r="L1033" s="22" t="str">
        <f t="shared" si="338"/>
        <v>25/07/2026</v>
      </c>
      <c r="M1033" s="23">
        <f t="shared" si="339"/>
        <v>0.29166666666666669</v>
      </c>
      <c r="N1033" t="str">
        <f t="shared" si="340"/>
        <v>1 - 2</v>
      </c>
      <c r="O1033" t="str">
        <f t="shared" si="341"/>
        <v>Red</v>
      </c>
      <c r="P1033" t="str">
        <f t="shared" si="342"/>
        <v>Red</v>
      </c>
      <c r="Q1033" t="str">
        <f t="shared" si="343"/>
        <v>Green</v>
      </c>
      <c r="R1033" t="str">
        <f t="shared" si="344"/>
        <v>Red</v>
      </c>
      <c r="S1033" t="str">
        <f t="shared" si="345"/>
        <v>Green</v>
      </c>
      <c r="T1033" t="str">
        <f t="shared" si="346"/>
        <v>Green</v>
      </c>
      <c r="U1033" t="str">
        <f t="shared" si="347"/>
        <v>Green</v>
      </c>
      <c r="V1033" t="str">
        <f t="shared" si="348"/>
        <v>Red</v>
      </c>
      <c r="W1033" t="str">
        <f t="shared" si="349"/>
        <v>Red</v>
      </c>
      <c r="X1033" t="str">
        <f t="shared" si="350"/>
        <v>Green</v>
      </c>
      <c r="Y1033" t="str">
        <f t="shared" si="351"/>
        <v>Green</v>
      </c>
      <c r="Z1033" t="str">
        <f t="shared" si="352"/>
        <v>Green</v>
      </c>
      <c r="AA1033" t="str">
        <f t="shared" si="353"/>
        <v>Red</v>
      </c>
      <c r="AB1033" t="str">
        <f t="shared" si="354"/>
        <v>Green</v>
      </c>
      <c r="AC1033" t="str">
        <f t="shared" si="355"/>
        <v>Green</v>
      </c>
      <c r="AD1033" t="str">
        <f t="shared" si="356"/>
        <v>Red</v>
      </c>
    </row>
    <row r="1034" spans="1:30" x14ac:dyDescent="0.2">
      <c r="A1034" t="str">
        <f>L1033&amp;F1034&amp;G1034</f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2877</v>
      </c>
      <c r="G1034" t="s">
        <v>2878</v>
      </c>
      <c r="H1034">
        <v>1</v>
      </c>
      <c r="I1034">
        <v>1</v>
      </c>
      <c r="J1034">
        <v>2</v>
      </c>
      <c r="K1034">
        <v>2</v>
      </c>
      <c r="L1034" s="22" t="str">
        <f t="shared" si="338"/>
        <v>25/07/2026</v>
      </c>
      <c r="M1034" s="23">
        <f t="shared" si="339"/>
        <v>0.29166666666666669</v>
      </c>
      <c r="N1034" t="str">
        <f t="shared" si="340"/>
        <v>2 - 2</v>
      </c>
      <c r="O1034" t="str">
        <f t="shared" si="341"/>
        <v>Red</v>
      </c>
      <c r="P1034" t="str">
        <f t="shared" si="342"/>
        <v>Green</v>
      </c>
      <c r="Q1034" t="str">
        <f t="shared" si="343"/>
        <v>Red</v>
      </c>
      <c r="R1034" t="str">
        <f t="shared" si="344"/>
        <v>Green</v>
      </c>
      <c r="S1034" t="str">
        <f t="shared" si="345"/>
        <v>Green</v>
      </c>
      <c r="T1034" t="str">
        <f t="shared" si="346"/>
        <v>Red</v>
      </c>
      <c r="U1034" t="str">
        <f t="shared" si="347"/>
        <v>Red</v>
      </c>
      <c r="V1034" t="str">
        <f t="shared" si="348"/>
        <v>Green</v>
      </c>
      <c r="W1034" t="str">
        <f t="shared" si="349"/>
        <v>Red</v>
      </c>
      <c r="X1034" t="str">
        <f t="shared" si="350"/>
        <v>Green</v>
      </c>
      <c r="Y1034" t="str">
        <f t="shared" si="351"/>
        <v>Green</v>
      </c>
      <c r="Z1034" t="str">
        <f t="shared" si="352"/>
        <v>Green</v>
      </c>
      <c r="AA1034" t="str">
        <f t="shared" si="353"/>
        <v>Red</v>
      </c>
      <c r="AB1034" t="str">
        <f t="shared" si="354"/>
        <v>Red</v>
      </c>
      <c r="AC1034" t="str">
        <f t="shared" si="355"/>
        <v>Green</v>
      </c>
      <c r="AD1034" t="str">
        <f t="shared" si="356"/>
        <v>Red</v>
      </c>
    </row>
    <row r="1035" spans="1:30" x14ac:dyDescent="0.2">
      <c r="A1035" t="str">
        <f>L1034&amp;F1035&amp;G1035</f>
        <v>25/07/2026Avangard KurskEnergiya Khabarovsk U21</v>
      </c>
      <c r="D1035" s="2">
        <v>46228</v>
      </c>
      <c r="E1035" s="3">
        <v>0.41666666666666669</v>
      </c>
      <c r="F1035" t="s">
        <v>3589</v>
      </c>
      <c r="G1035" t="s">
        <v>3590</v>
      </c>
      <c r="H1035">
        <v>0</v>
      </c>
      <c r="I1035">
        <v>0</v>
      </c>
      <c r="J1035">
        <v>1</v>
      </c>
      <c r="K1035">
        <v>2</v>
      </c>
      <c r="L1035" s="22" t="str">
        <f t="shared" si="338"/>
        <v>25/07/2026</v>
      </c>
      <c r="M1035" s="23">
        <f t="shared" si="339"/>
        <v>0.29166666666666669</v>
      </c>
      <c r="N1035" t="str">
        <f t="shared" si="340"/>
        <v>1 - 2</v>
      </c>
      <c r="O1035" t="str">
        <f t="shared" si="341"/>
        <v>Red</v>
      </c>
      <c r="P1035" t="str">
        <f t="shared" si="342"/>
        <v>Red</v>
      </c>
      <c r="Q1035" t="str">
        <f t="shared" si="343"/>
        <v>Green</v>
      </c>
      <c r="R1035" t="str">
        <f t="shared" si="344"/>
        <v>Red</v>
      </c>
      <c r="S1035" t="str">
        <f t="shared" si="345"/>
        <v>Green</v>
      </c>
      <c r="T1035" t="str">
        <f t="shared" si="346"/>
        <v>Green</v>
      </c>
      <c r="U1035" t="str">
        <f t="shared" si="347"/>
        <v>Red</v>
      </c>
      <c r="V1035" t="str">
        <f t="shared" si="348"/>
        <v>Green</v>
      </c>
      <c r="W1035" t="str">
        <f t="shared" si="349"/>
        <v>Red</v>
      </c>
      <c r="X1035" t="str">
        <f t="shared" si="350"/>
        <v>Red</v>
      </c>
      <c r="Y1035" t="str">
        <f t="shared" si="351"/>
        <v>Green</v>
      </c>
      <c r="Z1035" t="str">
        <f t="shared" si="352"/>
        <v>Green</v>
      </c>
      <c r="AA1035" t="str">
        <f t="shared" si="353"/>
        <v>Red</v>
      </c>
      <c r="AB1035" t="str">
        <f t="shared" si="354"/>
        <v>Green</v>
      </c>
      <c r="AC1035" t="str">
        <f t="shared" si="355"/>
        <v>Green</v>
      </c>
      <c r="AD1035" t="str">
        <f t="shared" si="356"/>
        <v>Red</v>
      </c>
    </row>
    <row r="1036" spans="1:30" x14ac:dyDescent="0.2">
      <c r="A1036" t="str">
        <f>L1035&amp;F1036&amp;G1036</f>
        <v>25/07/2026Rodina IIISalyut Belgorod</v>
      </c>
      <c r="D1036" s="2">
        <v>46228</v>
      </c>
      <c r="E1036" s="3">
        <v>0.41666666666666669</v>
      </c>
      <c r="F1036" t="s">
        <v>3591</v>
      </c>
      <c r="G1036" t="s">
        <v>3592</v>
      </c>
      <c r="H1036">
        <v>0</v>
      </c>
      <c r="I1036">
        <v>0</v>
      </c>
      <c r="J1036">
        <v>1</v>
      </c>
      <c r="K1036">
        <v>3</v>
      </c>
      <c r="L1036" s="22" t="str">
        <f t="shared" si="338"/>
        <v>25/07/2026</v>
      </c>
      <c r="M1036" s="23">
        <f t="shared" si="339"/>
        <v>0.29166666666666669</v>
      </c>
      <c r="N1036" t="str">
        <f t="shared" si="340"/>
        <v>1 - 3</v>
      </c>
      <c r="O1036" t="str">
        <f t="shared" si="341"/>
        <v>Red</v>
      </c>
      <c r="P1036" t="str">
        <f t="shared" si="342"/>
        <v>Red</v>
      </c>
      <c r="Q1036" t="str">
        <f t="shared" si="343"/>
        <v>Green</v>
      </c>
      <c r="R1036" t="str">
        <f t="shared" si="344"/>
        <v>Red</v>
      </c>
      <c r="S1036" t="str">
        <f t="shared" si="345"/>
        <v>Green</v>
      </c>
      <c r="T1036" t="str">
        <f t="shared" si="346"/>
        <v>Green</v>
      </c>
      <c r="U1036" t="str">
        <f t="shared" si="347"/>
        <v>Red</v>
      </c>
      <c r="V1036" t="str">
        <f t="shared" si="348"/>
        <v>Green</v>
      </c>
      <c r="W1036" t="str">
        <f t="shared" si="349"/>
        <v>Red</v>
      </c>
      <c r="X1036" t="str">
        <f t="shared" si="350"/>
        <v>Red</v>
      </c>
      <c r="Y1036" t="str">
        <f t="shared" si="351"/>
        <v>Green</v>
      </c>
      <c r="Z1036" t="str">
        <f t="shared" si="352"/>
        <v>Green</v>
      </c>
      <c r="AA1036" t="str">
        <f t="shared" si="353"/>
        <v>Red</v>
      </c>
      <c r="AB1036" t="str">
        <f t="shared" si="354"/>
        <v>Red</v>
      </c>
      <c r="AC1036" t="str">
        <f t="shared" si="355"/>
        <v>Green</v>
      </c>
      <c r="AD1036" t="str">
        <f t="shared" si="356"/>
        <v>Red</v>
      </c>
    </row>
    <row r="1037" spans="1:30" x14ac:dyDescent="0.2">
      <c r="A1037" t="str">
        <f>L1036&amp;F1037&amp;G1037</f>
        <v>25/07/2026Dynamo Moscow WomenYM Spartak Moscow Women</v>
      </c>
      <c r="D1037" s="2">
        <v>46228</v>
      </c>
      <c r="E1037" s="3">
        <v>0.41666666666666669</v>
      </c>
      <c r="F1037" t="s">
        <v>3603</v>
      </c>
      <c r="G1037" t="s">
        <v>3604</v>
      </c>
      <c r="H1037">
        <v>0</v>
      </c>
      <c r="I1037">
        <v>0</v>
      </c>
      <c r="J1037">
        <v>1</v>
      </c>
      <c r="K1037">
        <v>1</v>
      </c>
      <c r="L1037" s="22" t="str">
        <f t="shared" si="338"/>
        <v>25/07/2026</v>
      </c>
      <c r="M1037" s="23">
        <f t="shared" si="339"/>
        <v>0.29166666666666669</v>
      </c>
      <c r="N1037" t="str">
        <f t="shared" si="340"/>
        <v>1 - 1</v>
      </c>
      <c r="O1037" t="str">
        <f t="shared" si="341"/>
        <v>Red</v>
      </c>
      <c r="P1037" t="str">
        <f t="shared" si="342"/>
        <v>Green</v>
      </c>
      <c r="Q1037" t="str">
        <f t="shared" si="343"/>
        <v>Red</v>
      </c>
      <c r="R1037" t="str">
        <f t="shared" si="344"/>
        <v>Green</v>
      </c>
      <c r="S1037" t="str">
        <f t="shared" si="345"/>
        <v>Green</v>
      </c>
      <c r="T1037" t="str">
        <f t="shared" si="346"/>
        <v>Red</v>
      </c>
      <c r="U1037" t="str">
        <f t="shared" si="347"/>
        <v>Red</v>
      </c>
      <c r="V1037" t="str">
        <f t="shared" si="348"/>
        <v>Green</v>
      </c>
      <c r="W1037" t="str">
        <f t="shared" si="349"/>
        <v>Red</v>
      </c>
      <c r="X1037" t="str">
        <f t="shared" si="350"/>
        <v>Red</v>
      </c>
      <c r="Y1037" t="str">
        <f t="shared" si="351"/>
        <v>Green</v>
      </c>
      <c r="Z1037" t="str">
        <f t="shared" si="352"/>
        <v>Red</v>
      </c>
      <c r="AA1037" t="str">
        <f t="shared" si="353"/>
        <v>Green</v>
      </c>
      <c r="AB1037" t="str">
        <f t="shared" si="354"/>
        <v>Green</v>
      </c>
      <c r="AC1037" t="str">
        <f t="shared" si="355"/>
        <v>Green</v>
      </c>
      <c r="AD1037" t="str">
        <f t="shared" si="356"/>
        <v>Red</v>
      </c>
    </row>
    <row r="1038" spans="1:30" x14ac:dyDescent="0.2">
      <c r="A1038" t="str">
        <f>L1037&amp;F1038&amp;G1038</f>
        <v>25/07/2026Dangjin CitizenMokpo City</v>
      </c>
      <c r="D1038" s="2">
        <v>46228</v>
      </c>
      <c r="E1038" s="3">
        <v>0.41666666666666669</v>
      </c>
      <c r="F1038" t="s">
        <v>3652</v>
      </c>
      <c r="G1038" t="s">
        <v>3653</v>
      </c>
      <c r="H1038">
        <v>2</v>
      </c>
      <c r="I1038">
        <v>1</v>
      </c>
      <c r="J1038">
        <v>6</v>
      </c>
      <c r="K1038">
        <v>1</v>
      </c>
      <c r="L1038" s="22" t="str">
        <f t="shared" si="338"/>
        <v>25/07/2026</v>
      </c>
      <c r="M1038" s="23">
        <f t="shared" si="339"/>
        <v>0.29166666666666669</v>
      </c>
      <c r="N1038" t="str">
        <f t="shared" si="340"/>
        <v>6 - 1</v>
      </c>
      <c r="O1038" t="str">
        <f t="shared" si="341"/>
        <v>Green</v>
      </c>
      <c r="P1038" t="str">
        <f t="shared" si="342"/>
        <v>Red</v>
      </c>
      <c r="Q1038" t="str">
        <f t="shared" si="343"/>
        <v>Red</v>
      </c>
      <c r="R1038" t="str">
        <f t="shared" si="344"/>
        <v>Green</v>
      </c>
      <c r="S1038" t="str">
        <f t="shared" si="345"/>
        <v>Red</v>
      </c>
      <c r="T1038" t="str">
        <f t="shared" si="346"/>
        <v>Green</v>
      </c>
      <c r="U1038" t="str">
        <f t="shared" si="347"/>
        <v>Green</v>
      </c>
      <c r="V1038" t="str">
        <f t="shared" si="348"/>
        <v>Red</v>
      </c>
      <c r="W1038" t="str">
        <f t="shared" si="349"/>
        <v>Red</v>
      </c>
      <c r="X1038" t="str">
        <f t="shared" si="350"/>
        <v>Green</v>
      </c>
      <c r="Y1038" t="str">
        <f t="shared" si="351"/>
        <v>Green</v>
      </c>
      <c r="Z1038" t="str">
        <f t="shared" si="352"/>
        <v>Green</v>
      </c>
      <c r="AA1038" t="str">
        <f t="shared" si="353"/>
        <v>Red</v>
      </c>
      <c r="AB1038" t="str">
        <f t="shared" si="354"/>
        <v>Red</v>
      </c>
      <c r="AC1038" t="str">
        <f t="shared" si="355"/>
        <v>Green</v>
      </c>
      <c r="AD1038" t="str">
        <f t="shared" si="356"/>
        <v>Red</v>
      </c>
    </row>
    <row r="1039" spans="1:30" x14ac:dyDescent="0.2">
      <c r="A1039" t="str">
        <f>L1038&amp;F1039&amp;G1039</f>
        <v>25/07/2026Gangneung CityYeoju Citizen</v>
      </c>
      <c r="D1039" s="2">
        <v>46228</v>
      </c>
      <c r="E1039" s="3">
        <v>0.41666666666666669</v>
      </c>
      <c r="F1039" t="s">
        <v>3654</v>
      </c>
      <c r="G1039" t="s">
        <v>3655</v>
      </c>
      <c r="H1039">
        <v>0</v>
      </c>
      <c r="I1039">
        <v>0</v>
      </c>
      <c r="J1039">
        <v>1</v>
      </c>
      <c r="K1039">
        <v>1</v>
      </c>
      <c r="L1039" s="22" t="str">
        <f t="shared" si="338"/>
        <v>25/07/2026</v>
      </c>
      <c r="M1039" s="23">
        <f t="shared" si="339"/>
        <v>0.29166666666666669</v>
      </c>
      <c r="N1039" t="str">
        <f t="shared" si="340"/>
        <v>1 - 1</v>
      </c>
      <c r="O1039" t="str">
        <f t="shared" si="341"/>
        <v>Red</v>
      </c>
      <c r="P1039" t="str">
        <f t="shared" si="342"/>
        <v>Green</v>
      </c>
      <c r="Q1039" t="str">
        <f t="shared" si="343"/>
        <v>Red</v>
      </c>
      <c r="R1039" t="str">
        <f t="shared" si="344"/>
        <v>Green</v>
      </c>
      <c r="S1039" t="str">
        <f t="shared" si="345"/>
        <v>Green</v>
      </c>
      <c r="T1039" t="str">
        <f t="shared" si="346"/>
        <v>Red</v>
      </c>
      <c r="U1039" t="str">
        <f t="shared" si="347"/>
        <v>Red</v>
      </c>
      <c r="V1039" t="str">
        <f t="shared" si="348"/>
        <v>Green</v>
      </c>
      <c r="W1039" t="str">
        <f t="shared" si="349"/>
        <v>Red</v>
      </c>
      <c r="X1039" t="str">
        <f t="shared" si="350"/>
        <v>Red</v>
      </c>
      <c r="Y1039" t="str">
        <f t="shared" si="351"/>
        <v>Green</v>
      </c>
      <c r="Z1039" t="str">
        <f t="shared" si="352"/>
        <v>Red</v>
      </c>
      <c r="AA1039" t="str">
        <f t="shared" si="353"/>
        <v>Green</v>
      </c>
      <c r="AB1039" t="str">
        <f t="shared" si="354"/>
        <v>Green</v>
      </c>
      <c r="AC1039" t="str">
        <f t="shared" si="355"/>
        <v>Green</v>
      </c>
      <c r="AD1039" t="str">
        <f t="shared" si="356"/>
        <v>Red</v>
      </c>
    </row>
    <row r="1040" spans="1:30" x14ac:dyDescent="0.2">
      <c r="A1040" t="str">
        <f>L1039&amp;F1040&amp;G1040</f>
        <v>25/07/2026AnnecyBrighton</v>
      </c>
      <c r="D1040" s="2">
        <v>46228</v>
      </c>
      <c r="E1040" s="3">
        <v>0.41666666666666669</v>
      </c>
      <c r="F1040" t="s">
        <v>3770</v>
      </c>
      <c r="G1040" t="s">
        <v>3771</v>
      </c>
      <c r="L1040" s="22" t="str">
        <f t="shared" si="338"/>
        <v>25/07/2026</v>
      </c>
      <c r="M1040" s="23">
        <f t="shared" si="339"/>
        <v>0.29166666666666669</v>
      </c>
      <c r="N1040" t="str">
        <f t="shared" si="340"/>
        <v xml:space="preserve"> - </v>
      </c>
      <c r="O1040" t="str">
        <f t="shared" si="341"/>
        <v>Red</v>
      </c>
      <c r="P1040" t="str">
        <f t="shared" si="342"/>
        <v>Green</v>
      </c>
      <c r="Q1040" t="str">
        <f t="shared" si="343"/>
        <v>Red</v>
      </c>
      <c r="R1040" t="str">
        <f t="shared" si="344"/>
        <v>Green</v>
      </c>
      <c r="S1040" t="str">
        <f t="shared" si="345"/>
        <v>Green</v>
      </c>
      <c r="T1040" t="str">
        <f t="shared" si="346"/>
        <v>Red</v>
      </c>
      <c r="U1040" t="str">
        <f t="shared" si="347"/>
        <v>Red</v>
      </c>
      <c r="V1040" t="str">
        <f t="shared" si="348"/>
        <v>Green</v>
      </c>
      <c r="W1040" t="str">
        <f t="shared" si="349"/>
        <v>Red</v>
      </c>
      <c r="X1040" t="str">
        <f t="shared" si="350"/>
        <v>Red</v>
      </c>
      <c r="Y1040" t="str">
        <f t="shared" si="351"/>
        <v>Red</v>
      </c>
      <c r="Z1040" t="str">
        <f t="shared" si="352"/>
        <v>Red</v>
      </c>
      <c r="AA1040" t="str">
        <f t="shared" si="353"/>
        <v>Green</v>
      </c>
      <c r="AB1040" t="str">
        <f t="shared" si="354"/>
        <v>Green</v>
      </c>
      <c r="AC1040" t="str">
        <f t="shared" si="355"/>
        <v>Red</v>
      </c>
      <c r="AD1040" t="str">
        <f t="shared" si="356"/>
        <v>Green</v>
      </c>
    </row>
    <row r="1041" spans="1:30" x14ac:dyDescent="0.2">
      <c r="A1041" t="str">
        <f>L1040&amp;F1041&amp;G1041</f>
        <v>25/07/2026LensRoyal Charleroi SC</v>
      </c>
      <c r="D1041" s="2">
        <v>46228</v>
      </c>
      <c r="E1041" s="3">
        <v>0.41666666666666669</v>
      </c>
      <c r="F1041" t="s">
        <v>3772</v>
      </c>
      <c r="G1041" t="s">
        <v>3773</v>
      </c>
      <c r="H1041">
        <v>1</v>
      </c>
      <c r="I1041">
        <v>1</v>
      </c>
      <c r="J1041">
        <v>2</v>
      </c>
      <c r="K1041">
        <v>2</v>
      </c>
      <c r="L1041" s="22" t="str">
        <f t="shared" si="338"/>
        <v>25/07/2026</v>
      </c>
      <c r="M1041" s="23">
        <f t="shared" si="339"/>
        <v>0.29166666666666669</v>
      </c>
      <c r="N1041" t="str">
        <f t="shared" si="340"/>
        <v>2 - 2</v>
      </c>
      <c r="O1041" t="str">
        <f t="shared" si="341"/>
        <v>Red</v>
      </c>
      <c r="P1041" t="str">
        <f t="shared" si="342"/>
        <v>Green</v>
      </c>
      <c r="Q1041" t="str">
        <f t="shared" si="343"/>
        <v>Red</v>
      </c>
      <c r="R1041" t="str">
        <f t="shared" si="344"/>
        <v>Green</v>
      </c>
      <c r="S1041" t="str">
        <f t="shared" si="345"/>
        <v>Green</v>
      </c>
      <c r="T1041" t="str">
        <f t="shared" si="346"/>
        <v>Red</v>
      </c>
      <c r="U1041" t="str">
        <f t="shared" si="347"/>
        <v>Red</v>
      </c>
      <c r="V1041" t="str">
        <f t="shared" si="348"/>
        <v>Green</v>
      </c>
      <c r="W1041" t="str">
        <f t="shared" si="349"/>
        <v>Red</v>
      </c>
      <c r="X1041" t="str">
        <f t="shared" si="350"/>
        <v>Green</v>
      </c>
      <c r="Y1041" t="str">
        <f t="shared" si="351"/>
        <v>Green</v>
      </c>
      <c r="Z1041" t="str">
        <f t="shared" si="352"/>
        <v>Green</v>
      </c>
      <c r="AA1041" t="str">
        <f t="shared" si="353"/>
        <v>Red</v>
      </c>
      <c r="AB1041" t="str">
        <f t="shared" si="354"/>
        <v>Red</v>
      </c>
      <c r="AC1041" t="str">
        <f t="shared" si="355"/>
        <v>Green</v>
      </c>
      <c r="AD1041" t="str">
        <f t="shared" si="356"/>
        <v>Red</v>
      </c>
    </row>
    <row r="1042" spans="1:30" x14ac:dyDescent="0.2">
      <c r="A1042" t="str">
        <f>L1041&amp;F1042&amp;G1042</f>
        <v>25/07/2026SC BruhlDietikon</v>
      </c>
      <c r="D1042" s="2">
        <v>46228</v>
      </c>
      <c r="E1042" s="3">
        <v>0.41666666666666669</v>
      </c>
      <c r="F1042" t="s">
        <v>3774</v>
      </c>
      <c r="G1042" t="s">
        <v>3775</v>
      </c>
      <c r="H1042">
        <v>1</v>
      </c>
      <c r="I1042">
        <v>0</v>
      </c>
      <c r="J1042">
        <v>3</v>
      </c>
      <c r="K1042">
        <v>0</v>
      </c>
      <c r="L1042" s="22" t="str">
        <f t="shared" si="338"/>
        <v>25/07/2026</v>
      </c>
      <c r="M1042" s="23">
        <f t="shared" si="339"/>
        <v>0.29166666666666669</v>
      </c>
      <c r="N1042" t="str">
        <f t="shared" si="340"/>
        <v>3 - 0</v>
      </c>
      <c r="O1042" t="str">
        <f t="shared" si="341"/>
        <v>Green</v>
      </c>
      <c r="P1042" t="str">
        <f t="shared" si="342"/>
        <v>Red</v>
      </c>
      <c r="Q1042" t="str">
        <f t="shared" si="343"/>
        <v>Red</v>
      </c>
      <c r="R1042" t="str">
        <f t="shared" si="344"/>
        <v>Green</v>
      </c>
      <c r="S1042" t="str">
        <f t="shared" si="345"/>
        <v>Red</v>
      </c>
      <c r="T1042" t="str">
        <f t="shared" si="346"/>
        <v>Green</v>
      </c>
      <c r="U1042" t="str">
        <f t="shared" si="347"/>
        <v>Green</v>
      </c>
      <c r="V1042" t="str">
        <f t="shared" si="348"/>
        <v>Red</v>
      </c>
      <c r="W1042" t="str">
        <f t="shared" si="349"/>
        <v>Red</v>
      </c>
      <c r="X1042" t="str">
        <f t="shared" si="350"/>
        <v>Green</v>
      </c>
      <c r="Y1042" t="str">
        <f t="shared" si="351"/>
        <v>Green</v>
      </c>
      <c r="Z1042" t="str">
        <f t="shared" si="352"/>
        <v>Green</v>
      </c>
      <c r="AA1042" t="str">
        <f t="shared" si="353"/>
        <v>Red</v>
      </c>
      <c r="AB1042" t="str">
        <f t="shared" si="354"/>
        <v>Green</v>
      </c>
      <c r="AC1042" t="str">
        <f t="shared" si="355"/>
        <v>Red</v>
      </c>
      <c r="AD1042" t="str">
        <f t="shared" si="356"/>
        <v>Green</v>
      </c>
    </row>
    <row r="1043" spans="1:30" x14ac:dyDescent="0.2">
      <c r="A1043" t="str">
        <f>L1042&amp;F1043&amp;G1043</f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38"/>
        <v>25/07/2026</v>
      </c>
      <c r="M1043" s="23">
        <f t="shared" si="339"/>
        <v>0.3125</v>
      </c>
      <c r="N1043" t="str">
        <f t="shared" si="340"/>
        <v>1 - 0</v>
      </c>
      <c r="O1043" t="str">
        <f t="shared" si="341"/>
        <v>Green</v>
      </c>
      <c r="P1043" t="str">
        <f t="shared" si="342"/>
        <v>Red</v>
      </c>
      <c r="Q1043" t="str">
        <f t="shared" si="343"/>
        <v>Red</v>
      </c>
      <c r="R1043" t="str">
        <f t="shared" si="344"/>
        <v>Green</v>
      </c>
      <c r="S1043" t="str">
        <f t="shared" si="345"/>
        <v>Red</v>
      </c>
      <c r="T1043" t="str">
        <f t="shared" si="346"/>
        <v>Green</v>
      </c>
      <c r="U1043" t="str">
        <f t="shared" si="347"/>
        <v>Red</v>
      </c>
      <c r="V1043" t="str">
        <f t="shared" si="348"/>
        <v>Green</v>
      </c>
      <c r="W1043" t="str">
        <f t="shared" si="349"/>
        <v>Red</v>
      </c>
      <c r="X1043" t="str">
        <f t="shared" si="350"/>
        <v>Red</v>
      </c>
      <c r="Y1043" t="str">
        <f t="shared" si="351"/>
        <v>Red</v>
      </c>
      <c r="Z1043" t="str">
        <f t="shared" si="352"/>
        <v>Red</v>
      </c>
      <c r="AA1043" t="str">
        <f t="shared" si="353"/>
        <v>Green</v>
      </c>
      <c r="AB1043" t="str">
        <f t="shared" si="354"/>
        <v>Green</v>
      </c>
      <c r="AC1043" t="str">
        <f t="shared" si="355"/>
        <v>Red</v>
      </c>
      <c r="AD1043" t="str">
        <f t="shared" si="356"/>
        <v>Green</v>
      </c>
    </row>
    <row r="1044" spans="1:30" x14ac:dyDescent="0.2">
      <c r="A1044" t="str">
        <f>L1043&amp;F1044&amp;G1044</f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38"/>
        <v>25/07/2026</v>
      </c>
      <c r="M1044" s="23">
        <f t="shared" si="339"/>
        <v>0.3125</v>
      </c>
      <c r="N1044" t="str">
        <f t="shared" si="340"/>
        <v>0 - 2</v>
      </c>
      <c r="O1044" t="str">
        <f t="shared" si="341"/>
        <v>Red</v>
      </c>
      <c r="P1044" t="str">
        <f t="shared" si="342"/>
        <v>Red</v>
      </c>
      <c r="Q1044" t="str">
        <f t="shared" si="343"/>
        <v>Green</v>
      </c>
      <c r="R1044" t="str">
        <f t="shared" si="344"/>
        <v>Red</v>
      </c>
      <c r="S1044" t="str">
        <f t="shared" si="345"/>
        <v>Green</v>
      </c>
      <c r="T1044" t="str">
        <f t="shared" si="346"/>
        <v>Green</v>
      </c>
      <c r="U1044" t="str">
        <f t="shared" si="347"/>
        <v>Red</v>
      </c>
      <c r="V1044" t="str">
        <f t="shared" si="348"/>
        <v>Red</v>
      </c>
      <c r="W1044" t="str">
        <f t="shared" si="349"/>
        <v>Green</v>
      </c>
      <c r="X1044" t="str">
        <f t="shared" si="350"/>
        <v>Green</v>
      </c>
      <c r="Y1044" t="str">
        <f t="shared" si="351"/>
        <v>Green</v>
      </c>
      <c r="Z1044" t="str">
        <f t="shared" si="352"/>
        <v>Red</v>
      </c>
      <c r="AA1044" t="str">
        <f t="shared" si="353"/>
        <v>Green</v>
      </c>
      <c r="AB1044" t="str">
        <f t="shared" si="354"/>
        <v>Green</v>
      </c>
      <c r="AC1044" t="str">
        <f t="shared" si="355"/>
        <v>Red</v>
      </c>
      <c r="AD1044" t="str">
        <f t="shared" si="356"/>
        <v>Green</v>
      </c>
    </row>
    <row r="1045" spans="1:30" x14ac:dyDescent="0.2">
      <c r="A1045" t="str">
        <f>L1044&amp;F1045&amp;G1045</f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38"/>
        <v>25/07/2026</v>
      </c>
      <c r="M1045" s="23">
        <f t="shared" si="339"/>
        <v>0.3125</v>
      </c>
      <c r="N1045" t="str">
        <f t="shared" si="340"/>
        <v>3 - 2</v>
      </c>
      <c r="O1045" t="str">
        <f t="shared" si="341"/>
        <v>Green</v>
      </c>
      <c r="P1045" t="str">
        <f t="shared" si="342"/>
        <v>Red</v>
      </c>
      <c r="Q1045" t="str">
        <f t="shared" si="343"/>
        <v>Red</v>
      </c>
      <c r="R1045" t="str">
        <f t="shared" si="344"/>
        <v>Green</v>
      </c>
      <c r="S1045" t="str">
        <f t="shared" si="345"/>
        <v>Red</v>
      </c>
      <c r="T1045" t="str">
        <f t="shared" si="346"/>
        <v>Green</v>
      </c>
      <c r="U1045" t="str">
        <f t="shared" si="347"/>
        <v>Green</v>
      </c>
      <c r="V1045" t="str">
        <f t="shared" si="348"/>
        <v>Red</v>
      </c>
      <c r="W1045" t="str">
        <f t="shared" si="349"/>
        <v>Red</v>
      </c>
      <c r="X1045" t="str">
        <f t="shared" si="350"/>
        <v>Green</v>
      </c>
      <c r="Y1045" t="str">
        <f t="shared" si="351"/>
        <v>Green</v>
      </c>
      <c r="Z1045" t="str">
        <f t="shared" si="352"/>
        <v>Green</v>
      </c>
      <c r="AA1045" t="str">
        <f t="shared" si="353"/>
        <v>Red</v>
      </c>
      <c r="AB1045" t="str">
        <f t="shared" si="354"/>
        <v>Red</v>
      </c>
      <c r="AC1045" t="str">
        <f t="shared" si="355"/>
        <v>Green</v>
      </c>
      <c r="AD1045" t="str">
        <f t="shared" si="356"/>
        <v>Red</v>
      </c>
    </row>
    <row r="1046" spans="1:30" x14ac:dyDescent="0.2">
      <c r="A1046" t="str">
        <f>L1045&amp;F1046&amp;G1046</f>
        <v>25/07/2026Busan IParkSuwon Samsung Bluewings</v>
      </c>
      <c r="D1046" s="2">
        <v>46228</v>
      </c>
      <c r="E1046" s="3">
        <v>0.4375</v>
      </c>
      <c r="F1046" t="s">
        <v>3642</v>
      </c>
      <c r="G1046" t="s">
        <v>3643</v>
      </c>
      <c r="H1046">
        <v>1</v>
      </c>
      <c r="I1046">
        <v>1</v>
      </c>
      <c r="J1046">
        <v>1</v>
      </c>
      <c r="K1046">
        <v>4</v>
      </c>
      <c r="L1046" s="22" t="str">
        <f t="shared" si="338"/>
        <v>25/07/2026</v>
      </c>
      <c r="M1046" s="23">
        <f t="shared" si="339"/>
        <v>0.3125</v>
      </c>
      <c r="N1046" t="str">
        <f t="shared" si="340"/>
        <v>1 - 4</v>
      </c>
      <c r="O1046" t="str">
        <f t="shared" si="341"/>
        <v>Red</v>
      </c>
      <c r="P1046" t="str">
        <f t="shared" si="342"/>
        <v>Red</v>
      </c>
      <c r="Q1046" t="str">
        <f t="shared" si="343"/>
        <v>Green</v>
      </c>
      <c r="R1046" t="str">
        <f t="shared" si="344"/>
        <v>Red</v>
      </c>
      <c r="S1046" t="str">
        <f t="shared" si="345"/>
        <v>Green</v>
      </c>
      <c r="T1046" t="str">
        <f t="shared" si="346"/>
        <v>Green</v>
      </c>
      <c r="U1046" t="str">
        <f t="shared" si="347"/>
        <v>Red</v>
      </c>
      <c r="V1046" t="str">
        <f t="shared" si="348"/>
        <v>Green</v>
      </c>
      <c r="W1046" t="str">
        <f t="shared" si="349"/>
        <v>Red</v>
      </c>
      <c r="X1046" t="str">
        <f t="shared" si="350"/>
        <v>Green</v>
      </c>
      <c r="Y1046" t="str">
        <f t="shared" si="351"/>
        <v>Green</v>
      </c>
      <c r="Z1046" t="str">
        <f t="shared" si="352"/>
        <v>Green</v>
      </c>
      <c r="AA1046" t="str">
        <f t="shared" si="353"/>
        <v>Red</v>
      </c>
      <c r="AB1046" t="str">
        <f t="shared" si="354"/>
        <v>Red</v>
      </c>
      <c r="AC1046" t="str">
        <f t="shared" si="355"/>
        <v>Green</v>
      </c>
      <c r="AD1046" t="str">
        <f t="shared" si="356"/>
        <v>Red</v>
      </c>
    </row>
    <row r="1047" spans="1:30" x14ac:dyDescent="0.2">
      <c r="A1047" t="str">
        <f>L1046&amp;F1047&amp;G1047</f>
        <v>25/07/2026DaeguSuwon FC</v>
      </c>
      <c r="D1047" s="2">
        <v>46228</v>
      </c>
      <c r="E1047" s="3">
        <v>0.4375</v>
      </c>
      <c r="F1047" t="s">
        <v>3644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38"/>
        <v>25/07/2026</v>
      </c>
      <c r="M1047" s="23">
        <f t="shared" si="339"/>
        <v>0.3125</v>
      </c>
      <c r="N1047" t="str">
        <f t="shared" si="340"/>
        <v>1 - 2</v>
      </c>
      <c r="O1047" t="str">
        <f t="shared" si="341"/>
        <v>Red</v>
      </c>
      <c r="P1047" t="str">
        <f t="shared" si="342"/>
        <v>Red</v>
      </c>
      <c r="Q1047" t="str">
        <f t="shared" si="343"/>
        <v>Green</v>
      </c>
      <c r="R1047" t="str">
        <f t="shared" si="344"/>
        <v>Red</v>
      </c>
      <c r="S1047" t="str">
        <f t="shared" si="345"/>
        <v>Green</v>
      </c>
      <c r="T1047" t="str">
        <f t="shared" si="346"/>
        <v>Green</v>
      </c>
      <c r="U1047" t="str">
        <f t="shared" si="347"/>
        <v>Red</v>
      </c>
      <c r="V1047" t="str">
        <f t="shared" si="348"/>
        <v>Red</v>
      </c>
      <c r="W1047" t="str">
        <f t="shared" si="349"/>
        <v>Green</v>
      </c>
      <c r="X1047" t="str">
        <f t="shared" si="350"/>
        <v>Green</v>
      </c>
      <c r="Y1047" t="str">
        <f t="shared" si="351"/>
        <v>Green</v>
      </c>
      <c r="Z1047" t="str">
        <f t="shared" si="352"/>
        <v>Green</v>
      </c>
      <c r="AA1047" t="str">
        <f t="shared" si="353"/>
        <v>Red</v>
      </c>
      <c r="AB1047" t="str">
        <f t="shared" si="354"/>
        <v>Green</v>
      </c>
      <c r="AC1047" t="str">
        <f t="shared" si="355"/>
        <v>Green</v>
      </c>
      <c r="AD1047" t="str">
        <f t="shared" si="356"/>
        <v>Red</v>
      </c>
    </row>
    <row r="1048" spans="1:30" x14ac:dyDescent="0.2">
      <c r="A1048" t="str">
        <f>L1047&amp;F1048&amp;G1048</f>
        <v>25/07/2026HwaseongAnsan Police</v>
      </c>
      <c r="D1048" s="2">
        <v>46228</v>
      </c>
      <c r="E1048" s="3">
        <v>0.4375</v>
      </c>
      <c r="F1048" t="s">
        <v>3645</v>
      </c>
      <c r="G1048" t="s">
        <v>3646</v>
      </c>
      <c r="H1048">
        <v>2</v>
      </c>
      <c r="I1048">
        <v>0</v>
      </c>
      <c r="J1048">
        <v>3</v>
      </c>
      <c r="K1048">
        <v>2</v>
      </c>
      <c r="L1048" s="22" t="str">
        <f t="shared" si="338"/>
        <v>25/07/2026</v>
      </c>
      <c r="M1048" s="23">
        <f t="shared" si="339"/>
        <v>0.3125</v>
      </c>
      <c r="N1048" t="str">
        <f t="shared" si="340"/>
        <v>3 - 2</v>
      </c>
      <c r="O1048" t="str">
        <f t="shared" si="341"/>
        <v>Green</v>
      </c>
      <c r="P1048" t="str">
        <f t="shared" si="342"/>
        <v>Red</v>
      </c>
      <c r="Q1048" t="str">
        <f t="shared" si="343"/>
        <v>Red</v>
      </c>
      <c r="R1048" t="str">
        <f t="shared" si="344"/>
        <v>Green</v>
      </c>
      <c r="S1048" t="str">
        <f t="shared" si="345"/>
        <v>Red</v>
      </c>
      <c r="T1048" t="str">
        <f t="shared" si="346"/>
        <v>Green</v>
      </c>
      <c r="U1048" t="str">
        <f t="shared" si="347"/>
        <v>Green</v>
      </c>
      <c r="V1048" t="str">
        <f t="shared" si="348"/>
        <v>Red</v>
      </c>
      <c r="W1048" t="str">
        <f t="shared" si="349"/>
        <v>Red</v>
      </c>
      <c r="X1048" t="str">
        <f t="shared" si="350"/>
        <v>Green</v>
      </c>
      <c r="Y1048" t="str">
        <f t="shared" si="351"/>
        <v>Green</v>
      </c>
      <c r="Z1048" t="str">
        <f t="shared" si="352"/>
        <v>Green</v>
      </c>
      <c r="AA1048" t="str">
        <f t="shared" si="353"/>
        <v>Red</v>
      </c>
      <c r="AB1048" t="str">
        <f t="shared" si="354"/>
        <v>Red</v>
      </c>
      <c r="AC1048" t="str">
        <f t="shared" si="355"/>
        <v>Green</v>
      </c>
      <c r="AD1048" t="str">
        <f t="shared" si="356"/>
        <v>Red</v>
      </c>
    </row>
    <row r="1049" spans="1:30" x14ac:dyDescent="0.2">
      <c r="A1049" t="str">
        <f>L1048&amp;F1049&amp;G1049</f>
        <v>25/07/2026Jeonnam DragonsGyeongnam</v>
      </c>
      <c r="D1049" s="2">
        <v>46228</v>
      </c>
      <c r="E1049" s="3">
        <v>0.4375</v>
      </c>
      <c r="F1049" t="s">
        <v>556</v>
      </c>
      <c r="G1049" t="s">
        <v>3647</v>
      </c>
      <c r="H1049">
        <v>1</v>
      </c>
      <c r="I1049">
        <v>0</v>
      </c>
      <c r="J1049">
        <v>1</v>
      </c>
      <c r="K1049">
        <v>1</v>
      </c>
      <c r="L1049" s="22" t="str">
        <f t="shared" si="338"/>
        <v>25/07/2026</v>
      </c>
      <c r="M1049" s="23">
        <f t="shared" si="339"/>
        <v>0.3125</v>
      </c>
      <c r="N1049" t="str">
        <f t="shared" si="340"/>
        <v>1 - 1</v>
      </c>
      <c r="O1049" t="str">
        <f t="shared" si="341"/>
        <v>Red</v>
      </c>
      <c r="P1049" t="str">
        <f t="shared" si="342"/>
        <v>Green</v>
      </c>
      <c r="Q1049" t="str">
        <f t="shared" si="343"/>
        <v>Red</v>
      </c>
      <c r="R1049" t="str">
        <f t="shared" si="344"/>
        <v>Green</v>
      </c>
      <c r="S1049" t="str">
        <f t="shared" si="345"/>
        <v>Green</v>
      </c>
      <c r="T1049" t="str">
        <f t="shared" si="346"/>
        <v>Red</v>
      </c>
      <c r="U1049" t="str">
        <f t="shared" si="347"/>
        <v>Green</v>
      </c>
      <c r="V1049" t="str">
        <f t="shared" si="348"/>
        <v>Red</v>
      </c>
      <c r="W1049" t="str">
        <f t="shared" si="349"/>
        <v>Red</v>
      </c>
      <c r="X1049" t="str">
        <f t="shared" si="350"/>
        <v>Green</v>
      </c>
      <c r="Y1049" t="str">
        <f t="shared" si="351"/>
        <v>Green</v>
      </c>
      <c r="Z1049" t="str">
        <f t="shared" si="352"/>
        <v>Red</v>
      </c>
      <c r="AA1049" t="str">
        <f t="shared" si="353"/>
        <v>Green</v>
      </c>
      <c r="AB1049" t="str">
        <f t="shared" si="354"/>
        <v>Green</v>
      </c>
      <c r="AC1049" t="str">
        <f t="shared" si="355"/>
        <v>Green</v>
      </c>
      <c r="AD1049" t="str">
        <f t="shared" si="356"/>
        <v>Red</v>
      </c>
    </row>
    <row r="1050" spans="1:30" x14ac:dyDescent="0.2">
      <c r="A1050" t="str">
        <f>L1049&amp;F1050&amp;G1050</f>
        <v>25/07/2026FC SmorgonFC Gomel Reserves</v>
      </c>
      <c r="D1050" s="2">
        <v>46228</v>
      </c>
      <c r="E1050" s="3">
        <v>0.45833333333333331</v>
      </c>
      <c r="F1050" t="s">
        <v>3033</v>
      </c>
      <c r="G1050" t="s">
        <v>3034</v>
      </c>
      <c r="H1050">
        <v>0</v>
      </c>
      <c r="I1050">
        <v>0</v>
      </c>
      <c r="J1050">
        <v>2</v>
      </c>
      <c r="K1050">
        <v>0</v>
      </c>
      <c r="L1050" s="22" t="str">
        <f t="shared" si="338"/>
        <v>25/07/2026</v>
      </c>
      <c r="M1050" s="23">
        <f t="shared" si="339"/>
        <v>0.33333333333333331</v>
      </c>
      <c r="N1050" t="str">
        <f t="shared" si="340"/>
        <v>2 - 0</v>
      </c>
      <c r="O1050" t="str">
        <f t="shared" si="341"/>
        <v>Green</v>
      </c>
      <c r="P1050" t="str">
        <f t="shared" si="342"/>
        <v>Red</v>
      </c>
      <c r="Q1050" t="str">
        <f t="shared" si="343"/>
        <v>Red</v>
      </c>
      <c r="R1050" t="str">
        <f t="shared" si="344"/>
        <v>Green</v>
      </c>
      <c r="S1050" t="str">
        <f t="shared" si="345"/>
        <v>Red</v>
      </c>
      <c r="T1050" t="str">
        <f t="shared" si="346"/>
        <v>Green</v>
      </c>
      <c r="U1050" t="str">
        <f t="shared" si="347"/>
        <v>Red</v>
      </c>
      <c r="V1050" t="str">
        <f t="shared" si="348"/>
        <v>Green</v>
      </c>
      <c r="W1050" t="str">
        <f t="shared" si="349"/>
        <v>Red</v>
      </c>
      <c r="X1050" t="str">
        <f t="shared" si="350"/>
        <v>Red</v>
      </c>
      <c r="Y1050" t="str">
        <f t="shared" si="351"/>
        <v>Green</v>
      </c>
      <c r="Z1050" t="str">
        <f t="shared" si="352"/>
        <v>Red</v>
      </c>
      <c r="AA1050" t="str">
        <f t="shared" si="353"/>
        <v>Green</v>
      </c>
      <c r="AB1050" t="str">
        <f t="shared" si="354"/>
        <v>Green</v>
      </c>
      <c r="AC1050" t="str">
        <f t="shared" si="355"/>
        <v>Red</v>
      </c>
      <c r="AD1050" t="str">
        <f t="shared" si="356"/>
        <v>Green</v>
      </c>
    </row>
    <row r="1051" spans="1:30" x14ac:dyDescent="0.2">
      <c r="A1051" t="str">
        <f>L1050&amp;F1051&amp;G1051</f>
        <v>25/07/2026Belshina BobruiskFC Minsk</v>
      </c>
      <c r="D1051" s="2">
        <v>46228</v>
      </c>
      <c r="E1051" s="3">
        <v>0.45833333333333331</v>
      </c>
      <c r="F1051" t="s">
        <v>3041</v>
      </c>
      <c r="G1051" t="s">
        <v>3042</v>
      </c>
      <c r="H1051">
        <v>0</v>
      </c>
      <c r="I1051">
        <v>1</v>
      </c>
      <c r="J1051">
        <v>1</v>
      </c>
      <c r="K1051">
        <v>2</v>
      </c>
      <c r="L1051" s="22" t="str">
        <f t="shared" si="338"/>
        <v>25/07/2026</v>
      </c>
      <c r="M1051" s="23">
        <f t="shared" si="339"/>
        <v>0.33333333333333331</v>
      </c>
      <c r="N1051" t="str">
        <f t="shared" si="340"/>
        <v>1 - 2</v>
      </c>
      <c r="O1051" t="str">
        <f t="shared" si="341"/>
        <v>Red</v>
      </c>
      <c r="P1051" t="str">
        <f t="shared" si="342"/>
        <v>Red</v>
      </c>
      <c r="Q1051" t="str">
        <f t="shared" si="343"/>
        <v>Green</v>
      </c>
      <c r="R1051" t="str">
        <f t="shared" si="344"/>
        <v>Red</v>
      </c>
      <c r="S1051" t="str">
        <f t="shared" si="345"/>
        <v>Green</v>
      </c>
      <c r="T1051" t="str">
        <f t="shared" si="346"/>
        <v>Green</v>
      </c>
      <c r="U1051" t="str">
        <f t="shared" si="347"/>
        <v>Red</v>
      </c>
      <c r="V1051" t="str">
        <f t="shared" si="348"/>
        <v>Red</v>
      </c>
      <c r="W1051" t="str">
        <f t="shared" si="349"/>
        <v>Green</v>
      </c>
      <c r="X1051" t="str">
        <f t="shared" si="350"/>
        <v>Green</v>
      </c>
      <c r="Y1051" t="str">
        <f t="shared" si="351"/>
        <v>Green</v>
      </c>
      <c r="Z1051" t="str">
        <f t="shared" si="352"/>
        <v>Green</v>
      </c>
      <c r="AA1051" t="str">
        <f t="shared" si="353"/>
        <v>Red</v>
      </c>
      <c r="AB1051" t="str">
        <f t="shared" si="354"/>
        <v>Green</v>
      </c>
      <c r="AC1051" t="str">
        <f t="shared" si="355"/>
        <v>Green</v>
      </c>
      <c r="AD1051" t="str">
        <f t="shared" si="356"/>
        <v>Red</v>
      </c>
    </row>
    <row r="1052" spans="1:30" x14ac:dyDescent="0.2">
      <c r="A1052" t="str">
        <f>L1051&amp;F1052&amp;G1052</f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38"/>
        <v>25/07/2026</v>
      </c>
      <c r="M1052" s="23">
        <f t="shared" si="339"/>
        <v>0.33333333333333331</v>
      </c>
      <c r="N1052" t="str">
        <f t="shared" si="340"/>
        <v>2 - 1</v>
      </c>
      <c r="O1052" t="str">
        <f t="shared" si="341"/>
        <v>Green</v>
      </c>
      <c r="P1052" t="str">
        <f t="shared" si="342"/>
        <v>Red</v>
      </c>
      <c r="Q1052" t="str">
        <f t="shared" si="343"/>
        <v>Red</v>
      </c>
      <c r="R1052" t="str">
        <f t="shared" si="344"/>
        <v>Green</v>
      </c>
      <c r="S1052" t="str">
        <f t="shared" si="345"/>
        <v>Red</v>
      </c>
      <c r="T1052" t="str">
        <f t="shared" si="346"/>
        <v>Green</v>
      </c>
      <c r="U1052" t="str">
        <f t="shared" si="347"/>
        <v>Green</v>
      </c>
      <c r="V1052" t="str">
        <f t="shared" si="348"/>
        <v>Red</v>
      </c>
      <c r="W1052" t="str">
        <f t="shared" si="349"/>
        <v>Red</v>
      </c>
      <c r="X1052" t="str">
        <f t="shared" si="350"/>
        <v>Green</v>
      </c>
      <c r="Y1052" t="str">
        <f t="shared" si="351"/>
        <v>Green</v>
      </c>
      <c r="Z1052" t="str">
        <f t="shared" si="352"/>
        <v>Green</v>
      </c>
      <c r="AA1052" t="str">
        <f t="shared" si="353"/>
        <v>Red</v>
      </c>
      <c r="AB1052" t="str">
        <f t="shared" si="354"/>
        <v>Green</v>
      </c>
      <c r="AC1052" t="str">
        <f t="shared" si="355"/>
        <v>Green</v>
      </c>
      <c r="AD1052" t="str">
        <f t="shared" si="356"/>
        <v>Red</v>
      </c>
    </row>
    <row r="1053" spans="1:30" x14ac:dyDescent="0.2">
      <c r="A1053" t="str">
        <f>L1052&amp;F1053&amp;G1053</f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38"/>
        <v>25/07/2026</v>
      </c>
      <c r="M1053" s="23">
        <f t="shared" si="339"/>
        <v>0.33333333333333331</v>
      </c>
      <c r="N1053" t="str">
        <f t="shared" si="340"/>
        <v>3 - 0</v>
      </c>
      <c r="O1053" t="str">
        <f t="shared" si="341"/>
        <v>Green</v>
      </c>
      <c r="P1053" t="str">
        <f t="shared" si="342"/>
        <v>Red</v>
      </c>
      <c r="Q1053" t="str">
        <f t="shared" si="343"/>
        <v>Red</v>
      </c>
      <c r="R1053" t="str">
        <f t="shared" si="344"/>
        <v>Green</v>
      </c>
      <c r="S1053" t="str">
        <f t="shared" si="345"/>
        <v>Red</v>
      </c>
      <c r="T1053" t="str">
        <f t="shared" si="346"/>
        <v>Green</v>
      </c>
      <c r="U1053" t="str">
        <f t="shared" si="347"/>
        <v>Green</v>
      </c>
      <c r="V1053" t="str">
        <f t="shared" si="348"/>
        <v>Red</v>
      </c>
      <c r="W1053" t="str">
        <f t="shared" si="349"/>
        <v>Red</v>
      </c>
      <c r="X1053" t="str">
        <f t="shared" si="350"/>
        <v>Green</v>
      </c>
      <c r="Y1053" t="str">
        <f t="shared" si="351"/>
        <v>Green</v>
      </c>
      <c r="Z1053" t="str">
        <f t="shared" si="352"/>
        <v>Green</v>
      </c>
      <c r="AA1053" t="str">
        <f t="shared" si="353"/>
        <v>Red</v>
      </c>
      <c r="AB1053" t="str">
        <f t="shared" si="354"/>
        <v>Green</v>
      </c>
      <c r="AC1053" t="str">
        <f t="shared" si="355"/>
        <v>Red</v>
      </c>
      <c r="AD1053" t="str">
        <f t="shared" si="356"/>
        <v>Green</v>
      </c>
    </row>
    <row r="1054" spans="1:30" x14ac:dyDescent="0.2">
      <c r="A1054" t="str">
        <f>L1053&amp;F1054&amp;G1054</f>
        <v>25/07/2026Ningbo ProfessionalGuandong GZ-Power FC</v>
      </c>
      <c r="D1054" s="2">
        <v>46228</v>
      </c>
      <c r="E1054" s="3">
        <v>0.45833333333333331</v>
      </c>
      <c r="F1054" t="s">
        <v>3132</v>
      </c>
      <c r="G1054" t="s">
        <v>3133</v>
      </c>
      <c r="H1054">
        <v>0</v>
      </c>
      <c r="I1054">
        <v>0</v>
      </c>
      <c r="J1054">
        <v>1</v>
      </c>
      <c r="K1054">
        <v>2</v>
      </c>
      <c r="L1054" s="22" t="str">
        <f t="shared" si="338"/>
        <v>25/07/2026</v>
      </c>
      <c r="M1054" s="23">
        <f t="shared" si="339"/>
        <v>0.33333333333333331</v>
      </c>
      <c r="N1054" t="str">
        <f t="shared" si="340"/>
        <v>1 - 2</v>
      </c>
      <c r="O1054" t="str">
        <f t="shared" si="341"/>
        <v>Red</v>
      </c>
      <c r="P1054" t="str">
        <f t="shared" si="342"/>
        <v>Red</v>
      </c>
      <c r="Q1054" t="str">
        <f t="shared" si="343"/>
        <v>Green</v>
      </c>
      <c r="R1054" t="str">
        <f t="shared" si="344"/>
        <v>Red</v>
      </c>
      <c r="S1054" t="str">
        <f t="shared" si="345"/>
        <v>Green</v>
      </c>
      <c r="T1054" t="str">
        <f t="shared" si="346"/>
        <v>Green</v>
      </c>
      <c r="U1054" t="str">
        <f t="shared" si="347"/>
        <v>Red</v>
      </c>
      <c r="V1054" t="str">
        <f t="shared" si="348"/>
        <v>Green</v>
      </c>
      <c r="W1054" t="str">
        <f t="shared" si="349"/>
        <v>Red</v>
      </c>
      <c r="X1054" t="str">
        <f t="shared" si="350"/>
        <v>Red</v>
      </c>
      <c r="Y1054" t="str">
        <f t="shared" si="351"/>
        <v>Green</v>
      </c>
      <c r="Z1054" t="str">
        <f t="shared" si="352"/>
        <v>Green</v>
      </c>
      <c r="AA1054" t="str">
        <f t="shared" si="353"/>
        <v>Red</v>
      </c>
      <c r="AB1054" t="str">
        <f t="shared" si="354"/>
        <v>Green</v>
      </c>
      <c r="AC1054" t="str">
        <f t="shared" si="355"/>
        <v>Green</v>
      </c>
      <c r="AD1054" t="str">
        <f t="shared" si="356"/>
        <v>Red</v>
      </c>
    </row>
    <row r="1055" spans="1:30" x14ac:dyDescent="0.2">
      <c r="A1055" t="str">
        <f>L1054&amp;F1055&amp;G1055</f>
        <v>25/07/2026Guangzhou Dandelion AlphaYichun Grand Tiger</v>
      </c>
      <c r="D1055" s="2">
        <v>46228</v>
      </c>
      <c r="E1055" s="3">
        <v>0.45833333333333331</v>
      </c>
      <c r="F1055" t="s">
        <v>3137</v>
      </c>
      <c r="G1055" t="s">
        <v>3138</v>
      </c>
      <c r="H1055">
        <v>0</v>
      </c>
      <c r="I1055">
        <v>0</v>
      </c>
      <c r="J1055">
        <v>0</v>
      </c>
      <c r="K1055">
        <v>0</v>
      </c>
      <c r="L1055" s="22" t="str">
        <f t="shared" si="338"/>
        <v>25/07/2026</v>
      </c>
      <c r="M1055" s="23">
        <f t="shared" si="339"/>
        <v>0.33333333333333331</v>
      </c>
      <c r="N1055" t="str">
        <f t="shared" si="340"/>
        <v>0 - 0</v>
      </c>
      <c r="O1055" t="str">
        <f t="shared" si="341"/>
        <v>Red</v>
      </c>
      <c r="P1055" t="str">
        <f t="shared" si="342"/>
        <v>Green</v>
      </c>
      <c r="Q1055" t="str">
        <f t="shared" si="343"/>
        <v>Red</v>
      </c>
      <c r="R1055" t="str">
        <f t="shared" si="344"/>
        <v>Green</v>
      </c>
      <c r="S1055" t="str">
        <f t="shared" si="345"/>
        <v>Green</v>
      </c>
      <c r="T1055" t="str">
        <f t="shared" si="346"/>
        <v>Red</v>
      </c>
      <c r="U1055" t="str">
        <f t="shared" si="347"/>
        <v>Red</v>
      </c>
      <c r="V1055" t="str">
        <f t="shared" si="348"/>
        <v>Green</v>
      </c>
      <c r="W1055" t="str">
        <f t="shared" si="349"/>
        <v>Red</v>
      </c>
      <c r="X1055" t="str">
        <f t="shared" si="350"/>
        <v>Red</v>
      </c>
      <c r="Y1055" t="str">
        <f t="shared" si="351"/>
        <v>Red</v>
      </c>
      <c r="Z1055" t="str">
        <f t="shared" si="352"/>
        <v>Red</v>
      </c>
      <c r="AA1055" t="str">
        <f t="shared" si="353"/>
        <v>Green</v>
      </c>
      <c r="AB1055" t="str">
        <f t="shared" si="354"/>
        <v>Green</v>
      </c>
      <c r="AC1055" t="str">
        <f t="shared" si="355"/>
        <v>Red</v>
      </c>
      <c r="AD1055" t="str">
        <f t="shared" si="356"/>
        <v>Green</v>
      </c>
    </row>
    <row r="1056" spans="1:30" x14ac:dyDescent="0.2">
      <c r="A1056" t="str">
        <f>L1055&amp;F1056&amp;G1056</f>
        <v>25/07/2026Shandong Luneng Taishan ReservesChangchun Xidu</v>
      </c>
      <c r="D1056" s="2">
        <v>46228</v>
      </c>
      <c r="E1056" s="3">
        <v>0.45833333333333331</v>
      </c>
      <c r="F1056" t="s">
        <v>3139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38"/>
        <v>25/07/2026</v>
      </c>
      <c r="M1056" s="23">
        <f t="shared" si="339"/>
        <v>0.33333333333333331</v>
      </c>
      <c r="N1056" t="str">
        <f t="shared" si="340"/>
        <v>1 - 1</v>
      </c>
      <c r="O1056" t="str">
        <f t="shared" si="341"/>
        <v>Red</v>
      </c>
      <c r="P1056" t="str">
        <f t="shared" si="342"/>
        <v>Green</v>
      </c>
      <c r="Q1056" t="str">
        <f t="shared" si="343"/>
        <v>Red</v>
      </c>
      <c r="R1056" t="str">
        <f t="shared" si="344"/>
        <v>Green</v>
      </c>
      <c r="S1056" t="str">
        <f t="shared" si="345"/>
        <v>Green</v>
      </c>
      <c r="T1056" t="str">
        <f t="shared" si="346"/>
        <v>Red</v>
      </c>
      <c r="U1056" t="str">
        <f t="shared" si="347"/>
        <v>Red</v>
      </c>
      <c r="V1056" t="str">
        <f t="shared" si="348"/>
        <v>Green</v>
      </c>
      <c r="W1056" t="str">
        <f t="shared" si="349"/>
        <v>Red</v>
      </c>
      <c r="X1056" t="str">
        <f t="shared" si="350"/>
        <v>Red</v>
      </c>
      <c r="Y1056" t="str">
        <f t="shared" si="351"/>
        <v>Green</v>
      </c>
      <c r="Z1056" t="str">
        <f t="shared" si="352"/>
        <v>Red</v>
      </c>
      <c r="AA1056" t="str">
        <f t="shared" si="353"/>
        <v>Green</v>
      </c>
      <c r="AB1056" t="str">
        <f t="shared" si="354"/>
        <v>Green</v>
      </c>
      <c r="AC1056" t="str">
        <f t="shared" si="355"/>
        <v>Green</v>
      </c>
      <c r="AD1056" t="str">
        <f t="shared" si="356"/>
        <v>Red</v>
      </c>
    </row>
    <row r="1057" spans="1:30" x14ac:dyDescent="0.2">
      <c r="A1057" t="str">
        <f>L1056&amp;F1057&amp;G1057</f>
        <v>25/07/2026ASA Aarhus WomenAGF Aarhus Women</v>
      </c>
      <c r="D1057" s="2">
        <v>46228</v>
      </c>
      <c r="E1057" s="3">
        <v>0.45833333333333331</v>
      </c>
      <c r="F1057" t="s">
        <v>3192</v>
      </c>
      <c r="G1057" t="s">
        <v>3193</v>
      </c>
      <c r="H1057">
        <v>0</v>
      </c>
      <c r="I1057">
        <v>0</v>
      </c>
      <c r="J1057">
        <v>3</v>
      </c>
      <c r="K1057">
        <v>1</v>
      </c>
      <c r="L1057" s="22" t="str">
        <f t="shared" si="338"/>
        <v>25/07/2026</v>
      </c>
      <c r="M1057" s="23">
        <f t="shared" si="339"/>
        <v>0.33333333333333331</v>
      </c>
      <c r="N1057" t="str">
        <f t="shared" si="340"/>
        <v>3 - 1</v>
      </c>
      <c r="O1057" t="str">
        <f t="shared" si="341"/>
        <v>Green</v>
      </c>
      <c r="P1057" t="str">
        <f t="shared" si="342"/>
        <v>Red</v>
      </c>
      <c r="Q1057" t="str">
        <f t="shared" si="343"/>
        <v>Red</v>
      </c>
      <c r="R1057" t="str">
        <f t="shared" si="344"/>
        <v>Green</v>
      </c>
      <c r="S1057" t="str">
        <f t="shared" si="345"/>
        <v>Red</v>
      </c>
      <c r="T1057" t="str">
        <f t="shared" si="346"/>
        <v>Green</v>
      </c>
      <c r="U1057" t="str">
        <f t="shared" si="347"/>
        <v>Red</v>
      </c>
      <c r="V1057" t="str">
        <f t="shared" si="348"/>
        <v>Green</v>
      </c>
      <c r="W1057" t="str">
        <f t="shared" si="349"/>
        <v>Red</v>
      </c>
      <c r="X1057" t="str">
        <f t="shared" si="350"/>
        <v>Red</v>
      </c>
      <c r="Y1057" t="str">
        <f t="shared" si="351"/>
        <v>Green</v>
      </c>
      <c r="Z1057" t="str">
        <f t="shared" si="352"/>
        <v>Green</v>
      </c>
      <c r="AA1057" t="str">
        <f t="shared" si="353"/>
        <v>Red</v>
      </c>
      <c r="AB1057" t="str">
        <f t="shared" si="354"/>
        <v>Red</v>
      </c>
      <c r="AC1057" t="str">
        <f t="shared" si="355"/>
        <v>Green</v>
      </c>
      <c r="AD1057" t="str">
        <f t="shared" si="356"/>
        <v>Red</v>
      </c>
    </row>
    <row r="1058" spans="1:30" x14ac:dyDescent="0.2">
      <c r="A1058" t="str">
        <f>L1057&amp;F1058&amp;G1058</f>
        <v>25/07/2026FC Midtjylland WomenBrondby Women</v>
      </c>
      <c r="D1058" s="2">
        <v>46228</v>
      </c>
      <c r="E1058" s="3">
        <v>0.45833333333333331</v>
      </c>
      <c r="F1058" t="s">
        <v>3194</v>
      </c>
      <c r="G1058" t="s">
        <v>3195</v>
      </c>
      <c r="H1058">
        <v>0</v>
      </c>
      <c r="I1058">
        <v>0</v>
      </c>
      <c r="J1058">
        <v>1</v>
      </c>
      <c r="K1058">
        <v>1</v>
      </c>
      <c r="L1058" s="22" t="str">
        <f t="shared" si="338"/>
        <v>25/07/2026</v>
      </c>
      <c r="M1058" s="23">
        <f t="shared" si="339"/>
        <v>0.33333333333333331</v>
      </c>
      <c r="N1058" t="str">
        <f t="shared" si="340"/>
        <v>1 - 1</v>
      </c>
      <c r="O1058" t="str">
        <f t="shared" si="341"/>
        <v>Red</v>
      </c>
      <c r="P1058" t="str">
        <f t="shared" si="342"/>
        <v>Green</v>
      </c>
      <c r="Q1058" t="str">
        <f t="shared" si="343"/>
        <v>Red</v>
      </c>
      <c r="R1058" t="str">
        <f t="shared" si="344"/>
        <v>Green</v>
      </c>
      <c r="S1058" t="str">
        <f t="shared" si="345"/>
        <v>Green</v>
      </c>
      <c r="T1058" t="str">
        <f t="shared" si="346"/>
        <v>Red</v>
      </c>
      <c r="U1058" t="str">
        <f t="shared" si="347"/>
        <v>Red</v>
      </c>
      <c r="V1058" t="str">
        <f t="shared" si="348"/>
        <v>Green</v>
      </c>
      <c r="W1058" t="str">
        <f t="shared" si="349"/>
        <v>Red</v>
      </c>
      <c r="X1058" t="str">
        <f t="shared" si="350"/>
        <v>Red</v>
      </c>
      <c r="Y1058" t="str">
        <f t="shared" si="351"/>
        <v>Green</v>
      </c>
      <c r="Z1058" t="str">
        <f t="shared" si="352"/>
        <v>Red</v>
      </c>
      <c r="AA1058" t="str">
        <f t="shared" si="353"/>
        <v>Green</v>
      </c>
      <c r="AB1058" t="str">
        <f t="shared" si="354"/>
        <v>Green</v>
      </c>
      <c r="AC1058" t="str">
        <f t="shared" si="355"/>
        <v>Green</v>
      </c>
      <c r="AD1058" t="str">
        <f t="shared" si="356"/>
        <v>Red</v>
      </c>
    </row>
    <row r="1059" spans="1:30" x14ac:dyDescent="0.2">
      <c r="A1059" t="str">
        <f>L1058&amp;F1059&amp;G1059</f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38"/>
        <v>25/07/2026</v>
      </c>
      <c r="M1059" s="23">
        <f t="shared" si="339"/>
        <v>0.33333333333333331</v>
      </c>
      <c r="N1059" t="str">
        <f t="shared" si="340"/>
        <v>0 - 0</v>
      </c>
      <c r="O1059" t="str">
        <f t="shared" si="341"/>
        <v>Red</v>
      </c>
      <c r="P1059" t="str">
        <f t="shared" si="342"/>
        <v>Green</v>
      </c>
      <c r="Q1059" t="str">
        <f t="shared" si="343"/>
        <v>Red</v>
      </c>
      <c r="R1059" t="str">
        <f t="shared" si="344"/>
        <v>Green</v>
      </c>
      <c r="S1059" t="str">
        <f t="shared" si="345"/>
        <v>Green</v>
      </c>
      <c r="T1059" t="str">
        <f t="shared" si="346"/>
        <v>Red</v>
      </c>
      <c r="U1059" t="str">
        <f t="shared" si="347"/>
        <v>Red</v>
      </c>
      <c r="V1059" t="str">
        <f t="shared" si="348"/>
        <v>Green</v>
      </c>
      <c r="W1059" t="str">
        <f t="shared" si="349"/>
        <v>Red</v>
      </c>
      <c r="X1059" t="str">
        <f t="shared" si="350"/>
        <v>Red</v>
      </c>
      <c r="Y1059" t="str">
        <f t="shared" si="351"/>
        <v>Red</v>
      </c>
      <c r="Z1059" t="str">
        <f t="shared" si="352"/>
        <v>Red</v>
      </c>
      <c r="AA1059" t="str">
        <f t="shared" si="353"/>
        <v>Green</v>
      </c>
      <c r="AB1059" t="str">
        <f t="shared" si="354"/>
        <v>Green</v>
      </c>
      <c r="AC1059" t="str">
        <f t="shared" si="355"/>
        <v>Red</v>
      </c>
      <c r="AD1059" t="str">
        <f t="shared" si="356"/>
        <v>Green</v>
      </c>
    </row>
    <row r="1060" spans="1:30" x14ac:dyDescent="0.2">
      <c r="A1060" t="str">
        <f>L1059&amp;F1060&amp;G1060</f>
        <v>25/07/2026Estham UnitedFC Kose</v>
      </c>
      <c r="D1060" s="2">
        <v>46228</v>
      </c>
      <c r="E1060" s="3">
        <v>0.45833333333333331</v>
      </c>
      <c r="F1060" t="s">
        <v>3214</v>
      </c>
      <c r="G1060" t="s">
        <v>3215</v>
      </c>
      <c r="H1060">
        <v>1</v>
      </c>
      <c r="I1060">
        <v>4</v>
      </c>
      <c r="J1060">
        <v>1</v>
      </c>
      <c r="K1060">
        <v>5</v>
      </c>
      <c r="L1060" s="22" t="str">
        <f t="shared" si="338"/>
        <v>25/07/2026</v>
      </c>
      <c r="M1060" s="23">
        <f t="shared" si="339"/>
        <v>0.33333333333333331</v>
      </c>
      <c r="N1060" t="str">
        <f t="shared" si="340"/>
        <v>1 - 5</v>
      </c>
      <c r="O1060" t="str">
        <f t="shared" si="341"/>
        <v>Red</v>
      </c>
      <c r="P1060" t="str">
        <f t="shared" si="342"/>
        <v>Red</v>
      </c>
      <c r="Q1060" t="str">
        <f t="shared" si="343"/>
        <v>Green</v>
      </c>
      <c r="R1060" t="str">
        <f t="shared" si="344"/>
        <v>Red</v>
      </c>
      <c r="S1060" t="str">
        <f t="shared" si="345"/>
        <v>Green</v>
      </c>
      <c r="T1060" t="str">
        <f t="shared" si="346"/>
        <v>Green</v>
      </c>
      <c r="U1060" t="str">
        <f t="shared" si="347"/>
        <v>Red</v>
      </c>
      <c r="V1060" t="str">
        <f t="shared" si="348"/>
        <v>Red</v>
      </c>
      <c r="W1060" t="str">
        <f t="shared" si="349"/>
        <v>Green</v>
      </c>
      <c r="X1060" t="str">
        <f t="shared" si="350"/>
        <v>Green</v>
      </c>
      <c r="Y1060" t="str">
        <f t="shared" si="351"/>
        <v>Green</v>
      </c>
      <c r="Z1060" t="str">
        <f t="shared" si="352"/>
        <v>Green</v>
      </c>
      <c r="AA1060" t="str">
        <f t="shared" si="353"/>
        <v>Red</v>
      </c>
      <c r="AB1060" t="str">
        <f t="shared" si="354"/>
        <v>Red</v>
      </c>
      <c r="AC1060" t="str">
        <f t="shared" si="355"/>
        <v>Green</v>
      </c>
      <c r="AD1060" t="str">
        <f t="shared" si="356"/>
        <v>Red</v>
      </c>
    </row>
    <row r="1061" spans="1:30" x14ac:dyDescent="0.2">
      <c r="A1061" t="str">
        <f>L1060&amp;F1061&amp;G1061</f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38"/>
        <v>25/07/2026</v>
      </c>
      <c r="M1061" s="23">
        <f t="shared" si="339"/>
        <v>0.33333333333333331</v>
      </c>
      <c r="N1061" t="str">
        <f t="shared" si="340"/>
        <v>4 - 2</v>
      </c>
      <c r="O1061" t="str">
        <f t="shared" si="341"/>
        <v>Green</v>
      </c>
      <c r="P1061" t="str">
        <f t="shared" si="342"/>
        <v>Red</v>
      </c>
      <c r="Q1061" t="str">
        <f t="shared" si="343"/>
        <v>Red</v>
      </c>
      <c r="R1061" t="str">
        <f t="shared" si="344"/>
        <v>Green</v>
      </c>
      <c r="S1061" t="str">
        <f t="shared" si="345"/>
        <v>Red</v>
      </c>
      <c r="T1061" t="str">
        <f t="shared" si="346"/>
        <v>Green</v>
      </c>
      <c r="U1061" t="str">
        <f t="shared" si="347"/>
        <v>Red</v>
      </c>
      <c r="V1061" t="str">
        <f t="shared" si="348"/>
        <v>Green</v>
      </c>
      <c r="W1061" t="str">
        <f t="shared" si="349"/>
        <v>Red</v>
      </c>
      <c r="X1061" t="str">
        <f t="shared" si="350"/>
        <v>Green</v>
      </c>
      <c r="Y1061" t="str">
        <f t="shared" si="351"/>
        <v>Green</v>
      </c>
      <c r="Z1061" t="str">
        <f t="shared" si="352"/>
        <v>Green</v>
      </c>
      <c r="AA1061" t="str">
        <f t="shared" si="353"/>
        <v>Red</v>
      </c>
      <c r="AB1061" t="str">
        <f t="shared" si="354"/>
        <v>Red</v>
      </c>
      <c r="AC1061" t="str">
        <f t="shared" si="355"/>
        <v>Green</v>
      </c>
      <c r="AD1061" t="str">
        <f t="shared" si="356"/>
        <v>Red</v>
      </c>
    </row>
    <row r="1062" spans="1:30" x14ac:dyDescent="0.2">
      <c r="A1062" t="str">
        <f>L1061&amp;F1062&amp;G1062</f>
        <v>25/07/2026Tampere United IIFC Lasten</v>
      </c>
      <c r="D1062" s="2">
        <v>46228</v>
      </c>
      <c r="E1062" s="3">
        <v>0.45833333333333331</v>
      </c>
      <c r="F1062" t="s">
        <v>3239</v>
      </c>
      <c r="G1062" t="s">
        <v>3240</v>
      </c>
      <c r="H1062">
        <v>0</v>
      </c>
      <c r="I1062">
        <v>0</v>
      </c>
      <c r="J1062">
        <v>1</v>
      </c>
      <c r="K1062">
        <v>1</v>
      </c>
      <c r="L1062" s="22" t="str">
        <f t="shared" si="338"/>
        <v>25/07/2026</v>
      </c>
      <c r="M1062" s="23">
        <f t="shared" si="339"/>
        <v>0.33333333333333331</v>
      </c>
      <c r="N1062" t="str">
        <f t="shared" si="340"/>
        <v>1 - 1</v>
      </c>
      <c r="O1062" t="str">
        <f t="shared" si="341"/>
        <v>Red</v>
      </c>
      <c r="P1062" t="str">
        <f t="shared" si="342"/>
        <v>Green</v>
      </c>
      <c r="Q1062" t="str">
        <f t="shared" si="343"/>
        <v>Red</v>
      </c>
      <c r="R1062" t="str">
        <f t="shared" si="344"/>
        <v>Green</v>
      </c>
      <c r="S1062" t="str">
        <f t="shared" si="345"/>
        <v>Green</v>
      </c>
      <c r="T1062" t="str">
        <f t="shared" si="346"/>
        <v>Red</v>
      </c>
      <c r="U1062" t="str">
        <f t="shared" si="347"/>
        <v>Red</v>
      </c>
      <c r="V1062" t="str">
        <f t="shared" si="348"/>
        <v>Green</v>
      </c>
      <c r="W1062" t="str">
        <f t="shared" si="349"/>
        <v>Red</v>
      </c>
      <c r="X1062" t="str">
        <f t="shared" si="350"/>
        <v>Red</v>
      </c>
      <c r="Y1062" t="str">
        <f t="shared" si="351"/>
        <v>Green</v>
      </c>
      <c r="Z1062" t="str">
        <f t="shared" si="352"/>
        <v>Red</v>
      </c>
      <c r="AA1062" t="str">
        <f t="shared" si="353"/>
        <v>Green</v>
      </c>
      <c r="AB1062" t="str">
        <f t="shared" si="354"/>
        <v>Green</v>
      </c>
      <c r="AC1062" t="str">
        <f t="shared" si="355"/>
        <v>Green</v>
      </c>
      <c r="AD1062" t="str">
        <f t="shared" si="356"/>
        <v>Red</v>
      </c>
    </row>
    <row r="1063" spans="1:30" x14ac:dyDescent="0.2">
      <c r="A1063" t="str">
        <f>L1062&amp;F1063&amp;G1063</f>
        <v>25/07/2026Virkia LapuaSaaripotku</v>
      </c>
      <c r="D1063" s="2">
        <v>46228</v>
      </c>
      <c r="E1063" s="3">
        <v>0.45833333333333331</v>
      </c>
      <c r="F1063" t="s">
        <v>3255</v>
      </c>
      <c r="G1063" t="s">
        <v>3256</v>
      </c>
      <c r="H1063">
        <v>0</v>
      </c>
      <c r="I1063">
        <v>0</v>
      </c>
      <c r="J1063">
        <v>18</v>
      </c>
      <c r="K1063">
        <v>0</v>
      </c>
      <c r="L1063" s="22" t="str">
        <f t="shared" si="338"/>
        <v>25/07/2026</v>
      </c>
      <c r="M1063" s="23">
        <f t="shared" si="339"/>
        <v>0.33333333333333331</v>
      </c>
      <c r="N1063" t="str">
        <f t="shared" si="340"/>
        <v>18 - 0</v>
      </c>
      <c r="O1063" t="str">
        <f t="shared" si="341"/>
        <v>Green</v>
      </c>
      <c r="P1063" t="str">
        <f t="shared" si="342"/>
        <v>Red</v>
      </c>
      <c r="Q1063" t="str">
        <f t="shared" si="343"/>
        <v>Red</v>
      </c>
      <c r="R1063" t="str">
        <f t="shared" si="344"/>
        <v>Green</v>
      </c>
      <c r="S1063" t="str">
        <f t="shared" si="345"/>
        <v>Red</v>
      </c>
      <c r="T1063" t="str">
        <f t="shared" si="346"/>
        <v>Green</v>
      </c>
      <c r="U1063" t="str">
        <f t="shared" si="347"/>
        <v>Red</v>
      </c>
      <c r="V1063" t="str">
        <f t="shared" si="348"/>
        <v>Green</v>
      </c>
      <c r="W1063" t="str">
        <f t="shared" si="349"/>
        <v>Red</v>
      </c>
      <c r="X1063" t="str">
        <f t="shared" si="350"/>
        <v>Red</v>
      </c>
      <c r="Y1063" t="str">
        <f t="shared" si="351"/>
        <v>Green</v>
      </c>
      <c r="Z1063" t="str">
        <f t="shared" si="352"/>
        <v>Green</v>
      </c>
      <c r="AA1063" t="str">
        <f t="shared" si="353"/>
        <v>Red</v>
      </c>
      <c r="AB1063" t="str">
        <f t="shared" si="354"/>
        <v>Red</v>
      </c>
      <c r="AC1063" t="str">
        <f t="shared" si="355"/>
        <v>Red</v>
      </c>
      <c r="AD1063" t="str">
        <f t="shared" si="356"/>
        <v>Green</v>
      </c>
    </row>
    <row r="1064" spans="1:30" x14ac:dyDescent="0.2">
      <c r="A1064" t="str">
        <f>L1063&amp;F1064&amp;G1064</f>
        <v>25/07/2026HPS WomenIlves Women</v>
      </c>
      <c r="D1064" s="2">
        <v>46228</v>
      </c>
      <c r="E1064" s="3">
        <v>0.45833333333333331</v>
      </c>
      <c r="F1064" t="s">
        <v>3259</v>
      </c>
      <c r="G1064" t="s">
        <v>3260</v>
      </c>
      <c r="H1064">
        <v>0</v>
      </c>
      <c r="I1064">
        <v>1</v>
      </c>
      <c r="J1064">
        <v>1</v>
      </c>
      <c r="K1064">
        <v>2</v>
      </c>
      <c r="L1064" s="22" t="str">
        <f t="shared" si="338"/>
        <v>25/07/2026</v>
      </c>
      <c r="M1064" s="23">
        <f t="shared" si="339"/>
        <v>0.33333333333333331</v>
      </c>
      <c r="N1064" t="str">
        <f t="shared" si="340"/>
        <v>1 - 2</v>
      </c>
      <c r="O1064" t="str">
        <f t="shared" si="341"/>
        <v>Red</v>
      </c>
      <c r="P1064" t="str">
        <f t="shared" si="342"/>
        <v>Red</v>
      </c>
      <c r="Q1064" t="str">
        <f t="shared" si="343"/>
        <v>Green</v>
      </c>
      <c r="R1064" t="str">
        <f t="shared" si="344"/>
        <v>Red</v>
      </c>
      <c r="S1064" t="str">
        <f t="shared" si="345"/>
        <v>Green</v>
      </c>
      <c r="T1064" t="str">
        <f t="shared" si="346"/>
        <v>Green</v>
      </c>
      <c r="U1064" t="str">
        <f t="shared" si="347"/>
        <v>Red</v>
      </c>
      <c r="V1064" t="str">
        <f t="shared" si="348"/>
        <v>Red</v>
      </c>
      <c r="W1064" t="str">
        <f t="shared" si="349"/>
        <v>Green</v>
      </c>
      <c r="X1064" t="str">
        <f t="shared" si="350"/>
        <v>Green</v>
      </c>
      <c r="Y1064" t="str">
        <f t="shared" si="351"/>
        <v>Green</v>
      </c>
      <c r="Z1064" t="str">
        <f t="shared" si="352"/>
        <v>Green</v>
      </c>
      <c r="AA1064" t="str">
        <f t="shared" si="353"/>
        <v>Red</v>
      </c>
      <c r="AB1064" t="str">
        <f t="shared" si="354"/>
        <v>Green</v>
      </c>
      <c r="AC1064" t="str">
        <f t="shared" si="355"/>
        <v>Green</v>
      </c>
      <c r="AD1064" t="str">
        <f t="shared" si="356"/>
        <v>Red</v>
      </c>
    </row>
    <row r="1065" spans="1:30" x14ac:dyDescent="0.2">
      <c r="A1065" t="str">
        <f>L1064&amp;F1065&amp;G1065</f>
        <v>25/07/2026IF Gnistan WomenKuopio PS Women</v>
      </c>
      <c r="D1065" s="2">
        <v>46228</v>
      </c>
      <c r="E1065" s="3">
        <v>0.45833333333333331</v>
      </c>
      <c r="F1065" t="s">
        <v>3261</v>
      </c>
      <c r="G1065" t="s">
        <v>3262</v>
      </c>
      <c r="H1065">
        <v>0</v>
      </c>
      <c r="I1065">
        <v>0</v>
      </c>
      <c r="J1065">
        <v>0</v>
      </c>
      <c r="K1065">
        <v>1</v>
      </c>
      <c r="L1065" s="22" t="str">
        <f t="shared" si="338"/>
        <v>25/07/2026</v>
      </c>
      <c r="M1065" s="23">
        <f t="shared" si="339"/>
        <v>0.33333333333333331</v>
      </c>
      <c r="N1065" t="str">
        <f t="shared" si="340"/>
        <v>0 - 1</v>
      </c>
      <c r="O1065" t="str">
        <f t="shared" si="341"/>
        <v>Red</v>
      </c>
      <c r="P1065" t="str">
        <f t="shared" si="342"/>
        <v>Red</v>
      </c>
      <c r="Q1065" t="str">
        <f t="shared" si="343"/>
        <v>Green</v>
      </c>
      <c r="R1065" t="str">
        <f t="shared" si="344"/>
        <v>Red</v>
      </c>
      <c r="S1065" t="str">
        <f t="shared" si="345"/>
        <v>Green</v>
      </c>
      <c r="T1065" t="str">
        <f t="shared" si="346"/>
        <v>Green</v>
      </c>
      <c r="U1065" t="str">
        <f t="shared" si="347"/>
        <v>Red</v>
      </c>
      <c r="V1065" t="str">
        <f t="shared" si="348"/>
        <v>Green</v>
      </c>
      <c r="W1065" t="str">
        <f t="shared" si="349"/>
        <v>Red</v>
      </c>
      <c r="X1065" t="str">
        <f t="shared" si="350"/>
        <v>Red</v>
      </c>
      <c r="Y1065" t="str">
        <f t="shared" si="351"/>
        <v>Red</v>
      </c>
      <c r="Z1065" t="str">
        <f t="shared" si="352"/>
        <v>Red</v>
      </c>
      <c r="AA1065" t="str">
        <f t="shared" si="353"/>
        <v>Green</v>
      </c>
      <c r="AB1065" t="str">
        <f t="shared" si="354"/>
        <v>Green</v>
      </c>
      <c r="AC1065" t="str">
        <f t="shared" si="355"/>
        <v>Red</v>
      </c>
      <c r="AD1065" t="str">
        <f t="shared" si="356"/>
        <v>Green</v>
      </c>
    </row>
    <row r="1066" spans="1:30" x14ac:dyDescent="0.2">
      <c r="A1066" t="str">
        <f>L1065&amp;F1066&amp;G1066</f>
        <v>25/07/2026PK-35 Vantaa WomenHJK Helsinki Women</v>
      </c>
      <c r="D1066" s="2">
        <v>46228</v>
      </c>
      <c r="E1066" s="3">
        <v>0.45833333333333331</v>
      </c>
      <c r="F1066" t="s">
        <v>3263</v>
      </c>
      <c r="G1066" t="s">
        <v>3264</v>
      </c>
      <c r="H1066">
        <v>0</v>
      </c>
      <c r="I1066">
        <v>1</v>
      </c>
      <c r="J1066">
        <v>0</v>
      </c>
      <c r="K1066">
        <v>2</v>
      </c>
      <c r="L1066" s="22" t="str">
        <f t="shared" si="338"/>
        <v>25/07/2026</v>
      </c>
      <c r="M1066" s="23">
        <f t="shared" si="339"/>
        <v>0.33333333333333331</v>
      </c>
      <c r="N1066" t="str">
        <f t="shared" si="340"/>
        <v>0 - 2</v>
      </c>
      <c r="O1066" t="str">
        <f t="shared" si="341"/>
        <v>Red</v>
      </c>
      <c r="P1066" t="str">
        <f t="shared" si="342"/>
        <v>Red</v>
      </c>
      <c r="Q1066" t="str">
        <f t="shared" si="343"/>
        <v>Green</v>
      </c>
      <c r="R1066" t="str">
        <f t="shared" si="344"/>
        <v>Red</v>
      </c>
      <c r="S1066" t="str">
        <f t="shared" si="345"/>
        <v>Green</v>
      </c>
      <c r="T1066" t="str">
        <f t="shared" si="346"/>
        <v>Green</v>
      </c>
      <c r="U1066" t="str">
        <f t="shared" si="347"/>
        <v>Red</v>
      </c>
      <c r="V1066" t="str">
        <f t="shared" si="348"/>
        <v>Red</v>
      </c>
      <c r="W1066" t="str">
        <f t="shared" si="349"/>
        <v>Green</v>
      </c>
      <c r="X1066" t="str">
        <f t="shared" si="350"/>
        <v>Green</v>
      </c>
      <c r="Y1066" t="str">
        <f t="shared" si="351"/>
        <v>Green</v>
      </c>
      <c r="Z1066" t="str">
        <f t="shared" si="352"/>
        <v>Red</v>
      </c>
      <c r="AA1066" t="str">
        <f t="shared" si="353"/>
        <v>Green</v>
      </c>
      <c r="AB1066" t="str">
        <f t="shared" si="354"/>
        <v>Green</v>
      </c>
      <c r="AC1066" t="str">
        <f t="shared" si="355"/>
        <v>Red</v>
      </c>
      <c r="AD1066" t="str">
        <f t="shared" si="356"/>
        <v>Green</v>
      </c>
    </row>
    <row r="1067" spans="1:30" x14ac:dyDescent="0.2">
      <c r="A1067" t="str">
        <f>L1066&amp;F1067&amp;G1067</f>
        <v>25/07/2026Tus DassendorfEtsv Hamburg</v>
      </c>
      <c r="D1067" s="2">
        <v>46228</v>
      </c>
      <c r="E1067" s="3">
        <v>0.45833333333333331</v>
      </c>
      <c r="F1067" t="s">
        <v>3284</v>
      </c>
      <c r="G1067" t="s">
        <v>3285</v>
      </c>
      <c r="H1067">
        <v>0</v>
      </c>
      <c r="I1067">
        <v>1</v>
      </c>
      <c r="J1067">
        <v>1</v>
      </c>
      <c r="K1067">
        <v>1</v>
      </c>
      <c r="L1067" s="22" t="str">
        <f t="shared" si="338"/>
        <v>25/07/2026</v>
      </c>
      <c r="M1067" s="23">
        <f t="shared" si="339"/>
        <v>0.33333333333333331</v>
      </c>
      <c r="N1067" t="str">
        <f t="shared" si="340"/>
        <v>1 - 1</v>
      </c>
      <c r="O1067" t="str">
        <f t="shared" si="341"/>
        <v>Red</v>
      </c>
      <c r="P1067" t="str">
        <f t="shared" si="342"/>
        <v>Green</v>
      </c>
      <c r="Q1067" t="str">
        <f t="shared" si="343"/>
        <v>Red</v>
      </c>
      <c r="R1067" t="str">
        <f t="shared" si="344"/>
        <v>Green</v>
      </c>
      <c r="S1067" t="str">
        <f t="shared" si="345"/>
        <v>Green</v>
      </c>
      <c r="T1067" t="str">
        <f t="shared" si="346"/>
        <v>Red</v>
      </c>
      <c r="U1067" t="str">
        <f t="shared" si="347"/>
        <v>Red</v>
      </c>
      <c r="V1067" t="str">
        <f t="shared" si="348"/>
        <v>Red</v>
      </c>
      <c r="W1067" t="str">
        <f t="shared" si="349"/>
        <v>Green</v>
      </c>
      <c r="X1067" t="str">
        <f t="shared" si="350"/>
        <v>Green</v>
      </c>
      <c r="Y1067" t="str">
        <f t="shared" si="351"/>
        <v>Green</v>
      </c>
      <c r="Z1067" t="str">
        <f t="shared" si="352"/>
        <v>Red</v>
      </c>
      <c r="AA1067" t="str">
        <f t="shared" si="353"/>
        <v>Green</v>
      </c>
      <c r="AB1067" t="str">
        <f t="shared" si="354"/>
        <v>Green</v>
      </c>
      <c r="AC1067" t="str">
        <f t="shared" si="355"/>
        <v>Green</v>
      </c>
      <c r="AD1067" t="str">
        <f t="shared" si="356"/>
        <v>Red</v>
      </c>
    </row>
    <row r="1068" spans="1:30" x14ac:dyDescent="0.2">
      <c r="A1068" t="str">
        <f>L1067&amp;F1068&amp;G1068</f>
        <v>25/07/2026FK SmilteneRigas Futbola Skola II</v>
      </c>
      <c r="D1068" s="2">
        <v>46228</v>
      </c>
      <c r="E1068" s="3">
        <v>0.45833333333333331</v>
      </c>
      <c r="F1068" t="s">
        <v>3393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38"/>
        <v>25/07/2026</v>
      </c>
      <c r="M1068" s="23">
        <f t="shared" si="339"/>
        <v>0.33333333333333331</v>
      </c>
      <c r="N1068" t="str">
        <f t="shared" si="340"/>
        <v>3 - 5</v>
      </c>
      <c r="O1068" t="str">
        <f t="shared" si="341"/>
        <v>Red</v>
      </c>
      <c r="P1068" t="str">
        <f t="shared" si="342"/>
        <v>Red</v>
      </c>
      <c r="Q1068" t="str">
        <f t="shared" si="343"/>
        <v>Green</v>
      </c>
      <c r="R1068" t="str">
        <f t="shared" si="344"/>
        <v>Red</v>
      </c>
      <c r="S1068" t="str">
        <f t="shared" si="345"/>
        <v>Green</v>
      </c>
      <c r="T1068" t="str">
        <f t="shared" si="346"/>
        <v>Green</v>
      </c>
      <c r="U1068" t="str">
        <f t="shared" si="347"/>
        <v>Red</v>
      </c>
      <c r="V1068" t="str">
        <f t="shared" si="348"/>
        <v>Red</v>
      </c>
      <c r="W1068" t="str">
        <f t="shared" si="349"/>
        <v>Green</v>
      </c>
      <c r="X1068" t="str">
        <f t="shared" si="350"/>
        <v>Green</v>
      </c>
      <c r="Y1068" t="str">
        <f t="shared" si="351"/>
        <v>Green</v>
      </c>
      <c r="Z1068" t="str">
        <f t="shared" si="352"/>
        <v>Green</v>
      </c>
      <c r="AA1068" t="str">
        <f t="shared" si="353"/>
        <v>Red</v>
      </c>
      <c r="AB1068" t="str">
        <f t="shared" si="354"/>
        <v>Red</v>
      </c>
      <c r="AC1068" t="str">
        <f t="shared" si="355"/>
        <v>Green</v>
      </c>
      <c r="AD1068" t="str">
        <f t="shared" si="356"/>
        <v>Red</v>
      </c>
    </row>
    <row r="1069" spans="1:30" x14ac:dyDescent="0.2">
      <c r="A1069" t="str">
        <f>L1068&amp;F1069&amp;G1069</f>
        <v>25/07/2026BjargPors Grenland</v>
      </c>
      <c r="D1069" s="2">
        <v>46228</v>
      </c>
      <c r="E1069" s="3">
        <v>0.45833333333333331</v>
      </c>
      <c r="F1069" t="s">
        <v>3450</v>
      </c>
      <c r="G1069" t="s">
        <v>3451</v>
      </c>
      <c r="H1069">
        <v>0</v>
      </c>
      <c r="I1069">
        <v>0</v>
      </c>
      <c r="J1069">
        <v>0</v>
      </c>
      <c r="K1069">
        <v>1</v>
      </c>
      <c r="L1069" s="22" t="str">
        <f t="shared" si="338"/>
        <v>25/07/2026</v>
      </c>
      <c r="M1069" s="23">
        <f t="shared" si="339"/>
        <v>0.33333333333333331</v>
      </c>
      <c r="N1069" t="str">
        <f t="shared" si="340"/>
        <v>0 - 1</v>
      </c>
      <c r="O1069" t="str">
        <f t="shared" si="341"/>
        <v>Red</v>
      </c>
      <c r="P1069" t="str">
        <f t="shared" si="342"/>
        <v>Red</v>
      </c>
      <c r="Q1069" t="str">
        <f t="shared" si="343"/>
        <v>Green</v>
      </c>
      <c r="R1069" t="str">
        <f t="shared" si="344"/>
        <v>Red</v>
      </c>
      <c r="S1069" t="str">
        <f t="shared" si="345"/>
        <v>Green</v>
      </c>
      <c r="T1069" t="str">
        <f t="shared" si="346"/>
        <v>Green</v>
      </c>
      <c r="U1069" t="str">
        <f t="shared" si="347"/>
        <v>Red</v>
      </c>
      <c r="V1069" t="str">
        <f t="shared" si="348"/>
        <v>Green</v>
      </c>
      <c r="W1069" t="str">
        <f t="shared" si="349"/>
        <v>Red</v>
      </c>
      <c r="X1069" t="str">
        <f t="shared" si="350"/>
        <v>Red</v>
      </c>
      <c r="Y1069" t="str">
        <f t="shared" si="351"/>
        <v>Red</v>
      </c>
      <c r="Z1069" t="str">
        <f t="shared" si="352"/>
        <v>Red</v>
      </c>
      <c r="AA1069" t="str">
        <f t="shared" si="353"/>
        <v>Green</v>
      </c>
      <c r="AB1069" t="str">
        <f t="shared" si="354"/>
        <v>Green</v>
      </c>
      <c r="AC1069" t="str">
        <f t="shared" si="355"/>
        <v>Red</v>
      </c>
      <c r="AD1069" t="str">
        <f t="shared" si="356"/>
        <v>Green</v>
      </c>
    </row>
    <row r="1070" spans="1:30" x14ac:dyDescent="0.2">
      <c r="A1070" t="str">
        <f>L1069&amp;F1070&amp;G1070</f>
        <v>25/07/2026GreiKonnerud</v>
      </c>
      <c r="D1070" s="2">
        <v>46228</v>
      </c>
      <c r="E1070" s="3">
        <v>0.45833333333333331</v>
      </c>
      <c r="F1070" t="s">
        <v>3470</v>
      </c>
      <c r="G1070" t="s">
        <v>3471</v>
      </c>
      <c r="H1070">
        <v>2</v>
      </c>
      <c r="I1070">
        <v>0</v>
      </c>
      <c r="J1070">
        <v>3</v>
      </c>
      <c r="K1070">
        <v>1</v>
      </c>
      <c r="L1070" s="22" t="str">
        <f t="shared" si="338"/>
        <v>25/07/2026</v>
      </c>
      <c r="M1070" s="23">
        <f t="shared" si="339"/>
        <v>0.33333333333333331</v>
      </c>
      <c r="N1070" t="str">
        <f t="shared" si="340"/>
        <v>3 - 1</v>
      </c>
      <c r="O1070" t="str">
        <f t="shared" si="341"/>
        <v>Green</v>
      </c>
      <c r="P1070" t="str">
        <f t="shared" si="342"/>
        <v>Red</v>
      </c>
      <c r="Q1070" t="str">
        <f t="shared" si="343"/>
        <v>Red</v>
      </c>
      <c r="R1070" t="str">
        <f t="shared" si="344"/>
        <v>Green</v>
      </c>
      <c r="S1070" t="str">
        <f t="shared" si="345"/>
        <v>Red</v>
      </c>
      <c r="T1070" t="str">
        <f t="shared" si="346"/>
        <v>Green</v>
      </c>
      <c r="U1070" t="str">
        <f t="shared" si="347"/>
        <v>Green</v>
      </c>
      <c r="V1070" t="str">
        <f t="shared" si="348"/>
        <v>Red</v>
      </c>
      <c r="W1070" t="str">
        <f t="shared" si="349"/>
        <v>Red</v>
      </c>
      <c r="X1070" t="str">
        <f t="shared" si="350"/>
        <v>Green</v>
      </c>
      <c r="Y1070" t="str">
        <f t="shared" si="351"/>
        <v>Green</v>
      </c>
      <c r="Z1070" t="str">
        <f t="shared" si="352"/>
        <v>Green</v>
      </c>
      <c r="AA1070" t="str">
        <f t="shared" si="353"/>
        <v>Red</v>
      </c>
      <c r="AB1070" t="str">
        <f t="shared" si="354"/>
        <v>Red</v>
      </c>
      <c r="AC1070" t="str">
        <f t="shared" si="355"/>
        <v>Green</v>
      </c>
      <c r="AD1070" t="str">
        <f t="shared" si="356"/>
        <v>Red</v>
      </c>
    </row>
    <row r="1071" spans="1:30" x14ac:dyDescent="0.2">
      <c r="A1071" t="str">
        <f>L1070&amp;F1071&amp;G1071</f>
        <v>25/07/2026NordstrandGamle Oslo</v>
      </c>
      <c r="D1071" s="2">
        <v>46228</v>
      </c>
      <c r="E1071" s="3">
        <v>0.45833333333333331</v>
      </c>
      <c r="F1071" t="s">
        <v>3472</v>
      </c>
      <c r="G1071" t="s">
        <v>3473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57">DAY(D1071)&amp;"/"&amp;"07"&amp;"/"&amp;YEAR(D1071)</f>
        <v>25/07/2026</v>
      </c>
      <c r="M1071" s="23">
        <f t="shared" ref="M1071:M1134" si="358">E1071-TIME(3,0,0)</f>
        <v>0.33333333333333331</v>
      </c>
      <c r="N1071" t="str">
        <f t="shared" ref="N1071:N1134" si="359">J1071&amp;" - "&amp;K1071</f>
        <v>1 - 2</v>
      </c>
      <c r="O1071" t="str">
        <f t="shared" si="341"/>
        <v>Red</v>
      </c>
      <c r="P1071" t="str">
        <f t="shared" si="342"/>
        <v>Red</v>
      </c>
      <c r="Q1071" t="str">
        <f t="shared" si="343"/>
        <v>Green</v>
      </c>
      <c r="R1071" t="str">
        <f t="shared" si="344"/>
        <v>Red</v>
      </c>
      <c r="S1071" t="str">
        <f t="shared" si="345"/>
        <v>Green</v>
      </c>
      <c r="T1071" t="str">
        <f t="shared" si="346"/>
        <v>Green</v>
      </c>
      <c r="U1071" t="str">
        <f t="shared" si="347"/>
        <v>Red</v>
      </c>
      <c r="V1071" t="str">
        <f t="shared" si="348"/>
        <v>Green</v>
      </c>
      <c r="W1071" t="str">
        <f t="shared" si="349"/>
        <v>Red</v>
      </c>
      <c r="X1071" t="str">
        <f t="shared" si="350"/>
        <v>Green</v>
      </c>
      <c r="Y1071" t="str">
        <f t="shared" si="351"/>
        <v>Green</v>
      </c>
      <c r="Z1071" t="str">
        <f t="shared" si="352"/>
        <v>Green</v>
      </c>
      <c r="AA1071" t="str">
        <f t="shared" si="353"/>
        <v>Red</v>
      </c>
      <c r="AB1071" t="str">
        <f t="shared" si="354"/>
        <v>Green</v>
      </c>
      <c r="AC1071" t="str">
        <f t="shared" si="355"/>
        <v>Green</v>
      </c>
      <c r="AD1071" t="str">
        <f t="shared" si="356"/>
        <v>Red</v>
      </c>
    </row>
    <row r="1072" spans="1:30" x14ac:dyDescent="0.2">
      <c r="A1072" t="str">
        <f>L1071&amp;F1072&amp;G1072</f>
        <v>25/07/2026UllernHeming</v>
      </c>
      <c r="D1072" s="2">
        <v>46228</v>
      </c>
      <c r="E1072" s="3">
        <v>0.45833333333333331</v>
      </c>
      <c r="F1072" t="s">
        <v>3474</v>
      </c>
      <c r="G1072" t="s">
        <v>3475</v>
      </c>
      <c r="H1072">
        <v>0</v>
      </c>
      <c r="I1072">
        <v>1</v>
      </c>
      <c r="J1072">
        <v>1</v>
      </c>
      <c r="K1072">
        <v>3</v>
      </c>
      <c r="L1072" s="22" t="str">
        <f t="shared" si="357"/>
        <v>25/07/2026</v>
      </c>
      <c r="M1072" s="23">
        <f t="shared" si="358"/>
        <v>0.33333333333333331</v>
      </c>
      <c r="N1072" t="str">
        <f t="shared" si="359"/>
        <v>1 - 3</v>
      </c>
      <c r="O1072" t="str">
        <f t="shared" si="341"/>
        <v>Red</v>
      </c>
      <c r="P1072" t="str">
        <f t="shared" si="342"/>
        <v>Red</v>
      </c>
      <c r="Q1072" t="str">
        <f t="shared" si="343"/>
        <v>Green</v>
      </c>
      <c r="R1072" t="str">
        <f t="shared" si="344"/>
        <v>Red</v>
      </c>
      <c r="S1072" t="str">
        <f t="shared" si="345"/>
        <v>Green</v>
      </c>
      <c r="T1072" t="str">
        <f t="shared" si="346"/>
        <v>Green</v>
      </c>
      <c r="U1072" t="str">
        <f t="shared" si="347"/>
        <v>Red</v>
      </c>
      <c r="V1072" t="str">
        <f t="shared" si="348"/>
        <v>Red</v>
      </c>
      <c r="W1072" t="str">
        <f t="shared" si="349"/>
        <v>Green</v>
      </c>
      <c r="X1072" t="str">
        <f t="shared" si="350"/>
        <v>Green</v>
      </c>
      <c r="Y1072" t="str">
        <f t="shared" si="351"/>
        <v>Green</v>
      </c>
      <c r="Z1072" t="str">
        <f t="shared" si="352"/>
        <v>Green</v>
      </c>
      <c r="AA1072" t="str">
        <f t="shared" si="353"/>
        <v>Red</v>
      </c>
      <c r="AB1072" t="str">
        <f t="shared" si="354"/>
        <v>Red</v>
      </c>
      <c r="AC1072" t="str">
        <f t="shared" si="355"/>
        <v>Green</v>
      </c>
      <c r="AD1072" t="str">
        <f t="shared" si="356"/>
        <v>Red</v>
      </c>
    </row>
    <row r="1073" spans="1:30" x14ac:dyDescent="0.2">
      <c r="A1073" t="str">
        <f>L1072&amp;F1073&amp;G1073</f>
        <v>25/07/2026FordeAustevoll</v>
      </c>
      <c r="D1073" s="2">
        <v>46228</v>
      </c>
      <c r="E1073" s="3">
        <v>0.45833333333333331</v>
      </c>
      <c r="F1073" t="s">
        <v>3486</v>
      </c>
      <c r="G1073" t="s">
        <v>3487</v>
      </c>
      <c r="H1073">
        <v>0</v>
      </c>
      <c r="I1073">
        <v>1</v>
      </c>
      <c r="J1073">
        <v>1</v>
      </c>
      <c r="K1073">
        <v>1</v>
      </c>
      <c r="L1073" s="22" t="str">
        <f t="shared" si="357"/>
        <v>25/07/2026</v>
      </c>
      <c r="M1073" s="23">
        <f t="shared" si="358"/>
        <v>0.33333333333333331</v>
      </c>
      <c r="N1073" t="str">
        <f t="shared" si="359"/>
        <v>1 - 1</v>
      </c>
      <c r="O1073" t="str">
        <f t="shared" si="341"/>
        <v>Red</v>
      </c>
      <c r="P1073" t="str">
        <f t="shared" si="342"/>
        <v>Green</v>
      </c>
      <c r="Q1073" t="str">
        <f t="shared" si="343"/>
        <v>Red</v>
      </c>
      <c r="R1073" t="str">
        <f t="shared" si="344"/>
        <v>Green</v>
      </c>
      <c r="S1073" t="str">
        <f t="shared" si="345"/>
        <v>Green</v>
      </c>
      <c r="T1073" t="str">
        <f t="shared" si="346"/>
        <v>Red</v>
      </c>
      <c r="U1073" t="str">
        <f t="shared" si="347"/>
        <v>Red</v>
      </c>
      <c r="V1073" t="str">
        <f t="shared" si="348"/>
        <v>Red</v>
      </c>
      <c r="W1073" t="str">
        <f t="shared" si="349"/>
        <v>Green</v>
      </c>
      <c r="X1073" t="str">
        <f t="shared" si="350"/>
        <v>Green</v>
      </c>
      <c r="Y1073" t="str">
        <f t="shared" si="351"/>
        <v>Green</v>
      </c>
      <c r="Z1073" t="str">
        <f t="shared" si="352"/>
        <v>Red</v>
      </c>
      <c r="AA1073" t="str">
        <f t="shared" si="353"/>
        <v>Green</v>
      </c>
      <c r="AB1073" t="str">
        <f t="shared" si="354"/>
        <v>Green</v>
      </c>
      <c r="AC1073" t="str">
        <f t="shared" si="355"/>
        <v>Green</v>
      </c>
      <c r="AD1073" t="str">
        <f t="shared" si="356"/>
        <v>Red</v>
      </c>
    </row>
    <row r="1074" spans="1:30" x14ac:dyDescent="0.2">
      <c r="A1074" t="str">
        <f>L1073&amp;F1074&amp;G1074</f>
        <v>25/07/2026Legia IIStal Stalowa Wola</v>
      </c>
      <c r="D1074" s="2">
        <v>46228</v>
      </c>
      <c r="E1074" s="3">
        <v>0.45833333333333331</v>
      </c>
      <c r="F1074" t="s">
        <v>3549</v>
      </c>
      <c r="G1074" t="s">
        <v>3550</v>
      </c>
      <c r="H1074">
        <v>0</v>
      </c>
      <c r="I1074">
        <v>0</v>
      </c>
      <c r="J1074">
        <v>0</v>
      </c>
      <c r="K1074">
        <v>2</v>
      </c>
      <c r="L1074" s="22" t="str">
        <f t="shared" si="357"/>
        <v>25/07/2026</v>
      </c>
      <c r="M1074" s="23">
        <f t="shared" si="358"/>
        <v>0.33333333333333331</v>
      </c>
      <c r="N1074" t="str">
        <f t="shared" si="359"/>
        <v>0 - 2</v>
      </c>
      <c r="O1074" t="str">
        <f t="shared" si="341"/>
        <v>Red</v>
      </c>
      <c r="P1074" t="str">
        <f t="shared" si="342"/>
        <v>Red</v>
      </c>
      <c r="Q1074" t="str">
        <f t="shared" si="343"/>
        <v>Green</v>
      </c>
      <c r="R1074" t="str">
        <f t="shared" si="344"/>
        <v>Red</v>
      </c>
      <c r="S1074" t="str">
        <f t="shared" si="345"/>
        <v>Green</v>
      </c>
      <c r="T1074" t="str">
        <f t="shared" si="346"/>
        <v>Green</v>
      </c>
      <c r="U1074" t="str">
        <f t="shared" si="347"/>
        <v>Red</v>
      </c>
      <c r="V1074" t="str">
        <f t="shared" si="348"/>
        <v>Green</v>
      </c>
      <c r="W1074" t="str">
        <f t="shared" si="349"/>
        <v>Red</v>
      </c>
      <c r="X1074" t="str">
        <f t="shared" si="350"/>
        <v>Red</v>
      </c>
      <c r="Y1074" t="str">
        <f t="shared" si="351"/>
        <v>Green</v>
      </c>
      <c r="Z1074" t="str">
        <f t="shared" si="352"/>
        <v>Red</v>
      </c>
      <c r="AA1074" t="str">
        <f t="shared" si="353"/>
        <v>Green</v>
      </c>
      <c r="AB1074" t="str">
        <f t="shared" si="354"/>
        <v>Green</v>
      </c>
      <c r="AC1074" t="str">
        <f t="shared" si="355"/>
        <v>Red</v>
      </c>
      <c r="AD1074" t="str">
        <f t="shared" si="356"/>
        <v>Green</v>
      </c>
    </row>
    <row r="1075" spans="1:30" x14ac:dyDescent="0.2">
      <c r="A1075" t="str">
        <f>L1074&amp;F1075&amp;G1075</f>
        <v>25/07/2026FK Torpedo MiassZenit St Petersburg II</v>
      </c>
      <c r="D1075" s="2">
        <v>46228</v>
      </c>
      <c r="E1075" s="3">
        <v>0.45833333333333331</v>
      </c>
      <c r="F1075" t="s">
        <v>3567</v>
      </c>
      <c r="G1075" t="s">
        <v>3568</v>
      </c>
      <c r="H1075">
        <v>0</v>
      </c>
      <c r="I1075">
        <v>0</v>
      </c>
      <c r="J1075">
        <v>0</v>
      </c>
      <c r="K1075">
        <v>1</v>
      </c>
      <c r="L1075" s="22" t="str">
        <f t="shared" si="357"/>
        <v>25/07/2026</v>
      </c>
      <c r="M1075" s="23">
        <f t="shared" si="358"/>
        <v>0.33333333333333331</v>
      </c>
      <c r="N1075" t="str">
        <f t="shared" si="359"/>
        <v>0 - 1</v>
      </c>
      <c r="O1075" t="str">
        <f t="shared" si="341"/>
        <v>Red</v>
      </c>
      <c r="P1075" t="str">
        <f t="shared" si="342"/>
        <v>Red</v>
      </c>
      <c r="Q1075" t="str">
        <f t="shared" si="343"/>
        <v>Green</v>
      </c>
      <c r="R1075" t="str">
        <f t="shared" si="344"/>
        <v>Red</v>
      </c>
      <c r="S1075" t="str">
        <f t="shared" si="345"/>
        <v>Green</v>
      </c>
      <c r="T1075" t="str">
        <f t="shared" si="346"/>
        <v>Green</v>
      </c>
      <c r="U1075" t="str">
        <f t="shared" si="347"/>
        <v>Red</v>
      </c>
      <c r="V1075" t="str">
        <f t="shared" si="348"/>
        <v>Green</v>
      </c>
      <c r="W1075" t="str">
        <f t="shared" si="349"/>
        <v>Red</v>
      </c>
      <c r="X1075" t="str">
        <f t="shared" si="350"/>
        <v>Red</v>
      </c>
      <c r="Y1075" t="str">
        <f t="shared" si="351"/>
        <v>Red</v>
      </c>
      <c r="Z1075" t="str">
        <f t="shared" si="352"/>
        <v>Red</v>
      </c>
      <c r="AA1075" t="str">
        <f t="shared" si="353"/>
        <v>Green</v>
      </c>
      <c r="AB1075" t="str">
        <f t="shared" si="354"/>
        <v>Green</v>
      </c>
      <c r="AC1075" t="str">
        <f t="shared" si="355"/>
        <v>Red</v>
      </c>
      <c r="AD1075" t="str">
        <f t="shared" si="356"/>
        <v>Green</v>
      </c>
    </row>
    <row r="1076" spans="1:30" x14ac:dyDescent="0.2">
      <c r="A1076" t="str">
        <f>L1075&amp;F1076&amp;G1076</f>
        <v>25/07/2026Dynamo St PetersburgFC Murom</v>
      </c>
      <c r="D1076" s="2">
        <v>46228</v>
      </c>
      <c r="E1076" s="3">
        <v>0.45833333333333331</v>
      </c>
      <c r="F1076" t="s">
        <v>3587</v>
      </c>
      <c r="G1076" t="s">
        <v>3588</v>
      </c>
      <c r="H1076">
        <v>0</v>
      </c>
      <c r="I1076">
        <v>0</v>
      </c>
      <c r="J1076">
        <v>1</v>
      </c>
      <c r="K1076">
        <v>2</v>
      </c>
      <c r="L1076" s="22" t="str">
        <f t="shared" si="357"/>
        <v>25/07/2026</v>
      </c>
      <c r="M1076" s="23">
        <f t="shared" si="358"/>
        <v>0.33333333333333331</v>
      </c>
      <c r="N1076" t="str">
        <f t="shared" si="359"/>
        <v>1 - 2</v>
      </c>
      <c r="O1076" t="str">
        <f t="shared" si="341"/>
        <v>Red</v>
      </c>
      <c r="P1076" t="str">
        <f t="shared" si="342"/>
        <v>Red</v>
      </c>
      <c r="Q1076" t="str">
        <f t="shared" si="343"/>
        <v>Green</v>
      </c>
      <c r="R1076" t="str">
        <f t="shared" si="344"/>
        <v>Red</v>
      </c>
      <c r="S1076" t="str">
        <f t="shared" si="345"/>
        <v>Green</v>
      </c>
      <c r="T1076" t="str">
        <f t="shared" si="346"/>
        <v>Green</v>
      </c>
      <c r="U1076" t="str">
        <f t="shared" si="347"/>
        <v>Red</v>
      </c>
      <c r="V1076" t="str">
        <f t="shared" si="348"/>
        <v>Green</v>
      </c>
      <c r="W1076" t="str">
        <f t="shared" si="349"/>
        <v>Red</v>
      </c>
      <c r="X1076" t="str">
        <f t="shared" si="350"/>
        <v>Red</v>
      </c>
      <c r="Y1076" t="str">
        <f t="shared" si="351"/>
        <v>Green</v>
      </c>
      <c r="Z1076" t="str">
        <f t="shared" si="352"/>
        <v>Green</v>
      </c>
      <c r="AA1076" t="str">
        <f t="shared" si="353"/>
        <v>Red</v>
      </c>
      <c r="AB1076" t="str">
        <f t="shared" si="354"/>
        <v>Green</v>
      </c>
      <c r="AC1076" t="str">
        <f t="shared" si="355"/>
        <v>Green</v>
      </c>
      <c r="AD1076" t="str">
        <f t="shared" si="356"/>
        <v>Red</v>
      </c>
    </row>
    <row r="1077" spans="1:30" x14ac:dyDescent="0.2">
      <c r="A1077" t="str">
        <f>L1076&amp;F1077&amp;G1077</f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3656</v>
      </c>
      <c r="G1077" t="s">
        <v>3657</v>
      </c>
      <c r="H1077">
        <v>0</v>
      </c>
      <c r="I1077">
        <v>0</v>
      </c>
      <c r="J1077">
        <v>4</v>
      </c>
      <c r="K1077">
        <v>2</v>
      </c>
      <c r="L1077" s="22" t="str">
        <f t="shared" si="357"/>
        <v>25/07/2026</v>
      </c>
      <c r="M1077" s="23">
        <f t="shared" si="358"/>
        <v>0.33333333333333331</v>
      </c>
      <c r="N1077" t="str">
        <f t="shared" si="359"/>
        <v>4 - 2</v>
      </c>
      <c r="O1077" t="str">
        <f t="shared" si="341"/>
        <v>Green</v>
      </c>
      <c r="P1077" t="str">
        <f t="shared" si="342"/>
        <v>Red</v>
      </c>
      <c r="Q1077" t="str">
        <f t="shared" si="343"/>
        <v>Red</v>
      </c>
      <c r="R1077" t="str">
        <f t="shared" si="344"/>
        <v>Green</v>
      </c>
      <c r="S1077" t="str">
        <f t="shared" si="345"/>
        <v>Red</v>
      </c>
      <c r="T1077" t="str">
        <f t="shared" si="346"/>
        <v>Green</v>
      </c>
      <c r="U1077" t="str">
        <f t="shared" si="347"/>
        <v>Red</v>
      </c>
      <c r="V1077" t="str">
        <f t="shared" si="348"/>
        <v>Green</v>
      </c>
      <c r="W1077" t="str">
        <f t="shared" si="349"/>
        <v>Red</v>
      </c>
      <c r="X1077" t="str">
        <f t="shared" si="350"/>
        <v>Red</v>
      </c>
      <c r="Y1077" t="str">
        <f t="shared" si="351"/>
        <v>Green</v>
      </c>
      <c r="Z1077" t="str">
        <f t="shared" si="352"/>
        <v>Green</v>
      </c>
      <c r="AA1077" t="str">
        <f t="shared" si="353"/>
        <v>Red</v>
      </c>
      <c r="AB1077" t="str">
        <f t="shared" si="354"/>
        <v>Red</v>
      </c>
      <c r="AC1077" t="str">
        <f t="shared" si="355"/>
        <v>Green</v>
      </c>
      <c r="AD1077" t="str">
        <f t="shared" si="356"/>
        <v>Red</v>
      </c>
    </row>
    <row r="1078" spans="1:30" x14ac:dyDescent="0.2">
      <c r="A1078" t="str">
        <f>L1077&amp;F1078&amp;G1078</f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3658</v>
      </c>
      <c r="G1078" t="s">
        <v>3659</v>
      </c>
      <c r="H1078">
        <v>0</v>
      </c>
      <c r="I1078">
        <v>0</v>
      </c>
      <c r="J1078">
        <v>0</v>
      </c>
      <c r="K1078">
        <v>1</v>
      </c>
      <c r="L1078" s="22" t="str">
        <f t="shared" si="357"/>
        <v>25/07/2026</v>
      </c>
      <c r="M1078" s="23">
        <f t="shared" si="358"/>
        <v>0.33333333333333331</v>
      </c>
      <c r="N1078" t="str">
        <f t="shared" si="359"/>
        <v>0 - 1</v>
      </c>
      <c r="O1078" t="str">
        <f t="shared" si="341"/>
        <v>Red</v>
      </c>
      <c r="P1078" t="str">
        <f t="shared" si="342"/>
        <v>Red</v>
      </c>
      <c r="Q1078" t="str">
        <f t="shared" si="343"/>
        <v>Green</v>
      </c>
      <c r="R1078" t="str">
        <f t="shared" si="344"/>
        <v>Red</v>
      </c>
      <c r="S1078" t="str">
        <f t="shared" si="345"/>
        <v>Green</v>
      </c>
      <c r="T1078" t="str">
        <f t="shared" si="346"/>
        <v>Green</v>
      </c>
      <c r="U1078" t="str">
        <f t="shared" si="347"/>
        <v>Red</v>
      </c>
      <c r="V1078" t="str">
        <f t="shared" si="348"/>
        <v>Green</v>
      </c>
      <c r="W1078" t="str">
        <f t="shared" si="349"/>
        <v>Red</v>
      </c>
      <c r="X1078" t="str">
        <f t="shared" si="350"/>
        <v>Red</v>
      </c>
      <c r="Y1078" t="str">
        <f t="shared" si="351"/>
        <v>Red</v>
      </c>
      <c r="Z1078" t="str">
        <f t="shared" si="352"/>
        <v>Red</v>
      </c>
      <c r="AA1078" t="str">
        <f t="shared" si="353"/>
        <v>Green</v>
      </c>
      <c r="AB1078" t="str">
        <f t="shared" si="354"/>
        <v>Green</v>
      </c>
      <c r="AC1078" t="str">
        <f t="shared" si="355"/>
        <v>Red</v>
      </c>
      <c r="AD1078" t="str">
        <f t="shared" si="356"/>
        <v>Green</v>
      </c>
    </row>
    <row r="1079" spans="1:30" x14ac:dyDescent="0.2">
      <c r="A1079" t="str">
        <f>L1078&amp;F1079&amp;G1079</f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3664</v>
      </c>
      <c r="G1079" t="s">
        <v>3665</v>
      </c>
      <c r="H1079">
        <v>2</v>
      </c>
      <c r="I1079">
        <v>0</v>
      </c>
      <c r="J1079">
        <v>4</v>
      </c>
      <c r="K1079">
        <v>1</v>
      </c>
      <c r="L1079" s="22" t="str">
        <f t="shared" si="357"/>
        <v>25/07/2026</v>
      </c>
      <c r="M1079" s="23">
        <f t="shared" si="358"/>
        <v>0.33333333333333331</v>
      </c>
      <c r="N1079" t="str">
        <f t="shared" si="359"/>
        <v>4 - 1</v>
      </c>
      <c r="O1079" t="str">
        <f t="shared" si="341"/>
        <v>Green</v>
      </c>
      <c r="P1079" t="str">
        <f t="shared" si="342"/>
        <v>Red</v>
      </c>
      <c r="Q1079" t="str">
        <f t="shared" si="343"/>
        <v>Red</v>
      </c>
      <c r="R1079" t="str">
        <f t="shared" si="344"/>
        <v>Green</v>
      </c>
      <c r="S1079" t="str">
        <f t="shared" si="345"/>
        <v>Red</v>
      </c>
      <c r="T1079" t="str">
        <f t="shared" si="346"/>
        <v>Green</v>
      </c>
      <c r="U1079" t="str">
        <f t="shared" si="347"/>
        <v>Green</v>
      </c>
      <c r="V1079" t="str">
        <f t="shared" si="348"/>
        <v>Red</v>
      </c>
      <c r="W1079" t="str">
        <f t="shared" si="349"/>
        <v>Red</v>
      </c>
      <c r="X1079" t="str">
        <f t="shared" si="350"/>
        <v>Green</v>
      </c>
      <c r="Y1079" t="str">
        <f t="shared" si="351"/>
        <v>Green</v>
      </c>
      <c r="Z1079" t="str">
        <f t="shared" si="352"/>
        <v>Green</v>
      </c>
      <c r="AA1079" t="str">
        <f t="shared" si="353"/>
        <v>Red</v>
      </c>
      <c r="AB1079" t="str">
        <f t="shared" si="354"/>
        <v>Red</v>
      </c>
      <c r="AC1079" t="str">
        <f t="shared" si="355"/>
        <v>Green</v>
      </c>
      <c r="AD1079" t="str">
        <f t="shared" si="356"/>
        <v>Red</v>
      </c>
    </row>
    <row r="1080" spans="1:30" x14ac:dyDescent="0.2">
      <c r="A1080" t="str">
        <f>L1079&amp;F1080&amp;G1080</f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3666</v>
      </c>
      <c r="G1080" t="s">
        <v>3667</v>
      </c>
      <c r="H1080">
        <v>2</v>
      </c>
      <c r="I1080">
        <v>2</v>
      </c>
      <c r="J1080">
        <v>4</v>
      </c>
      <c r="K1080">
        <v>4</v>
      </c>
      <c r="L1080" s="22" t="str">
        <f t="shared" si="357"/>
        <v>25/07/2026</v>
      </c>
      <c r="M1080" s="23">
        <f t="shared" si="358"/>
        <v>0.33333333333333331</v>
      </c>
      <c r="N1080" t="str">
        <f t="shared" si="359"/>
        <v>4 - 4</v>
      </c>
      <c r="O1080" t="str">
        <f t="shared" si="341"/>
        <v>Red</v>
      </c>
      <c r="P1080" t="str">
        <f t="shared" si="342"/>
        <v>Green</v>
      </c>
      <c r="Q1080" t="str">
        <f t="shared" si="343"/>
        <v>Red</v>
      </c>
      <c r="R1080" t="str">
        <f t="shared" si="344"/>
        <v>Green</v>
      </c>
      <c r="S1080" t="str">
        <f t="shared" si="345"/>
        <v>Green</v>
      </c>
      <c r="T1080" t="str">
        <f t="shared" si="346"/>
        <v>Red</v>
      </c>
      <c r="U1080" t="str">
        <f t="shared" si="347"/>
        <v>Red</v>
      </c>
      <c r="V1080" t="str">
        <f t="shared" si="348"/>
        <v>Green</v>
      </c>
      <c r="W1080" t="str">
        <f t="shared" si="349"/>
        <v>Red</v>
      </c>
      <c r="X1080" t="str">
        <f t="shared" si="350"/>
        <v>Green</v>
      </c>
      <c r="Y1080" t="str">
        <f t="shared" si="351"/>
        <v>Green</v>
      </c>
      <c r="Z1080" t="str">
        <f t="shared" si="352"/>
        <v>Green</v>
      </c>
      <c r="AA1080" t="str">
        <f t="shared" si="353"/>
        <v>Red</v>
      </c>
      <c r="AB1080" t="str">
        <f t="shared" si="354"/>
        <v>Red</v>
      </c>
      <c r="AC1080" t="str">
        <f t="shared" si="355"/>
        <v>Green</v>
      </c>
      <c r="AD1080" t="str">
        <f t="shared" si="356"/>
        <v>Red</v>
      </c>
    </row>
    <row r="1081" spans="1:30" x14ac:dyDescent="0.2">
      <c r="A1081" t="str">
        <f>L1080&amp;F1081&amp;G1081</f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3668</v>
      </c>
      <c r="G1081" t="s">
        <v>3669</v>
      </c>
      <c r="H1081">
        <v>2</v>
      </c>
      <c r="I1081">
        <v>1</v>
      </c>
      <c r="J1081">
        <v>3</v>
      </c>
      <c r="K1081">
        <v>3</v>
      </c>
      <c r="L1081" s="22" t="str">
        <f t="shared" si="357"/>
        <v>25/07/2026</v>
      </c>
      <c r="M1081" s="23">
        <f t="shared" si="358"/>
        <v>0.33333333333333331</v>
      </c>
      <c r="N1081" t="str">
        <f t="shared" si="359"/>
        <v>3 - 3</v>
      </c>
      <c r="O1081" t="str">
        <f t="shared" si="341"/>
        <v>Red</v>
      </c>
      <c r="P1081" t="str">
        <f t="shared" si="342"/>
        <v>Green</v>
      </c>
      <c r="Q1081" t="str">
        <f t="shared" si="343"/>
        <v>Red</v>
      </c>
      <c r="R1081" t="str">
        <f t="shared" si="344"/>
        <v>Green</v>
      </c>
      <c r="S1081" t="str">
        <f t="shared" si="345"/>
        <v>Green</v>
      </c>
      <c r="T1081" t="str">
        <f t="shared" si="346"/>
        <v>Red</v>
      </c>
      <c r="U1081" t="str">
        <f t="shared" si="347"/>
        <v>Green</v>
      </c>
      <c r="V1081" t="str">
        <f t="shared" si="348"/>
        <v>Red</v>
      </c>
      <c r="W1081" t="str">
        <f t="shared" si="349"/>
        <v>Red</v>
      </c>
      <c r="X1081" t="str">
        <f t="shared" si="350"/>
        <v>Green</v>
      </c>
      <c r="Y1081" t="str">
        <f t="shared" si="351"/>
        <v>Green</v>
      </c>
      <c r="Z1081" t="str">
        <f t="shared" si="352"/>
        <v>Green</v>
      </c>
      <c r="AA1081" t="str">
        <f t="shared" si="353"/>
        <v>Red</v>
      </c>
      <c r="AB1081" t="str">
        <f t="shared" si="354"/>
        <v>Red</v>
      </c>
      <c r="AC1081" t="str">
        <f t="shared" si="355"/>
        <v>Green</v>
      </c>
      <c r="AD1081" t="str">
        <f t="shared" si="356"/>
        <v>Red</v>
      </c>
    </row>
    <row r="1082" spans="1:30" x14ac:dyDescent="0.2">
      <c r="A1082" t="str">
        <f>L1081&amp;F1082&amp;G1082</f>
        <v>25/07/2026FC Lokomotiv KievFC Chernigiv</v>
      </c>
      <c r="D1082" s="2">
        <v>46228</v>
      </c>
      <c r="E1082" s="3">
        <v>0.45833333333333331</v>
      </c>
      <c r="F1082" t="s">
        <v>3685</v>
      </c>
      <c r="G1082" t="s">
        <v>3686</v>
      </c>
      <c r="H1082">
        <v>0</v>
      </c>
      <c r="I1082">
        <v>0</v>
      </c>
      <c r="J1082">
        <v>1</v>
      </c>
      <c r="K1082">
        <v>1</v>
      </c>
      <c r="L1082" s="22" t="str">
        <f t="shared" si="357"/>
        <v>25/07/2026</v>
      </c>
      <c r="M1082" s="23">
        <f t="shared" si="358"/>
        <v>0.33333333333333331</v>
      </c>
      <c r="N1082" t="str">
        <f t="shared" si="359"/>
        <v>1 - 1</v>
      </c>
      <c r="O1082" t="str">
        <f t="shared" si="341"/>
        <v>Red</v>
      </c>
      <c r="P1082" t="str">
        <f t="shared" si="342"/>
        <v>Green</v>
      </c>
      <c r="Q1082" t="str">
        <f t="shared" si="343"/>
        <v>Red</v>
      </c>
      <c r="R1082" t="str">
        <f t="shared" si="344"/>
        <v>Green</v>
      </c>
      <c r="S1082" t="str">
        <f t="shared" si="345"/>
        <v>Green</v>
      </c>
      <c r="T1082" t="str">
        <f t="shared" si="346"/>
        <v>Red</v>
      </c>
      <c r="U1082" t="str">
        <f t="shared" si="347"/>
        <v>Red</v>
      </c>
      <c r="V1082" t="str">
        <f t="shared" si="348"/>
        <v>Green</v>
      </c>
      <c r="W1082" t="str">
        <f t="shared" si="349"/>
        <v>Red</v>
      </c>
      <c r="X1082" t="str">
        <f t="shared" si="350"/>
        <v>Red</v>
      </c>
      <c r="Y1082" t="str">
        <f t="shared" si="351"/>
        <v>Green</v>
      </c>
      <c r="Z1082" t="str">
        <f t="shared" si="352"/>
        <v>Red</v>
      </c>
      <c r="AA1082" t="str">
        <f t="shared" si="353"/>
        <v>Green</v>
      </c>
      <c r="AB1082" t="str">
        <f t="shared" si="354"/>
        <v>Green</v>
      </c>
      <c r="AC1082" t="str">
        <f t="shared" si="355"/>
        <v>Green</v>
      </c>
      <c r="AD1082" t="str">
        <f t="shared" si="356"/>
        <v>Red</v>
      </c>
    </row>
    <row r="1083" spans="1:30" x14ac:dyDescent="0.2">
      <c r="A1083" t="str">
        <f>L1082&amp;F1083&amp;G1083</f>
        <v>25/07/2026ArlandaIFK Haninge/Brandbergen</v>
      </c>
      <c r="D1083" s="2">
        <v>46228</v>
      </c>
      <c r="E1083" s="3">
        <v>0.45833333333333331</v>
      </c>
      <c r="F1083" t="s">
        <v>3776</v>
      </c>
      <c r="G1083" t="s">
        <v>3777</v>
      </c>
      <c r="H1083">
        <v>2</v>
      </c>
      <c r="I1083">
        <v>1</v>
      </c>
      <c r="J1083">
        <v>6</v>
      </c>
      <c r="K1083">
        <v>1</v>
      </c>
      <c r="L1083" s="22" t="str">
        <f t="shared" si="357"/>
        <v>25/07/2026</v>
      </c>
      <c r="M1083" s="23">
        <f t="shared" si="358"/>
        <v>0.33333333333333331</v>
      </c>
      <c r="N1083" t="str">
        <f t="shared" si="359"/>
        <v>6 - 1</v>
      </c>
      <c r="O1083" t="str">
        <f t="shared" si="341"/>
        <v>Green</v>
      </c>
      <c r="P1083" t="str">
        <f t="shared" si="342"/>
        <v>Red</v>
      </c>
      <c r="Q1083" t="str">
        <f t="shared" si="343"/>
        <v>Red</v>
      </c>
      <c r="R1083" t="str">
        <f t="shared" si="344"/>
        <v>Green</v>
      </c>
      <c r="S1083" t="str">
        <f t="shared" si="345"/>
        <v>Red</v>
      </c>
      <c r="T1083" t="str">
        <f t="shared" si="346"/>
        <v>Green</v>
      </c>
      <c r="U1083" t="str">
        <f t="shared" si="347"/>
        <v>Green</v>
      </c>
      <c r="V1083" t="str">
        <f t="shared" si="348"/>
        <v>Red</v>
      </c>
      <c r="W1083" t="str">
        <f t="shared" si="349"/>
        <v>Red</v>
      </c>
      <c r="X1083" t="str">
        <f t="shared" si="350"/>
        <v>Green</v>
      </c>
      <c r="Y1083" t="str">
        <f t="shared" si="351"/>
        <v>Green</v>
      </c>
      <c r="Z1083" t="str">
        <f t="shared" si="352"/>
        <v>Green</v>
      </c>
      <c r="AA1083" t="str">
        <f t="shared" si="353"/>
        <v>Red</v>
      </c>
      <c r="AB1083" t="str">
        <f t="shared" si="354"/>
        <v>Red</v>
      </c>
      <c r="AC1083" t="str">
        <f t="shared" si="355"/>
        <v>Green</v>
      </c>
      <c r="AD1083" t="str">
        <f t="shared" si="356"/>
        <v>Red</v>
      </c>
    </row>
    <row r="1084" spans="1:30" x14ac:dyDescent="0.2">
      <c r="A1084" t="str">
        <f>L1083&amp;F1084&amp;G1084</f>
        <v>25/07/2026Dynamo DresdenEnergie Cottbus</v>
      </c>
      <c r="D1084" s="2">
        <v>46228</v>
      </c>
      <c r="E1084" s="3">
        <v>0.45833333333333331</v>
      </c>
      <c r="F1084" t="s">
        <v>3778</v>
      </c>
      <c r="G1084" t="s">
        <v>3779</v>
      </c>
      <c r="H1084">
        <v>1</v>
      </c>
      <c r="I1084">
        <v>1</v>
      </c>
      <c r="J1084">
        <v>1</v>
      </c>
      <c r="K1084">
        <v>2</v>
      </c>
      <c r="L1084" s="22" t="str">
        <f t="shared" si="357"/>
        <v>25/07/2026</v>
      </c>
      <c r="M1084" s="23">
        <f t="shared" si="358"/>
        <v>0.33333333333333331</v>
      </c>
      <c r="N1084" t="str">
        <f t="shared" si="359"/>
        <v>1 - 2</v>
      </c>
      <c r="O1084" t="str">
        <f t="shared" si="341"/>
        <v>Red</v>
      </c>
      <c r="P1084" t="str">
        <f t="shared" si="342"/>
        <v>Red</v>
      </c>
      <c r="Q1084" t="str">
        <f t="shared" si="343"/>
        <v>Green</v>
      </c>
      <c r="R1084" t="str">
        <f t="shared" si="344"/>
        <v>Red</v>
      </c>
      <c r="S1084" t="str">
        <f t="shared" si="345"/>
        <v>Green</v>
      </c>
      <c r="T1084" t="str">
        <f t="shared" si="346"/>
        <v>Green</v>
      </c>
      <c r="U1084" t="str">
        <f t="shared" si="347"/>
        <v>Red</v>
      </c>
      <c r="V1084" t="str">
        <f t="shared" si="348"/>
        <v>Green</v>
      </c>
      <c r="W1084" t="str">
        <f t="shared" si="349"/>
        <v>Red</v>
      </c>
      <c r="X1084" t="str">
        <f t="shared" si="350"/>
        <v>Green</v>
      </c>
      <c r="Y1084" t="str">
        <f t="shared" si="351"/>
        <v>Green</v>
      </c>
      <c r="Z1084" t="str">
        <f t="shared" si="352"/>
        <v>Green</v>
      </c>
      <c r="AA1084" t="str">
        <f t="shared" si="353"/>
        <v>Red</v>
      </c>
      <c r="AB1084" t="str">
        <f t="shared" si="354"/>
        <v>Green</v>
      </c>
      <c r="AC1084" t="str">
        <f t="shared" si="355"/>
        <v>Green</v>
      </c>
      <c r="AD1084" t="str">
        <f t="shared" si="356"/>
        <v>Red</v>
      </c>
    </row>
    <row r="1085" spans="1:30" x14ac:dyDescent="0.2">
      <c r="A1085" t="str">
        <f>L1084&amp;F1085&amp;G1085</f>
        <v>25/07/2026Fortuna DusseldorfBorussia Dortmund</v>
      </c>
      <c r="D1085" s="2">
        <v>46228</v>
      </c>
      <c r="E1085" s="3">
        <v>0.45833333333333331</v>
      </c>
      <c r="F1085" t="s">
        <v>3780</v>
      </c>
      <c r="G1085" t="s">
        <v>3781</v>
      </c>
      <c r="H1085">
        <v>0</v>
      </c>
      <c r="I1085">
        <v>1</v>
      </c>
      <c r="J1085">
        <v>2</v>
      </c>
      <c r="K1085">
        <v>1</v>
      </c>
      <c r="L1085" s="22" t="str">
        <f t="shared" si="357"/>
        <v>25/07/2026</v>
      </c>
      <c r="M1085" s="23">
        <f t="shared" si="358"/>
        <v>0.33333333333333331</v>
      </c>
      <c r="N1085" t="str">
        <f t="shared" si="359"/>
        <v>2 - 1</v>
      </c>
      <c r="O1085" t="str">
        <f t="shared" si="341"/>
        <v>Green</v>
      </c>
      <c r="P1085" t="str">
        <f t="shared" si="342"/>
        <v>Red</v>
      </c>
      <c r="Q1085" t="str">
        <f t="shared" si="343"/>
        <v>Red</v>
      </c>
      <c r="R1085" t="str">
        <f t="shared" si="344"/>
        <v>Green</v>
      </c>
      <c r="S1085" t="str">
        <f t="shared" si="345"/>
        <v>Red</v>
      </c>
      <c r="T1085" t="str">
        <f t="shared" si="346"/>
        <v>Green</v>
      </c>
      <c r="U1085" t="str">
        <f t="shared" si="347"/>
        <v>Red</v>
      </c>
      <c r="V1085" t="str">
        <f t="shared" si="348"/>
        <v>Red</v>
      </c>
      <c r="W1085" t="str">
        <f t="shared" si="349"/>
        <v>Green</v>
      </c>
      <c r="X1085" t="str">
        <f t="shared" si="350"/>
        <v>Green</v>
      </c>
      <c r="Y1085" t="str">
        <f t="shared" si="351"/>
        <v>Green</v>
      </c>
      <c r="Z1085" t="str">
        <f t="shared" si="352"/>
        <v>Green</v>
      </c>
      <c r="AA1085" t="str">
        <f t="shared" si="353"/>
        <v>Red</v>
      </c>
      <c r="AB1085" t="str">
        <f t="shared" si="354"/>
        <v>Green</v>
      </c>
      <c r="AC1085" t="str">
        <f t="shared" si="355"/>
        <v>Green</v>
      </c>
      <c r="AD1085" t="str">
        <f t="shared" si="356"/>
        <v>Red</v>
      </c>
    </row>
    <row r="1086" spans="1:30" x14ac:dyDescent="0.2">
      <c r="A1086" t="str">
        <f>L1085&amp;F1086&amp;G1086</f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3782</v>
      </c>
      <c r="H1086">
        <v>2</v>
      </c>
      <c r="I1086">
        <v>0</v>
      </c>
      <c r="J1086">
        <v>2</v>
      </c>
      <c r="K1086">
        <v>2</v>
      </c>
      <c r="L1086" s="22" t="str">
        <f t="shared" si="357"/>
        <v>25/07/2026</v>
      </c>
      <c r="M1086" s="23">
        <f t="shared" si="358"/>
        <v>0.33333333333333331</v>
      </c>
      <c r="N1086" t="str">
        <f t="shared" si="359"/>
        <v>2 - 2</v>
      </c>
      <c r="O1086" t="str">
        <f t="shared" si="341"/>
        <v>Red</v>
      </c>
      <c r="P1086" t="str">
        <f t="shared" si="342"/>
        <v>Green</v>
      </c>
      <c r="Q1086" t="str">
        <f t="shared" si="343"/>
        <v>Red</v>
      </c>
      <c r="R1086" t="str">
        <f t="shared" si="344"/>
        <v>Green</v>
      </c>
      <c r="S1086" t="str">
        <f t="shared" si="345"/>
        <v>Green</v>
      </c>
      <c r="T1086" t="str">
        <f t="shared" si="346"/>
        <v>Red</v>
      </c>
      <c r="U1086" t="str">
        <f t="shared" si="347"/>
        <v>Green</v>
      </c>
      <c r="V1086" t="str">
        <f t="shared" si="348"/>
        <v>Red</v>
      </c>
      <c r="W1086" t="str">
        <f t="shared" si="349"/>
        <v>Red</v>
      </c>
      <c r="X1086" t="str">
        <f t="shared" si="350"/>
        <v>Green</v>
      </c>
      <c r="Y1086" t="str">
        <f t="shared" si="351"/>
        <v>Green</v>
      </c>
      <c r="Z1086" t="str">
        <f t="shared" si="352"/>
        <v>Green</v>
      </c>
      <c r="AA1086" t="str">
        <f t="shared" si="353"/>
        <v>Red</v>
      </c>
      <c r="AB1086" t="str">
        <f t="shared" si="354"/>
        <v>Red</v>
      </c>
      <c r="AC1086" t="str">
        <f t="shared" si="355"/>
        <v>Green</v>
      </c>
      <c r="AD1086" t="str">
        <f t="shared" si="356"/>
        <v>Red</v>
      </c>
    </row>
    <row r="1087" spans="1:30" x14ac:dyDescent="0.2">
      <c r="A1087" t="str">
        <f>L1086&amp;F1087&amp;G1087</f>
        <v>25/07/2026Hassleholms IFBK Olympic</v>
      </c>
      <c r="D1087" s="2">
        <v>46228</v>
      </c>
      <c r="E1087" s="3">
        <v>0.45833333333333331</v>
      </c>
      <c r="F1087" t="s">
        <v>3783</v>
      </c>
      <c r="G1087" t="s">
        <v>3784</v>
      </c>
      <c r="H1087">
        <v>0</v>
      </c>
      <c r="I1087">
        <v>2</v>
      </c>
      <c r="J1087">
        <v>1</v>
      </c>
      <c r="K1087">
        <v>2</v>
      </c>
      <c r="L1087" s="22" t="str">
        <f t="shared" si="357"/>
        <v>25/07/2026</v>
      </c>
      <c r="M1087" s="23">
        <f t="shared" si="358"/>
        <v>0.33333333333333331</v>
      </c>
      <c r="N1087" t="str">
        <f t="shared" si="359"/>
        <v>1 - 2</v>
      </c>
      <c r="O1087" t="str">
        <f t="shared" si="341"/>
        <v>Red</v>
      </c>
      <c r="P1087" t="str">
        <f t="shared" si="342"/>
        <v>Red</v>
      </c>
      <c r="Q1087" t="str">
        <f t="shared" si="343"/>
        <v>Green</v>
      </c>
      <c r="R1087" t="str">
        <f t="shared" si="344"/>
        <v>Red</v>
      </c>
      <c r="S1087" t="str">
        <f t="shared" si="345"/>
        <v>Green</v>
      </c>
      <c r="T1087" t="str">
        <f t="shared" si="346"/>
        <v>Green</v>
      </c>
      <c r="U1087" t="str">
        <f t="shared" si="347"/>
        <v>Red</v>
      </c>
      <c r="V1087" t="str">
        <f t="shared" si="348"/>
        <v>Red</v>
      </c>
      <c r="W1087" t="str">
        <f t="shared" si="349"/>
        <v>Green</v>
      </c>
      <c r="X1087" t="str">
        <f t="shared" si="350"/>
        <v>Green</v>
      </c>
      <c r="Y1087" t="str">
        <f t="shared" si="351"/>
        <v>Green</v>
      </c>
      <c r="Z1087" t="str">
        <f t="shared" si="352"/>
        <v>Green</v>
      </c>
      <c r="AA1087" t="str">
        <f t="shared" si="353"/>
        <v>Red</v>
      </c>
      <c r="AB1087" t="str">
        <f t="shared" si="354"/>
        <v>Green</v>
      </c>
      <c r="AC1087" t="str">
        <f t="shared" si="355"/>
        <v>Green</v>
      </c>
      <c r="AD1087" t="str">
        <f t="shared" si="356"/>
        <v>Red</v>
      </c>
    </row>
    <row r="1088" spans="1:30" x14ac:dyDescent="0.2">
      <c r="A1088" t="str">
        <f>L1087&amp;F1088&amp;G1088</f>
        <v>25/07/2026Oskarshamn AIKGute</v>
      </c>
      <c r="D1088" s="2">
        <v>46228</v>
      </c>
      <c r="E1088" s="3">
        <v>0.45833333333333331</v>
      </c>
      <c r="F1088" t="s">
        <v>3785</v>
      </c>
      <c r="G1088" t="s">
        <v>3786</v>
      </c>
      <c r="H1088">
        <v>0</v>
      </c>
      <c r="I1088">
        <v>0</v>
      </c>
      <c r="J1088">
        <v>2</v>
      </c>
      <c r="K1088">
        <v>1</v>
      </c>
      <c r="L1088" s="22" t="str">
        <f t="shared" si="357"/>
        <v>25/07/2026</v>
      </c>
      <c r="M1088" s="23">
        <f t="shared" si="358"/>
        <v>0.33333333333333331</v>
      </c>
      <c r="N1088" t="str">
        <f t="shared" si="359"/>
        <v>2 - 1</v>
      </c>
      <c r="O1088" t="str">
        <f t="shared" si="341"/>
        <v>Green</v>
      </c>
      <c r="P1088" t="str">
        <f t="shared" si="342"/>
        <v>Red</v>
      </c>
      <c r="Q1088" t="str">
        <f t="shared" si="343"/>
        <v>Red</v>
      </c>
      <c r="R1088" t="str">
        <f t="shared" si="344"/>
        <v>Green</v>
      </c>
      <c r="S1088" t="str">
        <f t="shared" si="345"/>
        <v>Red</v>
      </c>
      <c r="T1088" t="str">
        <f t="shared" si="346"/>
        <v>Green</v>
      </c>
      <c r="U1088" t="str">
        <f t="shared" si="347"/>
        <v>Red</v>
      </c>
      <c r="V1088" t="str">
        <f t="shared" si="348"/>
        <v>Green</v>
      </c>
      <c r="W1088" t="str">
        <f t="shared" si="349"/>
        <v>Red</v>
      </c>
      <c r="X1088" t="str">
        <f t="shared" si="350"/>
        <v>Red</v>
      </c>
      <c r="Y1088" t="str">
        <f t="shared" si="351"/>
        <v>Green</v>
      </c>
      <c r="Z1088" t="str">
        <f t="shared" si="352"/>
        <v>Green</v>
      </c>
      <c r="AA1088" t="str">
        <f t="shared" si="353"/>
        <v>Red</v>
      </c>
      <c r="AB1088" t="str">
        <f t="shared" si="354"/>
        <v>Green</v>
      </c>
      <c r="AC1088" t="str">
        <f t="shared" si="355"/>
        <v>Green</v>
      </c>
      <c r="AD1088" t="str">
        <f t="shared" si="356"/>
        <v>Red</v>
      </c>
    </row>
    <row r="1089" spans="1:30" x14ac:dyDescent="0.2">
      <c r="A1089" t="str">
        <f>L1088&amp;F1089&amp;G1089</f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3787</v>
      </c>
      <c r="H1089">
        <v>4</v>
      </c>
      <c r="I1089">
        <v>0</v>
      </c>
      <c r="J1089">
        <v>5</v>
      </c>
      <c r="K1089">
        <v>0</v>
      </c>
      <c r="L1089" s="22" t="str">
        <f t="shared" si="357"/>
        <v>25/07/2026</v>
      </c>
      <c r="M1089" s="23">
        <f t="shared" si="358"/>
        <v>0.33333333333333331</v>
      </c>
      <c r="N1089" t="str">
        <f t="shared" si="359"/>
        <v>5 - 0</v>
      </c>
      <c r="O1089" t="str">
        <f t="shared" si="341"/>
        <v>Green</v>
      </c>
      <c r="P1089" t="str">
        <f t="shared" si="342"/>
        <v>Red</v>
      </c>
      <c r="Q1089" t="str">
        <f t="shared" si="343"/>
        <v>Red</v>
      </c>
      <c r="R1089" t="str">
        <f t="shared" si="344"/>
        <v>Green</v>
      </c>
      <c r="S1089" t="str">
        <f t="shared" si="345"/>
        <v>Red</v>
      </c>
      <c r="T1089" t="str">
        <f t="shared" si="346"/>
        <v>Green</v>
      </c>
      <c r="U1089" t="str">
        <f t="shared" si="347"/>
        <v>Green</v>
      </c>
      <c r="V1089" t="str">
        <f t="shared" si="348"/>
        <v>Red</v>
      </c>
      <c r="W1089" t="str">
        <f t="shared" si="349"/>
        <v>Red</v>
      </c>
      <c r="X1089" t="str">
        <f t="shared" si="350"/>
        <v>Green</v>
      </c>
      <c r="Y1089" t="str">
        <f t="shared" si="351"/>
        <v>Green</v>
      </c>
      <c r="Z1089" t="str">
        <f t="shared" si="352"/>
        <v>Green</v>
      </c>
      <c r="AA1089" t="str">
        <f t="shared" si="353"/>
        <v>Red</v>
      </c>
      <c r="AB1089" t="str">
        <f t="shared" si="354"/>
        <v>Red</v>
      </c>
      <c r="AC1089" t="str">
        <f t="shared" si="355"/>
        <v>Red</v>
      </c>
      <c r="AD1089" t="str">
        <f t="shared" si="356"/>
        <v>Green</v>
      </c>
    </row>
    <row r="1090" spans="1:30" x14ac:dyDescent="0.2">
      <c r="A1090" t="str">
        <f>L1089&amp;F1090&amp;G1090</f>
        <v>25/07/2026TSV SteinbachSportfreunde Siegen</v>
      </c>
      <c r="D1090" s="2">
        <v>46228</v>
      </c>
      <c r="E1090" s="3">
        <v>0.45833333333333331</v>
      </c>
      <c r="F1090" t="s">
        <v>3788</v>
      </c>
      <c r="G1090" t="s">
        <v>3789</v>
      </c>
      <c r="H1090">
        <v>2</v>
      </c>
      <c r="I1090">
        <v>5</v>
      </c>
      <c r="J1090">
        <v>2</v>
      </c>
      <c r="K1090">
        <v>8</v>
      </c>
      <c r="L1090" s="22" t="str">
        <f t="shared" si="357"/>
        <v>25/07/2026</v>
      </c>
      <c r="M1090" s="23">
        <f t="shared" si="358"/>
        <v>0.33333333333333331</v>
      </c>
      <c r="N1090" t="str">
        <f t="shared" si="359"/>
        <v>2 - 8</v>
      </c>
      <c r="O1090" t="str">
        <f t="shared" ref="O1090:O1153" si="360">IF($J1090&gt;$K1090,"Green","Red")</f>
        <v>Red</v>
      </c>
      <c r="P1090" t="str">
        <f t="shared" ref="P1090:P1153" si="361">IF($J1090=$K1090,"Green","Red")</f>
        <v>Red</v>
      </c>
      <c r="Q1090" t="str">
        <f t="shared" ref="Q1090:Q1153" si="362">IF($J1090&lt;$K1090,"Green","Red")</f>
        <v>Green</v>
      </c>
      <c r="R1090" t="str">
        <f t="shared" ref="R1090:R1153" si="363">IF($J1090&gt;=$K1090,"Green","Red")</f>
        <v>Red</v>
      </c>
      <c r="S1090" t="str">
        <f t="shared" ref="S1090:S1153" si="364">IF($J1090&lt;=$K1090,"Green","Red")</f>
        <v>Green</v>
      </c>
      <c r="T1090" t="str">
        <f t="shared" ref="T1090:T1153" si="365">IF(OR($J1090&gt;$K1090,$J1090&lt;$K1090),"Green","Red")</f>
        <v>Green</v>
      </c>
      <c r="U1090" t="str">
        <f t="shared" ref="U1090:U1153" si="366">IF($H1090&gt;$I1090,"Green","Red")</f>
        <v>Red</v>
      </c>
      <c r="V1090" t="str">
        <f t="shared" ref="V1090:V1153" si="367">IF($H1090=$I1090,"Green","Red")</f>
        <v>Red</v>
      </c>
      <c r="W1090" t="str">
        <f t="shared" ref="W1090:W1153" si="368">IF($H1090&lt;$I1090,"Green","Red")</f>
        <v>Green</v>
      </c>
      <c r="X1090" t="str">
        <f t="shared" ref="X1090:X1153" si="369">IF($H1090+$I1090&gt;0,"Green","Red")</f>
        <v>Green</v>
      </c>
      <c r="Y1090" t="str">
        <f t="shared" ref="Y1090:Y1153" si="370">IF($J1090+$K1090&gt;1.5,"Green","Red")</f>
        <v>Green</v>
      </c>
      <c r="Z1090" t="str">
        <f t="shared" ref="Z1090:Z1153" si="371">IF($J1090+$K1090&gt;2.5,"Green","Red")</f>
        <v>Green</v>
      </c>
      <c r="AA1090" t="str">
        <f t="shared" ref="AA1090:AA1153" si="372">IF($J1090+$K1090&lt;2.5,"Green","Red")</f>
        <v>Red</v>
      </c>
      <c r="AB1090" t="str">
        <f t="shared" ref="AB1090:AB1153" si="373">IF($J1090+$K1090&lt;3.5,"Green","Red")</f>
        <v>Red</v>
      </c>
      <c r="AC1090" t="str">
        <f t="shared" ref="AC1090:AC1153" si="374">IF(AND($J1090&gt;0,$K1090&gt;0),"Green","Red")</f>
        <v>Green</v>
      </c>
      <c r="AD1090" t="str">
        <f t="shared" ref="AD1090:AD1153" si="375">IF(OR($J1090=0,$K1090=0),"Green","Red")</f>
        <v>Red</v>
      </c>
    </row>
    <row r="1091" spans="1:30" x14ac:dyDescent="0.2">
      <c r="A1091" t="str">
        <f>L1090&amp;F1091&amp;G1091</f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57"/>
        <v>25/07/2026</v>
      </c>
      <c r="M1091" s="23">
        <f t="shared" si="358"/>
        <v>0.33333333333333331</v>
      </c>
      <c r="N1091" t="str">
        <f t="shared" si="359"/>
        <v>2 - 0</v>
      </c>
      <c r="O1091" t="str">
        <f t="shared" si="360"/>
        <v>Green</v>
      </c>
      <c r="P1091" t="str">
        <f t="shared" si="361"/>
        <v>Red</v>
      </c>
      <c r="Q1091" t="str">
        <f t="shared" si="362"/>
        <v>Red</v>
      </c>
      <c r="R1091" t="str">
        <f t="shared" si="363"/>
        <v>Green</v>
      </c>
      <c r="S1091" t="str">
        <f t="shared" si="364"/>
        <v>Red</v>
      </c>
      <c r="T1091" t="str">
        <f t="shared" si="365"/>
        <v>Green</v>
      </c>
      <c r="U1091" t="str">
        <f t="shared" si="366"/>
        <v>Green</v>
      </c>
      <c r="V1091" t="str">
        <f t="shared" si="367"/>
        <v>Red</v>
      </c>
      <c r="W1091" t="str">
        <f t="shared" si="368"/>
        <v>Red</v>
      </c>
      <c r="X1091" t="str">
        <f t="shared" si="369"/>
        <v>Green</v>
      </c>
      <c r="Y1091" t="str">
        <f t="shared" si="370"/>
        <v>Green</v>
      </c>
      <c r="Z1091" t="str">
        <f t="shared" si="371"/>
        <v>Red</v>
      </c>
      <c r="AA1091" t="str">
        <f t="shared" si="372"/>
        <v>Green</v>
      </c>
      <c r="AB1091" t="str">
        <f t="shared" si="373"/>
        <v>Green</v>
      </c>
      <c r="AC1091" t="str">
        <f t="shared" si="374"/>
        <v>Red</v>
      </c>
      <c r="AD1091" t="str">
        <f t="shared" si="375"/>
        <v>Green</v>
      </c>
    </row>
    <row r="1092" spans="1:30" x14ac:dyDescent="0.2">
      <c r="A1092" t="str">
        <f>L1091&amp;F1092&amp;G1092</f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3134</v>
      </c>
      <c r="H1092">
        <v>0</v>
      </c>
      <c r="I1092">
        <v>0</v>
      </c>
      <c r="J1092">
        <v>0</v>
      </c>
      <c r="K1092">
        <v>2</v>
      </c>
      <c r="L1092" s="22" t="str">
        <f t="shared" si="357"/>
        <v>25/07/2026</v>
      </c>
      <c r="M1092" s="23">
        <f t="shared" si="358"/>
        <v>0.35416666666666669</v>
      </c>
      <c r="N1092" t="str">
        <f t="shared" si="359"/>
        <v>0 - 2</v>
      </c>
      <c r="O1092" t="str">
        <f t="shared" si="360"/>
        <v>Red</v>
      </c>
      <c r="P1092" t="str">
        <f t="shared" si="361"/>
        <v>Red</v>
      </c>
      <c r="Q1092" t="str">
        <f t="shared" si="362"/>
        <v>Green</v>
      </c>
      <c r="R1092" t="str">
        <f t="shared" si="363"/>
        <v>Red</v>
      </c>
      <c r="S1092" t="str">
        <f t="shared" si="364"/>
        <v>Green</v>
      </c>
      <c r="T1092" t="str">
        <f t="shared" si="365"/>
        <v>Green</v>
      </c>
      <c r="U1092" t="str">
        <f t="shared" si="366"/>
        <v>Red</v>
      </c>
      <c r="V1092" t="str">
        <f t="shared" si="367"/>
        <v>Green</v>
      </c>
      <c r="W1092" t="str">
        <f t="shared" si="368"/>
        <v>Red</v>
      </c>
      <c r="X1092" t="str">
        <f t="shared" si="369"/>
        <v>Red</v>
      </c>
      <c r="Y1092" t="str">
        <f t="shared" si="370"/>
        <v>Green</v>
      </c>
      <c r="Z1092" t="str">
        <f t="shared" si="371"/>
        <v>Red</v>
      </c>
      <c r="AA1092" t="str">
        <f t="shared" si="372"/>
        <v>Green</v>
      </c>
      <c r="AB1092" t="str">
        <f t="shared" si="373"/>
        <v>Green</v>
      </c>
      <c r="AC1092" t="str">
        <f t="shared" si="374"/>
        <v>Red</v>
      </c>
      <c r="AD1092" t="str">
        <f t="shared" si="375"/>
        <v>Green</v>
      </c>
    </row>
    <row r="1093" spans="1:30" x14ac:dyDescent="0.2">
      <c r="A1093" t="str">
        <f>L1092&amp;F1093&amp;G1093</f>
        <v>25/07/2026Hebei KungFuNantong Zhiyun</v>
      </c>
      <c r="D1093" s="2">
        <v>46228</v>
      </c>
      <c r="E1093" s="3">
        <v>0.47916666666666669</v>
      </c>
      <c r="F1093" t="s">
        <v>3135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57"/>
        <v>25/07/2026</v>
      </c>
      <c r="M1093" s="23">
        <f t="shared" si="358"/>
        <v>0.35416666666666669</v>
      </c>
      <c r="N1093" t="str">
        <f t="shared" si="359"/>
        <v>1 - 1</v>
      </c>
      <c r="O1093" t="str">
        <f t="shared" si="360"/>
        <v>Red</v>
      </c>
      <c r="P1093" t="str">
        <f t="shared" si="361"/>
        <v>Green</v>
      </c>
      <c r="Q1093" t="str">
        <f t="shared" si="362"/>
        <v>Red</v>
      </c>
      <c r="R1093" t="str">
        <f t="shared" si="363"/>
        <v>Green</v>
      </c>
      <c r="S1093" t="str">
        <f t="shared" si="364"/>
        <v>Green</v>
      </c>
      <c r="T1093" t="str">
        <f t="shared" si="365"/>
        <v>Red</v>
      </c>
      <c r="U1093" t="str">
        <f t="shared" si="366"/>
        <v>Red</v>
      </c>
      <c r="V1093" t="str">
        <f t="shared" si="367"/>
        <v>Green</v>
      </c>
      <c r="W1093" t="str">
        <f t="shared" si="368"/>
        <v>Red</v>
      </c>
      <c r="X1093" t="str">
        <f t="shared" si="369"/>
        <v>Green</v>
      </c>
      <c r="Y1093" t="str">
        <f t="shared" si="370"/>
        <v>Green</v>
      </c>
      <c r="Z1093" t="str">
        <f t="shared" si="371"/>
        <v>Red</v>
      </c>
      <c r="AA1093" t="str">
        <f t="shared" si="372"/>
        <v>Green</v>
      </c>
      <c r="AB1093" t="str">
        <f t="shared" si="373"/>
        <v>Green</v>
      </c>
      <c r="AC1093" t="str">
        <f t="shared" si="374"/>
        <v>Green</v>
      </c>
      <c r="AD1093" t="str">
        <f t="shared" si="375"/>
        <v>Red</v>
      </c>
    </row>
    <row r="1094" spans="1:30" x14ac:dyDescent="0.2">
      <c r="A1094" t="str">
        <f>L1093&amp;F1094&amp;G1094</f>
        <v>25/07/2026Guizhou ZhichengGanzhou Ruishi</v>
      </c>
      <c r="D1094" s="2">
        <v>46228</v>
      </c>
      <c r="E1094" s="3">
        <v>0.47916666666666669</v>
      </c>
      <c r="F1094" t="s">
        <v>3140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57"/>
        <v>25/07/2026</v>
      </c>
      <c r="M1094" s="23">
        <f t="shared" si="358"/>
        <v>0.35416666666666669</v>
      </c>
      <c r="N1094" t="str">
        <f t="shared" si="359"/>
        <v>3 - 0</v>
      </c>
      <c r="O1094" t="str">
        <f t="shared" si="360"/>
        <v>Green</v>
      </c>
      <c r="P1094" t="str">
        <f t="shared" si="361"/>
        <v>Red</v>
      </c>
      <c r="Q1094" t="str">
        <f t="shared" si="362"/>
        <v>Red</v>
      </c>
      <c r="R1094" t="str">
        <f t="shared" si="363"/>
        <v>Green</v>
      </c>
      <c r="S1094" t="str">
        <f t="shared" si="364"/>
        <v>Red</v>
      </c>
      <c r="T1094" t="str">
        <f t="shared" si="365"/>
        <v>Green</v>
      </c>
      <c r="U1094" t="str">
        <f t="shared" si="366"/>
        <v>Green</v>
      </c>
      <c r="V1094" t="str">
        <f t="shared" si="367"/>
        <v>Red</v>
      </c>
      <c r="W1094" t="str">
        <f t="shared" si="368"/>
        <v>Red</v>
      </c>
      <c r="X1094" t="str">
        <f t="shared" si="369"/>
        <v>Green</v>
      </c>
      <c r="Y1094" t="str">
        <f t="shared" si="370"/>
        <v>Green</v>
      </c>
      <c r="Z1094" t="str">
        <f t="shared" si="371"/>
        <v>Green</v>
      </c>
      <c r="AA1094" t="str">
        <f t="shared" si="372"/>
        <v>Red</v>
      </c>
      <c r="AB1094" t="str">
        <f t="shared" si="373"/>
        <v>Green</v>
      </c>
      <c r="AC1094" t="str">
        <f t="shared" si="374"/>
        <v>Red</v>
      </c>
      <c r="AD1094" t="str">
        <f t="shared" si="375"/>
        <v>Green</v>
      </c>
    </row>
    <row r="1095" spans="1:30" x14ac:dyDescent="0.2">
      <c r="A1095" t="str">
        <f>L1094&amp;F1095&amp;G1095</f>
        <v>25/07/2026Jiangxi Liansheng FCShenzhen 2028</v>
      </c>
      <c r="D1095" s="2">
        <v>46228</v>
      </c>
      <c r="E1095" s="3">
        <v>0.47916666666666669</v>
      </c>
      <c r="F1095" t="s">
        <v>3141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57"/>
        <v>25/07/2026</v>
      </c>
      <c r="M1095" s="23">
        <f t="shared" si="358"/>
        <v>0.35416666666666669</v>
      </c>
      <c r="N1095" t="str">
        <f t="shared" si="359"/>
        <v>1 - 2</v>
      </c>
      <c r="O1095" t="str">
        <f t="shared" si="360"/>
        <v>Red</v>
      </c>
      <c r="P1095" t="str">
        <f t="shared" si="361"/>
        <v>Red</v>
      </c>
      <c r="Q1095" t="str">
        <f t="shared" si="362"/>
        <v>Green</v>
      </c>
      <c r="R1095" t="str">
        <f t="shared" si="363"/>
        <v>Red</v>
      </c>
      <c r="S1095" t="str">
        <f t="shared" si="364"/>
        <v>Green</v>
      </c>
      <c r="T1095" t="str">
        <f t="shared" si="365"/>
        <v>Green</v>
      </c>
      <c r="U1095" t="str">
        <f t="shared" si="366"/>
        <v>Red</v>
      </c>
      <c r="V1095" t="str">
        <f t="shared" si="367"/>
        <v>Green</v>
      </c>
      <c r="W1095" t="str">
        <f t="shared" si="368"/>
        <v>Red</v>
      </c>
      <c r="X1095" t="str">
        <f t="shared" si="369"/>
        <v>Red</v>
      </c>
      <c r="Y1095" t="str">
        <f t="shared" si="370"/>
        <v>Green</v>
      </c>
      <c r="Z1095" t="str">
        <f t="shared" si="371"/>
        <v>Green</v>
      </c>
      <c r="AA1095" t="str">
        <f t="shared" si="372"/>
        <v>Red</v>
      </c>
      <c r="AB1095" t="str">
        <f t="shared" si="373"/>
        <v>Green</v>
      </c>
      <c r="AC1095" t="str">
        <f t="shared" si="374"/>
        <v>Green</v>
      </c>
      <c r="AD1095" t="str">
        <f t="shared" si="375"/>
        <v>Red</v>
      </c>
    </row>
    <row r="1096" spans="1:30" x14ac:dyDescent="0.2">
      <c r="A1096" t="str">
        <f>L1095&amp;F1096&amp;G1096</f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57"/>
        <v>25/07/2026</v>
      </c>
      <c r="M1096" s="23">
        <f t="shared" si="358"/>
        <v>0.35416666666666669</v>
      </c>
      <c r="N1096" t="str">
        <f t="shared" si="359"/>
        <v>2 - 2</v>
      </c>
      <c r="O1096" t="str">
        <f t="shared" si="360"/>
        <v>Red</v>
      </c>
      <c r="P1096" t="str">
        <f t="shared" si="361"/>
        <v>Green</v>
      </c>
      <c r="Q1096" t="str">
        <f t="shared" si="362"/>
        <v>Red</v>
      </c>
      <c r="R1096" t="str">
        <f t="shared" si="363"/>
        <v>Green</v>
      </c>
      <c r="S1096" t="str">
        <f t="shared" si="364"/>
        <v>Green</v>
      </c>
      <c r="T1096" t="str">
        <f t="shared" si="365"/>
        <v>Red</v>
      </c>
      <c r="U1096" t="str">
        <f t="shared" si="366"/>
        <v>Red</v>
      </c>
      <c r="V1096" t="str">
        <f t="shared" si="367"/>
        <v>Red</v>
      </c>
      <c r="W1096" t="str">
        <f t="shared" si="368"/>
        <v>Green</v>
      </c>
      <c r="X1096" t="str">
        <f t="shared" si="369"/>
        <v>Green</v>
      </c>
      <c r="Y1096" t="str">
        <f t="shared" si="370"/>
        <v>Green</v>
      </c>
      <c r="Z1096" t="str">
        <f t="shared" si="371"/>
        <v>Green</v>
      </c>
      <c r="AA1096" t="str">
        <f t="shared" si="372"/>
        <v>Red</v>
      </c>
      <c r="AB1096" t="str">
        <f t="shared" si="373"/>
        <v>Red</v>
      </c>
      <c r="AC1096" t="str">
        <f t="shared" si="374"/>
        <v>Green</v>
      </c>
      <c r="AD1096" t="str">
        <f t="shared" si="375"/>
        <v>Red</v>
      </c>
    </row>
    <row r="1097" spans="1:30" x14ac:dyDescent="0.2">
      <c r="A1097" t="str">
        <f>L1096&amp;F1097&amp;G1097</f>
        <v>25/07/2026East BengalMohun Bagan AC</v>
      </c>
      <c r="D1097" s="2">
        <v>46228</v>
      </c>
      <c r="E1097" s="3">
        <v>0.47916666666666669</v>
      </c>
      <c r="F1097" t="s">
        <v>3367</v>
      </c>
      <c r="G1097" t="s">
        <v>3368</v>
      </c>
      <c r="H1097">
        <v>0</v>
      </c>
      <c r="I1097">
        <v>0</v>
      </c>
      <c r="J1097">
        <v>0</v>
      </c>
      <c r="K1097">
        <v>1</v>
      </c>
      <c r="L1097" s="22" t="str">
        <f t="shared" si="357"/>
        <v>25/07/2026</v>
      </c>
      <c r="M1097" s="23">
        <f t="shared" si="358"/>
        <v>0.35416666666666669</v>
      </c>
      <c r="N1097" t="str">
        <f t="shared" si="359"/>
        <v>0 - 1</v>
      </c>
      <c r="O1097" t="str">
        <f t="shared" si="360"/>
        <v>Red</v>
      </c>
      <c r="P1097" t="str">
        <f t="shared" si="361"/>
        <v>Red</v>
      </c>
      <c r="Q1097" t="str">
        <f t="shared" si="362"/>
        <v>Green</v>
      </c>
      <c r="R1097" t="str">
        <f t="shared" si="363"/>
        <v>Red</v>
      </c>
      <c r="S1097" t="str">
        <f t="shared" si="364"/>
        <v>Green</v>
      </c>
      <c r="T1097" t="str">
        <f t="shared" si="365"/>
        <v>Green</v>
      </c>
      <c r="U1097" t="str">
        <f t="shared" si="366"/>
        <v>Red</v>
      </c>
      <c r="V1097" t="str">
        <f t="shared" si="367"/>
        <v>Green</v>
      </c>
      <c r="W1097" t="str">
        <f t="shared" si="368"/>
        <v>Red</v>
      </c>
      <c r="X1097" t="str">
        <f t="shared" si="369"/>
        <v>Red</v>
      </c>
      <c r="Y1097" t="str">
        <f t="shared" si="370"/>
        <v>Red</v>
      </c>
      <c r="Z1097" t="str">
        <f t="shared" si="371"/>
        <v>Red</v>
      </c>
      <c r="AA1097" t="str">
        <f t="shared" si="372"/>
        <v>Green</v>
      </c>
      <c r="AB1097" t="str">
        <f t="shared" si="373"/>
        <v>Green</v>
      </c>
      <c r="AC1097" t="str">
        <f t="shared" si="374"/>
        <v>Red</v>
      </c>
      <c r="AD1097" t="str">
        <f t="shared" si="375"/>
        <v>Green</v>
      </c>
    </row>
    <row r="1098" spans="1:30" x14ac:dyDescent="0.2">
      <c r="A1098" t="str">
        <f>L1097&amp;F1098&amp;G1098</f>
        <v>25/07/2026GatesheadNewcastle</v>
      </c>
      <c r="D1098" s="2">
        <v>46228</v>
      </c>
      <c r="E1098" s="3">
        <v>0.47916666666666669</v>
      </c>
      <c r="F1098" t="s">
        <v>3790</v>
      </c>
      <c r="G1098" t="s">
        <v>3791</v>
      </c>
      <c r="H1098">
        <v>1</v>
      </c>
      <c r="I1098">
        <v>0</v>
      </c>
      <c r="J1098">
        <v>1</v>
      </c>
      <c r="K1098">
        <v>1</v>
      </c>
      <c r="L1098" s="22" t="str">
        <f t="shared" si="357"/>
        <v>25/07/2026</v>
      </c>
      <c r="M1098" s="23">
        <f t="shared" si="358"/>
        <v>0.35416666666666669</v>
      </c>
      <c r="N1098" t="str">
        <f t="shared" si="359"/>
        <v>1 - 1</v>
      </c>
      <c r="O1098" t="str">
        <f t="shared" si="360"/>
        <v>Red</v>
      </c>
      <c r="P1098" t="str">
        <f t="shared" si="361"/>
        <v>Green</v>
      </c>
      <c r="Q1098" t="str">
        <f t="shared" si="362"/>
        <v>Red</v>
      </c>
      <c r="R1098" t="str">
        <f t="shared" si="363"/>
        <v>Green</v>
      </c>
      <c r="S1098" t="str">
        <f t="shared" si="364"/>
        <v>Green</v>
      </c>
      <c r="T1098" t="str">
        <f t="shared" si="365"/>
        <v>Red</v>
      </c>
      <c r="U1098" t="str">
        <f t="shared" si="366"/>
        <v>Green</v>
      </c>
      <c r="V1098" t="str">
        <f t="shared" si="367"/>
        <v>Red</v>
      </c>
      <c r="W1098" t="str">
        <f t="shared" si="368"/>
        <v>Red</v>
      </c>
      <c r="X1098" t="str">
        <f t="shared" si="369"/>
        <v>Green</v>
      </c>
      <c r="Y1098" t="str">
        <f t="shared" si="370"/>
        <v>Green</v>
      </c>
      <c r="Z1098" t="str">
        <f t="shared" si="371"/>
        <v>Red</v>
      </c>
      <c r="AA1098" t="str">
        <f t="shared" si="372"/>
        <v>Green</v>
      </c>
      <c r="AB1098" t="str">
        <f t="shared" si="373"/>
        <v>Green</v>
      </c>
      <c r="AC1098" t="str">
        <f t="shared" si="374"/>
        <v>Green</v>
      </c>
      <c r="AD1098" t="str">
        <f t="shared" si="375"/>
        <v>Red</v>
      </c>
    </row>
    <row r="1099" spans="1:30" x14ac:dyDescent="0.2">
      <c r="A1099" t="str">
        <f>L1098&amp;F1099&amp;G1099</f>
        <v>25/07/2026HamburgHeidenheim</v>
      </c>
      <c r="D1099" s="2">
        <v>46228</v>
      </c>
      <c r="E1099" s="3">
        <v>0.47916666666666669</v>
      </c>
      <c r="F1099" t="s">
        <v>3792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57"/>
        <v>25/07/2026</v>
      </c>
      <c r="M1099" s="23">
        <f t="shared" si="358"/>
        <v>0.35416666666666669</v>
      </c>
      <c r="N1099" t="str">
        <f t="shared" si="359"/>
        <v>3 - 1</v>
      </c>
      <c r="O1099" t="str">
        <f t="shared" si="360"/>
        <v>Green</v>
      </c>
      <c r="P1099" t="str">
        <f t="shared" si="361"/>
        <v>Red</v>
      </c>
      <c r="Q1099" t="str">
        <f t="shared" si="362"/>
        <v>Red</v>
      </c>
      <c r="R1099" t="str">
        <f t="shared" si="363"/>
        <v>Green</v>
      </c>
      <c r="S1099" t="str">
        <f t="shared" si="364"/>
        <v>Red</v>
      </c>
      <c r="T1099" t="str">
        <f t="shared" si="365"/>
        <v>Green</v>
      </c>
      <c r="U1099" t="str">
        <f t="shared" si="366"/>
        <v>Green</v>
      </c>
      <c r="V1099" t="str">
        <f t="shared" si="367"/>
        <v>Red</v>
      </c>
      <c r="W1099" t="str">
        <f t="shared" si="368"/>
        <v>Red</v>
      </c>
      <c r="X1099" t="str">
        <f t="shared" si="369"/>
        <v>Green</v>
      </c>
      <c r="Y1099" t="str">
        <f t="shared" si="370"/>
        <v>Green</v>
      </c>
      <c r="Z1099" t="str">
        <f t="shared" si="371"/>
        <v>Green</v>
      </c>
      <c r="AA1099" t="str">
        <f t="shared" si="372"/>
        <v>Red</v>
      </c>
      <c r="AB1099" t="str">
        <f t="shared" si="373"/>
        <v>Red</v>
      </c>
      <c r="AC1099" t="str">
        <f t="shared" si="374"/>
        <v>Green</v>
      </c>
      <c r="AD1099" t="str">
        <f t="shared" si="375"/>
        <v>Red</v>
      </c>
    </row>
    <row r="1100" spans="1:30" x14ac:dyDescent="0.2">
      <c r="A1100" t="str">
        <f>L1099&amp;F1100&amp;G1100</f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57"/>
        <v>25/07/2026</v>
      </c>
      <c r="M1100" s="23">
        <f t="shared" si="358"/>
        <v>0.3576388888888889</v>
      </c>
      <c r="N1100" t="str">
        <f t="shared" si="359"/>
        <v>2 - 0</v>
      </c>
      <c r="O1100" t="str">
        <f t="shared" si="360"/>
        <v>Green</v>
      </c>
      <c r="P1100" t="str">
        <f t="shared" si="361"/>
        <v>Red</v>
      </c>
      <c r="Q1100" t="str">
        <f t="shared" si="362"/>
        <v>Red</v>
      </c>
      <c r="R1100" t="str">
        <f t="shared" si="363"/>
        <v>Green</v>
      </c>
      <c r="S1100" t="str">
        <f t="shared" si="364"/>
        <v>Red</v>
      </c>
      <c r="T1100" t="str">
        <f t="shared" si="365"/>
        <v>Green</v>
      </c>
      <c r="U1100" t="str">
        <f t="shared" si="366"/>
        <v>Green</v>
      </c>
      <c r="V1100" t="str">
        <f t="shared" si="367"/>
        <v>Red</v>
      </c>
      <c r="W1100" t="str">
        <f t="shared" si="368"/>
        <v>Red</v>
      </c>
      <c r="X1100" t="str">
        <f t="shared" si="369"/>
        <v>Green</v>
      </c>
      <c r="Y1100" t="str">
        <f t="shared" si="370"/>
        <v>Green</v>
      </c>
      <c r="Z1100" t="str">
        <f t="shared" si="371"/>
        <v>Red</v>
      </c>
      <c r="AA1100" t="str">
        <f t="shared" si="372"/>
        <v>Green</v>
      </c>
      <c r="AB1100" t="str">
        <f t="shared" si="373"/>
        <v>Green</v>
      </c>
      <c r="AC1100" t="str">
        <f t="shared" si="374"/>
        <v>Red</v>
      </c>
      <c r="AD1100" t="str">
        <f t="shared" si="375"/>
        <v>Green</v>
      </c>
    </row>
    <row r="1101" spans="1:30" x14ac:dyDescent="0.2">
      <c r="A1101" t="str">
        <f>L1100&amp;F1101&amp;G1101</f>
        <v>25/07/2026Liaoning TierenQingdao Kangtine</v>
      </c>
      <c r="D1101" s="2">
        <v>46228</v>
      </c>
      <c r="E1101" s="3">
        <v>0.4826388888888889</v>
      </c>
      <c r="F1101" t="s">
        <v>3131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57"/>
        <v>25/07/2026</v>
      </c>
      <c r="M1101" s="23">
        <f t="shared" si="358"/>
        <v>0.3576388888888889</v>
      </c>
      <c r="N1101" t="str">
        <f t="shared" si="359"/>
        <v>0 - 1</v>
      </c>
      <c r="O1101" t="str">
        <f t="shared" si="360"/>
        <v>Red</v>
      </c>
      <c r="P1101" t="str">
        <f t="shared" si="361"/>
        <v>Red</v>
      </c>
      <c r="Q1101" t="str">
        <f t="shared" si="362"/>
        <v>Green</v>
      </c>
      <c r="R1101" t="str">
        <f t="shared" si="363"/>
        <v>Red</v>
      </c>
      <c r="S1101" t="str">
        <f t="shared" si="364"/>
        <v>Green</v>
      </c>
      <c r="T1101" t="str">
        <f t="shared" si="365"/>
        <v>Green</v>
      </c>
      <c r="U1101" t="str">
        <f t="shared" si="366"/>
        <v>Red</v>
      </c>
      <c r="V1101" t="str">
        <f t="shared" si="367"/>
        <v>Green</v>
      </c>
      <c r="W1101" t="str">
        <f t="shared" si="368"/>
        <v>Red</v>
      </c>
      <c r="X1101" t="str">
        <f t="shared" si="369"/>
        <v>Red</v>
      </c>
      <c r="Y1101" t="str">
        <f t="shared" si="370"/>
        <v>Red</v>
      </c>
      <c r="Z1101" t="str">
        <f t="shared" si="371"/>
        <v>Red</v>
      </c>
      <c r="AA1101" t="str">
        <f t="shared" si="372"/>
        <v>Green</v>
      </c>
      <c r="AB1101" t="str">
        <f t="shared" si="373"/>
        <v>Green</v>
      </c>
      <c r="AC1101" t="str">
        <f t="shared" si="374"/>
        <v>Red</v>
      </c>
      <c r="AD1101" t="str">
        <f t="shared" si="375"/>
        <v>Green</v>
      </c>
    </row>
    <row r="1102" spans="1:30" x14ac:dyDescent="0.2">
      <c r="A1102" t="str">
        <f>L1101&amp;F1102&amp;G1102</f>
        <v>25/07/2026Hvidovre IFVendsyssel</v>
      </c>
      <c r="D1102" s="2">
        <v>46228</v>
      </c>
      <c r="E1102" s="3">
        <v>0.49652777777777779</v>
      </c>
      <c r="F1102" t="s">
        <v>3186</v>
      </c>
      <c r="G1102" t="s">
        <v>3187</v>
      </c>
      <c r="H1102">
        <v>2</v>
      </c>
      <c r="I1102">
        <v>0</v>
      </c>
      <c r="J1102">
        <v>2</v>
      </c>
      <c r="K1102">
        <v>2</v>
      </c>
      <c r="L1102" s="22" t="str">
        <f t="shared" si="357"/>
        <v>25/07/2026</v>
      </c>
      <c r="M1102" s="23">
        <f t="shared" si="358"/>
        <v>0.37152777777777779</v>
      </c>
      <c r="N1102" t="str">
        <f t="shared" si="359"/>
        <v>2 - 2</v>
      </c>
      <c r="O1102" t="str">
        <f t="shared" si="360"/>
        <v>Red</v>
      </c>
      <c r="P1102" t="str">
        <f t="shared" si="361"/>
        <v>Green</v>
      </c>
      <c r="Q1102" t="str">
        <f t="shared" si="362"/>
        <v>Red</v>
      </c>
      <c r="R1102" t="str">
        <f t="shared" si="363"/>
        <v>Green</v>
      </c>
      <c r="S1102" t="str">
        <f t="shared" si="364"/>
        <v>Green</v>
      </c>
      <c r="T1102" t="str">
        <f t="shared" si="365"/>
        <v>Red</v>
      </c>
      <c r="U1102" t="str">
        <f t="shared" si="366"/>
        <v>Green</v>
      </c>
      <c r="V1102" t="str">
        <f t="shared" si="367"/>
        <v>Red</v>
      </c>
      <c r="W1102" t="str">
        <f t="shared" si="368"/>
        <v>Red</v>
      </c>
      <c r="X1102" t="str">
        <f t="shared" si="369"/>
        <v>Green</v>
      </c>
      <c r="Y1102" t="str">
        <f t="shared" si="370"/>
        <v>Green</v>
      </c>
      <c r="Z1102" t="str">
        <f t="shared" si="371"/>
        <v>Green</v>
      </c>
      <c r="AA1102" t="str">
        <f t="shared" si="372"/>
        <v>Red</v>
      </c>
      <c r="AB1102" t="str">
        <f t="shared" si="373"/>
        <v>Red</v>
      </c>
      <c r="AC1102" t="str">
        <f t="shared" si="374"/>
        <v>Green</v>
      </c>
      <c r="AD1102" t="str">
        <f t="shared" si="375"/>
        <v>Red</v>
      </c>
    </row>
    <row r="1103" spans="1:30" x14ac:dyDescent="0.2">
      <c r="A1103" t="str">
        <f>L1102&amp;F1103&amp;G1103</f>
        <v>25/07/2026FC Volna PinskFC Orsha</v>
      </c>
      <c r="D1103" s="2">
        <v>46228</v>
      </c>
      <c r="E1103" s="3">
        <v>0.5</v>
      </c>
      <c r="F1103" t="s">
        <v>3035</v>
      </c>
      <c r="G1103" t="s">
        <v>3036</v>
      </c>
      <c r="H1103">
        <v>2</v>
      </c>
      <c r="I1103">
        <v>1</v>
      </c>
      <c r="J1103">
        <v>3</v>
      </c>
      <c r="K1103">
        <v>1</v>
      </c>
      <c r="L1103" s="22" t="str">
        <f t="shared" si="357"/>
        <v>25/07/2026</v>
      </c>
      <c r="M1103" s="23">
        <f t="shared" si="358"/>
        <v>0.375</v>
      </c>
      <c r="N1103" t="str">
        <f t="shared" si="359"/>
        <v>3 - 1</v>
      </c>
      <c r="O1103" t="str">
        <f t="shared" si="360"/>
        <v>Green</v>
      </c>
      <c r="P1103" t="str">
        <f t="shared" si="361"/>
        <v>Red</v>
      </c>
      <c r="Q1103" t="str">
        <f t="shared" si="362"/>
        <v>Red</v>
      </c>
      <c r="R1103" t="str">
        <f t="shared" si="363"/>
        <v>Green</v>
      </c>
      <c r="S1103" t="str">
        <f t="shared" si="364"/>
        <v>Red</v>
      </c>
      <c r="T1103" t="str">
        <f t="shared" si="365"/>
        <v>Green</v>
      </c>
      <c r="U1103" t="str">
        <f t="shared" si="366"/>
        <v>Green</v>
      </c>
      <c r="V1103" t="str">
        <f t="shared" si="367"/>
        <v>Red</v>
      </c>
      <c r="W1103" t="str">
        <f t="shared" si="368"/>
        <v>Red</v>
      </c>
      <c r="X1103" t="str">
        <f t="shared" si="369"/>
        <v>Green</v>
      </c>
      <c r="Y1103" t="str">
        <f t="shared" si="370"/>
        <v>Green</v>
      </c>
      <c r="Z1103" t="str">
        <f t="shared" si="371"/>
        <v>Green</v>
      </c>
      <c r="AA1103" t="str">
        <f t="shared" si="372"/>
        <v>Red</v>
      </c>
      <c r="AB1103" t="str">
        <f t="shared" si="373"/>
        <v>Red</v>
      </c>
      <c r="AC1103" t="str">
        <f t="shared" si="374"/>
        <v>Green</v>
      </c>
      <c r="AD1103" t="str">
        <f t="shared" si="375"/>
        <v>Red</v>
      </c>
    </row>
    <row r="1104" spans="1:30" x14ac:dyDescent="0.2">
      <c r="A1104" t="str">
        <f>L1103&amp;F1104&amp;G1104</f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57"/>
        <v>25/07/2026</v>
      </c>
      <c r="M1104" s="23">
        <f t="shared" si="358"/>
        <v>0.375</v>
      </c>
      <c r="N1104" t="str">
        <f t="shared" si="359"/>
        <v>1 - 0</v>
      </c>
      <c r="O1104" t="str">
        <f t="shared" si="360"/>
        <v>Green</v>
      </c>
      <c r="P1104" t="str">
        <f t="shared" si="361"/>
        <v>Red</v>
      </c>
      <c r="Q1104" t="str">
        <f t="shared" si="362"/>
        <v>Red</v>
      </c>
      <c r="R1104" t="str">
        <f t="shared" si="363"/>
        <v>Green</v>
      </c>
      <c r="S1104" t="str">
        <f t="shared" si="364"/>
        <v>Red</v>
      </c>
      <c r="T1104" t="str">
        <f t="shared" si="365"/>
        <v>Green</v>
      </c>
      <c r="U1104" t="str">
        <f t="shared" si="366"/>
        <v>Green</v>
      </c>
      <c r="V1104" t="str">
        <f t="shared" si="367"/>
        <v>Red</v>
      </c>
      <c r="W1104" t="str">
        <f t="shared" si="368"/>
        <v>Red</v>
      </c>
      <c r="X1104" t="str">
        <f t="shared" si="369"/>
        <v>Green</v>
      </c>
      <c r="Y1104" t="str">
        <f t="shared" si="370"/>
        <v>Red</v>
      </c>
      <c r="Z1104" t="str">
        <f t="shared" si="371"/>
        <v>Red</v>
      </c>
      <c r="AA1104" t="str">
        <f t="shared" si="372"/>
        <v>Green</v>
      </c>
      <c r="AB1104" t="str">
        <f t="shared" si="373"/>
        <v>Green</v>
      </c>
      <c r="AC1104" t="str">
        <f t="shared" si="374"/>
        <v>Red</v>
      </c>
      <c r="AD1104" t="str">
        <f t="shared" si="375"/>
        <v>Green</v>
      </c>
    </row>
    <row r="1105" spans="1:30" x14ac:dyDescent="0.2">
      <c r="A1105" t="str">
        <f>L1104&amp;F1105&amp;G1105</f>
        <v>25/07/2026BridlicnaHlucin</v>
      </c>
      <c r="D1105" s="2">
        <v>46228</v>
      </c>
      <c r="E1105" s="3">
        <v>0.5</v>
      </c>
      <c r="F1105" t="s">
        <v>3173</v>
      </c>
      <c r="G1105" t="s">
        <v>3174</v>
      </c>
      <c r="H1105">
        <v>1</v>
      </c>
      <c r="I1105">
        <v>0</v>
      </c>
      <c r="J1105">
        <v>1</v>
      </c>
      <c r="K1105">
        <v>0</v>
      </c>
      <c r="L1105" s="22" t="str">
        <f t="shared" si="357"/>
        <v>25/07/2026</v>
      </c>
      <c r="M1105" s="23">
        <f t="shared" si="358"/>
        <v>0.375</v>
      </c>
      <c r="N1105" t="str">
        <f t="shared" si="359"/>
        <v>1 - 0</v>
      </c>
      <c r="O1105" t="str">
        <f t="shared" si="360"/>
        <v>Green</v>
      </c>
      <c r="P1105" t="str">
        <f t="shared" si="361"/>
        <v>Red</v>
      </c>
      <c r="Q1105" t="str">
        <f t="shared" si="362"/>
        <v>Red</v>
      </c>
      <c r="R1105" t="str">
        <f t="shared" si="363"/>
        <v>Green</v>
      </c>
      <c r="S1105" t="str">
        <f t="shared" si="364"/>
        <v>Red</v>
      </c>
      <c r="T1105" t="str">
        <f t="shared" si="365"/>
        <v>Green</v>
      </c>
      <c r="U1105" t="str">
        <f t="shared" si="366"/>
        <v>Green</v>
      </c>
      <c r="V1105" t="str">
        <f t="shared" si="367"/>
        <v>Red</v>
      </c>
      <c r="W1105" t="str">
        <f t="shared" si="368"/>
        <v>Red</v>
      </c>
      <c r="X1105" t="str">
        <f t="shared" si="369"/>
        <v>Green</v>
      </c>
      <c r="Y1105" t="str">
        <f t="shared" si="370"/>
        <v>Red</v>
      </c>
      <c r="Z1105" t="str">
        <f t="shared" si="371"/>
        <v>Red</v>
      </c>
      <c r="AA1105" t="str">
        <f t="shared" si="372"/>
        <v>Green</v>
      </c>
      <c r="AB1105" t="str">
        <f t="shared" si="373"/>
        <v>Green</v>
      </c>
      <c r="AC1105" t="str">
        <f t="shared" si="374"/>
        <v>Red</v>
      </c>
      <c r="AD1105" t="str">
        <f t="shared" si="375"/>
        <v>Green</v>
      </c>
    </row>
    <row r="1106" spans="1:30" x14ac:dyDescent="0.2">
      <c r="A1106" t="str">
        <f>L1105&amp;F1106&amp;G1106</f>
        <v>25/07/2026HakaKapylan Pallo</v>
      </c>
      <c r="D1106" s="2">
        <v>46228</v>
      </c>
      <c r="E1106" s="3">
        <v>0.5</v>
      </c>
      <c r="F1106" t="s">
        <v>3218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57"/>
        <v>25/07/2026</v>
      </c>
      <c r="M1106" s="23">
        <f t="shared" si="358"/>
        <v>0.375</v>
      </c>
      <c r="N1106" t="str">
        <f t="shared" si="359"/>
        <v>3 - 1</v>
      </c>
      <c r="O1106" t="str">
        <f t="shared" si="360"/>
        <v>Green</v>
      </c>
      <c r="P1106" t="str">
        <f t="shared" si="361"/>
        <v>Red</v>
      </c>
      <c r="Q1106" t="str">
        <f t="shared" si="362"/>
        <v>Red</v>
      </c>
      <c r="R1106" t="str">
        <f t="shared" si="363"/>
        <v>Green</v>
      </c>
      <c r="S1106" t="str">
        <f t="shared" si="364"/>
        <v>Red</v>
      </c>
      <c r="T1106" t="str">
        <f t="shared" si="365"/>
        <v>Green</v>
      </c>
      <c r="U1106" t="str">
        <f t="shared" si="366"/>
        <v>Green</v>
      </c>
      <c r="V1106" t="str">
        <f t="shared" si="367"/>
        <v>Red</v>
      </c>
      <c r="W1106" t="str">
        <f t="shared" si="368"/>
        <v>Red</v>
      </c>
      <c r="X1106" t="str">
        <f t="shared" si="369"/>
        <v>Green</v>
      </c>
      <c r="Y1106" t="str">
        <f t="shared" si="370"/>
        <v>Green</v>
      </c>
      <c r="Z1106" t="str">
        <f t="shared" si="371"/>
        <v>Green</v>
      </c>
      <c r="AA1106" t="str">
        <f t="shared" si="372"/>
        <v>Red</v>
      </c>
      <c r="AB1106" t="str">
        <f t="shared" si="373"/>
        <v>Red</v>
      </c>
      <c r="AC1106" t="str">
        <f t="shared" si="374"/>
        <v>Green</v>
      </c>
      <c r="AD1106" t="str">
        <f t="shared" si="375"/>
        <v>Red</v>
      </c>
    </row>
    <row r="1107" spans="1:30" x14ac:dyDescent="0.2">
      <c r="A1107" t="str">
        <f>L1106&amp;F1107&amp;G1107</f>
        <v>25/07/2026EuPaLittoisten Ty√∂v√§en Urheilijat</v>
      </c>
      <c r="D1107" s="2">
        <v>46228</v>
      </c>
      <c r="E1107" s="3">
        <v>0.5</v>
      </c>
      <c r="F1107" t="s">
        <v>3241</v>
      </c>
      <c r="G1107" t="s">
        <v>3242</v>
      </c>
      <c r="H1107">
        <v>0</v>
      </c>
      <c r="I1107">
        <v>0</v>
      </c>
      <c r="J1107">
        <v>0</v>
      </c>
      <c r="K1107">
        <v>0</v>
      </c>
      <c r="L1107" s="22" t="str">
        <f t="shared" si="357"/>
        <v>25/07/2026</v>
      </c>
      <c r="M1107" s="23">
        <f t="shared" si="358"/>
        <v>0.375</v>
      </c>
      <c r="N1107" t="str">
        <f t="shared" si="359"/>
        <v>0 - 0</v>
      </c>
      <c r="O1107" t="str">
        <f t="shared" si="360"/>
        <v>Red</v>
      </c>
      <c r="P1107" t="str">
        <f t="shared" si="361"/>
        <v>Green</v>
      </c>
      <c r="Q1107" t="str">
        <f t="shared" si="362"/>
        <v>Red</v>
      </c>
      <c r="R1107" t="str">
        <f t="shared" si="363"/>
        <v>Green</v>
      </c>
      <c r="S1107" t="str">
        <f t="shared" si="364"/>
        <v>Green</v>
      </c>
      <c r="T1107" t="str">
        <f t="shared" si="365"/>
        <v>Red</v>
      </c>
      <c r="U1107" t="str">
        <f t="shared" si="366"/>
        <v>Red</v>
      </c>
      <c r="V1107" t="str">
        <f t="shared" si="367"/>
        <v>Green</v>
      </c>
      <c r="W1107" t="str">
        <f t="shared" si="368"/>
        <v>Red</v>
      </c>
      <c r="X1107" t="str">
        <f t="shared" si="369"/>
        <v>Red</v>
      </c>
      <c r="Y1107" t="str">
        <f t="shared" si="370"/>
        <v>Red</v>
      </c>
      <c r="Z1107" t="str">
        <f t="shared" si="371"/>
        <v>Red</v>
      </c>
      <c r="AA1107" t="str">
        <f t="shared" si="372"/>
        <v>Green</v>
      </c>
      <c r="AB1107" t="str">
        <f t="shared" si="373"/>
        <v>Green</v>
      </c>
      <c r="AC1107" t="str">
        <f t="shared" si="374"/>
        <v>Red</v>
      </c>
      <c r="AD1107" t="str">
        <f t="shared" si="375"/>
        <v>Green</v>
      </c>
    </row>
    <row r="1108" spans="1:30" x14ac:dyDescent="0.2">
      <c r="A1108" t="str">
        <f>L1107&amp;F1108&amp;G1108</f>
        <v>25/07/2026KumuMikkelin Kissat</v>
      </c>
      <c r="D1108" s="2">
        <v>46228</v>
      </c>
      <c r="E1108" s="3">
        <v>0.5</v>
      </c>
      <c r="F1108" t="s">
        <v>3243</v>
      </c>
      <c r="G1108" t="s">
        <v>3244</v>
      </c>
      <c r="H1108">
        <v>0</v>
      </c>
      <c r="I1108">
        <v>0</v>
      </c>
      <c r="J1108">
        <v>1</v>
      </c>
      <c r="K1108">
        <v>5</v>
      </c>
      <c r="L1108" s="22" t="str">
        <f t="shared" si="357"/>
        <v>25/07/2026</v>
      </c>
      <c r="M1108" s="23">
        <f t="shared" si="358"/>
        <v>0.375</v>
      </c>
      <c r="N1108" t="str">
        <f t="shared" si="359"/>
        <v>1 - 5</v>
      </c>
      <c r="O1108" t="str">
        <f t="shared" si="360"/>
        <v>Red</v>
      </c>
      <c r="P1108" t="str">
        <f t="shared" si="361"/>
        <v>Red</v>
      </c>
      <c r="Q1108" t="str">
        <f t="shared" si="362"/>
        <v>Green</v>
      </c>
      <c r="R1108" t="str">
        <f t="shared" si="363"/>
        <v>Red</v>
      </c>
      <c r="S1108" t="str">
        <f t="shared" si="364"/>
        <v>Green</v>
      </c>
      <c r="T1108" t="str">
        <f t="shared" si="365"/>
        <v>Green</v>
      </c>
      <c r="U1108" t="str">
        <f t="shared" si="366"/>
        <v>Red</v>
      </c>
      <c r="V1108" t="str">
        <f t="shared" si="367"/>
        <v>Green</v>
      </c>
      <c r="W1108" t="str">
        <f t="shared" si="368"/>
        <v>Red</v>
      </c>
      <c r="X1108" t="str">
        <f t="shared" si="369"/>
        <v>Red</v>
      </c>
      <c r="Y1108" t="str">
        <f t="shared" si="370"/>
        <v>Green</v>
      </c>
      <c r="Z1108" t="str">
        <f t="shared" si="371"/>
        <v>Green</v>
      </c>
      <c r="AA1108" t="str">
        <f t="shared" si="372"/>
        <v>Red</v>
      </c>
      <c r="AB1108" t="str">
        <f t="shared" si="373"/>
        <v>Red</v>
      </c>
      <c r="AC1108" t="str">
        <f t="shared" si="374"/>
        <v>Green</v>
      </c>
      <c r="AD1108" t="str">
        <f t="shared" si="375"/>
        <v>Red</v>
      </c>
    </row>
    <row r="1109" spans="1:30" x14ac:dyDescent="0.2">
      <c r="A1109" t="str">
        <f>L1108&amp;F1109&amp;G1109</f>
        <v>25/07/2026Sudet KouvolaHaPK</v>
      </c>
      <c r="D1109" s="2">
        <v>46228</v>
      </c>
      <c r="E1109" s="3">
        <v>0.5</v>
      </c>
      <c r="F1109" t="s">
        <v>3245</v>
      </c>
      <c r="G1109" t="s">
        <v>3246</v>
      </c>
      <c r="H1109">
        <v>0</v>
      </c>
      <c r="I1109">
        <v>0</v>
      </c>
      <c r="J1109">
        <v>0</v>
      </c>
      <c r="K1109">
        <v>2</v>
      </c>
      <c r="L1109" s="22" t="str">
        <f t="shared" si="357"/>
        <v>25/07/2026</v>
      </c>
      <c r="M1109" s="23">
        <f t="shared" si="358"/>
        <v>0.375</v>
      </c>
      <c r="N1109" t="str">
        <f t="shared" si="359"/>
        <v>0 - 2</v>
      </c>
      <c r="O1109" t="str">
        <f t="shared" si="360"/>
        <v>Red</v>
      </c>
      <c r="P1109" t="str">
        <f t="shared" si="361"/>
        <v>Red</v>
      </c>
      <c r="Q1109" t="str">
        <f t="shared" si="362"/>
        <v>Green</v>
      </c>
      <c r="R1109" t="str">
        <f t="shared" si="363"/>
        <v>Red</v>
      </c>
      <c r="S1109" t="str">
        <f t="shared" si="364"/>
        <v>Green</v>
      </c>
      <c r="T1109" t="str">
        <f t="shared" si="365"/>
        <v>Green</v>
      </c>
      <c r="U1109" t="str">
        <f t="shared" si="366"/>
        <v>Red</v>
      </c>
      <c r="V1109" t="str">
        <f t="shared" si="367"/>
        <v>Green</v>
      </c>
      <c r="W1109" t="str">
        <f t="shared" si="368"/>
        <v>Red</v>
      </c>
      <c r="X1109" t="str">
        <f t="shared" si="369"/>
        <v>Red</v>
      </c>
      <c r="Y1109" t="str">
        <f t="shared" si="370"/>
        <v>Green</v>
      </c>
      <c r="Z1109" t="str">
        <f t="shared" si="371"/>
        <v>Red</v>
      </c>
      <c r="AA1109" t="str">
        <f t="shared" si="372"/>
        <v>Green</v>
      </c>
      <c r="AB1109" t="str">
        <f t="shared" si="373"/>
        <v>Green</v>
      </c>
      <c r="AC1109" t="str">
        <f t="shared" si="374"/>
        <v>Red</v>
      </c>
      <c r="AD1109" t="str">
        <f t="shared" si="375"/>
        <v>Green</v>
      </c>
    </row>
    <row r="1110" spans="1:30" x14ac:dyDescent="0.2">
      <c r="A1110" t="str">
        <f>L1109&amp;F1110&amp;G1110</f>
        <v>25/07/2026TP-49Ylojarvi United</v>
      </c>
      <c r="D1110" s="2">
        <v>46228</v>
      </c>
      <c r="E1110" s="3">
        <v>0.5</v>
      </c>
      <c r="F1110" t="s">
        <v>3247</v>
      </c>
      <c r="G1110" t="s">
        <v>3248</v>
      </c>
      <c r="H1110">
        <v>0</v>
      </c>
      <c r="I1110">
        <v>0</v>
      </c>
      <c r="J1110">
        <v>0</v>
      </c>
      <c r="K1110">
        <v>5</v>
      </c>
      <c r="L1110" s="22" t="str">
        <f t="shared" si="357"/>
        <v>25/07/2026</v>
      </c>
      <c r="M1110" s="23">
        <f t="shared" si="358"/>
        <v>0.375</v>
      </c>
      <c r="N1110" t="str">
        <f t="shared" si="359"/>
        <v>0 - 5</v>
      </c>
      <c r="O1110" t="str">
        <f t="shared" si="360"/>
        <v>Red</v>
      </c>
      <c r="P1110" t="str">
        <f t="shared" si="361"/>
        <v>Red</v>
      </c>
      <c r="Q1110" t="str">
        <f t="shared" si="362"/>
        <v>Green</v>
      </c>
      <c r="R1110" t="str">
        <f t="shared" si="363"/>
        <v>Red</v>
      </c>
      <c r="S1110" t="str">
        <f t="shared" si="364"/>
        <v>Green</v>
      </c>
      <c r="T1110" t="str">
        <f t="shared" si="365"/>
        <v>Green</v>
      </c>
      <c r="U1110" t="str">
        <f t="shared" si="366"/>
        <v>Red</v>
      </c>
      <c r="V1110" t="str">
        <f t="shared" si="367"/>
        <v>Green</v>
      </c>
      <c r="W1110" t="str">
        <f t="shared" si="368"/>
        <v>Red</v>
      </c>
      <c r="X1110" t="str">
        <f t="shared" si="369"/>
        <v>Red</v>
      </c>
      <c r="Y1110" t="str">
        <f t="shared" si="370"/>
        <v>Green</v>
      </c>
      <c r="Z1110" t="str">
        <f t="shared" si="371"/>
        <v>Green</v>
      </c>
      <c r="AA1110" t="str">
        <f t="shared" si="372"/>
        <v>Red</v>
      </c>
      <c r="AB1110" t="str">
        <f t="shared" si="373"/>
        <v>Red</v>
      </c>
      <c r="AC1110" t="str">
        <f t="shared" si="374"/>
        <v>Red</v>
      </c>
      <c r="AD1110" t="str">
        <f t="shared" si="375"/>
        <v>Green</v>
      </c>
    </row>
    <row r="1111" spans="1:30" x14ac:dyDescent="0.2">
      <c r="A1111" t="str">
        <f>L1110&amp;F1111&amp;G1111</f>
        <v>25/07/2026BFC PreussenRSV Eintracht 1949</v>
      </c>
      <c r="D1111" s="2">
        <v>46228</v>
      </c>
      <c r="E1111" s="3">
        <v>0.5</v>
      </c>
      <c r="F1111" t="s">
        <v>3276</v>
      </c>
      <c r="G1111" t="s">
        <v>3277</v>
      </c>
      <c r="H1111">
        <v>1</v>
      </c>
      <c r="I1111">
        <v>0</v>
      </c>
      <c r="J1111">
        <v>1</v>
      </c>
      <c r="K1111">
        <v>1</v>
      </c>
      <c r="L1111" s="22" t="str">
        <f t="shared" si="357"/>
        <v>25/07/2026</v>
      </c>
      <c r="M1111" s="23">
        <f t="shared" si="358"/>
        <v>0.375</v>
      </c>
      <c r="N1111" t="str">
        <f t="shared" si="359"/>
        <v>1 - 1</v>
      </c>
      <c r="O1111" t="str">
        <f t="shared" si="360"/>
        <v>Red</v>
      </c>
      <c r="P1111" t="str">
        <f t="shared" si="361"/>
        <v>Green</v>
      </c>
      <c r="Q1111" t="str">
        <f t="shared" si="362"/>
        <v>Red</v>
      </c>
      <c r="R1111" t="str">
        <f t="shared" si="363"/>
        <v>Green</v>
      </c>
      <c r="S1111" t="str">
        <f t="shared" si="364"/>
        <v>Green</v>
      </c>
      <c r="T1111" t="str">
        <f t="shared" si="365"/>
        <v>Red</v>
      </c>
      <c r="U1111" t="str">
        <f t="shared" si="366"/>
        <v>Green</v>
      </c>
      <c r="V1111" t="str">
        <f t="shared" si="367"/>
        <v>Red</v>
      </c>
      <c r="W1111" t="str">
        <f t="shared" si="368"/>
        <v>Red</v>
      </c>
      <c r="X1111" t="str">
        <f t="shared" si="369"/>
        <v>Green</v>
      </c>
      <c r="Y1111" t="str">
        <f t="shared" si="370"/>
        <v>Green</v>
      </c>
      <c r="Z1111" t="str">
        <f t="shared" si="371"/>
        <v>Red</v>
      </c>
      <c r="AA1111" t="str">
        <f t="shared" si="372"/>
        <v>Green</v>
      </c>
      <c r="AB1111" t="str">
        <f t="shared" si="373"/>
        <v>Green</v>
      </c>
      <c r="AC1111" t="str">
        <f t="shared" si="374"/>
        <v>Green</v>
      </c>
      <c r="AD1111" t="str">
        <f t="shared" si="375"/>
        <v>Red</v>
      </c>
    </row>
    <row r="1112" spans="1:30" x14ac:dyDescent="0.2">
      <c r="A1112" t="str">
        <f>L1111&amp;F1112&amp;G1112</f>
        <v>25/07/2026Hertha BSC IIChemnitzer</v>
      </c>
      <c r="D1112" s="2">
        <v>46228</v>
      </c>
      <c r="E1112" s="3">
        <v>0.5</v>
      </c>
      <c r="F1112" t="s">
        <v>3278</v>
      </c>
      <c r="G1112" t="s">
        <v>3279</v>
      </c>
      <c r="H1112">
        <v>0</v>
      </c>
      <c r="I1112">
        <v>1</v>
      </c>
      <c r="J1112">
        <v>0</v>
      </c>
      <c r="K1112">
        <v>4</v>
      </c>
      <c r="L1112" s="22" t="str">
        <f t="shared" si="357"/>
        <v>25/07/2026</v>
      </c>
      <c r="M1112" s="23">
        <f t="shared" si="358"/>
        <v>0.375</v>
      </c>
      <c r="N1112" t="str">
        <f t="shared" si="359"/>
        <v>0 - 4</v>
      </c>
      <c r="O1112" t="str">
        <f t="shared" si="360"/>
        <v>Red</v>
      </c>
      <c r="P1112" t="str">
        <f t="shared" si="361"/>
        <v>Red</v>
      </c>
      <c r="Q1112" t="str">
        <f t="shared" si="362"/>
        <v>Green</v>
      </c>
      <c r="R1112" t="str">
        <f t="shared" si="363"/>
        <v>Red</v>
      </c>
      <c r="S1112" t="str">
        <f t="shared" si="364"/>
        <v>Green</v>
      </c>
      <c r="T1112" t="str">
        <f t="shared" si="365"/>
        <v>Green</v>
      </c>
      <c r="U1112" t="str">
        <f t="shared" si="366"/>
        <v>Red</v>
      </c>
      <c r="V1112" t="str">
        <f t="shared" si="367"/>
        <v>Red</v>
      </c>
      <c r="W1112" t="str">
        <f t="shared" si="368"/>
        <v>Green</v>
      </c>
      <c r="X1112" t="str">
        <f t="shared" si="369"/>
        <v>Green</v>
      </c>
      <c r="Y1112" t="str">
        <f t="shared" si="370"/>
        <v>Green</v>
      </c>
      <c r="Z1112" t="str">
        <f t="shared" si="371"/>
        <v>Green</v>
      </c>
      <c r="AA1112" t="str">
        <f t="shared" si="372"/>
        <v>Red</v>
      </c>
      <c r="AB1112" t="str">
        <f t="shared" si="373"/>
        <v>Red</v>
      </c>
      <c r="AC1112" t="str">
        <f t="shared" si="374"/>
        <v>Red</v>
      </c>
      <c r="AD1112" t="str">
        <f t="shared" si="375"/>
        <v>Green</v>
      </c>
    </row>
    <row r="1113" spans="1:30" x14ac:dyDescent="0.2">
      <c r="A1113" t="str">
        <f>L1112&amp;F1113&amp;G1113</f>
        <v>25/07/2026Magdeburg IISV Tasmania Berlin</v>
      </c>
      <c r="D1113" s="2">
        <v>46228</v>
      </c>
      <c r="E1113" s="3">
        <v>0.5</v>
      </c>
      <c r="F1113" t="s">
        <v>3280</v>
      </c>
      <c r="G1113" t="s">
        <v>3281</v>
      </c>
      <c r="H1113">
        <v>4</v>
      </c>
      <c r="I1113">
        <v>0</v>
      </c>
      <c r="J1113">
        <v>5</v>
      </c>
      <c r="K1113">
        <v>1</v>
      </c>
      <c r="L1113" s="22" t="str">
        <f t="shared" si="357"/>
        <v>25/07/2026</v>
      </c>
      <c r="M1113" s="23">
        <f t="shared" si="358"/>
        <v>0.375</v>
      </c>
      <c r="N1113" t="str">
        <f t="shared" si="359"/>
        <v>5 - 1</v>
      </c>
      <c r="O1113" t="str">
        <f t="shared" si="360"/>
        <v>Green</v>
      </c>
      <c r="P1113" t="str">
        <f t="shared" si="361"/>
        <v>Red</v>
      </c>
      <c r="Q1113" t="str">
        <f t="shared" si="362"/>
        <v>Red</v>
      </c>
      <c r="R1113" t="str">
        <f t="shared" si="363"/>
        <v>Green</v>
      </c>
      <c r="S1113" t="str">
        <f t="shared" si="364"/>
        <v>Red</v>
      </c>
      <c r="T1113" t="str">
        <f t="shared" si="365"/>
        <v>Green</v>
      </c>
      <c r="U1113" t="str">
        <f t="shared" si="366"/>
        <v>Green</v>
      </c>
      <c r="V1113" t="str">
        <f t="shared" si="367"/>
        <v>Red</v>
      </c>
      <c r="W1113" t="str">
        <f t="shared" si="368"/>
        <v>Red</v>
      </c>
      <c r="X1113" t="str">
        <f t="shared" si="369"/>
        <v>Green</v>
      </c>
      <c r="Y1113" t="str">
        <f t="shared" si="370"/>
        <v>Green</v>
      </c>
      <c r="Z1113" t="str">
        <f t="shared" si="371"/>
        <v>Green</v>
      </c>
      <c r="AA1113" t="str">
        <f t="shared" si="372"/>
        <v>Red</v>
      </c>
      <c r="AB1113" t="str">
        <f t="shared" si="373"/>
        <v>Red</v>
      </c>
      <c r="AC1113" t="str">
        <f t="shared" si="374"/>
        <v>Green</v>
      </c>
      <c r="AD1113" t="str">
        <f t="shared" si="375"/>
        <v>Red</v>
      </c>
    </row>
    <row r="1114" spans="1:30" x14ac:dyDescent="0.2">
      <c r="A1114" t="str">
        <f>L1113&amp;F1114&amp;G1114</f>
        <v>25/07/2026FSV StadelnNeudrossenfeld</v>
      </c>
      <c r="D1114" s="2">
        <v>46228</v>
      </c>
      <c r="E1114" s="3">
        <v>0.5</v>
      </c>
      <c r="F1114" t="s">
        <v>3290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57"/>
        <v>25/07/2026</v>
      </c>
      <c r="M1114" s="23">
        <f t="shared" si="358"/>
        <v>0.375</v>
      </c>
      <c r="N1114" t="str">
        <f t="shared" si="359"/>
        <v>2 - 1</v>
      </c>
      <c r="O1114" t="str">
        <f t="shared" si="360"/>
        <v>Green</v>
      </c>
      <c r="P1114" t="str">
        <f t="shared" si="361"/>
        <v>Red</v>
      </c>
      <c r="Q1114" t="str">
        <f t="shared" si="362"/>
        <v>Red</v>
      </c>
      <c r="R1114" t="str">
        <f t="shared" si="363"/>
        <v>Green</v>
      </c>
      <c r="S1114" t="str">
        <f t="shared" si="364"/>
        <v>Red</v>
      </c>
      <c r="T1114" t="str">
        <f t="shared" si="365"/>
        <v>Green</v>
      </c>
      <c r="U1114" t="str">
        <f t="shared" si="366"/>
        <v>Red</v>
      </c>
      <c r="V1114" t="str">
        <f t="shared" si="367"/>
        <v>Red</v>
      </c>
      <c r="W1114" t="str">
        <f t="shared" si="368"/>
        <v>Green</v>
      </c>
      <c r="X1114" t="str">
        <f t="shared" si="369"/>
        <v>Green</v>
      </c>
      <c r="Y1114" t="str">
        <f t="shared" si="370"/>
        <v>Green</v>
      </c>
      <c r="Z1114" t="str">
        <f t="shared" si="371"/>
        <v>Green</v>
      </c>
      <c r="AA1114" t="str">
        <f t="shared" si="372"/>
        <v>Red</v>
      </c>
      <c r="AB1114" t="str">
        <f t="shared" si="373"/>
        <v>Green</v>
      </c>
      <c r="AC1114" t="str">
        <f t="shared" si="374"/>
        <v>Green</v>
      </c>
      <c r="AD1114" t="str">
        <f t="shared" si="375"/>
        <v>Red</v>
      </c>
    </row>
    <row r="1115" spans="1:30" x14ac:dyDescent="0.2">
      <c r="A1115" t="str">
        <f>L1114&amp;F1115&amp;G1115</f>
        <v>25/07/2026FC DeisenhofenSV Kirschanschoering</v>
      </c>
      <c r="D1115" s="2">
        <v>46228</v>
      </c>
      <c r="E1115" s="3">
        <v>0.5</v>
      </c>
      <c r="F1115" t="s">
        <v>3295</v>
      </c>
      <c r="G1115" t="s">
        <v>3296</v>
      </c>
      <c r="H1115">
        <v>1</v>
      </c>
      <c r="I1115">
        <v>0</v>
      </c>
      <c r="J1115">
        <v>2</v>
      </c>
      <c r="K1115">
        <v>2</v>
      </c>
      <c r="L1115" s="22" t="str">
        <f t="shared" si="357"/>
        <v>25/07/2026</v>
      </c>
      <c r="M1115" s="23">
        <f t="shared" si="358"/>
        <v>0.375</v>
      </c>
      <c r="N1115" t="str">
        <f t="shared" si="359"/>
        <v>2 - 2</v>
      </c>
      <c r="O1115" t="str">
        <f t="shared" si="360"/>
        <v>Red</v>
      </c>
      <c r="P1115" t="str">
        <f t="shared" si="361"/>
        <v>Green</v>
      </c>
      <c r="Q1115" t="str">
        <f t="shared" si="362"/>
        <v>Red</v>
      </c>
      <c r="R1115" t="str">
        <f t="shared" si="363"/>
        <v>Green</v>
      </c>
      <c r="S1115" t="str">
        <f t="shared" si="364"/>
        <v>Green</v>
      </c>
      <c r="T1115" t="str">
        <f t="shared" si="365"/>
        <v>Red</v>
      </c>
      <c r="U1115" t="str">
        <f t="shared" si="366"/>
        <v>Green</v>
      </c>
      <c r="V1115" t="str">
        <f t="shared" si="367"/>
        <v>Red</v>
      </c>
      <c r="W1115" t="str">
        <f t="shared" si="368"/>
        <v>Red</v>
      </c>
      <c r="X1115" t="str">
        <f t="shared" si="369"/>
        <v>Green</v>
      </c>
      <c r="Y1115" t="str">
        <f t="shared" si="370"/>
        <v>Green</v>
      </c>
      <c r="Z1115" t="str">
        <f t="shared" si="371"/>
        <v>Green</v>
      </c>
      <c r="AA1115" t="str">
        <f t="shared" si="372"/>
        <v>Red</v>
      </c>
      <c r="AB1115" t="str">
        <f t="shared" si="373"/>
        <v>Red</v>
      </c>
      <c r="AC1115" t="str">
        <f t="shared" si="374"/>
        <v>Green</v>
      </c>
      <c r="AD1115" t="str">
        <f t="shared" si="375"/>
        <v>Red</v>
      </c>
    </row>
    <row r="1116" spans="1:30" x14ac:dyDescent="0.2">
      <c r="A1116" t="str">
        <f>L1115&amp;F1116&amp;G1116</f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57"/>
        <v>25/07/2026</v>
      </c>
      <c r="M1116" s="23">
        <f t="shared" si="358"/>
        <v>0.375</v>
      </c>
      <c r="N1116" t="str">
        <f t="shared" si="359"/>
        <v>4 - 1</v>
      </c>
      <c r="O1116" t="str">
        <f t="shared" si="360"/>
        <v>Green</v>
      </c>
      <c r="P1116" t="str">
        <f t="shared" si="361"/>
        <v>Red</v>
      </c>
      <c r="Q1116" t="str">
        <f t="shared" si="362"/>
        <v>Red</v>
      </c>
      <c r="R1116" t="str">
        <f t="shared" si="363"/>
        <v>Green</v>
      </c>
      <c r="S1116" t="str">
        <f t="shared" si="364"/>
        <v>Red</v>
      </c>
      <c r="T1116" t="str">
        <f t="shared" si="365"/>
        <v>Green</v>
      </c>
      <c r="U1116" t="str">
        <f t="shared" si="366"/>
        <v>Green</v>
      </c>
      <c r="V1116" t="str">
        <f t="shared" si="367"/>
        <v>Red</v>
      </c>
      <c r="W1116" t="str">
        <f t="shared" si="368"/>
        <v>Red</v>
      </c>
      <c r="X1116" t="str">
        <f t="shared" si="369"/>
        <v>Green</v>
      </c>
      <c r="Y1116" t="str">
        <f t="shared" si="370"/>
        <v>Green</v>
      </c>
      <c r="Z1116" t="str">
        <f t="shared" si="371"/>
        <v>Green</v>
      </c>
      <c r="AA1116" t="str">
        <f t="shared" si="372"/>
        <v>Red</v>
      </c>
      <c r="AB1116" t="str">
        <f t="shared" si="373"/>
        <v>Red</v>
      </c>
      <c r="AC1116" t="str">
        <f t="shared" si="374"/>
        <v>Green</v>
      </c>
      <c r="AD1116" t="str">
        <f t="shared" si="375"/>
        <v>Red</v>
      </c>
    </row>
    <row r="1117" spans="1:30" x14ac:dyDescent="0.2">
      <c r="A1117" t="str">
        <f>L1116&amp;F1117&amp;G1117</f>
        <v>25/07/2026BrattvagMjondalen</v>
      </c>
      <c r="D1117" s="2">
        <v>46228</v>
      </c>
      <c r="E1117" s="3">
        <v>0.5</v>
      </c>
      <c r="F1117" t="s">
        <v>3452</v>
      </c>
      <c r="G1117" t="s">
        <v>3453</v>
      </c>
      <c r="H1117">
        <v>0</v>
      </c>
      <c r="I1117">
        <v>2</v>
      </c>
      <c r="J1117">
        <v>3</v>
      </c>
      <c r="K1117">
        <v>5</v>
      </c>
      <c r="L1117" s="22" t="str">
        <f t="shared" si="357"/>
        <v>25/07/2026</v>
      </c>
      <c r="M1117" s="23">
        <f t="shared" si="358"/>
        <v>0.375</v>
      </c>
      <c r="N1117" t="str">
        <f t="shared" si="359"/>
        <v>3 - 5</v>
      </c>
      <c r="O1117" t="str">
        <f t="shared" si="360"/>
        <v>Red</v>
      </c>
      <c r="P1117" t="str">
        <f t="shared" si="361"/>
        <v>Red</v>
      </c>
      <c r="Q1117" t="str">
        <f t="shared" si="362"/>
        <v>Green</v>
      </c>
      <c r="R1117" t="str">
        <f t="shared" si="363"/>
        <v>Red</v>
      </c>
      <c r="S1117" t="str">
        <f t="shared" si="364"/>
        <v>Green</v>
      </c>
      <c r="T1117" t="str">
        <f t="shared" si="365"/>
        <v>Green</v>
      </c>
      <c r="U1117" t="str">
        <f t="shared" si="366"/>
        <v>Red</v>
      </c>
      <c r="V1117" t="str">
        <f t="shared" si="367"/>
        <v>Red</v>
      </c>
      <c r="W1117" t="str">
        <f t="shared" si="368"/>
        <v>Green</v>
      </c>
      <c r="X1117" t="str">
        <f t="shared" si="369"/>
        <v>Green</v>
      </c>
      <c r="Y1117" t="str">
        <f t="shared" si="370"/>
        <v>Green</v>
      </c>
      <c r="Z1117" t="str">
        <f t="shared" si="371"/>
        <v>Green</v>
      </c>
      <c r="AA1117" t="str">
        <f t="shared" si="372"/>
        <v>Red</v>
      </c>
      <c r="AB1117" t="str">
        <f t="shared" si="373"/>
        <v>Red</v>
      </c>
      <c r="AC1117" t="str">
        <f t="shared" si="374"/>
        <v>Green</v>
      </c>
      <c r="AD1117" t="str">
        <f t="shared" si="375"/>
        <v>Red</v>
      </c>
    </row>
    <row r="1118" spans="1:30" x14ac:dyDescent="0.2">
      <c r="A1118" t="str">
        <f>L1117&amp;F1118&amp;G1118</f>
        <v>25/07/2026HonefossSkeid</v>
      </c>
      <c r="D1118" s="2">
        <v>46228</v>
      </c>
      <c r="E1118" s="3">
        <v>0.5</v>
      </c>
      <c r="F1118" t="s">
        <v>3460</v>
      </c>
      <c r="G1118" t="s">
        <v>3461</v>
      </c>
      <c r="H1118">
        <v>2</v>
      </c>
      <c r="I1118">
        <v>1</v>
      </c>
      <c r="J1118">
        <v>3</v>
      </c>
      <c r="K1118">
        <v>1</v>
      </c>
      <c r="L1118" s="22" t="str">
        <f t="shared" si="357"/>
        <v>25/07/2026</v>
      </c>
      <c r="M1118" s="23">
        <f t="shared" si="358"/>
        <v>0.375</v>
      </c>
      <c r="N1118" t="str">
        <f t="shared" si="359"/>
        <v>3 - 1</v>
      </c>
      <c r="O1118" t="str">
        <f t="shared" si="360"/>
        <v>Green</v>
      </c>
      <c r="P1118" t="str">
        <f t="shared" si="361"/>
        <v>Red</v>
      </c>
      <c r="Q1118" t="str">
        <f t="shared" si="362"/>
        <v>Red</v>
      </c>
      <c r="R1118" t="str">
        <f t="shared" si="363"/>
        <v>Green</v>
      </c>
      <c r="S1118" t="str">
        <f t="shared" si="364"/>
        <v>Red</v>
      </c>
      <c r="T1118" t="str">
        <f t="shared" si="365"/>
        <v>Green</v>
      </c>
      <c r="U1118" t="str">
        <f t="shared" si="366"/>
        <v>Green</v>
      </c>
      <c r="V1118" t="str">
        <f t="shared" si="367"/>
        <v>Red</v>
      </c>
      <c r="W1118" t="str">
        <f t="shared" si="368"/>
        <v>Red</v>
      </c>
      <c r="X1118" t="str">
        <f t="shared" si="369"/>
        <v>Green</v>
      </c>
      <c r="Y1118" t="str">
        <f t="shared" si="370"/>
        <v>Green</v>
      </c>
      <c r="Z1118" t="str">
        <f t="shared" si="371"/>
        <v>Green</v>
      </c>
      <c r="AA1118" t="str">
        <f t="shared" si="372"/>
        <v>Red</v>
      </c>
      <c r="AB1118" t="str">
        <f t="shared" si="373"/>
        <v>Red</v>
      </c>
      <c r="AC1118" t="str">
        <f t="shared" si="374"/>
        <v>Green</v>
      </c>
      <c r="AD1118" t="str">
        <f t="shared" si="375"/>
        <v>Red</v>
      </c>
    </row>
    <row r="1119" spans="1:30" x14ac:dyDescent="0.2">
      <c r="A1119" t="str">
        <f>L1118&amp;F1119&amp;G1119</f>
        <v>25/07/2026Levanger FC Ull Kisa</v>
      </c>
      <c r="D1119" s="2">
        <v>46228</v>
      </c>
      <c r="E1119" s="3">
        <v>0.5</v>
      </c>
      <c r="F1119" t="s">
        <v>3462</v>
      </c>
      <c r="G1119" t="s">
        <v>3463</v>
      </c>
      <c r="H1119">
        <v>1</v>
      </c>
      <c r="I1119">
        <v>0</v>
      </c>
      <c r="J1119">
        <v>3</v>
      </c>
      <c r="K1119">
        <v>0</v>
      </c>
      <c r="L1119" s="22" t="str">
        <f t="shared" si="357"/>
        <v>25/07/2026</v>
      </c>
      <c r="M1119" s="23">
        <f t="shared" si="358"/>
        <v>0.375</v>
      </c>
      <c r="N1119" t="str">
        <f t="shared" si="359"/>
        <v>3 - 0</v>
      </c>
      <c r="O1119" t="str">
        <f t="shared" si="360"/>
        <v>Green</v>
      </c>
      <c r="P1119" t="str">
        <f t="shared" si="361"/>
        <v>Red</v>
      </c>
      <c r="Q1119" t="str">
        <f t="shared" si="362"/>
        <v>Red</v>
      </c>
      <c r="R1119" t="str">
        <f t="shared" si="363"/>
        <v>Green</v>
      </c>
      <c r="S1119" t="str">
        <f t="shared" si="364"/>
        <v>Red</v>
      </c>
      <c r="T1119" t="str">
        <f t="shared" si="365"/>
        <v>Green</v>
      </c>
      <c r="U1119" t="str">
        <f t="shared" si="366"/>
        <v>Green</v>
      </c>
      <c r="V1119" t="str">
        <f t="shared" si="367"/>
        <v>Red</v>
      </c>
      <c r="W1119" t="str">
        <f t="shared" si="368"/>
        <v>Red</v>
      </c>
      <c r="X1119" t="str">
        <f t="shared" si="369"/>
        <v>Green</v>
      </c>
      <c r="Y1119" t="str">
        <f t="shared" si="370"/>
        <v>Green</v>
      </c>
      <c r="Z1119" t="str">
        <f t="shared" si="371"/>
        <v>Green</v>
      </c>
      <c r="AA1119" t="str">
        <f t="shared" si="372"/>
        <v>Red</v>
      </c>
      <c r="AB1119" t="str">
        <f t="shared" si="373"/>
        <v>Green</v>
      </c>
      <c r="AC1119" t="str">
        <f t="shared" si="374"/>
        <v>Red</v>
      </c>
      <c r="AD1119" t="str">
        <f t="shared" si="375"/>
        <v>Green</v>
      </c>
    </row>
    <row r="1120" spans="1:30" x14ac:dyDescent="0.2">
      <c r="A1120" t="str">
        <f>L1119&amp;F1120&amp;G1120</f>
        <v>25/07/2026BaerumValerenga II</v>
      </c>
      <c r="D1120" s="2">
        <v>46228</v>
      </c>
      <c r="E1120" s="3">
        <v>0.5</v>
      </c>
      <c r="F1120" t="s">
        <v>3476</v>
      </c>
      <c r="G1120" t="s">
        <v>3477</v>
      </c>
      <c r="H1120">
        <v>4</v>
      </c>
      <c r="I1120">
        <v>2</v>
      </c>
      <c r="J1120">
        <v>6</v>
      </c>
      <c r="K1120">
        <v>3</v>
      </c>
      <c r="L1120" s="22" t="str">
        <f t="shared" si="357"/>
        <v>25/07/2026</v>
      </c>
      <c r="M1120" s="23">
        <f t="shared" si="358"/>
        <v>0.375</v>
      </c>
      <c r="N1120" t="str">
        <f t="shared" si="359"/>
        <v>6 - 3</v>
      </c>
      <c r="O1120" t="str">
        <f t="shared" si="360"/>
        <v>Green</v>
      </c>
      <c r="P1120" t="str">
        <f t="shared" si="361"/>
        <v>Red</v>
      </c>
      <c r="Q1120" t="str">
        <f t="shared" si="362"/>
        <v>Red</v>
      </c>
      <c r="R1120" t="str">
        <f t="shared" si="363"/>
        <v>Green</v>
      </c>
      <c r="S1120" t="str">
        <f t="shared" si="364"/>
        <v>Red</v>
      </c>
      <c r="T1120" t="str">
        <f t="shared" si="365"/>
        <v>Green</v>
      </c>
      <c r="U1120" t="str">
        <f t="shared" si="366"/>
        <v>Green</v>
      </c>
      <c r="V1120" t="str">
        <f t="shared" si="367"/>
        <v>Red</v>
      </c>
      <c r="W1120" t="str">
        <f t="shared" si="368"/>
        <v>Red</v>
      </c>
      <c r="X1120" t="str">
        <f t="shared" si="369"/>
        <v>Green</v>
      </c>
      <c r="Y1120" t="str">
        <f t="shared" si="370"/>
        <v>Green</v>
      </c>
      <c r="Z1120" t="str">
        <f t="shared" si="371"/>
        <v>Green</v>
      </c>
      <c r="AA1120" t="str">
        <f t="shared" si="372"/>
        <v>Red</v>
      </c>
      <c r="AB1120" t="str">
        <f t="shared" si="373"/>
        <v>Red</v>
      </c>
      <c r="AC1120" t="str">
        <f t="shared" si="374"/>
        <v>Green</v>
      </c>
      <c r="AD1120" t="str">
        <f t="shared" si="375"/>
        <v>Red</v>
      </c>
    </row>
    <row r="1121" spans="1:30" x14ac:dyDescent="0.2">
      <c r="A1121" t="str">
        <f>L1120&amp;F1121&amp;G1121</f>
        <v>25/07/2026FanaDjerv 1919</v>
      </c>
      <c r="D1121" s="2">
        <v>46228</v>
      </c>
      <c r="E1121" s="3">
        <v>0.5</v>
      </c>
      <c r="F1121" t="s">
        <v>3488</v>
      </c>
      <c r="G1121" t="s">
        <v>3489</v>
      </c>
      <c r="H1121">
        <v>2</v>
      </c>
      <c r="I1121">
        <v>0</v>
      </c>
      <c r="J1121">
        <v>4</v>
      </c>
      <c r="K1121">
        <v>3</v>
      </c>
      <c r="L1121" s="22" t="str">
        <f t="shared" si="357"/>
        <v>25/07/2026</v>
      </c>
      <c r="M1121" s="23">
        <f t="shared" si="358"/>
        <v>0.375</v>
      </c>
      <c r="N1121" t="str">
        <f t="shared" si="359"/>
        <v>4 - 3</v>
      </c>
      <c r="O1121" t="str">
        <f t="shared" si="360"/>
        <v>Green</v>
      </c>
      <c r="P1121" t="str">
        <f t="shared" si="361"/>
        <v>Red</v>
      </c>
      <c r="Q1121" t="str">
        <f t="shared" si="362"/>
        <v>Red</v>
      </c>
      <c r="R1121" t="str">
        <f t="shared" si="363"/>
        <v>Green</v>
      </c>
      <c r="S1121" t="str">
        <f t="shared" si="364"/>
        <v>Red</v>
      </c>
      <c r="T1121" t="str">
        <f t="shared" si="365"/>
        <v>Green</v>
      </c>
      <c r="U1121" t="str">
        <f t="shared" si="366"/>
        <v>Green</v>
      </c>
      <c r="V1121" t="str">
        <f t="shared" si="367"/>
        <v>Red</v>
      </c>
      <c r="W1121" t="str">
        <f t="shared" si="368"/>
        <v>Red</v>
      </c>
      <c r="X1121" t="str">
        <f t="shared" si="369"/>
        <v>Green</v>
      </c>
      <c r="Y1121" t="str">
        <f t="shared" si="370"/>
        <v>Green</v>
      </c>
      <c r="Z1121" t="str">
        <f t="shared" si="371"/>
        <v>Green</v>
      </c>
      <c r="AA1121" t="str">
        <f t="shared" si="372"/>
        <v>Red</v>
      </c>
      <c r="AB1121" t="str">
        <f t="shared" si="373"/>
        <v>Red</v>
      </c>
      <c r="AC1121" t="str">
        <f t="shared" si="374"/>
        <v>Green</v>
      </c>
      <c r="AD1121" t="str">
        <f t="shared" si="375"/>
        <v>Red</v>
      </c>
    </row>
    <row r="1122" spans="1:30" x14ac:dyDescent="0.2">
      <c r="A1122" t="str">
        <f>L1121&amp;F1122&amp;G1122</f>
        <v>25/07/2026StordAskoy FK</v>
      </c>
      <c r="D1122" s="2">
        <v>46228</v>
      </c>
      <c r="E1122" s="3">
        <v>0.5</v>
      </c>
      <c r="F1122" t="s">
        <v>3490</v>
      </c>
      <c r="G1122" t="s">
        <v>3491</v>
      </c>
      <c r="H1122">
        <v>0</v>
      </c>
      <c r="I1122">
        <v>2</v>
      </c>
      <c r="J1122">
        <v>0</v>
      </c>
      <c r="K1122">
        <v>4</v>
      </c>
      <c r="L1122" s="22" t="str">
        <f t="shared" si="357"/>
        <v>25/07/2026</v>
      </c>
      <c r="M1122" s="23">
        <f t="shared" si="358"/>
        <v>0.375</v>
      </c>
      <c r="N1122" t="str">
        <f t="shared" si="359"/>
        <v>0 - 4</v>
      </c>
      <c r="O1122" t="str">
        <f t="shared" si="360"/>
        <v>Red</v>
      </c>
      <c r="P1122" t="str">
        <f t="shared" si="361"/>
        <v>Red</v>
      </c>
      <c r="Q1122" t="str">
        <f t="shared" si="362"/>
        <v>Green</v>
      </c>
      <c r="R1122" t="str">
        <f t="shared" si="363"/>
        <v>Red</v>
      </c>
      <c r="S1122" t="str">
        <f t="shared" si="364"/>
        <v>Green</v>
      </c>
      <c r="T1122" t="str">
        <f t="shared" si="365"/>
        <v>Green</v>
      </c>
      <c r="U1122" t="str">
        <f t="shared" si="366"/>
        <v>Red</v>
      </c>
      <c r="V1122" t="str">
        <f t="shared" si="367"/>
        <v>Red</v>
      </c>
      <c r="W1122" t="str">
        <f t="shared" si="368"/>
        <v>Green</v>
      </c>
      <c r="X1122" t="str">
        <f t="shared" si="369"/>
        <v>Green</v>
      </c>
      <c r="Y1122" t="str">
        <f t="shared" si="370"/>
        <v>Green</v>
      </c>
      <c r="Z1122" t="str">
        <f t="shared" si="371"/>
        <v>Green</v>
      </c>
      <c r="AA1122" t="str">
        <f t="shared" si="372"/>
        <v>Red</v>
      </c>
      <c r="AB1122" t="str">
        <f t="shared" si="373"/>
        <v>Red</v>
      </c>
      <c r="AC1122" t="str">
        <f t="shared" si="374"/>
        <v>Red</v>
      </c>
      <c r="AD1122" t="str">
        <f t="shared" si="375"/>
        <v>Green</v>
      </c>
    </row>
    <row r="1123" spans="1:30" x14ac:dyDescent="0.2">
      <c r="A1123" t="str">
        <f>L1122&amp;F1123&amp;G1123</f>
        <v>25/07/2026HarstadFauske/Sprint</v>
      </c>
      <c r="D1123" s="2">
        <v>46228</v>
      </c>
      <c r="E1123" s="3">
        <v>0.5</v>
      </c>
      <c r="F1123" t="s">
        <v>3500</v>
      </c>
      <c r="G1123" t="s">
        <v>3501</v>
      </c>
      <c r="H1123">
        <v>5</v>
      </c>
      <c r="I1123">
        <v>0</v>
      </c>
      <c r="J1123">
        <v>10</v>
      </c>
      <c r="K1123">
        <v>1</v>
      </c>
      <c r="L1123" s="22" t="str">
        <f t="shared" si="357"/>
        <v>25/07/2026</v>
      </c>
      <c r="M1123" s="23">
        <f t="shared" si="358"/>
        <v>0.375</v>
      </c>
      <c r="N1123" t="str">
        <f t="shared" si="359"/>
        <v>10 - 1</v>
      </c>
      <c r="O1123" t="str">
        <f t="shared" si="360"/>
        <v>Green</v>
      </c>
      <c r="P1123" t="str">
        <f t="shared" si="361"/>
        <v>Red</v>
      </c>
      <c r="Q1123" t="str">
        <f t="shared" si="362"/>
        <v>Red</v>
      </c>
      <c r="R1123" t="str">
        <f t="shared" si="363"/>
        <v>Green</v>
      </c>
      <c r="S1123" t="str">
        <f t="shared" si="364"/>
        <v>Red</v>
      </c>
      <c r="T1123" t="str">
        <f t="shared" si="365"/>
        <v>Green</v>
      </c>
      <c r="U1123" t="str">
        <f t="shared" si="366"/>
        <v>Green</v>
      </c>
      <c r="V1123" t="str">
        <f t="shared" si="367"/>
        <v>Red</v>
      </c>
      <c r="W1123" t="str">
        <f t="shared" si="368"/>
        <v>Red</v>
      </c>
      <c r="X1123" t="str">
        <f t="shared" si="369"/>
        <v>Green</v>
      </c>
      <c r="Y1123" t="str">
        <f t="shared" si="370"/>
        <v>Green</v>
      </c>
      <c r="Z1123" t="str">
        <f t="shared" si="371"/>
        <v>Green</v>
      </c>
      <c r="AA1123" t="str">
        <f t="shared" si="372"/>
        <v>Red</v>
      </c>
      <c r="AB1123" t="str">
        <f t="shared" si="373"/>
        <v>Red</v>
      </c>
      <c r="AC1123" t="str">
        <f t="shared" si="374"/>
        <v>Green</v>
      </c>
      <c r="AD1123" t="str">
        <f t="shared" si="375"/>
        <v>Red</v>
      </c>
    </row>
    <row r="1124" spans="1:30" x14ac:dyDescent="0.2">
      <c r="A1124" t="str">
        <f>L1123&amp;F1124&amp;G1124</f>
        <v>25/07/2026Drobak/FrognBrumunddal</v>
      </c>
      <c r="D1124" s="2">
        <v>46228</v>
      </c>
      <c r="E1124" s="3">
        <v>0.5</v>
      </c>
      <c r="F1124" t="s">
        <v>3510</v>
      </c>
      <c r="G1124" t="s">
        <v>3511</v>
      </c>
      <c r="H1124">
        <v>2</v>
      </c>
      <c r="I1124">
        <v>0</v>
      </c>
      <c r="J1124">
        <v>7</v>
      </c>
      <c r="K1124">
        <v>1</v>
      </c>
      <c r="L1124" s="22" t="str">
        <f t="shared" si="357"/>
        <v>25/07/2026</v>
      </c>
      <c r="M1124" s="23">
        <f t="shared" si="358"/>
        <v>0.375</v>
      </c>
      <c r="N1124" t="str">
        <f t="shared" si="359"/>
        <v>7 - 1</v>
      </c>
      <c r="O1124" t="str">
        <f t="shared" si="360"/>
        <v>Green</v>
      </c>
      <c r="P1124" t="str">
        <f t="shared" si="361"/>
        <v>Red</v>
      </c>
      <c r="Q1124" t="str">
        <f t="shared" si="362"/>
        <v>Red</v>
      </c>
      <c r="R1124" t="str">
        <f t="shared" si="363"/>
        <v>Green</v>
      </c>
      <c r="S1124" t="str">
        <f t="shared" si="364"/>
        <v>Red</v>
      </c>
      <c r="T1124" t="str">
        <f t="shared" si="365"/>
        <v>Green</v>
      </c>
      <c r="U1124" t="str">
        <f t="shared" si="366"/>
        <v>Green</v>
      </c>
      <c r="V1124" t="str">
        <f t="shared" si="367"/>
        <v>Red</v>
      </c>
      <c r="W1124" t="str">
        <f t="shared" si="368"/>
        <v>Red</v>
      </c>
      <c r="X1124" t="str">
        <f t="shared" si="369"/>
        <v>Green</v>
      </c>
      <c r="Y1124" t="str">
        <f t="shared" si="370"/>
        <v>Green</v>
      </c>
      <c r="Z1124" t="str">
        <f t="shared" si="371"/>
        <v>Green</v>
      </c>
      <c r="AA1124" t="str">
        <f t="shared" si="372"/>
        <v>Red</v>
      </c>
      <c r="AB1124" t="str">
        <f t="shared" si="373"/>
        <v>Red</v>
      </c>
      <c r="AC1124" t="str">
        <f t="shared" si="374"/>
        <v>Green</v>
      </c>
      <c r="AD1124" t="str">
        <f t="shared" si="375"/>
        <v>Red</v>
      </c>
    </row>
    <row r="1125" spans="1:30" x14ac:dyDescent="0.2">
      <c r="A1125" t="str">
        <f>L1124&amp;F1125&amp;G1125</f>
        <v>25/07/2026Kvant ObninskMetallurg Lipetsk</v>
      </c>
      <c r="D1125" s="2">
        <v>46228</v>
      </c>
      <c r="E1125" s="3">
        <v>0.5</v>
      </c>
      <c r="F1125" t="s">
        <v>3593</v>
      </c>
      <c r="G1125" t="s">
        <v>3594</v>
      </c>
      <c r="H1125">
        <v>0</v>
      </c>
      <c r="I1125">
        <v>0</v>
      </c>
      <c r="J1125">
        <v>2</v>
      </c>
      <c r="K1125">
        <v>2</v>
      </c>
      <c r="L1125" s="22" t="str">
        <f t="shared" si="357"/>
        <v>25/07/2026</v>
      </c>
      <c r="M1125" s="23">
        <f t="shared" si="358"/>
        <v>0.375</v>
      </c>
      <c r="N1125" t="str">
        <f t="shared" si="359"/>
        <v>2 - 2</v>
      </c>
      <c r="O1125" t="str">
        <f t="shared" si="360"/>
        <v>Red</v>
      </c>
      <c r="P1125" t="str">
        <f t="shared" si="361"/>
        <v>Green</v>
      </c>
      <c r="Q1125" t="str">
        <f t="shared" si="362"/>
        <v>Red</v>
      </c>
      <c r="R1125" t="str">
        <f t="shared" si="363"/>
        <v>Green</v>
      </c>
      <c r="S1125" t="str">
        <f t="shared" si="364"/>
        <v>Green</v>
      </c>
      <c r="T1125" t="str">
        <f t="shared" si="365"/>
        <v>Red</v>
      </c>
      <c r="U1125" t="str">
        <f t="shared" si="366"/>
        <v>Red</v>
      </c>
      <c r="V1125" t="str">
        <f t="shared" si="367"/>
        <v>Green</v>
      </c>
      <c r="W1125" t="str">
        <f t="shared" si="368"/>
        <v>Red</v>
      </c>
      <c r="X1125" t="str">
        <f t="shared" si="369"/>
        <v>Red</v>
      </c>
      <c r="Y1125" t="str">
        <f t="shared" si="370"/>
        <v>Green</v>
      </c>
      <c r="Z1125" t="str">
        <f t="shared" si="371"/>
        <v>Green</v>
      </c>
      <c r="AA1125" t="str">
        <f t="shared" si="372"/>
        <v>Red</v>
      </c>
      <c r="AB1125" t="str">
        <f t="shared" si="373"/>
        <v>Red</v>
      </c>
      <c r="AC1125" t="str">
        <f t="shared" si="374"/>
        <v>Green</v>
      </c>
      <c r="AD1125" t="str">
        <f t="shared" si="375"/>
        <v>Red</v>
      </c>
    </row>
    <row r="1126" spans="1:30" x14ac:dyDescent="0.2">
      <c r="A1126" t="str">
        <f>L1125&amp;F1126&amp;G1126</f>
        <v>25/07/2026Halmstads U19IK Sirius U19</v>
      </c>
      <c r="B1126" t="s">
        <v>827</v>
      </c>
      <c r="D1126" s="2">
        <v>46228</v>
      </c>
      <c r="E1126" s="3">
        <v>0.5</v>
      </c>
      <c r="F1126" t="s">
        <v>3660</v>
      </c>
      <c r="G1126" t="s">
        <v>3661</v>
      </c>
      <c r="H1126">
        <v>0</v>
      </c>
      <c r="I1126">
        <v>0</v>
      </c>
      <c r="J1126">
        <v>3</v>
      </c>
      <c r="K1126">
        <v>4</v>
      </c>
      <c r="L1126" s="22" t="str">
        <f t="shared" si="357"/>
        <v>25/07/2026</v>
      </c>
      <c r="M1126" s="23">
        <f t="shared" si="358"/>
        <v>0.375</v>
      </c>
      <c r="N1126" t="str">
        <f t="shared" si="359"/>
        <v>3 - 4</v>
      </c>
      <c r="O1126" t="str">
        <f t="shared" si="360"/>
        <v>Red</v>
      </c>
      <c r="P1126" t="str">
        <f t="shared" si="361"/>
        <v>Red</v>
      </c>
      <c r="Q1126" t="str">
        <f t="shared" si="362"/>
        <v>Green</v>
      </c>
      <c r="R1126" t="str">
        <f t="shared" si="363"/>
        <v>Red</v>
      </c>
      <c r="S1126" t="str">
        <f t="shared" si="364"/>
        <v>Green</v>
      </c>
      <c r="T1126" t="str">
        <f t="shared" si="365"/>
        <v>Green</v>
      </c>
      <c r="U1126" t="str">
        <f t="shared" si="366"/>
        <v>Red</v>
      </c>
      <c r="V1126" t="str">
        <f t="shared" si="367"/>
        <v>Green</v>
      </c>
      <c r="W1126" t="str">
        <f t="shared" si="368"/>
        <v>Red</v>
      </c>
      <c r="X1126" t="str">
        <f t="shared" si="369"/>
        <v>Red</v>
      </c>
      <c r="Y1126" t="str">
        <f t="shared" si="370"/>
        <v>Green</v>
      </c>
      <c r="Z1126" t="str">
        <f t="shared" si="371"/>
        <v>Green</v>
      </c>
      <c r="AA1126" t="str">
        <f t="shared" si="372"/>
        <v>Red</v>
      </c>
      <c r="AB1126" t="str">
        <f t="shared" si="373"/>
        <v>Red</v>
      </c>
      <c r="AC1126" t="str">
        <f t="shared" si="374"/>
        <v>Green</v>
      </c>
      <c r="AD1126" t="str">
        <f t="shared" si="375"/>
        <v>Red</v>
      </c>
    </row>
    <row r="1127" spans="1:30" x14ac:dyDescent="0.2">
      <c r="A1127" t="str">
        <f>L1126&amp;F1127&amp;G1127</f>
        <v>25/07/2026Orebro SK WomenJitex BK Women</v>
      </c>
      <c r="B1127" t="s">
        <v>827</v>
      </c>
      <c r="D1127" s="2">
        <v>46228</v>
      </c>
      <c r="E1127" s="3">
        <v>0.5</v>
      </c>
      <c r="F1127" t="s">
        <v>3676</v>
      </c>
      <c r="G1127" t="s">
        <v>3677</v>
      </c>
      <c r="H1127">
        <v>2</v>
      </c>
      <c r="I1127">
        <v>1</v>
      </c>
      <c r="J1127">
        <v>2</v>
      </c>
      <c r="K1127">
        <v>3</v>
      </c>
      <c r="L1127" s="22" t="str">
        <f t="shared" si="357"/>
        <v>25/07/2026</v>
      </c>
      <c r="M1127" s="23">
        <f t="shared" si="358"/>
        <v>0.375</v>
      </c>
      <c r="N1127" t="str">
        <f t="shared" si="359"/>
        <v>2 - 3</v>
      </c>
      <c r="O1127" t="str">
        <f t="shared" si="360"/>
        <v>Red</v>
      </c>
      <c r="P1127" t="str">
        <f t="shared" si="361"/>
        <v>Red</v>
      </c>
      <c r="Q1127" t="str">
        <f t="shared" si="362"/>
        <v>Green</v>
      </c>
      <c r="R1127" t="str">
        <f t="shared" si="363"/>
        <v>Red</v>
      </c>
      <c r="S1127" t="str">
        <f t="shared" si="364"/>
        <v>Green</v>
      </c>
      <c r="T1127" t="str">
        <f t="shared" si="365"/>
        <v>Green</v>
      </c>
      <c r="U1127" t="str">
        <f t="shared" si="366"/>
        <v>Green</v>
      </c>
      <c r="V1127" t="str">
        <f t="shared" si="367"/>
        <v>Red</v>
      </c>
      <c r="W1127" t="str">
        <f t="shared" si="368"/>
        <v>Red</v>
      </c>
      <c r="X1127" t="str">
        <f t="shared" si="369"/>
        <v>Green</v>
      </c>
      <c r="Y1127" t="str">
        <f t="shared" si="370"/>
        <v>Green</v>
      </c>
      <c r="Z1127" t="str">
        <f t="shared" si="371"/>
        <v>Green</v>
      </c>
      <c r="AA1127" t="str">
        <f t="shared" si="372"/>
        <v>Red</v>
      </c>
      <c r="AB1127" t="str">
        <f t="shared" si="373"/>
        <v>Red</v>
      </c>
      <c r="AC1127" t="str">
        <f t="shared" si="374"/>
        <v>Green</v>
      </c>
      <c r="AD1127" t="str">
        <f t="shared" si="375"/>
        <v>Red</v>
      </c>
    </row>
    <row r="1128" spans="1:30" x14ac:dyDescent="0.2">
      <c r="A1128" t="str">
        <f>L1127&amp;F1128&amp;G1128</f>
        <v>25/07/2026AugsburgFC Saarbrucken</v>
      </c>
      <c r="D1128" s="2">
        <v>46228</v>
      </c>
      <c r="E1128" s="3">
        <v>0.5</v>
      </c>
      <c r="F1128" t="s">
        <v>3793</v>
      </c>
      <c r="G1128" t="s">
        <v>3794</v>
      </c>
      <c r="H1128">
        <v>0</v>
      </c>
      <c r="I1128">
        <v>1</v>
      </c>
      <c r="J1128">
        <v>1</v>
      </c>
      <c r="K1128">
        <v>1</v>
      </c>
      <c r="L1128" s="22" t="str">
        <f t="shared" si="357"/>
        <v>25/07/2026</v>
      </c>
      <c r="M1128" s="23">
        <f t="shared" si="358"/>
        <v>0.375</v>
      </c>
      <c r="N1128" t="str">
        <f t="shared" si="359"/>
        <v>1 - 1</v>
      </c>
      <c r="O1128" t="str">
        <f t="shared" si="360"/>
        <v>Red</v>
      </c>
      <c r="P1128" t="str">
        <f t="shared" si="361"/>
        <v>Green</v>
      </c>
      <c r="Q1128" t="str">
        <f t="shared" si="362"/>
        <v>Red</v>
      </c>
      <c r="R1128" t="str">
        <f t="shared" si="363"/>
        <v>Green</v>
      </c>
      <c r="S1128" t="str">
        <f t="shared" si="364"/>
        <v>Green</v>
      </c>
      <c r="T1128" t="str">
        <f t="shared" si="365"/>
        <v>Red</v>
      </c>
      <c r="U1128" t="str">
        <f t="shared" si="366"/>
        <v>Red</v>
      </c>
      <c r="V1128" t="str">
        <f t="shared" si="367"/>
        <v>Red</v>
      </c>
      <c r="W1128" t="str">
        <f t="shared" si="368"/>
        <v>Green</v>
      </c>
      <c r="X1128" t="str">
        <f t="shared" si="369"/>
        <v>Green</v>
      </c>
      <c r="Y1128" t="str">
        <f t="shared" si="370"/>
        <v>Green</v>
      </c>
      <c r="Z1128" t="str">
        <f t="shared" si="371"/>
        <v>Red</v>
      </c>
      <c r="AA1128" t="str">
        <f t="shared" si="372"/>
        <v>Green</v>
      </c>
      <c r="AB1128" t="str">
        <f t="shared" si="373"/>
        <v>Green</v>
      </c>
      <c r="AC1128" t="str">
        <f t="shared" si="374"/>
        <v>Green</v>
      </c>
      <c r="AD1128" t="str">
        <f t="shared" si="375"/>
        <v>Red</v>
      </c>
    </row>
    <row r="1129" spans="1:30" x14ac:dyDescent="0.2">
      <c r="A1129" t="str">
        <f>L1128&amp;F1129&amp;G1129</f>
        <v>25/07/2026Brightlingsea RegentAveley</v>
      </c>
      <c r="D1129" s="2">
        <v>46228</v>
      </c>
      <c r="E1129" s="3">
        <v>0.5</v>
      </c>
      <c r="F1129" t="s">
        <v>3795</v>
      </c>
      <c r="G1129" t="s">
        <v>3796</v>
      </c>
      <c r="H1129">
        <v>0</v>
      </c>
      <c r="I1129">
        <v>1</v>
      </c>
      <c r="J1129">
        <v>1</v>
      </c>
      <c r="K1129">
        <v>5</v>
      </c>
      <c r="L1129" s="22" t="str">
        <f t="shared" si="357"/>
        <v>25/07/2026</v>
      </c>
      <c r="M1129" s="23">
        <f t="shared" si="358"/>
        <v>0.375</v>
      </c>
      <c r="N1129" t="str">
        <f t="shared" si="359"/>
        <v>1 - 5</v>
      </c>
      <c r="O1129" t="str">
        <f t="shared" si="360"/>
        <v>Red</v>
      </c>
      <c r="P1129" t="str">
        <f t="shared" si="361"/>
        <v>Red</v>
      </c>
      <c r="Q1129" t="str">
        <f t="shared" si="362"/>
        <v>Green</v>
      </c>
      <c r="R1129" t="str">
        <f t="shared" si="363"/>
        <v>Red</v>
      </c>
      <c r="S1129" t="str">
        <f t="shared" si="364"/>
        <v>Green</v>
      </c>
      <c r="T1129" t="str">
        <f t="shared" si="365"/>
        <v>Green</v>
      </c>
      <c r="U1129" t="str">
        <f t="shared" si="366"/>
        <v>Red</v>
      </c>
      <c r="V1129" t="str">
        <f t="shared" si="367"/>
        <v>Red</v>
      </c>
      <c r="W1129" t="str">
        <f t="shared" si="368"/>
        <v>Green</v>
      </c>
      <c r="X1129" t="str">
        <f t="shared" si="369"/>
        <v>Green</v>
      </c>
      <c r="Y1129" t="str">
        <f t="shared" si="370"/>
        <v>Green</v>
      </c>
      <c r="Z1129" t="str">
        <f t="shared" si="371"/>
        <v>Green</v>
      </c>
      <c r="AA1129" t="str">
        <f t="shared" si="372"/>
        <v>Red</v>
      </c>
      <c r="AB1129" t="str">
        <f t="shared" si="373"/>
        <v>Red</v>
      </c>
      <c r="AC1129" t="str">
        <f t="shared" si="374"/>
        <v>Green</v>
      </c>
      <c r="AD1129" t="str">
        <f t="shared" si="375"/>
        <v>Red</v>
      </c>
    </row>
    <row r="1130" spans="1:30" x14ac:dyDescent="0.2">
      <c r="A1130" t="str">
        <f>L1129&amp;F1130&amp;G1130</f>
        <v>25/07/2026Coleshill TownRC Warwick</v>
      </c>
      <c r="D1130" s="2">
        <v>46228</v>
      </c>
      <c r="E1130" s="3">
        <v>0.5</v>
      </c>
      <c r="F1130" t="s">
        <v>3797</v>
      </c>
      <c r="G1130" t="s">
        <v>3798</v>
      </c>
      <c r="H1130">
        <v>0</v>
      </c>
      <c r="I1130">
        <v>0</v>
      </c>
      <c r="J1130">
        <v>2</v>
      </c>
      <c r="K1130">
        <v>2</v>
      </c>
      <c r="L1130" s="22" t="str">
        <f t="shared" si="357"/>
        <v>25/07/2026</v>
      </c>
      <c r="M1130" s="23">
        <f t="shared" si="358"/>
        <v>0.375</v>
      </c>
      <c r="N1130" t="str">
        <f t="shared" si="359"/>
        <v>2 - 2</v>
      </c>
      <c r="O1130" t="str">
        <f t="shared" si="360"/>
        <v>Red</v>
      </c>
      <c r="P1130" t="str">
        <f t="shared" si="361"/>
        <v>Green</v>
      </c>
      <c r="Q1130" t="str">
        <f t="shared" si="362"/>
        <v>Red</v>
      </c>
      <c r="R1130" t="str">
        <f t="shared" si="363"/>
        <v>Green</v>
      </c>
      <c r="S1130" t="str">
        <f t="shared" si="364"/>
        <v>Green</v>
      </c>
      <c r="T1130" t="str">
        <f t="shared" si="365"/>
        <v>Red</v>
      </c>
      <c r="U1130" t="str">
        <f t="shared" si="366"/>
        <v>Red</v>
      </c>
      <c r="V1130" t="str">
        <f t="shared" si="367"/>
        <v>Green</v>
      </c>
      <c r="W1130" t="str">
        <f t="shared" si="368"/>
        <v>Red</v>
      </c>
      <c r="X1130" t="str">
        <f t="shared" si="369"/>
        <v>Red</v>
      </c>
      <c r="Y1130" t="str">
        <f t="shared" si="370"/>
        <v>Green</v>
      </c>
      <c r="Z1130" t="str">
        <f t="shared" si="371"/>
        <v>Green</v>
      </c>
      <c r="AA1130" t="str">
        <f t="shared" si="372"/>
        <v>Red</v>
      </c>
      <c r="AB1130" t="str">
        <f t="shared" si="373"/>
        <v>Red</v>
      </c>
      <c r="AC1130" t="str">
        <f t="shared" si="374"/>
        <v>Green</v>
      </c>
      <c r="AD1130" t="str">
        <f t="shared" si="375"/>
        <v>Red</v>
      </c>
    </row>
    <row r="1131" spans="1:30" x14ac:dyDescent="0.2">
      <c r="A1131" t="str">
        <f>L1130&amp;F1131&amp;G1131</f>
        <v>25/07/2026FamalicaoCD Tondela</v>
      </c>
      <c r="D1131" s="2">
        <v>46228</v>
      </c>
      <c r="E1131" s="3">
        <v>0.5</v>
      </c>
      <c r="F1131" t="s">
        <v>1606</v>
      </c>
      <c r="G1131" t="s">
        <v>3799</v>
      </c>
      <c r="H1131">
        <v>0</v>
      </c>
      <c r="I1131">
        <v>0</v>
      </c>
      <c r="J1131">
        <v>1</v>
      </c>
      <c r="K1131">
        <v>0</v>
      </c>
      <c r="L1131" s="22" t="str">
        <f t="shared" si="357"/>
        <v>25/07/2026</v>
      </c>
      <c r="M1131" s="23">
        <f t="shared" si="358"/>
        <v>0.375</v>
      </c>
      <c r="N1131" t="str">
        <f t="shared" si="359"/>
        <v>1 - 0</v>
      </c>
      <c r="O1131" t="str">
        <f t="shared" si="360"/>
        <v>Green</v>
      </c>
      <c r="P1131" t="str">
        <f t="shared" si="361"/>
        <v>Red</v>
      </c>
      <c r="Q1131" t="str">
        <f t="shared" si="362"/>
        <v>Red</v>
      </c>
      <c r="R1131" t="str">
        <f t="shared" si="363"/>
        <v>Green</v>
      </c>
      <c r="S1131" t="str">
        <f t="shared" si="364"/>
        <v>Red</v>
      </c>
      <c r="T1131" t="str">
        <f t="shared" si="365"/>
        <v>Green</v>
      </c>
      <c r="U1131" t="str">
        <f t="shared" si="366"/>
        <v>Red</v>
      </c>
      <c r="V1131" t="str">
        <f t="shared" si="367"/>
        <v>Green</v>
      </c>
      <c r="W1131" t="str">
        <f t="shared" si="368"/>
        <v>Red</v>
      </c>
      <c r="X1131" t="str">
        <f t="shared" si="369"/>
        <v>Red</v>
      </c>
      <c r="Y1131" t="str">
        <f t="shared" si="370"/>
        <v>Red</v>
      </c>
      <c r="Z1131" t="str">
        <f t="shared" si="371"/>
        <v>Red</v>
      </c>
      <c r="AA1131" t="str">
        <f t="shared" si="372"/>
        <v>Green</v>
      </c>
      <c r="AB1131" t="str">
        <f t="shared" si="373"/>
        <v>Green</v>
      </c>
      <c r="AC1131" t="str">
        <f t="shared" si="374"/>
        <v>Red</v>
      </c>
      <c r="AD1131" t="str">
        <f t="shared" si="375"/>
        <v>Green</v>
      </c>
    </row>
    <row r="1132" spans="1:30" x14ac:dyDescent="0.2">
      <c r="A1132" t="str">
        <f>L1131&amp;F1132&amp;G1132</f>
        <v>25/07/2026Hanwell TownAldershot Town</v>
      </c>
      <c r="D1132" s="2">
        <v>46228</v>
      </c>
      <c r="E1132" s="3">
        <v>0.5</v>
      </c>
      <c r="F1132" t="s">
        <v>3800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57"/>
        <v>25/07/2026</v>
      </c>
      <c r="M1132" s="23">
        <f t="shared" si="358"/>
        <v>0.375</v>
      </c>
      <c r="N1132" t="str">
        <f t="shared" si="359"/>
        <v>0 - 2</v>
      </c>
      <c r="O1132" t="str">
        <f t="shared" si="360"/>
        <v>Red</v>
      </c>
      <c r="P1132" t="str">
        <f t="shared" si="361"/>
        <v>Red</v>
      </c>
      <c r="Q1132" t="str">
        <f t="shared" si="362"/>
        <v>Green</v>
      </c>
      <c r="R1132" t="str">
        <f t="shared" si="363"/>
        <v>Red</v>
      </c>
      <c r="S1132" t="str">
        <f t="shared" si="364"/>
        <v>Green</v>
      </c>
      <c r="T1132" t="str">
        <f t="shared" si="365"/>
        <v>Green</v>
      </c>
      <c r="U1132" t="str">
        <f t="shared" si="366"/>
        <v>Red</v>
      </c>
      <c r="V1132" t="str">
        <f t="shared" si="367"/>
        <v>Red</v>
      </c>
      <c r="W1132" t="str">
        <f t="shared" si="368"/>
        <v>Green</v>
      </c>
      <c r="X1132" t="str">
        <f t="shared" si="369"/>
        <v>Green</v>
      </c>
      <c r="Y1132" t="str">
        <f t="shared" si="370"/>
        <v>Green</v>
      </c>
      <c r="Z1132" t="str">
        <f t="shared" si="371"/>
        <v>Red</v>
      </c>
      <c r="AA1132" t="str">
        <f t="shared" si="372"/>
        <v>Green</v>
      </c>
      <c r="AB1132" t="str">
        <f t="shared" si="373"/>
        <v>Green</v>
      </c>
      <c r="AC1132" t="str">
        <f t="shared" si="374"/>
        <v>Red</v>
      </c>
      <c r="AD1132" t="str">
        <f t="shared" si="375"/>
        <v>Green</v>
      </c>
    </row>
    <row r="1133" spans="1:30" x14ac:dyDescent="0.2">
      <c r="A1133" t="str">
        <f>L1132&amp;F1133&amp;G1133</f>
        <v>25/07/2026MetzFortuna Sittard</v>
      </c>
      <c r="D1133" s="2">
        <v>46228</v>
      </c>
      <c r="E1133" s="3">
        <v>0.5</v>
      </c>
      <c r="F1133" t="s">
        <v>1654</v>
      </c>
      <c r="G1133" t="s">
        <v>3801</v>
      </c>
      <c r="H1133">
        <v>1</v>
      </c>
      <c r="I1133">
        <v>1</v>
      </c>
      <c r="J1133">
        <v>3</v>
      </c>
      <c r="K1133">
        <v>1</v>
      </c>
      <c r="L1133" s="22" t="str">
        <f t="shared" si="357"/>
        <v>25/07/2026</v>
      </c>
      <c r="M1133" s="23">
        <f t="shared" si="358"/>
        <v>0.375</v>
      </c>
      <c r="N1133" t="str">
        <f t="shared" si="359"/>
        <v>3 - 1</v>
      </c>
      <c r="O1133" t="str">
        <f t="shared" si="360"/>
        <v>Green</v>
      </c>
      <c r="P1133" t="str">
        <f t="shared" si="361"/>
        <v>Red</v>
      </c>
      <c r="Q1133" t="str">
        <f t="shared" si="362"/>
        <v>Red</v>
      </c>
      <c r="R1133" t="str">
        <f t="shared" si="363"/>
        <v>Green</v>
      </c>
      <c r="S1133" t="str">
        <f t="shared" si="364"/>
        <v>Red</v>
      </c>
      <c r="T1133" t="str">
        <f t="shared" si="365"/>
        <v>Green</v>
      </c>
      <c r="U1133" t="str">
        <f t="shared" si="366"/>
        <v>Red</v>
      </c>
      <c r="V1133" t="str">
        <f t="shared" si="367"/>
        <v>Green</v>
      </c>
      <c r="W1133" t="str">
        <f t="shared" si="368"/>
        <v>Red</v>
      </c>
      <c r="X1133" t="str">
        <f t="shared" si="369"/>
        <v>Green</v>
      </c>
      <c r="Y1133" t="str">
        <f t="shared" si="370"/>
        <v>Green</v>
      </c>
      <c r="Z1133" t="str">
        <f t="shared" si="371"/>
        <v>Green</v>
      </c>
      <c r="AA1133" t="str">
        <f t="shared" si="372"/>
        <v>Red</v>
      </c>
      <c r="AB1133" t="str">
        <f t="shared" si="373"/>
        <v>Red</v>
      </c>
      <c r="AC1133" t="str">
        <f t="shared" si="374"/>
        <v>Green</v>
      </c>
      <c r="AD1133" t="str">
        <f t="shared" si="375"/>
        <v>Red</v>
      </c>
    </row>
    <row r="1134" spans="1:30" x14ac:dyDescent="0.2">
      <c r="A1134" t="str">
        <f>L1133&amp;F1134&amp;G1134</f>
        <v>25/07/2026NEC NijmegenSV Elversberg</v>
      </c>
      <c r="D1134" s="2">
        <v>46228</v>
      </c>
      <c r="E1134" s="3">
        <v>0.5</v>
      </c>
      <c r="F1134" t="s">
        <v>3802</v>
      </c>
      <c r="G1134" t="s">
        <v>3803</v>
      </c>
      <c r="H1134">
        <v>0</v>
      </c>
      <c r="I1134">
        <v>0</v>
      </c>
      <c r="J1134">
        <v>0</v>
      </c>
      <c r="K1134">
        <v>1</v>
      </c>
      <c r="L1134" s="22" t="str">
        <f t="shared" si="357"/>
        <v>25/07/2026</v>
      </c>
      <c r="M1134" s="23">
        <f t="shared" si="358"/>
        <v>0.375</v>
      </c>
      <c r="N1134" t="str">
        <f t="shared" si="359"/>
        <v>0 - 1</v>
      </c>
      <c r="O1134" t="str">
        <f t="shared" si="360"/>
        <v>Red</v>
      </c>
      <c r="P1134" t="str">
        <f t="shared" si="361"/>
        <v>Red</v>
      </c>
      <c r="Q1134" t="str">
        <f t="shared" si="362"/>
        <v>Green</v>
      </c>
      <c r="R1134" t="str">
        <f t="shared" si="363"/>
        <v>Red</v>
      </c>
      <c r="S1134" t="str">
        <f t="shared" si="364"/>
        <v>Green</v>
      </c>
      <c r="T1134" t="str">
        <f t="shared" si="365"/>
        <v>Green</v>
      </c>
      <c r="U1134" t="str">
        <f t="shared" si="366"/>
        <v>Red</v>
      </c>
      <c r="V1134" t="str">
        <f t="shared" si="367"/>
        <v>Green</v>
      </c>
      <c r="W1134" t="str">
        <f t="shared" si="368"/>
        <v>Red</v>
      </c>
      <c r="X1134" t="str">
        <f t="shared" si="369"/>
        <v>Red</v>
      </c>
      <c r="Y1134" t="str">
        <f t="shared" si="370"/>
        <v>Red</v>
      </c>
      <c r="Z1134" t="str">
        <f t="shared" si="371"/>
        <v>Red</v>
      </c>
      <c r="AA1134" t="str">
        <f t="shared" si="372"/>
        <v>Green</v>
      </c>
      <c r="AB1134" t="str">
        <f t="shared" si="373"/>
        <v>Green</v>
      </c>
      <c r="AC1134" t="str">
        <f t="shared" si="374"/>
        <v>Red</v>
      </c>
      <c r="AD1134" t="str">
        <f t="shared" si="375"/>
        <v>Green</v>
      </c>
    </row>
    <row r="1135" spans="1:30" x14ac:dyDescent="0.2">
      <c r="A1135" t="str">
        <f>L1134&amp;F1135&amp;G1135</f>
        <v>25/07/2026QuornHarborough Town</v>
      </c>
      <c r="D1135" s="2">
        <v>46228</v>
      </c>
      <c r="E1135" s="3">
        <v>0.5</v>
      </c>
      <c r="F1135" t="s">
        <v>3804</v>
      </c>
      <c r="G1135" t="s">
        <v>3805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76">DAY(D1135)&amp;"/"&amp;"07"&amp;"/"&amp;YEAR(D1135)</f>
        <v>25/07/2026</v>
      </c>
      <c r="M1135" s="23">
        <f t="shared" ref="M1135:M1198" si="377">E1135-TIME(3,0,0)</f>
        <v>0.375</v>
      </c>
      <c r="N1135" t="str">
        <f t="shared" ref="N1135:N1198" si="378">J1135&amp;" - "&amp;K1135</f>
        <v>2 - 2</v>
      </c>
      <c r="O1135" t="str">
        <f t="shared" si="360"/>
        <v>Red</v>
      </c>
      <c r="P1135" t="str">
        <f t="shared" si="361"/>
        <v>Green</v>
      </c>
      <c r="Q1135" t="str">
        <f t="shared" si="362"/>
        <v>Red</v>
      </c>
      <c r="R1135" t="str">
        <f t="shared" si="363"/>
        <v>Green</v>
      </c>
      <c r="S1135" t="str">
        <f t="shared" si="364"/>
        <v>Green</v>
      </c>
      <c r="T1135" t="str">
        <f t="shared" si="365"/>
        <v>Red</v>
      </c>
      <c r="U1135" t="str">
        <f t="shared" si="366"/>
        <v>Green</v>
      </c>
      <c r="V1135" t="str">
        <f t="shared" si="367"/>
        <v>Red</v>
      </c>
      <c r="W1135" t="str">
        <f t="shared" si="368"/>
        <v>Red</v>
      </c>
      <c r="X1135" t="str">
        <f t="shared" si="369"/>
        <v>Green</v>
      </c>
      <c r="Y1135" t="str">
        <f t="shared" si="370"/>
        <v>Green</v>
      </c>
      <c r="Z1135" t="str">
        <f t="shared" si="371"/>
        <v>Green</v>
      </c>
      <c r="AA1135" t="str">
        <f t="shared" si="372"/>
        <v>Red</v>
      </c>
      <c r="AB1135" t="str">
        <f t="shared" si="373"/>
        <v>Red</v>
      </c>
      <c r="AC1135" t="str">
        <f t="shared" si="374"/>
        <v>Green</v>
      </c>
      <c r="AD1135" t="str">
        <f t="shared" si="375"/>
        <v>Red</v>
      </c>
    </row>
    <row r="1136" spans="1:30" x14ac:dyDescent="0.2">
      <c r="A1136" t="str">
        <f>L1135&amp;F1136&amp;G1136</f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76"/>
        <v>25/07/2026</v>
      </c>
      <c r="M1136" s="23">
        <f t="shared" si="377"/>
        <v>0.375</v>
      </c>
      <c r="N1136" t="str">
        <f t="shared" si="378"/>
        <v>0 - 0</v>
      </c>
      <c r="O1136" t="str">
        <f t="shared" si="360"/>
        <v>Red</v>
      </c>
      <c r="P1136" t="str">
        <f t="shared" si="361"/>
        <v>Green</v>
      </c>
      <c r="Q1136" t="str">
        <f t="shared" si="362"/>
        <v>Red</v>
      </c>
      <c r="R1136" t="str">
        <f t="shared" si="363"/>
        <v>Green</v>
      </c>
      <c r="S1136" t="str">
        <f t="shared" si="364"/>
        <v>Green</v>
      </c>
      <c r="T1136" t="str">
        <f t="shared" si="365"/>
        <v>Red</v>
      </c>
      <c r="U1136" t="str">
        <f t="shared" si="366"/>
        <v>Red</v>
      </c>
      <c r="V1136" t="str">
        <f t="shared" si="367"/>
        <v>Green</v>
      </c>
      <c r="W1136" t="str">
        <f t="shared" si="368"/>
        <v>Red</v>
      </c>
      <c r="X1136" t="str">
        <f t="shared" si="369"/>
        <v>Red</v>
      </c>
      <c r="Y1136" t="str">
        <f t="shared" si="370"/>
        <v>Red</v>
      </c>
      <c r="Z1136" t="str">
        <f t="shared" si="371"/>
        <v>Red</v>
      </c>
      <c r="AA1136" t="str">
        <f t="shared" si="372"/>
        <v>Green</v>
      </c>
      <c r="AB1136" t="str">
        <f t="shared" si="373"/>
        <v>Green</v>
      </c>
      <c r="AC1136" t="str">
        <f t="shared" si="374"/>
        <v>Red</v>
      </c>
      <c r="AD1136" t="str">
        <f t="shared" si="375"/>
        <v>Green</v>
      </c>
    </row>
    <row r="1137" spans="1:30" x14ac:dyDescent="0.2">
      <c r="A1137" t="str">
        <f>L1136&amp;F1137&amp;G1137</f>
        <v>25/07/2026ReimsCercle Brugge</v>
      </c>
      <c r="D1137" s="2">
        <v>46228</v>
      </c>
      <c r="E1137" s="3">
        <v>0.5</v>
      </c>
      <c r="F1137" t="s">
        <v>1621</v>
      </c>
      <c r="G1137" t="s">
        <v>3806</v>
      </c>
      <c r="H1137">
        <v>2</v>
      </c>
      <c r="I1137">
        <v>0</v>
      </c>
      <c r="J1137">
        <v>3</v>
      </c>
      <c r="K1137">
        <v>0</v>
      </c>
      <c r="L1137" s="22" t="str">
        <f t="shared" si="376"/>
        <v>25/07/2026</v>
      </c>
      <c r="M1137" s="23">
        <f t="shared" si="377"/>
        <v>0.375</v>
      </c>
      <c r="N1137" t="str">
        <f t="shared" si="378"/>
        <v>3 - 0</v>
      </c>
      <c r="O1137" t="str">
        <f t="shared" si="360"/>
        <v>Green</v>
      </c>
      <c r="P1137" t="str">
        <f t="shared" si="361"/>
        <v>Red</v>
      </c>
      <c r="Q1137" t="str">
        <f t="shared" si="362"/>
        <v>Red</v>
      </c>
      <c r="R1137" t="str">
        <f t="shared" si="363"/>
        <v>Green</v>
      </c>
      <c r="S1137" t="str">
        <f t="shared" si="364"/>
        <v>Red</v>
      </c>
      <c r="T1137" t="str">
        <f t="shared" si="365"/>
        <v>Green</v>
      </c>
      <c r="U1137" t="str">
        <f t="shared" si="366"/>
        <v>Green</v>
      </c>
      <c r="V1137" t="str">
        <f t="shared" si="367"/>
        <v>Red</v>
      </c>
      <c r="W1137" t="str">
        <f t="shared" si="368"/>
        <v>Red</v>
      </c>
      <c r="X1137" t="str">
        <f t="shared" si="369"/>
        <v>Green</v>
      </c>
      <c r="Y1137" t="str">
        <f t="shared" si="370"/>
        <v>Green</v>
      </c>
      <c r="Z1137" t="str">
        <f t="shared" si="371"/>
        <v>Green</v>
      </c>
      <c r="AA1137" t="str">
        <f t="shared" si="372"/>
        <v>Red</v>
      </c>
      <c r="AB1137" t="str">
        <f t="shared" si="373"/>
        <v>Green</v>
      </c>
      <c r="AC1137" t="str">
        <f t="shared" si="374"/>
        <v>Red</v>
      </c>
      <c r="AD1137" t="str">
        <f t="shared" si="375"/>
        <v>Green</v>
      </c>
    </row>
    <row r="1138" spans="1:30" x14ac:dyDescent="0.2">
      <c r="A1138" t="str">
        <f>L1137&amp;F1138&amp;G1138</f>
        <v>25/07/2026Rot Weiss EssenBorussia Monchengladbach</v>
      </c>
      <c r="D1138" s="2">
        <v>46228</v>
      </c>
      <c r="E1138" s="3">
        <v>0.5</v>
      </c>
      <c r="F1138" t="s">
        <v>3807</v>
      </c>
      <c r="G1138" t="s">
        <v>3808</v>
      </c>
      <c r="H1138">
        <v>0</v>
      </c>
      <c r="I1138">
        <v>1</v>
      </c>
      <c r="J1138">
        <v>1</v>
      </c>
      <c r="K1138">
        <v>2</v>
      </c>
      <c r="L1138" s="22" t="str">
        <f t="shared" si="376"/>
        <v>25/07/2026</v>
      </c>
      <c r="M1138" s="23">
        <f t="shared" si="377"/>
        <v>0.375</v>
      </c>
      <c r="N1138" t="str">
        <f t="shared" si="378"/>
        <v>1 - 2</v>
      </c>
      <c r="O1138" t="str">
        <f t="shared" si="360"/>
        <v>Red</v>
      </c>
      <c r="P1138" t="str">
        <f t="shared" si="361"/>
        <v>Red</v>
      </c>
      <c r="Q1138" t="str">
        <f t="shared" si="362"/>
        <v>Green</v>
      </c>
      <c r="R1138" t="str">
        <f t="shared" si="363"/>
        <v>Red</v>
      </c>
      <c r="S1138" t="str">
        <f t="shared" si="364"/>
        <v>Green</v>
      </c>
      <c r="T1138" t="str">
        <f t="shared" si="365"/>
        <v>Green</v>
      </c>
      <c r="U1138" t="str">
        <f t="shared" si="366"/>
        <v>Red</v>
      </c>
      <c r="V1138" t="str">
        <f t="shared" si="367"/>
        <v>Red</v>
      </c>
      <c r="W1138" t="str">
        <f t="shared" si="368"/>
        <v>Green</v>
      </c>
      <c r="X1138" t="str">
        <f t="shared" si="369"/>
        <v>Green</v>
      </c>
      <c r="Y1138" t="str">
        <f t="shared" si="370"/>
        <v>Green</v>
      </c>
      <c r="Z1138" t="str">
        <f t="shared" si="371"/>
        <v>Green</v>
      </c>
      <c r="AA1138" t="str">
        <f t="shared" si="372"/>
        <v>Red</v>
      </c>
      <c r="AB1138" t="str">
        <f t="shared" si="373"/>
        <v>Green</v>
      </c>
      <c r="AC1138" t="str">
        <f t="shared" si="374"/>
        <v>Green</v>
      </c>
      <c r="AD1138" t="str">
        <f t="shared" si="375"/>
        <v>Red</v>
      </c>
    </row>
    <row r="1139" spans="1:30" x14ac:dyDescent="0.2">
      <c r="A1139" t="str">
        <f>L1138&amp;F1139&amp;G1139</f>
        <v>25/07/2026SC Paderborn 07Magdeburg</v>
      </c>
      <c r="D1139" s="2">
        <v>46228</v>
      </c>
      <c r="E1139" s="3">
        <v>0.5</v>
      </c>
      <c r="F1139" t="s">
        <v>3809</v>
      </c>
      <c r="G1139" t="s">
        <v>3810</v>
      </c>
      <c r="H1139">
        <v>0</v>
      </c>
      <c r="I1139">
        <v>1</v>
      </c>
      <c r="J1139">
        <v>0</v>
      </c>
      <c r="K1139">
        <v>2</v>
      </c>
      <c r="L1139" s="22" t="str">
        <f t="shared" si="376"/>
        <v>25/07/2026</v>
      </c>
      <c r="M1139" s="23">
        <f t="shared" si="377"/>
        <v>0.375</v>
      </c>
      <c r="N1139" t="str">
        <f t="shared" si="378"/>
        <v>0 - 2</v>
      </c>
      <c r="O1139" t="str">
        <f t="shared" si="360"/>
        <v>Red</v>
      </c>
      <c r="P1139" t="str">
        <f t="shared" si="361"/>
        <v>Red</v>
      </c>
      <c r="Q1139" t="str">
        <f t="shared" si="362"/>
        <v>Green</v>
      </c>
      <c r="R1139" t="str">
        <f t="shared" si="363"/>
        <v>Red</v>
      </c>
      <c r="S1139" t="str">
        <f t="shared" si="364"/>
        <v>Green</v>
      </c>
      <c r="T1139" t="str">
        <f t="shared" si="365"/>
        <v>Green</v>
      </c>
      <c r="U1139" t="str">
        <f t="shared" si="366"/>
        <v>Red</v>
      </c>
      <c r="V1139" t="str">
        <f t="shared" si="367"/>
        <v>Red</v>
      </c>
      <c r="W1139" t="str">
        <f t="shared" si="368"/>
        <v>Green</v>
      </c>
      <c r="X1139" t="str">
        <f t="shared" si="369"/>
        <v>Green</v>
      </c>
      <c r="Y1139" t="str">
        <f t="shared" si="370"/>
        <v>Green</v>
      </c>
      <c r="Z1139" t="str">
        <f t="shared" si="371"/>
        <v>Red</v>
      </c>
      <c r="AA1139" t="str">
        <f t="shared" si="372"/>
        <v>Green</v>
      </c>
      <c r="AB1139" t="str">
        <f t="shared" si="373"/>
        <v>Green</v>
      </c>
      <c r="AC1139" t="str">
        <f t="shared" si="374"/>
        <v>Red</v>
      </c>
      <c r="AD1139" t="str">
        <f t="shared" si="375"/>
        <v>Green</v>
      </c>
    </row>
    <row r="1140" spans="1:30" x14ac:dyDescent="0.2">
      <c r="A1140" t="str">
        <f>L1139&amp;F1140&amp;G1140</f>
        <v>25/07/2026Scarborough AthleticBarnsley</v>
      </c>
      <c r="D1140" s="2">
        <v>46228</v>
      </c>
      <c r="E1140" s="3">
        <v>0.5</v>
      </c>
      <c r="F1140" t="s">
        <v>3811</v>
      </c>
      <c r="G1140" t="s">
        <v>3812</v>
      </c>
      <c r="H1140">
        <v>0</v>
      </c>
      <c r="I1140">
        <v>1</v>
      </c>
      <c r="J1140">
        <v>0</v>
      </c>
      <c r="K1140">
        <v>2</v>
      </c>
      <c r="L1140" s="22" t="str">
        <f t="shared" si="376"/>
        <v>25/07/2026</v>
      </c>
      <c r="M1140" s="23">
        <f t="shared" si="377"/>
        <v>0.375</v>
      </c>
      <c r="N1140" t="str">
        <f t="shared" si="378"/>
        <v>0 - 2</v>
      </c>
      <c r="O1140" t="str">
        <f t="shared" si="360"/>
        <v>Red</v>
      </c>
      <c r="P1140" t="str">
        <f t="shared" si="361"/>
        <v>Red</v>
      </c>
      <c r="Q1140" t="str">
        <f t="shared" si="362"/>
        <v>Green</v>
      </c>
      <c r="R1140" t="str">
        <f t="shared" si="363"/>
        <v>Red</v>
      </c>
      <c r="S1140" t="str">
        <f t="shared" si="364"/>
        <v>Green</v>
      </c>
      <c r="T1140" t="str">
        <f t="shared" si="365"/>
        <v>Green</v>
      </c>
      <c r="U1140" t="str">
        <f t="shared" si="366"/>
        <v>Red</v>
      </c>
      <c r="V1140" t="str">
        <f t="shared" si="367"/>
        <v>Red</v>
      </c>
      <c r="W1140" t="str">
        <f t="shared" si="368"/>
        <v>Green</v>
      </c>
      <c r="X1140" t="str">
        <f t="shared" si="369"/>
        <v>Green</v>
      </c>
      <c r="Y1140" t="str">
        <f t="shared" si="370"/>
        <v>Green</v>
      </c>
      <c r="Z1140" t="str">
        <f t="shared" si="371"/>
        <v>Red</v>
      </c>
      <c r="AA1140" t="str">
        <f t="shared" si="372"/>
        <v>Green</v>
      </c>
      <c r="AB1140" t="str">
        <f t="shared" si="373"/>
        <v>Green</v>
      </c>
      <c r="AC1140" t="str">
        <f t="shared" si="374"/>
        <v>Red</v>
      </c>
      <c r="AD1140" t="str">
        <f t="shared" si="375"/>
        <v>Green</v>
      </c>
    </row>
    <row r="1141" spans="1:30" x14ac:dyDescent="0.2">
      <c r="A1141" t="str">
        <f>L1140&amp;F1141&amp;G1141</f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3813</v>
      </c>
      <c r="H1141">
        <v>1</v>
      </c>
      <c r="I1141">
        <v>4</v>
      </c>
      <c r="J1141">
        <v>2</v>
      </c>
      <c r="K1141">
        <v>7</v>
      </c>
      <c r="L1141" s="22" t="str">
        <f t="shared" si="376"/>
        <v>25/07/2026</v>
      </c>
      <c r="M1141" s="23">
        <f t="shared" si="377"/>
        <v>0.375</v>
      </c>
      <c r="N1141" t="str">
        <f t="shared" si="378"/>
        <v>2 - 7</v>
      </c>
      <c r="O1141" t="str">
        <f t="shared" si="360"/>
        <v>Red</v>
      </c>
      <c r="P1141" t="str">
        <f t="shared" si="361"/>
        <v>Red</v>
      </c>
      <c r="Q1141" t="str">
        <f t="shared" si="362"/>
        <v>Green</v>
      </c>
      <c r="R1141" t="str">
        <f t="shared" si="363"/>
        <v>Red</v>
      </c>
      <c r="S1141" t="str">
        <f t="shared" si="364"/>
        <v>Green</v>
      </c>
      <c r="T1141" t="str">
        <f t="shared" si="365"/>
        <v>Green</v>
      </c>
      <c r="U1141" t="str">
        <f t="shared" si="366"/>
        <v>Red</v>
      </c>
      <c r="V1141" t="str">
        <f t="shared" si="367"/>
        <v>Red</v>
      </c>
      <c r="W1141" t="str">
        <f t="shared" si="368"/>
        <v>Green</v>
      </c>
      <c r="X1141" t="str">
        <f t="shared" si="369"/>
        <v>Green</v>
      </c>
      <c r="Y1141" t="str">
        <f t="shared" si="370"/>
        <v>Green</v>
      </c>
      <c r="Z1141" t="str">
        <f t="shared" si="371"/>
        <v>Green</v>
      </c>
      <c r="AA1141" t="str">
        <f t="shared" si="372"/>
        <v>Red</v>
      </c>
      <c r="AB1141" t="str">
        <f t="shared" si="373"/>
        <v>Red</v>
      </c>
      <c r="AC1141" t="str">
        <f t="shared" si="374"/>
        <v>Green</v>
      </c>
      <c r="AD1141" t="str">
        <f t="shared" si="375"/>
        <v>Red</v>
      </c>
    </row>
    <row r="1142" spans="1:30" x14ac:dyDescent="0.2">
      <c r="A1142" t="str">
        <f>L1141&amp;F1142&amp;G1142</f>
        <v>25/07/2026Stuttgarter KickersJahn Regensburg</v>
      </c>
      <c r="D1142" s="2">
        <v>46228</v>
      </c>
      <c r="E1142" s="3">
        <v>0.5</v>
      </c>
      <c r="F1142" t="s">
        <v>3814</v>
      </c>
      <c r="G1142" t="s">
        <v>3815</v>
      </c>
      <c r="H1142">
        <v>1</v>
      </c>
      <c r="I1142">
        <v>1</v>
      </c>
      <c r="J1142">
        <v>1</v>
      </c>
      <c r="K1142">
        <v>2</v>
      </c>
      <c r="L1142" s="22" t="str">
        <f t="shared" si="376"/>
        <v>25/07/2026</v>
      </c>
      <c r="M1142" s="23">
        <f t="shared" si="377"/>
        <v>0.375</v>
      </c>
      <c r="N1142" t="str">
        <f t="shared" si="378"/>
        <v>1 - 2</v>
      </c>
      <c r="O1142" t="str">
        <f t="shared" si="360"/>
        <v>Red</v>
      </c>
      <c r="P1142" t="str">
        <f t="shared" si="361"/>
        <v>Red</v>
      </c>
      <c r="Q1142" t="str">
        <f t="shared" si="362"/>
        <v>Green</v>
      </c>
      <c r="R1142" t="str">
        <f t="shared" si="363"/>
        <v>Red</v>
      </c>
      <c r="S1142" t="str">
        <f t="shared" si="364"/>
        <v>Green</v>
      </c>
      <c r="T1142" t="str">
        <f t="shared" si="365"/>
        <v>Green</v>
      </c>
      <c r="U1142" t="str">
        <f t="shared" si="366"/>
        <v>Red</v>
      </c>
      <c r="V1142" t="str">
        <f t="shared" si="367"/>
        <v>Green</v>
      </c>
      <c r="W1142" t="str">
        <f t="shared" si="368"/>
        <v>Red</v>
      </c>
      <c r="X1142" t="str">
        <f t="shared" si="369"/>
        <v>Green</v>
      </c>
      <c r="Y1142" t="str">
        <f t="shared" si="370"/>
        <v>Green</v>
      </c>
      <c r="Z1142" t="str">
        <f t="shared" si="371"/>
        <v>Green</v>
      </c>
      <c r="AA1142" t="str">
        <f t="shared" si="372"/>
        <v>Red</v>
      </c>
      <c r="AB1142" t="str">
        <f t="shared" si="373"/>
        <v>Green</v>
      </c>
      <c r="AC1142" t="str">
        <f t="shared" si="374"/>
        <v>Green</v>
      </c>
      <c r="AD1142" t="str">
        <f t="shared" si="375"/>
        <v>Red</v>
      </c>
    </row>
    <row r="1143" spans="1:30" x14ac:dyDescent="0.2">
      <c r="A1143" t="str">
        <f>L1142&amp;F1143&amp;G1143</f>
        <v>25/07/2026Swindon TownBristol City</v>
      </c>
      <c r="D1143" s="2">
        <v>46228</v>
      </c>
      <c r="E1143" s="3">
        <v>0.5</v>
      </c>
      <c r="F1143" t="s">
        <v>1486</v>
      </c>
      <c r="G1143" t="s">
        <v>3816</v>
      </c>
      <c r="H1143">
        <v>1</v>
      </c>
      <c r="I1143">
        <v>0</v>
      </c>
      <c r="J1143">
        <v>1</v>
      </c>
      <c r="K1143">
        <v>3</v>
      </c>
      <c r="L1143" s="22" t="str">
        <f t="shared" si="376"/>
        <v>25/07/2026</v>
      </c>
      <c r="M1143" s="23">
        <f t="shared" si="377"/>
        <v>0.375</v>
      </c>
      <c r="N1143" t="str">
        <f t="shared" si="378"/>
        <v>1 - 3</v>
      </c>
      <c r="O1143" t="str">
        <f t="shared" si="360"/>
        <v>Red</v>
      </c>
      <c r="P1143" t="str">
        <f t="shared" si="361"/>
        <v>Red</v>
      </c>
      <c r="Q1143" t="str">
        <f t="shared" si="362"/>
        <v>Green</v>
      </c>
      <c r="R1143" t="str">
        <f t="shared" si="363"/>
        <v>Red</v>
      </c>
      <c r="S1143" t="str">
        <f t="shared" si="364"/>
        <v>Green</v>
      </c>
      <c r="T1143" t="str">
        <f t="shared" si="365"/>
        <v>Green</v>
      </c>
      <c r="U1143" t="str">
        <f t="shared" si="366"/>
        <v>Green</v>
      </c>
      <c r="V1143" t="str">
        <f t="shared" si="367"/>
        <v>Red</v>
      </c>
      <c r="W1143" t="str">
        <f t="shared" si="368"/>
        <v>Red</v>
      </c>
      <c r="X1143" t="str">
        <f t="shared" si="369"/>
        <v>Green</v>
      </c>
      <c r="Y1143" t="str">
        <f t="shared" si="370"/>
        <v>Green</v>
      </c>
      <c r="Z1143" t="str">
        <f t="shared" si="371"/>
        <v>Green</v>
      </c>
      <c r="AA1143" t="str">
        <f t="shared" si="372"/>
        <v>Red</v>
      </c>
      <c r="AB1143" t="str">
        <f t="shared" si="373"/>
        <v>Red</v>
      </c>
      <c r="AC1143" t="str">
        <f t="shared" si="374"/>
        <v>Green</v>
      </c>
      <c r="AD1143" t="str">
        <f t="shared" si="375"/>
        <v>Red</v>
      </c>
    </row>
    <row r="1144" spans="1:30" x14ac:dyDescent="0.2">
      <c r="A1144" t="str">
        <f>L1143&amp;F1144&amp;G1144</f>
        <v>25/07/2026Willem IIKV Mechelen</v>
      </c>
      <c r="D1144" s="2">
        <v>46228</v>
      </c>
      <c r="E1144" s="3">
        <v>0.5</v>
      </c>
      <c r="F1144" t="s">
        <v>3817</v>
      </c>
      <c r="G1144" t="s">
        <v>3818</v>
      </c>
      <c r="H1144">
        <v>0</v>
      </c>
      <c r="I1144">
        <v>0</v>
      </c>
      <c r="J1144">
        <v>1</v>
      </c>
      <c r="K1144">
        <v>0</v>
      </c>
      <c r="L1144" s="22" t="str">
        <f t="shared" si="376"/>
        <v>25/07/2026</v>
      </c>
      <c r="M1144" s="23">
        <f t="shared" si="377"/>
        <v>0.375</v>
      </c>
      <c r="N1144" t="str">
        <f t="shared" si="378"/>
        <v>1 - 0</v>
      </c>
      <c r="O1144" t="str">
        <f t="shared" si="360"/>
        <v>Green</v>
      </c>
      <c r="P1144" t="str">
        <f t="shared" si="361"/>
        <v>Red</v>
      </c>
      <c r="Q1144" t="str">
        <f t="shared" si="362"/>
        <v>Red</v>
      </c>
      <c r="R1144" t="str">
        <f t="shared" si="363"/>
        <v>Green</v>
      </c>
      <c r="S1144" t="str">
        <f t="shared" si="364"/>
        <v>Red</v>
      </c>
      <c r="T1144" t="str">
        <f t="shared" si="365"/>
        <v>Green</v>
      </c>
      <c r="U1144" t="str">
        <f t="shared" si="366"/>
        <v>Red</v>
      </c>
      <c r="V1144" t="str">
        <f t="shared" si="367"/>
        <v>Green</v>
      </c>
      <c r="W1144" t="str">
        <f t="shared" si="368"/>
        <v>Red</v>
      </c>
      <c r="X1144" t="str">
        <f t="shared" si="369"/>
        <v>Red</v>
      </c>
      <c r="Y1144" t="str">
        <f t="shared" si="370"/>
        <v>Red</v>
      </c>
      <c r="Z1144" t="str">
        <f t="shared" si="371"/>
        <v>Red</v>
      </c>
      <c r="AA1144" t="str">
        <f t="shared" si="372"/>
        <v>Green</v>
      </c>
      <c r="AB1144" t="str">
        <f t="shared" si="373"/>
        <v>Green</v>
      </c>
      <c r="AC1144" t="str">
        <f t="shared" si="374"/>
        <v>Red</v>
      </c>
      <c r="AD1144" t="str">
        <f t="shared" si="375"/>
        <v>Green</v>
      </c>
    </row>
    <row r="1145" spans="1:30" x14ac:dyDescent="0.2">
      <c r="A1145" t="str">
        <f>L1144&amp;F1145&amp;G1145</f>
        <v>25/07/2026Dinamo Tbilisi IIFC Spaeri</v>
      </c>
      <c r="D1145" s="2">
        <v>46228</v>
      </c>
      <c r="E1145" s="3">
        <v>0.52083333333333337</v>
      </c>
      <c r="F1145" t="s">
        <v>3265</v>
      </c>
      <c r="G1145" t="s">
        <v>3266</v>
      </c>
      <c r="H1145">
        <v>0</v>
      </c>
      <c r="I1145">
        <v>0</v>
      </c>
      <c r="J1145">
        <v>1</v>
      </c>
      <c r="K1145">
        <v>5</v>
      </c>
      <c r="L1145" s="22" t="str">
        <f t="shared" si="376"/>
        <v>25/07/2026</v>
      </c>
      <c r="M1145" s="23">
        <f t="shared" si="377"/>
        <v>0.39583333333333337</v>
      </c>
      <c r="N1145" t="str">
        <f t="shared" si="378"/>
        <v>1 - 5</v>
      </c>
      <c r="O1145" t="str">
        <f t="shared" si="360"/>
        <v>Red</v>
      </c>
      <c r="P1145" t="str">
        <f t="shared" si="361"/>
        <v>Red</v>
      </c>
      <c r="Q1145" t="str">
        <f t="shared" si="362"/>
        <v>Green</v>
      </c>
      <c r="R1145" t="str">
        <f t="shared" si="363"/>
        <v>Red</v>
      </c>
      <c r="S1145" t="str">
        <f t="shared" si="364"/>
        <v>Green</v>
      </c>
      <c r="T1145" t="str">
        <f t="shared" si="365"/>
        <v>Green</v>
      </c>
      <c r="U1145" t="str">
        <f t="shared" si="366"/>
        <v>Red</v>
      </c>
      <c r="V1145" t="str">
        <f t="shared" si="367"/>
        <v>Green</v>
      </c>
      <c r="W1145" t="str">
        <f t="shared" si="368"/>
        <v>Red</v>
      </c>
      <c r="X1145" t="str">
        <f t="shared" si="369"/>
        <v>Red</v>
      </c>
      <c r="Y1145" t="str">
        <f t="shared" si="370"/>
        <v>Green</v>
      </c>
      <c r="Z1145" t="str">
        <f t="shared" si="371"/>
        <v>Green</v>
      </c>
      <c r="AA1145" t="str">
        <f t="shared" si="372"/>
        <v>Red</v>
      </c>
      <c r="AB1145" t="str">
        <f t="shared" si="373"/>
        <v>Red</v>
      </c>
      <c r="AC1145" t="str">
        <f t="shared" si="374"/>
        <v>Green</v>
      </c>
      <c r="AD1145" t="str">
        <f t="shared" si="375"/>
        <v>Red</v>
      </c>
    </row>
    <row r="1146" spans="1:30" x14ac:dyDescent="0.2">
      <c r="A1146" t="str">
        <f>L1145&amp;F1146&amp;G1146</f>
        <v>25/07/2026FC GonioMeshakhte Tkibuli</v>
      </c>
      <c r="D1146" s="2">
        <v>46228</v>
      </c>
      <c r="E1146" s="3">
        <v>0.52083333333333337</v>
      </c>
      <c r="F1146" t="s">
        <v>3267</v>
      </c>
      <c r="G1146" t="s">
        <v>3268</v>
      </c>
      <c r="H1146">
        <v>0</v>
      </c>
      <c r="I1146">
        <v>0</v>
      </c>
      <c r="J1146">
        <v>1</v>
      </c>
      <c r="K1146">
        <v>2</v>
      </c>
      <c r="L1146" s="22" t="str">
        <f t="shared" si="376"/>
        <v>25/07/2026</v>
      </c>
      <c r="M1146" s="23">
        <f t="shared" si="377"/>
        <v>0.39583333333333337</v>
      </c>
      <c r="N1146" t="str">
        <f t="shared" si="378"/>
        <v>1 - 2</v>
      </c>
      <c r="O1146" t="str">
        <f t="shared" si="360"/>
        <v>Red</v>
      </c>
      <c r="P1146" t="str">
        <f t="shared" si="361"/>
        <v>Red</v>
      </c>
      <c r="Q1146" t="str">
        <f t="shared" si="362"/>
        <v>Green</v>
      </c>
      <c r="R1146" t="str">
        <f t="shared" si="363"/>
        <v>Red</v>
      </c>
      <c r="S1146" t="str">
        <f t="shared" si="364"/>
        <v>Green</v>
      </c>
      <c r="T1146" t="str">
        <f t="shared" si="365"/>
        <v>Green</v>
      </c>
      <c r="U1146" t="str">
        <f t="shared" si="366"/>
        <v>Red</v>
      </c>
      <c r="V1146" t="str">
        <f t="shared" si="367"/>
        <v>Green</v>
      </c>
      <c r="W1146" t="str">
        <f t="shared" si="368"/>
        <v>Red</v>
      </c>
      <c r="X1146" t="str">
        <f t="shared" si="369"/>
        <v>Red</v>
      </c>
      <c r="Y1146" t="str">
        <f t="shared" si="370"/>
        <v>Green</v>
      </c>
      <c r="Z1146" t="str">
        <f t="shared" si="371"/>
        <v>Green</v>
      </c>
      <c r="AA1146" t="str">
        <f t="shared" si="372"/>
        <v>Red</v>
      </c>
      <c r="AB1146" t="str">
        <f t="shared" si="373"/>
        <v>Green</v>
      </c>
      <c r="AC1146" t="str">
        <f t="shared" si="374"/>
        <v>Green</v>
      </c>
      <c r="AD1146" t="str">
        <f t="shared" si="375"/>
        <v>Red</v>
      </c>
    </row>
    <row r="1147" spans="1:30" x14ac:dyDescent="0.2">
      <c r="A1147" t="str">
        <f>L1146&amp;F1147&amp;G1147</f>
        <v>25/07/2026FC Iberia TbilisiDila Gori</v>
      </c>
      <c r="D1147" s="2">
        <v>46228</v>
      </c>
      <c r="E1147" s="3">
        <v>0.52083333333333337</v>
      </c>
      <c r="F1147" t="s">
        <v>3269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76"/>
        <v>25/07/2026</v>
      </c>
      <c r="M1147" s="23">
        <f t="shared" si="377"/>
        <v>0.39583333333333337</v>
      </c>
      <c r="N1147" t="str">
        <f t="shared" si="378"/>
        <v>0 - 1</v>
      </c>
      <c r="O1147" t="str">
        <f t="shared" si="360"/>
        <v>Red</v>
      </c>
      <c r="P1147" t="str">
        <f t="shared" si="361"/>
        <v>Red</v>
      </c>
      <c r="Q1147" t="str">
        <f t="shared" si="362"/>
        <v>Green</v>
      </c>
      <c r="R1147" t="str">
        <f t="shared" si="363"/>
        <v>Red</v>
      </c>
      <c r="S1147" t="str">
        <f t="shared" si="364"/>
        <v>Green</v>
      </c>
      <c r="T1147" t="str">
        <f t="shared" si="365"/>
        <v>Green</v>
      </c>
      <c r="U1147" t="str">
        <f t="shared" si="366"/>
        <v>Red</v>
      </c>
      <c r="V1147" t="str">
        <f t="shared" si="367"/>
        <v>Green</v>
      </c>
      <c r="W1147" t="str">
        <f t="shared" si="368"/>
        <v>Red</v>
      </c>
      <c r="X1147" t="str">
        <f t="shared" si="369"/>
        <v>Red</v>
      </c>
      <c r="Y1147" t="str">
        <f t="shared" si="370"/>
        <v>Red</v>
      </c>
      <c r="Z1147" t="str">
        <f t="shared" si="371"/>
        <v>Red</v>
      </c>
      <c r="AA1147" t="str">
        <f t="shared" si="372"/>
        <v>Green</v>
      </c>
      <c r="AB1147" t="str">
        <f t="shared" si="373"/>
        <v>Green</v>
      </c>
      <c r="AC1147" t="str">
        <f t="shared" si="374"/>
        <v>Red</v>
      </c>
      <c r="AD1147" t="str">
        <f t="shared" si="375"/>
        <v>Green</v>
      </c>
    </row>
    <row r="1148" spans="1:30" x14ac:dyDescent="0.2">
      <c r="A1148" t="str">
        <f>L1147&amp;F1148&amp;G1148</f>
        <v>25/07/2026Erzgebirge AueVSG Altglienicke</v>
      </c>
      <c r="D1148" s="2">
        <v>46228</v>
      </c>
      <c r="E1148" s="3">
        <v>0.52083333333333337</v>
      </c>
      <c r="F1148" t="s">
        <v>3282</v>
      </c>
      <c r="G1148" t="s">
        <v>3283</v>
      </c>
      <c r="H1148">
        <v>2</v>
      </c>
      <c r="I1148">
        <v>2</v>
      </c>
      <c r="J1148">
        <v>3</v>
      </c>
      <c r="K1148">
        <v>3</v>
      </c>
      <c r="L1148" s="22" t="str">
        <f t="shared" si="376"/>
        <v>25/07/2026</v>
      </c>
      <c r="M1148" s="23">
        <f t="shared" si="377"/>
        <v>0.39583333333333337</v>
      </c>
      <c r="N1148" t="str">
        <f t="shared" si="378"/>
        <v>3 - 3</v>
      </c>
      <c r="O1148" t="str">
        <f t="shared" si="360"/>
        <v>Red</v>
      </c>
      <c r="P1148" t="str">
        <f t="shared" si="361"/>
        <v>Green</v>
      </c>
      <c r="Q1148" t="str">
        <f t="shared" si="362"/>
        <v>Red</v>
      </c>
      <c r="R1148" t="str">
        <f t="shared" si="363"/>
        <v>Green</v>
      </c>
      <c r="S1148" t="str">
        <f t="shared" si="364"/>
        <v>Green</v>
      </c>
      <c r="T1148" t="str">
        <f t="shared" si="365"/>
        <v>Red</v>
      </c>
      <c r="U1148" t="str">
        <f t="shared" si="366"/>
        <v>Red</v>
      </c>
      <c r="V1148" t="str">
        <f t="shared" si="367"/>
        <v>Green</v>
      </c>
      <c r="W1148" t="str">
        <f t="shared" si="368"/>
        <v>Red</v>
      </c>
      <c r="X1148" t="str">
        <f t="shared" si="369"/>
        <v>Green</v>
      </c>
      <c r="Y1148" t="str">
        <f t="shared" si="370"/>
        <v>Green</v>
      </c>
      <c r="Z1148" t="str">
        <f t="shared" si="371"/>
        <v>Green</v>
      </c>
      <c r="AA1148" t="str">
        <f t="shared" si="372"/>
        <v>Red</v>
      </c>
      <c r="AB1148" t="str">
        <f t="shared" si="373"/>
        <v>Red</v>
      </c>
      <c r="AC1148" t="str">
        <f t="shared" si="374"/>
        <v>Green</v>
      </c>
      <c r="AD1148" t="str">
        <f t="shared" si="375"/>
        <v>Red</v>
      </c>
    </row>
    <row r="1149" spans="1:30" x14ac:dyDescent="0.2">
      <c r="A1149" t="str">
        <f>L1148&amp;F1149&amp;G1149</f>
        <v>25/07/2026TuS GeretsriedFC Pipinsried</v>
      </c>
      <c r="D1149" s="2">
        <v>46228</v>
      </c>
      <c r="E1149" s="3">
        <v>0.52083333333333337</v>
      </c>
      <c r="F1149" t="s">
        <v>3297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76"/>
        <v>25/07/2026</v>
      </c>
      <c r="M1149" s="23">
        <f t="shared" si="377"/>
        <v>0.39583333333333337</v>
      </c>
      <c r="N1149" t="str">
        <f t="shared" si="378"/>
        <v>0 - 5</v>
      </c>
      <c r="O1149" t="str">
        <f t="shared" si="360"/>
        <v>Red</v>
      </c>
      <c r="P1149" t="str">
        <f t="shared" si="361"/>
        <v>Red</v>
      </c>
      <c r="Q1149" t="str">
        <f t="shared" si="362"/>
        <v>Green</v>
      </c>
      <c r="R1149" t="str">
        <f t="shared" si="363"/>
        <v>Red</v>
      </c>
      <c r="S1149" t="str">
        <f t="shared" si="364"/>
        <v>Green</v>
      </c>
      <c r="T1149" t="str">
        <f t="shared" si="365"/>
        <v>Green</v>
      </c>
      <c r="U1149" t="str">
        <f t="shared" si="366"/>
        <v>Red</v>
      </c>
      <c r="V1149" t="str">
        <f t="shared" si="367"/>
        <v>Red</v>
      </c>
      <c r="W1149" t="str">
        <f t="shared" si="368"/>
        <v>Green</v>
      </c>
      <c r="X1149" t="str">
        <f t="shared" si="369"/>
        <v>Green</v>
      </c>
      <c r="Y1149" t="str">
        <f t="shared" si="370"/>
        <v>Green</v>
      </c>
      <c r="Z1149" t="str">
        <f t="shared" si="371"/>
        <v>Green</v>
      </c>
      <c r="AA1149" t="str">
        <f t="shared" si="372"/>
        <v>Red</v>
      </c>
      <c r="AB1149" t="str">
        <f t="shared" si="373"/>
        <v>Red</v>
      </c>
      <c r="AC1149" t="str">
        <f t="shared" si="374"/>
        <v>Red</v>
      </c>
      <c r="AD1149" t="str">
        <f t="shared" si="375"/>
        <v>Green</v>
      </c>
    </row>
    <row r="1150" spans="1:30" x14ac:dyDescent="0.2">
      <c r="A1150" t="str">
        <f>L1149&amp;F1150&amp;G1150</f>
        <v>25/07/2026Blue EaglesRed Lions</v>
      </c>
      <c r="D1150" s="2">
        <v>46228</v>
      </c>
      <c r="E1150" s="3">
        <v>0.52083333333333337</v>
      </c>
      <c r="F1150" t="s">
        <v>3403</v>
      </c>
      <c r="G1150" t="s">
        <v>3404</v>
      </c>
      <c r="H1150">
        <v>0</v>
      </c>
      <c r="I1150">
        <v>1</v>
      </c>
      <c r="J1150">
        <v>3</v>
      </c>
      <c r="K1150">
        <v>2</v>
      </c>
      <c r="L1150" s="22" t="str">
        <f t="shared" si="376"/>
        <v>25/07/2026</v>
      </c>
      <c r="M1150" s="23">
        <f t="shared" si="377"/>
        <v>0.39583333333333337</v>
      </c>
      <c r="N1150" t="str">
        <f t="shared" si="378"/>
        <v>3 - 2</v>
      </c>
      <c r="O1150" t="str">
        <f t="shared" si="360"/>
        <v>Green</v>
      </c>
      <c r="P1150" t="str">
        <f t="shared" si="361"/>
        <v>Red</v>
      </c>
      <c r="Q1150" t="str">
        <f t="shared" si="362"/>
        <v>Red</v>
      </c>
      <c r="R1150" t="str">
        <f t="shared" si="363"/>
        <v>Green</v>
      </c>
      <c r="S1150" t="str">
        <f t="shared" si="364"/>
        <v>Red</v>
      </c>
      <c r="T1150" t="str">
        <f t="shared" si="365"/>
        <v>Green</v>
      </c>
      <c r="U1150" t="str">
        <f t="shared" si="366"/>
        <v>Red</v>
      </c>
      <c r="V1150" t="str">
        <f t="shared" si="367"/>
        <v>Red</v>
      </c>
      <c r="W1150" t="str">
        <f t="shared" si="368"/>
        <v>Green</v>
      </c>
      <c r="X1150" t="str">
        <f t="shared" si="369"/>
        <v>Green</v>
      </c>
      <c r="Y1150" t="str">
        <f t="shared" si="370"/>
        <v>Green</v>
      </c>
      <c r="Z1150" t="str">
        <f t="shared" si="371"/>
        <v>Green</v>
      </c>
      <c r="AA1150" t="str">
        <f t="shared" si="372"/>
        <v>Red</v>
      </c>
      <c r="AB1150" t="str">
        <f t="shared" si="373"/>
        <v>Red</v>
      </c>
      <c r="AC1150" t="str">
        <f t="shared" si="374"/>
        <v>Green</v>
      </c>
      <c r="AD1150" t="str">
        <f t="shared" si="375"/>
        <v>Red</v>
      </c>
    </row>
    <row r="1151" spans="1:30" x14ac:dyDescent="0.2">
      <c r="A1151" t="str">
        <f>L1150&amp;F1151&amp;G1151</f>
        <v>25/07/2026Chitipa UnitedEkhaya FC</v>
      </c>
      <c r="D1151" s="2">
        <v>46228</v>
      </c>
      <c r="E1151" s="3">
        <v>0.52083333333333337</v>
      </c>
      <c r="F1151" t="s">
        <v>3405</v>
      </c>
      <c r="G1151" t="s">
        <v>3406</v>
      </c>
      <c r="H1151">
        <v>0</v>
      </c>
      <c r="I1151">
        <v>0</v>
      </c>
      <c r="J1151">
        <v>1</v>
      </c>
      <c r="K1151">
        <v>0</v>
      </c>
      <c r="L1151" s="22" t="str">
        <f t="shared" si="376"/>
        <v>25/07/2026</v>
      </c>
      <c r="M1151" s="23">
        <f t="shared" si="377"/>
        <v>0.39583333333333337</v>
      </c>
      <c r="N1151" t="str">
        <f t="shared" si="378"/>
        <v>1 - 0</v>
      </c>
      <c r="O1151" t="str">
        <f t="shared" si="360"/>
        <v>Green</v>
      </c>
      <c r="P1151" t="str">
        <f t="shared" si="361"/>
        <v>Red</v>
      </c>
      <c r="Q1151" t="str">
        <f t="shared" si="362"/>
        <v>Red</v>
      </c>
      <c r="R1151" t="str">
        <f t="shared" si="363"/>
        <v>Green</v>
      </c>
      <c r="S1151" t="str">
        <f t="shared" si="364"/>
        <v>Red</v>
      </c>
      <c r="T1151" t="str">
        <f t="shared" si="365"/>
        <v>Green</v>
      </c>
      <c r="U1151" t="str">
        <f t="shared" si="366"/>
        <v>Red</v>
      </c>
      <c r="V1151" t="str">
        <f t="shared" si="367"/>
        <v>Green</v>
      </c>
      <c r="W1151" t="str">
        <f t="shared" si="368"/>
        <v>Red</v>
      </c>
      <c r="X1151" t="str">
        <f t="shared" si="369"/>
        <v>Red</v>
      </c>
      <c r="Y1151" t="str">
        <f t="shared" si="370"/>
        <v>Red</v>
      </c>
      <c r="Z1151" t="str">
        <f t="shared" si="371"/>
        <v>Red</v>
      </c>
      <c r="AA1151" t="str">
        <f t="shared" si="372"/>
        <v>Green</v>
      </c>
      <c r="AB1151" t="str">
        <f t="shared" si="373"/>
        <v>Green</v>
      </c>
      <c r="AC1151" t="str">
        <f t="shared" si="374"/>
        <v>Red</v>
      </c>
      <c r="AD1151" t="str">
        <f t="shared" si="375"/>
        <v>Green</v>
      </c>
    </row>
    <row r="1152" spans="1:30" x14ac:dyDescent="0.2">
      <c r="A1152" t="str">
        <f>L1151&amp;F1152&amp;G1152</f>
        <v>25/07/2026CIVO UnitedMoyale Barracks</v>
      </c>
      <c r="D1152" s="2">
        <v>46228</v>
      </c>
      <c r="E1152" s="3">
        <v>0.52083333333333337</v>
      </c>
      <c r="F1152" t="s">
        <v>3407</v>
      </c>
      <c r="G1152" t="s">
        <v>3408</v>
      </c>
      <c r="H1152">
        <v>0</v>
      </c>
      <c r="I1152">
        <v>0</v>
      </c>
      <c r="J1152">
        <v>0</v>
      </c>
      <c r="K1152">
        <v>1</v>
      </c>
      <c r="L1152" s="22" t="str">
        <f t="shared" si="376"/>
        <v>25/07/2026</v>
      </c>
      <c r="M1152" s="23">
        <f t="shared" si="377"/>
        <v>0.39583333333333337</v>
      </c>
      <c r="N1152" t="str">
        <f t="shared" si="378"/>
        <v>0 - 1</v>
      </c>
      <c r="O1152" t="str">
        <f t="shared" si="360"/>
        <v>Red</v>
      </c>
      <c r="P1152" t="str">
        <f t="shared" si="361"/>
        <v>Red</v>
      </c>
      <c r="Q1152" t="str">
        <f t="shared" si="362"/>
        <v>Green</v>
      </c>
      <c r="R1152" t="str">
        <f t="shared" si="363"/>
        <v>Red</v>
      </c>
      <c r="S1152" t="str">
        <f t="shared" si="364"/>
        <v>Green</v>
      </c>
      <c r="T1152" t="str">
        <f t="shared" si="365"/>
        <v>Green</v>
      </c>
      <c r="U1152" t="str">
        <f t="shared" si="366"/>
        <v>Red</v>
      </c>
      <c r="V1152" t="str">
        <f t="shared" si="367"/>
        <v>Green</v>
      </c>
      <c r="W1152" t="str">
        <f t="shared" si="368"/>
        <v>Red</v>
      </c>
      <c r="X1152" t="str">
        <f t="shared" si="369"/>
        <v>Red</v>
      </c>
      <c r="Y1152" t="str">
        <f t="shared" si="370"/>
        <v>Red</v>
      </c>
      <c r="Z1152" t="str">
        <f t="shared" si="371"/>
        <v>Red</v>
      </c>
      <c r="AA1152" t="str">
        <f t="shared" si="372"/>
        <v>Green</v>
      </c>
      <c r="AB1152" t="str">
        <f t="shared" si="373"/>
        <v>Green</v>
      </c>
      <c r="AC1152" t="str">
        <f t="shared" si="374"/>
        <v>Red</v>
      </c>
      <c r="AD1152" t="str">
        <f t="shared" si="375"/>
        <v>Green</v>
      </c>
    </row>
    <row r="1153" spans="1:30" x14ac:dyDescent="0.2">
      <c r="A1153" t="str">
        <f>L1152&amp;F1153&amp;G1153</f>
        <v>25/07/2026Dedza DynamosBig Bullets</v>
      </c>
      <c r="D1153" s="2">
        <v>46228</v>
      </c>
      <c r="E1153" s="3">
        <v>0.52083333333333337</v>
      </c>
      <c r="F1153" t="s">
        <v>3409</v>
      </c>
      <c r="G1153" t="s">
        <v>3410</v>
      </c>
      <c r="H1153">
        <v>1</v>
      </c>
      <c r="I1153">
        <v>0</v>
      </c>
      <c r="J1153">
        <v>1</v>
      </c>
      <c r="K1153">
        <v>0</v>
      </c>
      <c r="L1153" s="22" t="str">
        <f t="shared" si="376"/>
        <v>25/07/2026</v>
      </c>
      <c r="M1153" s="23">
        <f t="shared" si="377"/>
        <v>0.39583333333333337</v>
      </c>
      <c r="N1153" t="str">
        <f t="shared" si="378"/>
        <v>1 - 0</v>
      </c>
      <c r="O1153" t="str">
        <f t="shared" si="360"/>
        <v>Green</v>
      </c>
      <c r="P1153" t="str">
        <f t="shared" si="361"/>
        <v>Red</v>
      </c>
      <c r="Q1153" t="str">
        <f t="shared" si="362"/>
        <v>Red</v>
      </c>
      <c r="R1153" t="str">
        <f t="shared" si="363"/>
        <v>Green</v>
      </c>
      <c r="S1153" t="str">
        <f t="shared" si="364"/>
        <v>Red</v>
      </c>
      <c r="T1153" t="str">
        <f t="shared" si="365"/>
        <v>Green</v>
      </c>
      <c r="U1153" t="str">
        <f t="shared" si="366"/>
        <v>Green</v>
      </c>
      <c r="V1153" t="str">
        <f t="shared" si="367"/>
        <v>Red</v>
      </c>
      <c r="W1153" t="str">
        <f t="shared" si="368"/>
        <v>Red</v>
      </c>
      <c r="X1153" t="str">
        <f t="shared" si="369"/>
        <v>Green</v>
      </c>
      <c r="Y1153" t="str">
        <f t="shared" si="370"/>
        <v>Red</v>
      </c>
      <c r="Z1153" t="str">
        <f t="shared" si="371"/>
        <v>Red</v>
      </c>
      <c r="AA1153" t="str">
        <f t="shared" si="372"/>
        <v>Green</v>
      </c>
      <c r="AB1153" t="str">
        <f t="shared" si="373"/>
        <v>Green</v>
      </c>
      <c r="AC1153" t="str">
        <f t="shared" si="374"/>
        <v>Red</v>
      </c>
      <c r="AD1153" t="str">
        <f t="shared" si="375"/>
        <v>Green</v>
      </c>
    </row>
    <row r="1154" spans="1:30" x14ac:dyDescent="0.2">
      <c r="A1154" t="str">
        <f>L1153&amp;F1154&amp;G1154</f>
        <v>25/07/2026Grorud ILStjordals-Blink</v>
      </c>
      <c r="D1154" s="2">
        <v>46228</v>
      </c>
      <c r="E1154" s="3">
        <v>0.52083333333333337</v>
      </c>
      <c r="F1154" t="s">
        <v>3464</v>
      </c>
      <c r="G1154" t="s">
        <v>3465</v>
      </c>
      <c r="H1154">
        <v>0</v>
      </c>
      <c r="I1154">
        <v>0</v>
      </c>
      <c r="J1154">
        <v>0</v>
      </c>
      <c r="K1154">
        <v>1</v>
      </c>
      <c r="L1154" s="22" t="str">
        <f t="shared" si="376"/>
        <v>25/07/2026</v>
      </c>
      <c r="M1154" s="23">
        <f t="shared" si="377"/>
        <v>0.39583333333333337</v>
      </c>
      <c r="N1154" t="str">
        <f t="shared" si="378"/>
        <v>0 - 1</v>
      </c>
      <c r="O1154" t="str">
        <f t="shared" ref="O1154:O1217" si="379">IF($J1154&gt;$K1154,"Green","Red")</f>
        <v>Red</v>
      </c>
      <c r="P1154" t="str">
        <f t="shared" ref="P1154:P1217" si="380">IF($J1154=$K1154,"Green","Red")</f>
        <v>Red</v>
      </c>
      <c r="Q1154" t="str">
        <f t="shared" ref="Q1154:Q1217" si="381">IF($J1154&lt;$K1154,"Green","Red")</f>
        <v>Green</v>
      </c>
      <c r="R1154" t="str">
        <f t="shared" ref="R1154:R1217" si="382">IF($J1154&gt;=$K1154,"Green","Red")</f>
        <v>Red</v>
      </c>
      <c r="S1154" t="str">
        <f t="shared" ref="S1154:S1217" si="383">IF($J1154&lt;=$K1154,"Green","Red")</f>
        <v>Green</v>
      </c>
      <c r="T1154" t="str">
        <f t="shared" ref="T1154:T1217" si="384">IF(OR($J1154&gt;$K1154,$J1154&lt;$K1154),"Green","Red")</f>
        <v>Green</v>
      </c>
      <c r="U1154" t="str">
        <f t="shared" ref="U1154:U1217" si="385">IF($H1154&gt;$I1154,"Green","Red")</f>
        <v>Red</v>
      </c>
      <c r="V1154" t="str">
        <f t="shared" ref="V1154:V1217" si="386">IF($H1154=$I1154,"Green","Red")</f>
        <v>Green</v>
      </c>
      <c r="W1154" t="str">
        <f t="shared" ref="W1154:W1217" si="387">IF($H1154&lt;$I1154,"Green","Red")</f>
        <v>Red</v>
      </c>
      <c r="X1154" t="str">
        <f t="shared" ref="X1154:X1217" si="388">IF($H1154+$I1154&gt;0,"Green","Red")</f>
        <v>Red</v>
      </c>
      <c r="Y1154" t="str">
        <f t="shared" ref="Y1154:Y1217" si="389">IF($J1154+$K1154&gt;1.5,"Green","Red")</f>
        <v>Red</v>
      </c>
      <c r="Z1154" t="str">
        <f t="shared" ref="Z1154:Z1217" si="390">IF($J1154+$K1154&gt;2.5,"Green","Red")</f>
        <v>Red</v>
      </c>
      <c r="AA1154" t="str">
        <f t="shared" ref="AA1154:AA1217" si="391">IF($J1154+$K1154&lt;2.5,"Green","Red")</f>
        <v>Green</v>
      </c>
      <c r="AB1154" t="str">
        <f t="shared" ref="AB1154:AB1217" si="392">IF($J1154+$K1154&lt;3.5,"Green","Red")</f>
        <v>Green</v>
      </c>
      <c r="AC1154" t="str">
        <f t="shared" ref="AC1154:AC1217" si="393">IF(AND($J1154&gt;0,$K1154&gt;0),"Green","Red")</f>
        <v>Red</v>
      </c>
      <c r="AD1154" t="str">
        <f t="shared" ref="AD1154:AD1217" si="394">IF(OR($J1154=0,$K1154=0),"Green","Red")</f>
        <v>Green</v>
      </c>
    </row>
    <row r="1155" spans="1:30" x14ac:dyDescent="0.2">
      <c r="A1155" t="str">
        <f>L1154&amp;F1155&amp;G1155</f>
        <v>25/07/2026FK FarDULochin FK</v>
      </c>
      <c r="D1155" s="2">
        <v>46228</v>
      </c>
      <c r="E1155" s="3">
        <v>0.52083333333333337</v>
      </c>
      <c r="F1155" t="s">
        <v>3728</v>
      </c>
      <c r="G1155" t="s">
        <v>3729</v>
      </c>
      <c r="H1155">
        <v>0</v>
      </c>
      <c r="I1155">
        <v>0</v>
      </c>
      <c r="J1155">
        <v>2</v>
      </c>
      <c r="K1155">
        <v>1</v>
      </c>
      <c r="L1155" s="22" t="str">
        <f t="shared" si="376"/>
        <v>25/07/2026</v>
      </c>
      <c r="M1155" s="23">
        <f t="shared" si="377"/>
        <v>0.39583333333333337</v>
      </c>
      <c r="N1155" t="str">
        <f t="shared" si="378"/>
        <v>2 - 1</v>
      </c>
      <c r="O1155" t="str">
        <f t="shared" si="379"/>
        <v>Green</v>
      </c>
      <c r="P1155" t="str">
        <f t="shared" si="380"/>
        <v>Red</v>
      </c>
      <c r="Q1155" t="str">
        <f t="shared" si="381"/>
        <v>Red</v>
      </c>
      <c r="R1155" t="str">
        <f t="shared" si="382"/>
        <v>Green</v>
      </c>
      <c r="S1155" t="str">
        <f t="shared" si="383"/>
        <v>Red</v>
      </c>
      <c r="T1155" t="str">
        <f t="shared" si="384"/>
        <v>Green</v>
      </c>
      <c r="U1155" t="str">
        <f t="shared" si="385"/>
        <v>Red</v>
      </c>
      <c r="V1155" t="str">
        <f t="shared" si="386"/>
        <v>Green</v>
      </c>
      <c r="W1155" t="str">
        <f t="shared" si="387"/>
        <v>Red</v>
      </c>
      <c r="X1155" t="str">
        <f t="shared" si="388"/>
        <v>Red</v>
      </c>
      <c r="Y1155" t="str">
        <f t="shared" si="389"/>
        <v>Green</v>
      </c>
      <c r="Z1155" t="str">
        <f t="shared" si="390"/>
        <v>Green</v>
      </c>
      <c r="AA1155" t="str">
        <f t="shared" si="391"/>
        <v>Red</v>
      </c>
      <c r="AB1155" t="str">
        <f t="shared" si="392"/>
        <v>Green</v>
      </c>
      <c r="AC1155" t="str">
        <f t="shared" si="393"/>
        <v>Green</v>
      </c>
      <c r="AD1155" t="str">
        <f t="shared" si="394"/>
        <v>Red</v>
      </c>
    </row>
    <row r="1156" spans="1:30" x14ac:dyDescent="0.2">
      <c r="A1156" t="str">
        <f>L1155&amp;F1156&amp;G1156</f>
        <v>25/07/2026SV Zulte WaregemSparta Rotterdam</v>
      </c>
      <c r="D1156" s="2">
        <v>46228</v>
      </c>
      <c r="E1156" s="3">
        <v>0.52083333333333337</v>
      </c>
      <c r="F1156" t="s">
        <v>3819</v>
      </c>
      <c r="G1156" t="s">
        <v>3820</v>
      </c>
      <c r="H1156">
        <v>1</v>
      </c>
      <c r="I1156">
        <v>2</v>
      </c>
      <c r="J1156">
        <v>3</v>
      </c>
      <c r="K1156">
        <v>2</v>
      </c>
      <c r="L1156" s="22" t="str">
        <f t="shared" si="376"/>
        <v>25/07/2026</v>
      </c>
      <c r="M1156" s="23">
        <f t="shared" si="377"/>
        <v>0.39583333333333337</v>
      </c>
      <c r="N1156" t="str">
        <f t="shared" si="378"/>
        <v>3 - 2</v>
      </c>
      <c r="O1156" t="str">
        <f t="shared" si="379"/>
        <v>Green</v>
      </c>
      <c r="P1156" t="str">
        <f t="shared" si="380"/>
        <v>Red</v>
      </c>
      <c r="Q1156" t="str">
        <f t="shared" si="381"/>
        <v>Red</v>
      </c>
      <c r="R1156" t="str">
        <f t="shared" si="382"/>
        <v>Green</v>
      </c>
      <c r="S1156" t="str">
        <f t="shared" si="383"/>
        <v>Red</v>
      </c>
      <c r="T1156" t="str">
        <f t="shared" si="384"/>
        <v>Green</v>
      </c>
      <c r="U1156" t="str">
        <f t="shared" si="385"/>
        <v>Red</v>
      </c>
      <c r="V1156" t="str">
        <f t="shared" si="386"/>
        <v>Red</v>
      </c>
      <c r="W1156" t="str">
        <f t="shared" si="387"/>
        <v>Green</v>
      </c>
      <c r="X1156" t="str">
        <f t="shared" si="388"/>
        <v>Green</v>
      </c>
      <c r="Y1156" t="str">
        <f t="shared" si="389"/>
        <v>Green</v>
      </c>
      <c r="Z1156" t="str">
        <f t="shared" si="390"/>
        <v>Green</v>
      </c>
      <c r="AA1156" t="str">
        <f t="shared" si="391"/>
        <v>Red</v>
      </c>
      <c r="AB1156" t="str">
        <f t="shared" si="392"/>
        <v>Red</v>
      </c>
      <c r="AC1156" t="str">
        <f t="shared" si="393"/>
        <v>Green</v>
      </c>
      <c r="AD1156" t="str">
        <f t="shared" si="394"/>
        <v>Red</v>
      </c>
    </row>
    <row r="1157" spans="1:30" x14ac:dyDescent="0.2">
      <c r="A1157" t="str">
        <f>L1156&amp;F1157&amp;G1157</f>
        <v>25/07/2026Jagiellonia BialystokKorona Kielce</v>
      </c>
      <c r="D1157" s="2">
        <v>46228</v>
      </c>
      <c r="E1157" s="3">
        <v>0.53125</v>
      </c>
      <c r="F1157" t="s">
        <v>3537</v>
      </c>
      <c r="G1157" t="s">
        <v>3538</v>
      </c>
      <c r="H1157">
        <v>0</v>
      </c>
      <c r="I1157">
        <v>0</v>
      </c>
      <c r="J1157">
        <v>1</v>
      </c>
      <c r="K1157">
        <v>0</v>
      </c>
      <c r="L1157" s="22" t="str">
        <f t="shared" si="376"/>
        <v>25/07/2026</v>
      </c>
      <c r="M1157" s="23">
        <f t="shared" si="377"/>
        <v>0.40625</v>
      </c>
      <c r="N1157" t="str">
        <f t="shared" si="378"/>
        <v>1 - 0</v>
      </c>
      <c r="O1157" t="str">
        <f t="shared" si="379"/>
        <v>Green</v>
      </c>
      <c r="P1157" t="str">
        <f t="shared" si="380"/>
        <v>Red</v>
      </c>
      <c r="Q1157" t="str">
        <f t="shared" si="381"/>
        <v>Red</v>
      </c>
      <c r="R1157" t="str">
        <f t="shared" si="382"/>
        <v>Green</v>
      </c>
      <c r="S1157" t="str">
        <f t="shared" si="383"/>
        <v>Red</v>
      </c>
      <c r="T1157" t="str">
        <f t="shared" si="384"/>
        <v>Green</v>
      </c>
      <c r="U1157" t="str">
        <f t="shared" si="385"/>
        <v>Red</v>
      </c>
      <c r="V1157" t="str">
        <f t="shared" si="386"/>
        <v>Green</v>
      </c>
      <c r="W1157" t="str">
        <f t="shared" si="387"/>
        <v>Red</v>
      </c>
      <c r="X1157" t="str">
        <f t="shared" si="388"/>
        <v>Red</v>
      </c>
      <c r="Y1157" t="str">
        <f t="shared" si="389"/>
        <v>Red</v>
      </c>
      <c r="Z1157" t="str">
        <f t="shared" si="390"/>
        <v>Red</v>
      </c>
      <c r="AA1157" t="str">
        <f t="shared" si="391"/>
        <v>Green</v>
      </c>
      <c r="AB1157" t="str">
        <f t="shared" si="392"/>
        <v>Green</v>
      </c>
      <c r="AC1157" t="str">
        <f t="shared" si="393"/>
        <v>Red</v>
      </c>
      <c r="AD1157" t="str">
        <f t="shared" si="394"/>
        <v>Green</v>
      </c>
    </row>
    <row r="1158" spans="1:30" x14ac:dyDescent="0.2">
      <c r="A1158" t="str">
        <f>L1157&amp;F1158&amp;G1158</f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2763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76"/>
        <v>25/07/2026</v>
      </c>
      <c r="M1158" s="23">
        <f t="shared" si="377"/>
        <v>0.41666666666666663</v>
      </c>
      <c r="N1158" t="str">
        <f t="shared" si="378"/>
        <v>0 - 1</v>
      </c>
      <c r="O1158" t="str">
        <f t="shared" si="379"/>
        <v>Red</v>
      </c>
      <c r="P1158" t="str">
        <f t="shared" si="380"/>
        <v>Red</v>
      </c>
      <c r="Q1158" t="str">
        <f t="shared" si="381"/>
        <v>Green</v>
      </c>
      <c r="R1158" t="str">
        <f t="shared" si="382"/>
        <v>Red</v>
      </c>
      <c r="S1158" t="str">
        <f t="shared" si="383"/>
        <v>Green</v>
      </c>
      <c r="T1158" t="str">
        <f t="shared" si="384"/>
        <v>Green</v>
      </c>
      <c r="U1158" t="str">
        <f t="shared" si="385"/>
        <v>Red</v>
      </c>
      <c r="V1158" t="str">
        <f t="shared" si="386"/>
        <v>Red</v>
      </c>
      <c r="W1158" t="str">
        <f t="shared" si="387"/>
        <v>Green</v>
      </c>
      <c r="X1158" t="str">
        <f t="shared" si="388"/>
        <v>Green</v>
      </c>
      <c r="Y1158" t="str">
        <f t="shared" si="389"/>
        <v>Red</v>
      </c>
      <c r="Z1158" t="str">
        <f t="shared" si="390"/>
        <v>Red</v>
      </c>
      <c r="AA1158" t="str">
        <f t="shared" si="391"/>
        <v>Green</v>
      </c>
      <c r="AB1158" t="str">
        <f t="shared" si="392"/>
        <v>Green</v>
      </c>
      <c r="AC1158" t="str">
        <f t="shared" si="393"/>
        <v>Red</v>
      </c>
      <c r="AD1158" t="str">
        <f t="shared" si="394"/>
        <v>Green</v>
      </c>
    </row>
    <row r="1159" spans="1:30" x14ac:dyDescent="0.2">
      <c r="A1159" t="str">
        <f>L1158&amp;F1159&amp;G1159</f>
        <v>25/07/2026LaosThailand</v>
      </c>
      <c r="B1159" t="s">
        <v>2248</v>
      </c>
      <c r="C1159" t="s">
        <v>2249</v>
      </c>
      <c r="D1159" s="2">
        <v>46228</v>
      </c>
      <c r="E1159" s="3">
        <v>0.54166666666666663</v>
      </c>
      <c r="F1159" t="s">
        <v>2796</v>
      </c>
      <c r="G1159" t="s">
        <v>2797</v>
      </c>
      <c r="H1159">
        <v>0</v>
      </c>
      <c r="I1159">
        <v>2</v>
      </c>
      <c r="J1159">
        <v>0</v>
      </c>
      <c r="K1159">
        <v>5</v>
      </c>
      <c r="L1159" s="22" t="str">
        <f t="shared" si="376"/>
        <v>25/07/2026</v>
      </c>
      <c r="M1159" s="23">
        <f t="shared" si="377"/>
        <v>0.41666666666666663</v>
      </c>
      <c r="N1159" t="str">
        <f t="shared" si="378"/>
        <v>0 - 5</v>
      </c>
      <c r="O1159" t="str">
        <f t="shared" si="379"/>
        <v>Red</v>
      </c>
      <c r="P1159" t="str">
        <f t="shared" si="380"/>
        <v>Red</v>
      </c>
      <c r="Q1159" t="str">
        <f t="shared" si="381"/>
        <v>Green</v>
      </c>
      <c r="R1159" t="str">
        <f t="shared" si="382"/>
        <v>Red</v>
      </c>
      <c r="S1159" t="str">
        <f t="shared" si="383"/>
        <v>Green</v>
      </c>
      <c r="T1159" t="str">
        <f t="shared" si="384"/>
        <v>Green</v>
      </c>
      <c r="U1159" t="str">
        <f t="shared" si="385"/>
        <v>Red</v>
      </c>
      <c r="V1159" t="str">
        <f t="shared" si="386"/>
        <v>Red</v>
      </c>
      <c r="W1159" t="str">
        <f t="shared" si="387"/>
        <v>Green</v>
      </c>
      <c r="X1159" t="str">
        <f t="shared" si="388"/>
        <v>Green</v>
      </c>
      <c r="Y1159" t="str">
        <f t="shared" si="389"/>
        <v>Green</v>
      </c>
      <c r="Z1159" t="str">
        <f t="shared" si="390"/>
        <v>Green</v>
      </c>
      <c r="AA1159" t="str">
        <f t="shared" si="391"/>
        <v>Red</v>
      </c>
      <c r="AB1159" t="str">
        <f t="shared" si="392"/>
        <v>Red</v>
      </c>
      <c r="AC1159" t="str">
        <f t="shared" si="393"/>
        <v>Red</v>
      </c>
      <c r="AD1159" t="str">
        <f t="shared" si="394"/>
        <v>Green</v>
      </c>
    </row>
    <row r="1160" spans="1:30" x14ac:dyDescent="0.2">
      <c r="A1160" t="str">
        <f>L1159&amp;F1160&amp;G1160</f>
        <v>25/07/2026Niva DolbiznoOstrovets FC</v>
      </c>
      <c r="D1160" s="2">
        <v>46228</v>
      </c>
      <c r="E1160" s="3">
        <v>0.54166666666666663</v>
      </c>
      <c r="F1160" t="s">
        <v>3037</v>
      </c>
      <c r="G1160" t="s">
        <v>3038</v>
      </c>
      <c r="H1160">
        <v>0</v>
      </c>
      <c r="I1160">
        <v>0</v>
      </c>
      <c r="J1160">
        <v>2</v>
      </c>
      <c r="K1160">
        <v>0</v>
      </c>
      <c r="L1160" s="22" t="str">
        <f t="shared" si="376"/>
        <v>25/07/2026</v>
      </c>
      <c r="M1160" s="23">
        <f t="shared" si="377"/>
        <v>0.41666666666666663</v>
      </c>
      <c r="N1160" t="str">
        <f t="shared" si="378"/>
        <v>2 - 0</v>
      </c>
      <c r="O1160" t="str">
        <f t="shared" si="379"/>
        <v>Green</v>
      </c>
      <c r="P1160" t="str">
        <f t="shared" si="380"/>
        <v>Red</v>
      </c>
      <c r="Q1160" t="str">
        <f t="shared" si="381"/>
        <v>Red</v>
      </c>
      <c r="R1160" t="str">
        <f t="shared" si="382"/>
        <v>Green</v>
      </c>
      <c r="S1160" t="str">
        <f t="shared" si="383"/>
        <v>Red</v>
      </c>
      <c r="T1160" t="str">
        <f t="shared" si="384"/>
        <v>Green</v>
      </c>
      <c r="U1160" t="str">
        <f t="shared" si="385"/>
        <v>Red</v>
      </c>
      <c r="V1160" t="str">
        <f t="shared" si="386"/>
        <v>Green</v>
      </c>
      <c r="W1160" t="str">
        <f t="shared" si="387"/>
        <v>Red</v>
      </c>
      <c r="X1160" t="str">
        <f t="shared" si="388"/>
        <v>Red</v>
      </c>
      <c r="Y1160" t="str">
        <f t="shared" si="389"/>
        <v>Green</v>
      </c>
      <c r="Z1160" t="str">
        <f t="shared" si="390"/>
        <v>Red</v>
      </c>
      <c r="AA1160" t="str">
        <f t="shared" si="391"/>
        <v>Green</v>
      </c>
      <c r="AB1160" t="str">
        <f t="shared" si="392"/>
        <v>Green</v>
      </c>
      <c r="AC1160" t="str">
        <f t="shared" si="393"/>
        <v>Red</v>
      </c>
      <c r="AD1160" t="str">
        <f t="shared" si="394"/>
        <v>Green</v>
      </c>
    </row>
    <row r="1161" spans="1:30" x14ac:dyDescent="0.2">
      <c r="A1161" t="str">
        <f>L1160&amp;F1161&amp;G1161</f>
        <v>25/07/2026IslochBaranovichi</v>
      </c>
      <c r="D1161" s="2">
        <v>46228</v>
      </c>
      <c r="E1161" s="3">
        <v>0.54166666666666663</v>
      </c>
      <c r="F1161" t="s">
        <v>3043</v>
      </c>
      <c r="G1161" t="s">
        <v>3044</v>
      </c>
      <c r="H1161">
        <v>1</v>
      </c>
      <c r="I1161">
        <v>0</v>
      </c>
      <c r="J1161">
        <v>1</v>
      </c>
      <c r="K1161">
        <v>1</v>
      </c>
      <c r="L1161" s="22" t="str">
        <f t="shared" si="376"/>
        <v>25/07/2026</v>
      </c>
      <c r="M1161" s="23">
        <f t="shared" si="377"/>
        <v>0.41666666666666663</v>
      </c>
      <c r="N1161" t="str">
        <f t="shared" si="378"/>
        <v>1 - 1</v>
      </c>
      <c r="O1161" t="str">
        <f t="shared" si="379"/>
        <v>Red</v>
      </c>
      <c r="P1161" t="str">
        <f t="shared" si="380"/>
        <v>Green</v>
      </c>
      <c r="Q1161" t="str">
        <f t="shared" si="381"/>
        <v>Red</v>
      </c>
      <c r="R1161" t="str">
        <f t="shared" si="382"/>
        <v>Green</v>
      </c>
      <c r="S1161" t="str">
        <f t="shared" si="383"/>
        <v>Green</v>
      </c>
      <c r="T1161" t="str">
        <f t="shared" si="384"/>
        <v>Red</v>
      </c>
      <c r="U1161" t="str">
        <f t="shared" si="385"/>
        <v>Green</v>
      </c>
      <c r="V1161" t="str">
        <f t="shared" si="386"/>
        <v>Red</v>
      </c>
      <c r="W1161" t="str">
        <f t="shared" si="387"/>
        <v>Red</v>
      </c>
      <c r="X1161" t="str">
        <f t="shared" si="388"/>
        <v>Green</v>
      </c>
      <c r="Y1161" t="str">
        <f t="shared" si="389"/>
        <v>Green</v>
      </c>
      <c r="Z1161" t="str">
        <f t="shared" si="390"/>
        <v>Red</v>
      </c>
      <c r="AA1161" t="str">
        <f t="shared" si="391"/>
        <v>Green</v>
      </c>
      <c r="AB1161" t="str">
        <f t="shared" si="392"/>
        <v>Green</v>
      </c>
      <c r="AC1161" t="str">
        <f t="shared" si="393"/>
        <v>Green</v>
      </c>
      <c r="AD1161" t="str">
        <f t="shared" si="394"/>
        <v>Red</v>
      </c>
    </row>
    <row r="1162" spans="1:30" x14ac:dyDescent="0.2">
      <c r="A1162" t="str">
        <f>L1161&amp;F1162&amp;G1162</f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3096</v>
      </c>
      <c r="H1162">
        <v>0</v>
      </c>
      <c r="I1162">
        <v>0</v>
      </c>
      <c r="J1162">
        <v>8</v>
      </c>
      <c r="K1162">
        <v>1</v>
      </c>
      <c r="L1162" s="22" t="str">
        <f t="shared" si="376"/>
        <v>25/07/2026</v>
      </c>
      <c r="M1162" s="23">
        <f t="shared" si="377"/>
        <v>0.41666666666666663</v>
      </c>
      <c r="N1162" t="str">
        <f t="shared" si="378"/>
        <v>8 - 1</v>
      </c>
      <c r="O1162" t="str">
        <f t="shared" si="379"/>
        <v>Green</v>
      </c>
      <c r="P1162" t="str">
        <f t="shared" si="380"/>
        <v>Red</v>
      </c>
      <c r="Q1162" t="str">
        <f t="shared" si="381"/>
        <v>Red</v>
      </c>
      <c r="R1162" t="str">
        <f t="shared" si="382"/>
        <v>Green</v>
      </c>
      <c r="S1162" t="str">
        <f t="shared" si="383"/>
        <v>Red</v>
      </c>
      <c r="T1162" t="str">
        <f t="shared" si="384"/>
        <v>Green</v>
      </c>
      <c r="U1162" t="str">
        <f t="shared" si="385"/>
        <v>Red</v>
      </c>
      <c r="V1162" t="str">
        <f t="shared" si="386"/>
        <v>Green</v>
      </c>
      <c r="W1162" t="str">
        <f t="shared" si="387"/>
        <v>Red</v>
      </c>
      <c r="X1162" t="str">
        <f t="shared" si="388"/>
        <v>Red</v>
      </c>
      <c r="Y1162" t="str">
        <f t="shared" si="389"/>
        <v>Green</v>
      </c>
      <c r="Z1162" t="str">
        <f t="shared" si="390"/>
        <v>Green</v>
      </c>
      <c r="AA1162" t="str">
        <f t="shared" si="391"/>
        <v>Red</v>
      </c>
      <c r="AB1162" t="str">
        <f t="shared" si="392"/>
        <v>Red</v>
      </c>
      <c r="AC1162" t="str">
        <f t="shared" si="393"/>
        <v>Green</v>
      </c>
      <c r="AD1162" t="str">
        <f t="shared" si="394"/>
        <v>Red</v>
      </c>
    </row>
    <row r="1163" spans="1:30" x14ac:dyDescent="0.2">
      <c r="A1163" t="str">
        <f>L1162&amp;F1163&amp;G1163</f>
        <v>25/07/2026EsbjergKolding IF</v>
      </c>
      <c r="D1163" s="2">
        <v>46228</v>
      </c>
      <c r="E1163" s="3">
        <v>0.54166666666666663</v>
      </c>
      <c r="F1163" t="s">
        <v>3188</v>
      </c>
      <c r="G1163" t="s">
        <v>3189</v>
      </c>
      <c r="H1163">
        <v>1</v>
      </c>
      <c r="I1163">
        <v>1</v>
      </c>
      <c r="J1163">
        <v>1</v>
      </c>
      <c r="K1163">
        <v>1</v>
      </c>
      <c r="L1163" s="22" t="str">
        <f t="shared" si="376"/>
        <v>25/07/2026</v>
      </c>
      <c r="M1163" s="23">
        <f t="shared" si="377"/>
        <v>0.41666666666666663</v>
      </c>
      <c r="N1163" t="str">
        <f t="shared" si="378"/>
        <v>1 - 1</v>
      </c>
      <c r="O1163" t="str">
        <f t="shared" si="379"/>
        <v>Red</v>
      </c>
      <c r="P1163" t="str">
        <f t="shared" si="380"/>
        <v>Green</v>
      </c>
      <c r="Q1163" t="str">
        <f t="shared" si="381"/>
        <v>Red</v>
      </c>
      <c r="R1163" t="str">
        <f t="shared" si="382"/>
        <v>Green</v>
      </c>
      <c r="S1163" t="str">
        <f t="shared" si="383"/>
        <v>Green</v>
      </c>
      <c r="T1163" t="str">
        <f t="shared" si="384"/>
        <v>Red</v>
      </c>
      <c r="U1163" t="str">
        <f t="shared" si="385"/>
        <v>Red</v>
      </c>
      <c r="V1163" t="str">
        <f t="shared" si="386"/>
        <v>Green</v>
      </c>
      <c r="W1163" t="str">
        <f t="shared" si="387"/>
        <v>Red</v>
      </c>
      <c r="X1163" t="str">
        <f t="shared" si="388"/>
        <v>Green</v>
      </c>
      <c r="Y1163" t="str">
        <f t="shared" si="389"/>
        <v>Green</v>
      </c>
      <c r="Z1163" t="str">
        <f t="shared" si="390"/>
        <v>Red</v>
      </c>
      <c r="AA1163" t="str">
        <f t="shared" si="391"/>
        <v>Green</v>
      </c>
      <c r="AB1163" t="str">
        <f t="shared" si="392"/>
        <v>Green</v>
      </c>
      <c r="AC1163" t="str">
        <f t="shared" si="393"/>
        <v>Green</v>
      </c>
      <c r="AD1163" t="str">
        <f t="shared" si="394"/>
        <v>Red</v>
      </c>
    </row>
    <row r="1164" spans="1:30" x14ac:dyDescent="0.2">
      <c r="A1164" t="str">
        <f>L1163&amp;F1164&amp;G1164</f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76"/>
        <v>25/07/2026</v>
      </c>
      <c r="M1164" s="23">
        <f t="shared" si="377"/>
        <v>0.41666666666666663</v>
      </c>
      <c r="N1164" t="str">
        <f t="shared" si="378"/>
        <v>2 - 0</v>
      </c>
      <c r="O1164" t="str">
        <f t="shared" si="379"/>
        <v>Green</v>
      </c>
      <c r="P1164" t="str">
        <f t="shared" si="380"/>
        <v>Red</v>
      </c>
      <c r="Q1164" t="str">
        <f t="shared" si="381"/>
        <v>Red</v>
      </c>
      <c r="R1164" t="str">
        <f t="shared" si="382"/>
        <v>Green</v>
      </c>
      <c r="S1164" t="str">
        <f t="shared" si="383"/>
        <v>Red</v>
      </c>
      <c r="T1164" t="str">
        <f t="shared" si="384"/>
        <v>Green</v>
      </c>
      <c r="U1164" t="str">
        <f t="shared" si="385"/>
        <v>Green</v>
      </c>
      <c r="V1164" t="str">
        <f t="shared" si="386"/>
        <v>Red</v>
      </c>
      <c r="W1164" t="str">
        <f t="shared" si="387"/>
        <v>Red</v>
      </c>
      <c r="X1164" t="str">
        <f t="shared" si="388"/>
        <v>Green</v>
      </c>
      <c r="Y1164" t="str">
        <f t="shared" si="389"/>
        <v>Green</v>
      </c>
      <c r="Z1164" t="str">
        <f t="shared" si="390"/>
        <v>Red</v>
      </c>
      <c r="AA1164" t="str">
        <f t="shared" si="391"/>
        <v>Green</v>
      </c>
      <c r="AB1164" t="str">
        <f t="shared" si="392"/>
        <v>Green</v>
      </c>
      <c r="AC1164" t="str">
        <f t="shared" si="393"/>
        <v>Red</v>
      </c>
      <c r="AD1164" t="str">
        <f t="shared" si="394"/>
        <v>Green</v>
      </c>
    </row>
    <row r="1165" spans="1:30" x14ac:dyDescent="0.2">
      <c r="A1165" t="str">
        <f>L1164&amp;F1165&amp;G1165</f>
        <v>25/07/2026Mikkelin PalloilijatKTP</v>
      </c>
      <c r="D1165" s="2">
        <v>46228</v>
      </c>
      <c r="E1165" s="3">
        <v>0.54166666666666663</v>
      </c>
      <c r="F1165" t="s">
        <v>3219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76"/>
        <v>25/07/2026</v>
      </c>
      <c r="M1165" s="23">
        <f t="shared" si="377"/>
        <v>0.41666666666666663</v>
      </c>
      <c r="N1165" t="str">
        <f t="shared" si="378"/>
        <v>3 - 3</v>
      </c>
      <c r="O1165" t="str">
        <f t="shared" si="379"/>
        <v>Red</v>
      </c>
      <c r="P1165" t="str">
        <f t="shared" si="380"/>
        <v>Green</v>
      </c>
      <c r="Q1165" t="str">
        <f t="shared" si="381"/>
        <v>Red</v>
      </c>
      <c r="R1165" t="str">
        <f t="shared" si="382"/>
        <v>Green</v>
      </c>
      <c r="S1165" t="str">
        <f t="shared" si="383"/>
        <v>Green</v>
      </c>
      <c r="T1165" t="str">
        <f t="shared" si="384"/>
        <v>Red</v>
      </c>
      <c r="U1165" t="str">
        <f t="shared" si="385"/>
        <v>Green</v>
      </c>
      <c r="V1165" t="str">
        <f t="shared" si="386"/>
        <v>Red</v>
      </c>
      <c r="W1165" t="str">
        <f t="shared" si="387"/>
        <v>Red</v>
      </c>
      <c r="X1165" t="str">
        <f t="shared" si="388"/>
        <v>Green</v>
      </c>
      <c r="Y1165" t="str">
        <f t="shared" si="389"/>
        <v>Green</v>
      </c>
      <c r="Z1165" t="str">
        <f t="shared" si="390"/>
        <v>Green</v>
      </c>
      <c r="AA1165" t="str">
        <f t="shared" si="391"/>
        <v>Red</v>
      </c>
      <c r="AB1165" t="str">
        <f t="shared" si="392"/>
        <v>Red</v>
      </c>
      <c r="AC1165" t="str">
        <f t="shared" si="393"/>
        <v>Green</v>
      </c>
      <c r="AD1165" t="str">
        <f t="shared" si="394"/>
        <v>Red</v>
      </c>
    </row>
    <row r="1166" spans="1:30" x14ac:dyDescent="0.2">
      <c r="A1166" t="str">
        <f>L1165&amp;F1166&amp;G1166</f>
        <v>25/07/2026Seinajoen JK IIEIF</v>
      </c>
      <c r="D1166" s="2">
        <v>46228</v>
      </c>
      <c r="E1166" s="3">
        <v>0.54166666666666663</v>
      </c>
      <c r="F1166" t="s">
        <v>3220</v>
      </c>
      <c r="G1166" t="s">
        <v>3221</v>
      </c>
      <c r="H1166">
        <v>0</v>
      </c>
      <c r="I1166">
        <v>0</v>
      </c>
      <c r="J1166">
        <v>0</v>
      </c>
      <c r="K1166">
        <v>0</v>
      </c>
      <c r="L1166" s="22" t="str">
        <f t="shared" si="376"/>
        <v>25/07/2026</v>
      </c>
      <c r="M1166" s="23">
        <f t="shared" si="377"/>
        <v>0.41666666666666663</v>
      </c>
      <c r="N1166" t="str">
        <f t="shared" si="378"/>
        <v>0 - 0</v>
      </c>
      <c r="O1166" t="str">
        <f t="shared" si="379"/>
        <v>Red</v>
      </c>
      <c r="P1166" t="str">
        <f t="shared" si="380"/>
        <v>Green</v>
      </c>
      <c r="Q1166" t="str">
        <f t="shared" si="381"/>
        <v>Red</v>
      </c>
      <c r="R1166" t="str">
        <f t="shared" si="382"/>
        <v>Green</v>
      </c>
      <c r="S1166" t="str">
        <f t="shared" si="383"/>
        <v>Green</v>
      </c>
      <c r="T1166" t="str">
        <f t="shared" si="384"/>
        <v>Red</v>
      </c>
      <c r="U1166" t="str">
        <f t="shared" si="385"/>
        <v>Red</v>
      </c>
      <c r="V1166" t="str">
        <f t="shared" si="386"/>
        <v>Green</v>
      </c>
      <c r="W1166" t="str">
        <f t="shared" si="387"/>
        <v>Red</v>
      </c>
      <c r="X1166" t="str">
        <f t="shared" si="388"/>
        <v>Red</v>
      </c>
      <c r="Y1166" t="str">
        <f t="shared" si="389"/>
        <v>Red</v>
      </c>
      <c r="Z1166" t="str">
        <f t="shared" si="390"/>
        <v>Red</v>
      </c>
      <c r="AA1166" t="str">
        <f t="shared" si="391"/>
        <v>Green</v>
      </c>
      <c r="AB1166" t="str">
        <f t="shared" si="392"/>
        <v>Green</v>
      </c>
      <c r="AC1166" t="str">
        <f t="shared" si="393"/>
        <v>Red</v>
      </c>
      <c r="AD1166" t="str">
        <f t="shared" si="394"/>
        <v>Green</v>
      </c>
    </row>
    <row r="1167" spans="1:30" x14ac:dyDescent="0.2">
      <c r="A1167" t="str">
        <f>L1166&amp;F1167&amp;G1167</f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3223</v>
      </c>
      <c r="H1167">
        <v>3</v>
      </c>
      <c r="I1167">
        <v>0</v>
      </c>
      <c r="J1167">
        <v>4</v>
      </c>
      <c r="K1167">
        <v>0</v>
      </c>
      <c r="L1167" s="22" t="str">
        <f t="shared" si="376"/>
        <v>25/07/2026</v>
      </c>
      <c r="M1167" s="23">
        <f t="shared" si="377"/>
        <v>0.41666666666666663</v>
      </c>
      <c r="N1167" t="str">
        <f t="shared" si="378"/>
        <v>4 - 0</v>
      </c>
      <c r="O1167" t="str">
        <f t="shared" si="379"/>
        <v>Green</v>
      </c>
      <c r="P1167" t="str">
        <f t="shared" si="380"/>
        <v>Red</v>
      </c>
      <c r="Q1167" t="str">
        <f t="shared" si="381"/>
        <v>Red</v>
      </c>
      <c r="R1167" t="str">
        <f t="shared" si="382"/>
        <v>Green</v>
      </c>
      <c r="S1167" t="str">
        <f t="shared" si="383"/>
        <v>Red</v>
      </c>
      <c r="T1167" t="str">
        <f t="shared" si="384"/>
        <v>Green</v>
      </c>
      <c r="U1167" t="str">
        <f t="shared" si="385"/>
        <v>Green</v>
      </c>
      <c r="V1167" t="str">
        <f t="shared" si="386"/>
        <v>Red</v>
      </c>
      <c r="W1167" t="str">
        <f t="shared" si="387"/>
        <v>Red</v>
      </c>
      <c r="X1167" t="str">
        <f t="shared" si="388"/>
        <v>Green</v>
      </c>
      <c r="Y1167" t="str">
        <f t="shared" si="389"/>
        <v>Green</v>
      </c>
      <c r="Z1167" t="str">
        <f t="shared" si="390"/>
        <v>Green</v>
      </c>
      <c r="AA1167" t="str">
        <f t="shared" si="391"/>
        <v>Red</v>
      </c>
      <c r="AB1167" t="str">
        <f t="shared" si="392"/>
        <v>Red</v>
      </c>
      <c r="AC1167" t="str">
        <f t="shared" si="393"/>
        <v>Red</v>
      </c>
      <c r="AD1167" t="str">
        <f t="shared" si="394"/>
        <v>Green</v>
      </c>
    </row>
    <row r="1168" spans="1:30" x14ac:dyDescent="0.2">
      <c r="A1168" t="str">
        <f>L1167&amp;F1168&amp;G1168</f>
        <v>25/07/2026Salon PalloilijatPallokerho Keski-Uusimaa</v>
      </c>
      <c r="D1168" s="2">
        <v>46228</v>
      </c>
      <c r="E1168" s="3">
        <v>0.54166666666666663</v>
      </c>
      <c r="F1168" t="s">
        <v>3224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76"/>
        <v>25/07/2026</v>
      </c>
      <c r="M1168" s="23">
        <f t="shared" si="377"/>
        <v>0.41666666666666663</v>
      </c>
      <c r="N1168" t="str">
        <f t="shared" si="378"/>
        <v>0 - 1</v>
      </c>
      <c r="O1168" t="str">
        <f t="shared" si="379"/>
        <v>Red</v>
      </c>
      <c r="P1168" t="str">
        <f t="shared" si="380"/>
        <v>Red</v>
      </c>
      <c r="Q1168" t="str">
        <f t="shared" si="381"/>
        <v>Green</v>
      </c>
      <c r="R1168" t="str">
        <f t="shared" si="382"/>
        <v>Red</v>
      </c>
      <c r="S1168" t="str">
        <f t="shared" si="383"/>
        <v>Green</v>
      </c>
      <c r="T1168" t="str">
        <f t="shared" si="384"/>
        <v>Green</v>
      </c>
      <c r="U1168" t="str">
        <f t="shared" si="385"/>
        <v>Red</v>
      </c>
      <c r="V1168" t="str">
        <f t="shared" si="386"/>
        <v>Green</v>
      </c>
      <c r="W1168" t="str">
        <f t="shared" si="387"/>
        <v>Red</v>
      </c>
      <c r="X1168" t="str">
        <f t="shared" si="388"/>
        <v>Red</v>
      </c>
      <c r="Y1168" t="str">
        <f t="shared" si="389"/>
        <v>Red</v>
      </c>
      <c r="Z1168" t="str">
        <f t="shared" si="390"/>
        <v>Red</v>
      </c>
      <c r="AA1168" t="str">
        <f t="shared" si="391"/>
        <v>Green</v>
      </c>
      <c r="AB1168" t="str">
        <f t="shared" si="392"/>
        <v>Green</v>
      </c>
      <c r="AC1168" t="str">
        <f t="shared" si="393"/>
        <v>Red</v>
      </c>
      <c r="AD1168" t="str">
        <f t="shared" si="394"/>
        <v>Green</v>
      </c>
    </row>
    <row r="1169" spans="1:30" x14ac:dyDescent="0.2">
      <c r="A1169" t="str">
        <f>L1168&amp;F1169&amp;G1169</f>
        <v>25/07/2026AtlantisHelsingin Palloseura</v>
      </c>
      <c r="D1169" s="2">
        <v>46228</v>
      </c>
      <c r="E1169" s="3">
        <v>0.54166666666666663</v>
      </c>
      <c r="F1169" t="s">
        <v>3225</v>
      </c>
      <c r="G1169" t="s">
        <v>3226</v>
      </c>
      <c r="H1169">
        <v>3</v>
      </c>
      <c r="I1169">
        <v>1</v>
      </c>
      <c r="J1169">
        <v>5</v>
      </c>
      <c r="K1169">
        <v>3</v>
      </c>
      <c r="L1169" s="22" t="str">
        <f t="shared" si="376"/>
        <v>25/07/2026</v>
      </c>
      <c r="M1169" s="23">
        <f t="shared" si="377"/>
        <v>0.41666666666666663</v>
      </c>
      <c r="N1169" t="str">
        <f t="shared" si="378"/>
        <v>5 - 3</v>
      </c>
      <c r="O1169" t="str">
        <f t="shared" si="379"/>
        <v>Green</v>
      </c>
      <c r="P1169" t="str">
        <f t="shared" si="380"/>
        <v>Red</v>
      </c>
      <c r="Q1169" t="str">
        <f t="shared" si="381"/>
        <v>Red</v>
      </c>
      <c r="R1169" t="str">
        <f t="shared" si="382"/>
        <v>Green</v>
      </c>
      <c r="S1169" t="str">
        <f t="shared" si="383"/>
        <v>Red</v>
      </c>
      <c r="T1169" t="str">
        <f t="shared" si="384"/>
        <v>Green</v>
      </c>
      <c r="U1169" t="str">
        <f t="shared" si="385"/>
        <v>Green</v>
      </c>
      <c r="V1169" t="str">
        <f t="shared" si="386"/>
        <v>Red</v>
      </c>
      <c r="W1169" t="str">
        <f t="shared" si="387"/>
        <v>Red</v>
      </c>
      <c r="X1169" t="str">
        <f t="shared" si="388"/>
        <v>Green</v>
      </c>
      <c r="Y1169" t="str">
        <f t="shared" si="389"/>
        <v>Green</v>
      </c>
      <c r="Z1169" t="str">
        <f t="shared" si="390"/>
        <v>Green</v>
      </c>
      <c r="AA1169" t="str">
        <f t="shared" si="391"/>
        <v>Red</v>
      </c>
      <c r="AB1169" t="str">
        <f t="shared" si="392"/>
        <v>Red</v>
      </c>
      <c r="AC1169" t="str">
        <f t="shared" si="393"/>
        <v>Green</v>
      </c>
      <c r="AD1169" t="str">
        <f t="shared" si="394"/>
        <v>Red</v>
      </c>
    </row>
    <row r="1170" spans="1:30" x14ac:dyDescent="0.2">
      <c r="A1170" t="str">
        <f>L1169&amp;F1170&amp;G1170</f>
        <v>25/07/2026HonkaGrankulla IFK</v>
      </c>
      <c r="D1170" s="2">
        <v>46228</v>
      </c>
      <c r="E1170" s="3">
        <v>0.54166666666666663</v>
      </c>
      <c r="F1170" t="s">
        <v>3227</v>
      </c>
      <c r="G1170" t="s">
        <v>3228</v>
      </c>
      <c r="H1170">
        <v>2</v>
      </c>
      <c r="I1170">
        <v>0</v>
      </c>
      <c r="J1170">
        <v>2</v>
      </c>
      <c r="K1170">
        <v>1</v>
      </c>
      <c r="L1170" s="22" t="str">
        <f t="shared" si="376"/>
        <v>25/07/2026</v>
      </c>
      <c r="M1170" s="23">
        <f t="shared" si="377"/>
        <v>0.41666666666666663</v>
      </c>
      <c r="N1170" t="str">
        <f t="shared" si="378"/>
        <v>2 - 1</v>
      </c>
      <c r="O1170" t="str">
        <f t="shared" si="379"/>
        <v>Green</v>
      </c>
      <c r="P1170" t="str">
        <f t="shared" si="380"/>
        <v>Red</v>
      </c>
      <c r="Q1170" t="str">
        <f t="shared" si="381"/>
        <v>Red</v>
      </c>
      <c r="R1170" t="str">
        <f t="shared" si="382"/>
        <v>Green</v>
      </c>
      <c r="S1170" t="str">
        <f t="shared" si="383"/>
        <v>Red</v>
      </c>
      <c r="T1170" t="str">
        <f t="shared" si="384"/>
        <v>Green</v>
      </c>
      <c r="U1170" t="str">
        <f t="shared" si="385"/>
        <v>Green</v>
      </c>
      <c r="V1170" t="str">
        <f t="shared" si="386"/>
        <v>Red</v>
      </c>
      <c r="W1170" t="str">
        <f t="shared" si="387"/>
        <v>Red</v>
      </c>
      <c r="X1170" t="str">
        <f t="shared" si="388"/>
        <v>Green</v>
      </c>
      <c r="Y1170" t="str">
        <f t="shared" si="389"/>
        <v>Green</v>
      </c>
      <c r="Z1170" t="str">
        <f t="shared" si="390"/>
        <v>Green</v>
      </c>
      <c r="AA1170" t="str">
        <f t="shared" si="391"/>
        <v>Red</v>
      </c>
      <c r="AB1170" t="str">
        <f t="shared" si="392"/>
        <v>Green</v>
      </c>
      <c r="AC1170" t="str">
        <f t="shared" si="393"/>
        <v>Green</v>
      </c>
      <c r="AD1170" t="str">
        <f t="shared" si="394"/>
        <v>Red</v>
      </c>
    </row>
    <row r="1171" spans="1:30" x14ac:dyDescent="0.2">
      <c r="A1171" t="str">
        <f>L1170&amp;F1171&amp;G1171</f>
        <v>25/07/2026HuimaSeinajoen JK III</v>
      </c>
      <c r="D1171" s="2">
        <v>46228</v>
      </c>
      <c r="E1171" s="3">
        <v>0.54166666666666663</v>
      </c>
      <c r="F1171" t="s">
        <v>3229</v>
      </c>
      <c r="G1171" t="s">
        <v>3230</v>
      </c>
      <c r="H1171">
        <v>3</v>
      </c>
      <c r="I1171">
        <v>0</v>
      </c>
      <c r="J1171">
        <v>4</v>
      </c>
      <c r="K1171">
        <v>0</v>
      </c>
      <c r="L1171" s="22" t="str">
        <f t="shared" si="376"/>
        <v>25/07/2026</v>
      </c>
      <c r="M1171" s="23">
        <f t="shared" si="377"/>
        <v>0.41666666666666663</v>
      </c>
      <c r="N1171" t="str">
        <f t="shared" si="378"/>
        <v>4 - 0</v>
      </c>
      <c r="O1171" t="str">
        <f t="shared" si="379"/>
        <v>Green</v>
      </c>
      <c r="P1171" t="str">
        <f t="shared" si="380"/>
        <v>Red</v>
      </c>
      <c r="Q1171" t="str">
        <f t="shared" si="381"/>
        <v>Red</v>
      </c>
      <c r="R1171" t="str">
        <f t="shared" si="382"/>
        <v>Green</v>
      </c>
      <c r="S1171" t="str">
        <f t="shared" si="383"/>
        <v>Red</v>
      </c>
      <c r="T1171" t="str">
        <f t="shared" si="384"/>
        <v>Green</v>
      </c>
      <c r="U1171" t="str">
        <f t="shared" si="385"/>
        <v>Green</v>
      </c>
      <c r="V1171" t="str">
        <f t="shared" si="386"/>
        <v>Red</v>
      </c>
      <c r="W1171" t="str">
        <f t="shared" si="387"/>
        <v>Red</v>
      </c>
      <c r="X1171" t="str">
        <f t="shared" si="388"/>
        <v>Green</v>
      </c>
      <c r="Y1171" t="str">
        <f t="shared" si="389"/>
        <v>Green</v>
      </c>
      <c r="Z1171" t="str">
        <f t="shared" si="390"/>
        <v>Green</v>
      </c>
      <c r="AA1171" t="str">
        <f t="shared" si="391"/>
        <v>Red</v>
      </c>
      <c r="AB1171" t="str">
        <f t="shared" si="392"/>
        <v>Red</v>
      </c>
      <c r="AC1171" t="str">
        <f t="shared" si="393"/>
        <v>Red</v>
      </c>
      <c r="AD1171" t="str">
        <f t="shared" si="394"/>
        <v>Green</v>
      </c>
    </row>
    <row r="1172" spans="1:30" x14ac:dyDescent="0.2">
      <c r="A1172" t="str">
        <f>L1171&amp;F1172&amp;G1172</f>
        <v>25/07/2026Musan SalamaEPS FC</v>
      </c>
      <c r="D1172" s="2">
        <v>46228</v>
      </c>
      <c r="E1172" s="3">
        <v>0.54166666666666663</v>
      </c>
      <c r="F1172" t="s">
        <v>3231</v>
      </c>
      <c r="G1172" t="s">
        <v>3232</v>
      </c>
      <c r="H1172">
        <v>0</v>
      </c>
      <c r="I1172">
        <v>1</v>
      </c>
      <c r="J1172">
        <v>0</v>
      </c>
      <c r="K1172">
        <v>2</v>
      </c>
      <c r="L1172" s="22" t="str">
        <f t="shared" si="376"/>
        <v>25/07/2026</v>
      </c>
      <c r="M1172" s="23">
        <f t="shared" si="377"/>
        <v>0.41666666666666663</v>
      </c>
      <c r="N1172" t="str">
        <f t="shared" si="378"/>
        <v>0 - 2</v>
      </c>
      <c r="O1172" t="str">
        <f t="shared" si="379"/>
        <v>Red</v>
      </c>
      <c r="P1172" t="str">
        <f t="shared" si="380"/>
        <v>Red</v>
      </c>
      <c r="Q1172" t="str">
        <f t="shared" si="381"/>
        <v>Green</v>
      </c>
      <c r="R1172" t="str">
        <f t="shared" si="382"/>
        <v>Red</v>
      </c>
      <c r="S1172" t="str">
        <f t="shared" si="383"/>
        <v>Green</v>
      </c>
      <c r="T1172" t="str">
        <f t="shared" si="384"/>
        <v>Green</v>
      </c>
      <c r="U1172" t="str">
        <f t="shared" si="385"/>
        <v>Red</v>
      </c>
      <c r="V1172" t="str">
        <f t="shared" si="386"/>
        <v>Red</v>
      </c>
      <c r="W1172" t="str">
        <f t="shared" si="387"/>
        <v>Green</v>
      </c>
      <c r="X1172" t="str">
        <f t="shared" si="388"/>
        <v>Green</v>
      </c>
      <c r="Y1172" t="str">
        <f t="shared" si="389"/>
        <v>Green</v>
      </c>
      <c r="Z1172" t="str">
        <f t="shared" si="390"/>
        <v>Red</v>
      </c>
      <c r="AA1172" t="str">
        <f t="shared" si="391"/>
        <v>Green</v>
      </c>
      <c r="AB1172" t="str">
        <f t="shared" si="392"/>
        <v>Green</v>
      </c>
      <c r="AC1172" t="str">
        <f t="shared" si="393"/>
        <v>Red</v>
      </c>
      <c r="AD1172" t="str">
        <f t="shared" si="394"/>
        <v>Green</v>
      </c>
    </row>
    <row r="1173" spans="1:30" x14ac:dyDescent="0.2">
      <c r="A1173" t="str">
        <f>L1172&amp;F1173&amp;G1173</f>
        <v>25/07/2026LAUTP IILAUTP</v>
      </c>
      <c r="D1173" s="2">
        <v>46228</v>
      </c>
      <c r="E1173" s="3">
        <v>0.54166666666666663</v>
      </c>
      <c r="F1173" t="s">
        <v>3249</v>
      </c>
      <c r="G1173" t="s">
        <v>3250</v>
      </c>
      <c r="H1173">
        <v>0</v>
      </c>
      <c r="I1173">
        <v>0</v>
      </c>
      <c r="J1173">
        <v>0</v>
      </c>
      <c r="K1173">
        <v>1</v>
      </c>
      <c r="L1173" s="22" t="str">
        <f t="shared" si="376"/>
        <v>25/07/2026</v>
      </c>
      <c r="M1173" s="23">
        <f t="shared" si="377"/>
        <v>0.41666666666666663</v>
      </c>
      <c r="N1173" t="str">
        <f t="shared" si="378"/>
        <v>0 - 1</v>
      </c>
      <c r="O1173" t="str">
        <f t="shared" si="379"/>
        <v>Red</v>
      </c>
      <c r="P1173" t="str">
        <f t="shared" si="380"/>
        <v>Red</v>
      </c>
      <c r="Q1173" t="str">
        <f t="shared" si="381"/>
        <v>Green</v>
      </c>
      <c r="R1173" t="str">
        <f t="shared" si="382"/>
        <v>Red</v>
      </c>
      <c r="S1173" t="str">
        <f t="shared" si="383"/>
        <v>Green</v>
      </c>
      <c r="T1173" t="str">
        <f t="shared" si="384"/>
        <v>Green</v>
      </c>
      <c r="U1173" t="str">
        <f t="shared" si="385"/>
        <v>Red</v>
      </c>
      <c r="V1173" t="str">
        <f t="shared" si="386"/>
        <v>Green</v>
      </c>
      <c r="W1173" t="str">
        <f t="shared" si="387"/>
        <v>Red</v>
      </c>
      <c r="X1173" t="str">
        <f t="shared" si="388"/>
        <v>Red</v>
      </c>
      <c r="Y1173" t="str">
        <f t="shared" si="389"/>
        <v>Red</v>
      </c>
      <c r="Z1173" t="str">
        <f t="shared" si="390"/>
        <v>Red</v>
      </c>
      <c r="AA1173" t="str">
        <f t="shared" si="391"/>
        <v>Green</v>
      </c>
      <c r="AB1173" t="str">
        <f t="shared" si="392"/>
        <v>Green</v>
      </c>
      <c r="AC1173" t="str">
        <f t="shared" si="393"/>
        <v>Red</v>
      </c>
      <c r="AD1173" t="str">
        <f t="shared" si="394"/>
        <v>Green</v>
      </c>
    </row>
    <row r="1174" spans="1:30" x14ac:dyDescent="0.2">
      <c r="A1174" t="str">
        <f>L1173&amp;F1174&amp;G1174</f>
        <v>25/07/2026Peimari UnitedSalon Palloilijat II</v>
      </c>
      <c r="D1174" s="2">
        <v>46228</v>
      </c>
      <c r="E1174" s="3">
        <v>0.54166666666666663</v>
      </c>
      <c r="F1174" t="s">
        <v>3251</v>
      </c>
      <c r="G1174" t="s">
        <v>3252</v>
      </c>
      <c r="H1174">
        <v>0</v>
      </c>
      <c r="I1174">
        <v>0</v>
      </c>
      <c r="J1174">
        <v>1</v>
      </c>
      <c r="K1174">
        <v>1</v>
      </c>
      <c r="L1174" s="22" t="str">
        <f t="shared" si="376"/>
        <v>25/07/2026</v>
      </c>
      <c r="M1174" s="23">
        <f t="shared" si="377"/>
        <v>0.41666666666666663</v>
      </c>
      <c r="N1174" t="str">
        <f t="shared" si="378"/>
        <v>1 - 1</v>
      </c>
      <c r="O1174" t="str">
        <f t="shared" si="379"/>
        <v>Red</v>
      </c>
      <c r="P1174" t="str">
        <f t="shared" si="380"/>
        <v>Green</v>
      </c>
      <c r="Q1174" t="str">
        <f t="shared" si="381"/>
        <v>Red</v>
      </c>
      <c r="R1174" t="str">
        <f t="shared" si="382"/>
        <v>Green</v>
      </c>
      <c r="S1174" t="str">
        <f t="shared" si="383"/>
        <v>Green</v>
      </c>
      <c r="T1174" t="str">
        <f t="shared" si="384"/>
        <v>Red</v>
      </c>
      <c r="U1174" t="str">
        <f t="shared" si="385"/>
        <v>Red</v>
      </c>
      <c r="V1174" t="str">
        <f t="shared" si="386"/>
        <v>Green</v>
      </c>
      <c r="W1174" t="str">
        <f t="shared" si="387"/>
        <v>Red</v>
      </c>
      <c r="X1174" t="str">
        <f t="shared" si="388"/>
        <v>Red</v>
      </c>
      <c r="Y1174" t="str">
        <f t="shared" si="389"/>
        <v>Green</v>
      </c>
      <c r="Z1174" t="str">
        <f t="shared" si="390"/>
        <v>Red</v>
      </c>
      <c r="AA1174" t="str">
        <f t="shared" si="391"/>
        <v>Green</v>
      </c>
      <c r="AB1174" t="str">
        <f t="shared" si="392"/>
        <v>Green</v>
      </c>
      <c r="AC1174" t="str">
        <f t="shared" si="393"/>
        <v>Green</v>
      </c>
      <c r="AD1174" t="str">
        <f t="shared" si="394"/>
        <v>Red</v>
      </c>
    </row>
    <row r="1175" spans="1:30" x14ac:dyDescent="0.2">
      <c r="A1175" t="str">
        <f>L1174&amp;F1175&amp;G1175</f>
        <v>25/07/2026FC Teutonia 05Concordia Hamburg</v>
      </c>
      <c r="D1175" s="2">
        <v>46228</v>
      </c>
      <c r="E1175" s="3">
        <v>0.54166666666666663</v>
      </c>
      <c r="F1175" t="s">
        <v>3286</v>
      </c>
      <c r="G1175" t="s">
        <v>3287</v>
      </c>
      <c r="H1175">
        <v>0</v>
      </c>
      <c r="I1175">
        <v>0</v>
      </c>
      <c r="J1175">
        <v>2</v>
      </c>
      <c r="K1175">
        <v>0</v>
      </c>
      <c r="L1175" s="22" t="str">
        <f t="shared" si="376"/>
        <v>25/07/2026</v>
      </c>
      <c r="M1175" s="23">
        <f t="shared" si="377"/>
        <v>0.41666666666666663</v>
      </c>
      <c r="N1175" t="str">
        <f t="shared" si="378"/>
        <v>2 - 0</v>
      </c>
      <c r="O1175" t="str">
        <f t="shared" si="379"/>
        <v>Green</v>
      </c>
      <c r="P1175" t="str">
        <f t="shared" si="380"/>
        <v>Red</v>
      </c>
      <c r="Q1175" t="str">
        <f t="shared" si="381"/>
        <v>Red</v>
      </c>
      <c r="R1175" t="str">
        <f t="shared" si="382"/>
        <v>Green</v>
      </c>
      <c r="S1175" t="str">
        <f t="shared" si="383"/>
        <v>Red</v>
      </c>
      <c r="T1175" t="str">
        <f t="shared" si="384"/>
        <v>Green</v>
      </c>
      <c r="U1175" t="str">
        <f t="shared" si="385"/>
        <v>Red</v>
      </c>
      <c r="V1175" t="str">
        <f t="shared" si="386"/>
        <v>Green</v>
      </c>
      <c r="W1175" t="str">
        <f t="shared" si="387"/>
        <v>Red</v>
      </c>
      <c r="X1175" t="str">
        <f t="shared" si="388"/>
        <v>Red</v>
      </c>
      <c r="Y1175" t="str">
        <f t="shared" si="389"/>
        <v>Green</v>
      </c>
      <c r="Z1175" t="str">
        <f t="shared" si="390"/>
        <v>Red</v>
      </c>
      <c r="AA1175" t="str">
        <f t="shared" si="391"/>
        <v>Green</v>
      </c>
      <c r="AB1175" t="str">
        <f t="shared" si="392"/>
        <v>Green</v>
      </c>
      <c r="AC1175" t="str">
        <f t="shared" si="393"/>
        <v>Red</v>
      </c>
      <c r="AD1175" t="str">
        <f t="shared" si="394"/>
        <v>Green</v>
      </c>
    </row>
    <row r="1176" spans="1:30" x14ac:dyDescent="0.2">
      <c r="A1176" t="str">
        <f>L1175&amp;F1176&amp;G1176</f>
        <v>25/07/2026ASV NeumarktTSV Grossbardorf</v>
      </c>
      <c r="D1176" s="2">
        <v>46228</v>
      </c>
      <c r="E1176" s="3">
        <v>0.54166666666666663</v>
      </c>
      <c r="F1176" t="s">
        <v>3291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76"/>
        <v>25/07/2026</v>
      </c>
      <c r="M1176" s="23">
        <f t="shared" si="377"/>
        <v>0.41666666666666663</v>
      </c>
      <c r="N1176" t="str">
        <f t="shared" si="378"/>
        <v>0 - 1</v>
      </c>
      <c r="O1176" t="str">
        <f t="shared" si="379"/>
        <v>Red</v>
      </c>
      <c r="P1176" t="str">
        <f t="shared" si="380"/>
        <v>Red</v>
      </c>
      <c r="Q1176" t="str">
        <f t="shared" si="381"/>
        <v>Green</v>
      </c>
      <c r="R1176" t="str">
        <f t="shared" si="382"/>
        <v>Red</v>
      </c>
      <c r="S1176" t="str">
        <f t="shared" si="383"/>
        <v>Green</v>
      </c>
      <c r="T1176" t="str">
        <f t="shared" si="384"/>
        <v>Green</v>
      </c>
      <c r="U1176" t="str">
        <f t="shared" si="385"/>
        <v>Red</v>
      </c>
      <c r="V1176" t="str">
        <f t="shared" si="386"/>
        <v>Red</v>
      </c>
      <c r="W1176" t="str">
        <f t="shared" si="387"/>
        <v>Green</v>
      </c>
      <c r="X1176" t="str">
        <f t="shared" si="388"/>
        <v>Green</v>
      </c>
      <c r="Y1176" t="str">
        <f t="shared" si="389"/>
        <v>Red</v>
      </c>
      <c r="Z1176" t="str">
        <f t="shared" si="390"/>
        <v>Red</v>
      </c>
      <c r="AA1176" t="str">
        <f t="shared" si="391"/>
        <v>Green</v>
      </c>
      <c r="AB1176" t="str">
        <f t="shared" si="392"/>
        <v>Green</v>
      </c>
      <c r="AC1176" t="str">
        <f t="shared" si="393"/>
        <v>Red</v>
      </c>
      <c r="AD1176" t="str">
        <f t="shared" si="394"/>
        <v>Green</v>
      </c>
    </row>
    <row r="1177" spans="1:30" x14ac:dyDescent="0.2">
      <c r="A1177" t="str">
        <f>L1176&amp;F1177&amp;G1177</f>
        <v>25/07/2026FC ZhetysuFK Kyzylzhar</v>
      </c>
      <c r="D1177" s="2">
        <v>46228</v>
      </c>
      <c r="E1177" s="3">
        <v>0.54166666666666663</v>
      </c>
      <c r="F1177" t="s">
        <v>3389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76"/>
        <v>25/07/2026</v>
      </c>
      <c r="M1177" s="23">
        <f t="shared" si="377"/>
        <v>0.41666666666666663</v>
      </c>
      <c r="N1177" t="str">
        <f t="shared" si="378"/>
        <v>1 - 2</v>
      </c>
      <c r="O1177" t="str">
        <f t="shared" si="379"/>
        <v>Red</v>
      </c>
      <c r="P1177" t="str">
        <f t="shared" si="380"/>
        <v>Red</v>
      </c>
      <c r="Q1177" t="str">
        <f t="shared" si="381"/>
        <v>Green</v>
      </c>
      <c r="R1177" t="str">
        <f t="shared" si="382"/>
        <v>Red</v>
      </c>
      <c r="S1177" t="str">
        <f t="shared" si="383"/>
        <v>Green</v>
      </c>
      <c r="T1177" t="str">
        <f t="shared" si="384"/>
        <v>Green</v>
      </c>
      <c r="U1177" t="str">
        <f t="shared" si="385"/>
        <v>Red</v>
      </c>
      <c r="V1177" t="str">
        <f t="shared" si="386"/>
        <v>Green</v>
      </c>
      <c r="W1177" t="str">
        <f t="shared" si="387"/>
        <v>Red</v>
      </c>
      <c r="X1177" t="str">
        <f t="shared" si="388"/>
        <v>Red</v>
      </c>
      <c r="Y1177" t="str">
        <f t="shared" si="389"/>
        <v>Green</v>
      </c>
      <c r="Z1177" t="str">
        <f t="shared" si="390"/>
        <v>Green</v>
      </c>
      <c r="AA1177" t="str">
        <f t="shared" si="391"/>
        <v>Red</v>
      </c>
      <c r="AB1177" t="str">
        <f t="shared" si="392"/>
        <v>Green</v>
      </c>
      <c r="AC1177" t="str">
        <f t="shared" si="393"/>
        <v>Green</v>
      </c>
      <c r="AD1177" t="str">
        <f t="shared" si="394"/>
        <v>Red</v>
      </c>
    </row>
    <row r="1178" spans="1:30" x14ac:dyDescent="0.2">
      <c r="A1178" t="str">
        <f>L1177&amp;F1178&amp;G1178</f>
        <v>25/07/2026Ulytau FCIrtysh Pavlodar</v>
      </c>
      <c r="D1178" s="2">
        <v>46228</v>
      </c>
      <c r="E1178" s="3">
        <v>0.54166666666666663</v>
      </c>
      <c r="F1178" t="s">
        <v>3390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76"/>
        <v>25/07/2026</v>
      </c>
      <c r="M1178" s="23">
        <f t="shared" si="377"/>
        <v>0.41666666666666663</v>
      </c>
      <c r="N1178" t="str">
        <f t="shared" si="378"/>
        <v>1 - 2</v>
      </c>
      <c r="O1178" t="str">
        <f t="shared" si="379"/>
        <v>Red</v>
      </c>
      <c r="P1178" t="str">
        <f t="shared" si="380"/>
        <v>Red</v>
      </c>
      <c r="Q1178" t="str">
        <f t="shared" si="381"/>
        <v>Green</v>
      </c>
      <c r="R1178" t="str">
        <f t="shared" si="382"/>
        <v>Red</v>
      </c>
      <c r="S1178" t="str">
        <f t="shared" si="383"/>
        <v>Green</v>
      </c>
      <c r="T1178" t="str">
        <f t="shared" si="384"/>
        <v>Green</v>
      </c>
      <c r="U1178" t="str">
        <f t="shared" si="385"/>
        <v>Red</v>
      </c>
      <c r="V1178" t="str">
        <f t="shared" si="386"/>
        <v>Red</v>
      </c>
      <c r="W1178" t="str">
        <f t="shared" si="387"/>
        <v>Green</v>
      </c>
      <c r="X1178" t="str">
        <f t="shared" si="388"/>
        <v>Green</v>
      </c>
      <c r="Y1178" t="str">
        <f t="shared" si="389"/>
        <v>Green</v>
      </c>
      <c r="Z1178" t="str">
        <f t="shared" si="390"/>
        <v>Green</v>
      </c>
      <c r="AA1178" t="str">
        <f t="shared" si="391"/>
        <v>Red</v>
      </c>
      <c r="AB1178" t="str">
        <f t="shared" si="392"/>
        <v>Green</v>
      </c>
      <c r="AC1178" t="str">
        <f t="shared" si="393"/>
        <v>Green</v>
      </c>
      <c r="AD1178" t="str">
        <f t="shared" si="394"/>
        <v>Red</v>
      </c>
    </row>
    <row r="1179" spans="1:30" x14ac:dyDescent="0.2">
      <c r="A1179" t="str">
        <f>L1178&amp;F1179&amp;G1179</f>
        <v>25/07/2026DSVK TractorsSK Super Nova II</v>
      </c>
      <c r="D1179" s="2">
        <v>46228</v>
      </c>
      <c r="E1179" s="3">
        <v>0.54166666666666663</v>
      </c>
      <c r="F1179" t="s">
        <v>3394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76"/>
        <v>25/07/2026</v>
      </c>
      <c r="M1179" s="23">
        <f t="shared" si="377"/>
        <v>0.41666666666666663</v>
      </c>
      <c r="N1179" t="str">
        <f t="shared" si="378"/>
        <v>1 - 1</v>
      </c>
      <c r="O1179" t="str">
        <f t="shared" si="379"/>
        <v>Red</v>
      </c>
      <c r="P1179" t="str">
        <f t="shared" si="380"/>
        <v>Green</v>
      </c>
      <c r="Q1179" t="str">
        <f t="shared" si="381"/>
        <v>Red</v>
      </c>
      <c r="R1179" t="str">
        <f t="shared" si="382"/>
        <v>Green</v>
      </c>
      <c r="S1179" t="str">
        <f t="shared" si="383"/>
        <v>Green</v>
      </c>
      <c r="T1179" t="str">
        <f t="shared" si="384"/>
        <v>Red</v>
      </c>
      <c r="U1179" t="str">
        <f t="shared" si="385"/>
        <v>Red</v>
      </c>
      <c r="V1179" t="str">
        <f t="shared" si="386"/>
        <v>Red</v>
      </c>
      <c r="W1179" t="str">
        <f t="shared" si="387"/>
        <v>Green</v>
      </c>
      <c r="X1179" t="str">
        <f t="shared" si="388"/>
        <v>Green</v>
      </c>
      <c r="Y1179" t="str">
        <f t="shared" si="389"/>
        <v>Green</v>
      </c>
      <c r="Z1179" t="str">
        <f t="shared" si="390"/>
        <v>Red</v>
      </c>
      <c r="AA1179" t="str">
        <f t="shared" si="391"/>
        <v>Green</v>
      </c>
      <c r="AB1179" t="str">
        <f t="shared" si="392"/>
        <v>Green</v>
      </c>
      <c r="AC1179" t="str">
        <f t="shared" si="393"/>
        <v>Green</v>
      </c>
      <c r="AD1179" t="str">
        <f t="shared" si="394"/>
        <v>Red</v>
      </c>
    </row>
    <row r="1180" spans="1:30" x14ac:dyDescent="0.2">
      <c r="A1180" t="str">
        <f>L1179&amp;F1180&amp;G1180</f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3400</v>
      </c>
      <c r="H1180">
        <v>0</v>
      </c>
      <c r="I1180">
        <v>0</v>
      </c>
      <c r="J1180">
        <v>1</v>
      </c>
      <c r="K1180">
        <v>2</v>
      </c>
      <c r="L1180" s="22" t="str">
        <f t="shared" si="376"/>
        <v>25/07/2026</v>
      </c>
      <c r="M1180" s="23">
        <f t="shared" si="377"/>
        <v>0.41666666666666663</v>
      </c>
      <c r="N1180" t="str">
        <f t="shared" si="378"/>
        <v>1 - 2</v>
      </c>
      <c r="O1180" t="str">
        <f t="shared" si="379"/>
        <v>Red</v>
      </c>
      <c r="P1180" t="str">
        <f t="shared" si="380"/>
        <v>Red</v>
      </c>
      <c r="Q1180" t="str">
        <f t="shared" si="381"/>
        <v>Green</v>
      </c>
      <c r="R1180" t="str">
        <f t="shared" si="382"/>
        <v>Red</v>
      </c>
      <c r="S1180" t="str">
        <f t="shared" si="383"/>
        <v>Green</v>
      </c>
      <c r="T1180" t="str">
        <f t="shared" si="384"/>
        <v>Green</v>
      </c>
      <c r="U1180" t="str">
        <f t="shared" si="385"/>
        <v>Red</v>
      </c>
      <c r="V1180" t="str">
        <f t="shared" si="386"/>
        <v>Green</v>
      </c>
      <c r="W1180" t="str">
        <f t="shared" si="387"/>
        <v>Red</v>
      </c>
      <c r="X1180" t="str">
        <f t="shared" si="388"/>
        <v>Red</v>
      </c>
      <c r="Y1180" t="str">
        <f t="shared" si="389"/>
        <v>Green</v>
      </c>
      <c r="Z1180" t="str">
        <f t="shared" si="390"/>
        <v>Green</v>
      </c>
      <c r="AA1180" t="str">
        <f t="shared" si="391"/>
        <v>Red</v>
      </c>
      <c r="AB1180" t="str">
        <f t="shared" si="392"/>
        <v>Green</v>
      </c>
      <c r="AC1180" t="str">
        <f t="shared" si="393"/>
        <v>Green</v>
      </c>
      <c r="AD1180" t="str">
        <f t="shared" si="394"/>
        <v>Red</v>
      </c>
    </row>
    <row r="1181" spans="1:30" x14ac:dyDescent="0.2">
      <c r="A1181" t="str">
        <f>L1180&amp;F1181&amp;G1181</f>
        <v>25/07/2026ArendalVidar</v>
      </c>
      <c r="D1181" s="2">
        <v>46228</v>
      </c>
      <c r="E1181" s="3">
        <v>0.54166666666666663</v>
      </c>
      <c r="F1181" t="s">
        <v>3454</v>
      </c>
      <c r="G1181" t="s">
        <v>3455</v>
      </c>
      <c r="H1181">
        <v>0</v>
      </c>
      <c r="I1181">
        <v>0</v>
      </c>
      <c r="J1181">
        <v>4</v>
      </c>
      <c r="K1181">
        <v>0</v>
      </c>
      <c r="L1181" s="22" t="str">
        <f t="shared" si="376"/>
        <v>25/07/2026</v>
      </c>
      <c r="M1181" s="23">
        <f t="shared" si="377"/>
        <v>0.41666666666666663</v>
      </c>
      <c r="N1181" t="str">
        <f t="shared" si="378"/>
        <v>4 - 0</v>
      </c>
      <c r="O1181" t="str">
        <f t="shared" si="379"/>
        <v>Green</v>
      </c>
      <c r="P1181" t="str">
        <f t="shared" si="380"/>
        <v>Red</v>
      </c>
      <c r="Q1181" t="str">
        <f t="shared" si="381"/>
        <v>Red</v>
      </c>
      <c r="R1181" t="str">
        <f t="shared" si="382"/>
        <v>Green</v>
      </c>
      <c r="S1181" t="str">
        <f t="shared" si="383"/>
        <v>Red</v>
      </c>
      <c r="T1181" t="str">
        <f t="shared" si="384"/>
        <v>Green</v>
      </c>
      <c r="U1181" t="str">
        <f t="shared" si="385"/>
        <v>Red</v>
      </c>
      <c r="V1181" t="str">
        <f t="shared" si="386"/>
        <v>Green</v>
      </c>
      <c r="W1181" t="str">
        <f t="shared" si="387"/>
        <v>Red</v>
      </c>
      <c r="X1181" t="str">
        <f t="shared" si="388"/>
        <v>Red</v>
      </c>
      <c r="Y1181" t="str">
        <f t="shared" si="389"/>
        <v>Green</v>
      </c>
      <c r="Z1181" t="str">
        <f t="shared" si="390"/>
        <v>Green</v>
      </c>
      <c r="AA1181" t="str">
        <f t="shared" si="391"/>
        <v>Red</v>
      </c>
      <c r="AB1181" t="str">
        <f t="shared" si="392"/>
        <v>Red</v>
      </c>
      <c r="AC1181" t="str">
        <f t="shared" si="393"/>
        <v>Red</v>
      </c>
      <c r="AD1181" t="str">
        <f t="shared" si="394"/>
        <v>Green</v>
      </c>
    </row>
    <row r="1182" spans="1:30" x14ac:dyDescent="0.2">
      <c r="A1182" t="str">
        <f>L1181&amp;F1182&amp;G1182</f>
        <v>25/07/2026Eik-TonsbergIL Sandviken</v>
      </c>
      <c r="D1182" s="2">
        <v>46228</v>
      </c>
      <c r="E1182" s="3">
        <v>0.54166666666666663</v>
      </c>
      <c r="F1182" t="s">
        <v>3456</v>
      </c>
      <c r="G1182" t="s">
        <v>3457</v>
      </c>
      <c r="H1182">
        <v>1</v>
      </c>
      <c r="I1182">
        <v>2</v>
      </c>
      <c r="J1182">
        <v>5</v>
      </c>
      <c r="K1182">
        <v>6</v>
      </c>
      <c r="L1182" s="22" t="str">
        <f t="shared" si="376"/>
        <v>25/07/2026</v>
      </c>
      <c r="M1182" s="23">
        <f t="shared" si="377"/>
        <v>0.41666666666666663</v>
      </c>
      <c r="N1182" t="str">
        <f t="shared" si="378"/>
        <v>5 - 6</v>
      </c>
      <c r="O1182" t="str">
        <f t="shared" si="379"/>
        <v>Red</v>
      </c>
      <c r="P1182" t="str">
        <f t="shared" si="380"/>
        <v>Red</v>
      </c>
      <c r="Q1182" t="str">
        <f t="shared" si="381"/>
        <v>Green</v>
      </c>
      <c r="R1182" t="str">
        <f t="shared" si="382"/>
        <v>Red</v>
      </c>
      <c r="S1182" t="str">
        <f t="shared" si="383"/>
        <v>Green</v>
      </c>
      <c r="T1182" t="str">
        <f t="shared" si="384"/>
        <v>Green</v>
      </c>
      <c r="U1182" t="str">
        <f t="shared" si="385"/>
        <v>Red</v>
      </c>
      <c r="V1182" t="str">
        <f t="shared" si="386"/>
        <v>Red</v>
      </c>
      <c r="W1182" t="str">
        <f t="shared" si="387"/>
        <v>Green</v>
      </c>
      <c r="X1182" t="str">
        <f t="shared" si="388"/>
        <v>Green</v>
      </c>
      <c r="Y1182" t="str">
        <f t="shared" si="389"/>
        <v>Green</v>
      </c>
      <c r="Z1182" t="str">
        <f t="shared" si="390"/>
        <v>Green</v>
      </c>
      <c r="AA1182" t="str">
        <f t="shared" si="391"/>
        <v>Red</v>
      </c>
      <c r="AB1182" t="str">
        <f t="shared" si="392"/>
        <v>Red</v>
      </c>
      <c r="AC1182" t="str">
        <f t="shared" si="393"/>
        <v>Green</v>
      </c>
      <c r="AD1182" t="str">
        <f t="shared" si="394"/>
        <v>Red</v>
      </c>
    </row>
    <row r="1183" spans="1:30" x14ac:dyDescent="0.2">
      <c r="A1183" t="str">
        <f>L1182&amp;F1183&amp;G1183</f>
        <v>25/07/2026JunkerenLorenskog</v>
      </c>
      <c r="D1183" s="2">
        <v>46228</v>
      </c>
      <c r="E1183" s="3">
        <v>0.54166666666666663</v>
      </c>
      <c r="F1183" t="s">
        <v>3466</v>
      </c>
      <c r="G1183" t="s">
        <v>3467</v>
      </c>
      <c r="H1183">
        <v>0</v>
      </c>
      <c r="I1183">
        <v>0</v>
      </c>
      <c r="J1183">
        <v>1</v>
      </c>
      <c r="K1183">
        <v>0</v>
      </c>
      <c r="L1183" s="22" t="str">
        <f t="shared" si="376"/>
        <v>25/07/2026</v>
      </c>
      <c r="M1183" s="23">
        <f t="shared" si="377"/>
        <v>0.41666666666666663</v>
      </c>
      <c r="N1183" t="str">
        <f t="shared" si="378"/>
        <v>1 - 0</v>
      </c>
      <c r="O1183" t="str">
        <f t="shared" si="379"/>
        <v>Green</v>
      </c>
      <c r="P1183" t="str">
        <f t="shared" si="380"/>
        <v>Red</v>
      </c>
      <c r="Q1183" t="str">
        <f t="shared" si="381"/>
        <v>Red</v>
      </c>
      <c r="R1183" t="str">
        <f t="shared" si="382"/>
        <v>Green</v>
      </c>
      <c r="S1183" t="str">
        <f t="shared" si="383"/>
        <v>Red</v>
      </c>
      <c r="T1183" t="str">
        <f t="shared" si="384"/>
        <v>Green</v>
      </c>
      <c r="U1183" t="str">
        <f t="shared" si="385"/>
        <v>Red</v>
      </c>
      <c r="V1183" t="str">
        <f t="shared" si="386"/>
        <v>Green</v>
      </c>
      <c r="W1183" t="str">
        <f t="shared" si="387"/>
        <v>Red</v>
      </c>
      <c r="X1183" t="str">
        <f t="shared" si="388"/>
        <v>Red</v>
      </c>
      <c r="Y1183" t="str">
        <f t="shared" si="389"/>
        <v>Red</v>
      </c>
      <c r="Z1183" t="str">
        <f t="shared" si="390"/>
        <v>Red</v>
      </c>
      <c r="AA1183" t="str">
        <f t="shared" si="391"/>
        <v>Green</v>
      </c>
      <c r="AB1183" t="str">
        <f t="shared" si="392"/>
        <v>Green</v>
      </c>
      <c r="AC1183" t="str">
        <f t="shared" si="393"/>
        <v>Red</v>
      </c>
      <c r="AD1183" t="str">
        <f t="shared" si="394"/>
        <v>Green</v>
      </c>
    </row>
    <row r="1184" spans="1:30" x14ac:dyDescent="0.2">
      <c r="A1184" t="str">
        <f>L1183&amp;F1184&amp;G1184</f>
        <v>25/07/2026Aalesunds IIOrkla</v>
      </c>
      <c r="D1184" s="2">
        <v>46228</v>
      </c>
      <c r="E1184" s="3">
        <v>0.54166666666666663</v>
      </c>
      <c r="F1184" t="s">
        <v>3478</v>
      </c>
      <c r="G1184" t="s">
        <v>3479</v>
      </c>
      <c r="H1184">
        <v>3</v>
      </c>
      <c r="I1184">
        <v>1</v>
      </c>
      <c r="J1184">
        <v>4</v>
      </c>
      <c r="K1184">
        <v>2</v>
      </c>
      <c r="L1184" s="22" t="str">
        <f t="shared" si="376"/>
        <v>25/07/2026</v>
      </c>
      <c r="M1184" s="23">
        <f t="shared" si="377"/>
        <v>0.41666666666666663</v>
      </c>
      <c r="N1184" t="str">
        <f t="shared" si="378"/>
        <v>4 - 2</v>
      </c>
      <c r="O1184" t="str">
        <f t="shared" si="379"/>
        <v>Green</v>
      </c>
      <c r="P1184" t="str">
        <f t="shared" si="380"/>
        <v>Red</v>
      </c>
      <c r="Q1184" t="str">
        <f t="shared" si="381"/>
        <v>Red</v>
      </c>
      <c r="R1184" t="str">
        <f t="shared" si="382"/>
        <v>Green</v>
      </c>
      <c r="S1184" t="str">
        <f t="shared" si="383"/>
        <v>Red</v>
      </c>
      <c r="T1184" t="str">
        <f t="shared" si="384"/>
        <v>Green</v>
      </c>
      <c r="U1184" t="str">
        <f t="shared" si="385"/>
        <v>Green</v>
      </c>
      <c r="V1184" t="str">
        <f t="shared" si="386"/>
        <v>Red</v>
      </c>
      <c r="W1184" t="str">
        <f t="shared" si="387"/>
        <v>Red</v>
      </c>
      <c r="X1184" t="str">
        <f t="shared" si="388"/>
        <v>Green</v>
      </c>
      <c r="Y1184" t="str">
        <f t="shared" si="389"/>
        <v>Green</v>
      </c>
      <c r="Z1184" t="str">
        <f t="shared" si="390"/>
        <v>Green</v>
      </c>
      <c r="AA1184" t="str">
        <f t="shared" si="391"/>
        <v>Red</v>
      </c>
      <c r="AB1184" t="str">
        <f t="shared" si="392"/>
        <v>Red</v>
      </c>
      <c r="AC1184" t="str">
        <f t="shared" si="393"/>
        <v>Green</v>
      </c>
      <c r="AD1184" t="str">
        <f t="shared" si="394"/>
        <v>Red</v>
      </c>
    </row>
    <row r="1185" spans="1:30" x14ac:dyDescent="0.2">
      <c r="A1185" t="str">
        <f>L1184&amp;F1185&amp;G1185</f>
        <v>25/07/2026Molde IIByasen</v>
      </c>
      <c r="D1185" s="2">
        <v>46228</v>
      </c>
      <c r="E1185" s="3">
        <v>0.54166666666666663</v>
      </c>
      <c r="F1185" t="s">
        <v>3480</v>
      </c>
      <c r="G1185" t="s">
        <v>3481</v>
      </c>
      <c r="H1185">
        <v>2</v>
      </c>
      <c r="I1185">
        <v>0</v>
      </c>
      <c r="J1185">
        <v>6</v>
      </c>
      <c r="K1185">
        <v>6</v>
      </c>
      <c r="L1185" s="22" t="str">
        <f t="shared" si="376"/>
        <v>25/07/2026</v>
      </c>
      <c r="M1185" s="23">
        <f t="shared" si="377"/>
        <v>0.41666666666666663</v>
      </c>
      <c r="N1185" t="str">
        <f t="shared" si="378"/>
        <v>6 - 6</v>
      </c>
      <c r="O1185" t="str">
        <f t="shared" si="379"/>
        <v>Red</v>
      </c>
      <c r="P1185" t="str">
        <f t="shared" si="380"/>
        <v>Green</v>
      </c>
      <c r="Q1185" t="str">
        <f t="shared" si="381"/>
        <v>Red</v>
      </c>
      <c r="R1185" t="str">
        <f t="shared" si="382"/>
        <v>Green</v>
      </c>
      <c r="S1185" t="str">
        <f t="shared" si="383"/>
        <v>Green</v>
      </c>
      <c r="T1185" t="str">
        <f t="shared" si="384"/>
        <v>Red</v>
      </c>
      <c r="U1185" t="str">
        <f t="shared" si="385"/>
        <v>Green</v>
      </c>
      <c r="V1185" t="str">
        <f t="shared" si="386"/>
        <v>Red</v>
      </c>
      <c r="W1185" t="str">
        <f t="shared" si="387"/>
        <v>Red</v>
      </c>
      <c r="X1185" t="str">
        <f t="shared" si="388"/>
        <v>Green</v>
      </c>
      <c r="Y1185" t="str">
        <f t="shared" si="389"/>
        <v>Green</v>
      </c>
      <c r="Z1185" t="str">
        <f t="shared" si="390"/>
        <v>Green</v>
      </c>
      <c r="AA1185" t="str">
        <f t="shared" si="391"/>
        <v>Red</v>
      </c>
      <c r="AB1185" t="str">
        <f t="shared" si="392"/>
        <v>Red</v>
      </c>
      <c r="AC1185" t="str">
        <f t="shared" si="393"/>
        <v>Green</v>
      </c>
      <c r="AD1185" t="str">
        <f t="shared" si="394"/>
        <v>Red</v>
      </c>
    </row>
    <row r="1186" spans="1:30" x14ac:dyDescent="0.2">
      <c r="A1186" t="str">
        <f>L1185&amp;F1186&amp;G1186</f>
        <v>25/07/2026SpjelkavikNardo</v>
      </c>
      <c r="D1186" s="2">
        <v>46228</v>
      </c>
      <c r="E1186" s="3">
        <v>0.54166666666666663</v>
      </c>
      <c r="F1186" t="s">
        <v>3482</v>
      </c>
      <c r="G1186" t="s">
        <v>3483</v>
      </c>
      <c r="H1186">
        <v>1</v>
      </c>
      <c r="I1186">
        <v>0</v>
      </c>
      <c r="J1186">
        <v>4</v>
      </c>
      <c r="K1186">
        <v>2</v>
      </c>
      <c r="L1186" s="22" t="str">
        <f t="shared" si="376"/>
        <v>25/07/2026</v>
      </c>
      <c r="M1186" s="23">
        <f t="shared" si="377"/>
        <v>0.41666666666666663</v>
      </c>
      <c r="N1186" t="str">
        <f t="shared" si="378"/>
        <v>4 - 2</v>
      </c>
      <c r="O1186" t="str">
        <f t="shared" si="379"/>
        <v>Green</v>
      </c>
      <c r="P1186" t="str">
        <f t="shared" si="380"/>
        <v>Red</v>
      </c>
      <c r="Q1186" t="str">
        <f t="shared" si="381"/>
        <v>Red</v>
      </c>
      <c r="R1186" t="str">
        <f t="shared" si="382"/>
        <v>Green</v>
      </c>
      <c r="S1186" t="str">
        <f t="shared" si="383"/>
        <v>Red</v>
      </c>
      <c r="T1186" t="str">
        <f t="shared" si="384"/>
        <v>Green</v>
      </c>
      <c r="U1186" t="str">
        <f t="shared" si="385"/>
        <v>Green</v>
      </c>
      <c r="V1186" t="str">
        <f t="shared" si="386"/>
        <v>Red</v>
      </c>
      <c r="W1186" t="str">
        <f t="shared" si="387"/>
        <v>Red</v>
      </c>
      <c r="X1186" t="str">
        <f t="shared" si="388"/>
        <v>Green</v>
      </c>
      <c r="Y1186" t="str">
        <f t="shared" si="389"/>
        <v>Green</v>
      </c>
      <c r="Z1186" t="str">
        <f t="shared" si="390"/>
        <v>Green</v>
      </c>
      <c r="AA1186" t="str">
        <f t="shared" si="391"/>
        <v>Red</v>
      </c>
      <c r="AB1186" t="str">
        <f t="shared" si="392"/>
        <v>Red</v>
      </c>
      <c r="AC1186" t="str">
        <f t="shared" si="393"/>
        <v>Green</v>
      </c>
      <c r="AD1186" t="str">
        <f t="shared" si="394"/>
        <v>Red</v>
      </c>
    </row>
    <row r="1187" spans="1:30" x14ac:dyDescent="0.2">
      <c r="A1187" t="str">
        <f>L1186&amp;F1187&amp;G1187</f>
        <v>25/07/2026Hinna FKVindbjart</v>
      </c>
      <c r="D1187" s="2">
        <v>46228</v>
      </c>
      <c r="E1187" s="3">
        <v>0.54166666666666663</v>
      </c>
      <c r="F1187" t="s">
        <v>3492</v>
      </c>
      <c r="G1187" t="s">
        <v>3493</v>
      </c>
      <c r="H1187">
        <v>0</v>
      </c>
      <c r="I1187">
        <v>2</v>
      </c>
      <c r="J1187">
        <v>0</v>
      </c>
      <c r="K1187">
        <v>7</v>
      </c>
      <c r="L1187" s="22" t="str">
        <f t="shared" si="376"/>
        <v>25/07/2026</v>
      </c>
      <c r="M1187" s="23">
        <f t="shared" si="377"/>
        <v>0.41666666666666663</v>
      </c>
      <c r="N1187" t="str">
        <f t="shared" si="378"/>
        <v>0 - 7</v>
      </c>
      <c r="O1187" t="str">
        <f t="shared" si="379"/>
        <v>Red</v>
      </c>
      <c r="P1187" t="str">
        <f t="shared" si="380"/>
        <v>Red</v>
      </c>
      <c r="Q1187" t="str">
        <f t="shared" si="381"/>
        <v>Green</v>
      </c>
      <c r="R1187" t="str">
        <f t="shared" si="382"/>
        <v>Red</v>
      </c>
      <c r="S1187" t="str">
        <f t="shared" si="383"/>
        <v>Green</v>
      </c>
      <c r="T1187" t="str">
        <f t="shared" si="384"/>
        <v>Green</v>
      </c>
      <c r="U1187" t="str">
        <f t="shared" si="385"/>
        <v>Red</v>
      </c>
      <c r="V1187" t="str">
        <f t="shared" si="386"/>
        <v>Red</v>
      </c>
      <c r="W1187" t="str">
        <f t="shared" si="387"/>
        <v>Green</v>
      </c>
      <c r="X1187" t="str">
        <f t="shared" si="388"/>
        <v>Green</v>
      </c>
      <c r="Y1187" t="str">
        <f t="shared" si="389"/>
        <v>Green</v>
      </c>
      <c r="Z1187" t="str">
        <f t="shared" si="390"/>
        <v>Green</v>
      </c>
      <c r="AA1187" t="str">
        <f t="shared" si="391"/>
        <v>Red</v>
      </c>
      <c r="AB1187" t="str">
        <f t="shared" si="392"/>
        <v>Red</v>
      </c>
      <c r="AC1187" t="str">
        <f t="shared" si="393"/>
        <v>Red</v>
      </c>
      <c r="AD1187" t="str">
        <f t="shared" si="394"/>
        <v>Green</v>
      </c>
    </row>
    <row r="1188" spans="1:30" x14ac:dyDescent="0.2">
      <c r="A1188" t="str">
        <f>L1187&amp;F1188&amp;G1188</f>
        <v>25/07/2026MadlaFlekkeroy</v>
      </c>
      <c r="D1188" s="2">
        <v>46228</v>
      </c>
      <c r="E1188" s="3">
        <v>0.54166666666666663</v>
      </c>
      <c r="F1188" t="s">
        <v>3494</v>
      </c>
      <c r="G1188" t="s">
        <v>3495</v>
      </c>
      <c r="H1188">
        <v>4</v>
      </c>
      <c r="I1188">
        <v>0</v>
      </c>
      <c r="J1188">
        <v>5</v>
      </c>
      <c r="K1188">
        <v>1</v>
      </c>
      <c r="L1188" s="22" t="str">
        <f t="shared" si="376"/>
        <v>25/07/2026</v>
      </c>
      <c r="M1188" s="23">
        <f t="shared" si="377"/>
        <v>0.41666666666666663</v>
      </c>
      <c r="N1188" t="str">
        <f t="shared" si="378"/>
        <v>5 - 1</v>
      </c>
      <c r="O1188" t="str">
        <f t="shared" si="379"/>
        <v>Green</v>
      </c>
      <c r="P1188" t="str">
        <f t="shared" si="380"/>
        <v>Red</v>
      </c>
      <c r="Q1188" t="str">
        <f t="shared" si="381"/>
        <v>Red</v>
      </c>
      <c r="R1188" t="str">
        <f t="shared" si="382"/>
        <v>Green</v>
      </c>
      <c r="S1188" t="str">
        <f t="shared" si="383"/>
        <v>Red</v>
      </c>
      <c r="T1188" t="str">
        <f t="shared" si="384"/>
        <v>Green</v>
      </c>
      <c r="U1188" t="str">
        <f t="shared" si="385"/>
        <v>Green</v>
      </c>
      <c r="V1188" t="str">
        <f t="shared" si="386"/>
        <v>Red</v>
      </c>
      <c r="W1188" t="str">
        <f t="shared" si="387"/>
        <v>Red</v>
      </c>
      <c r="X1188" t="str">
        <f t="shared" si="388"/>
        <v>Green</v>
      </c>
      <c r="Y1188" t="str">
        <f t="shared" si="389"/>
        <v>Green</v>
      </c>
      <c r="Z1188" t="str">
        <f t="shared" si="390"/>
        <v>Green</v>
      </c>
      <c r="AA1188" t="str">
        <f t="shared" si="391"/>
        <v>Red</v>
      </c>
      <c r="AB1188" t="str">
        <f t="shared" si="392"/>
        <v>Red</v>
      </c>
      <c r="AC1188" t="str">
        <f t="shared" si="393"/>
        <v>Green</v>
      </c>
      <c r="AD1188" t="str">
        <f t="shared" si="394"/>
        <v>Red</v>
      </c>
    </row>
    <row r="1189" spans="1:30" x14ac:dyDescent="0.2">
      <c r="A1189" t="str">
        <f>L1188&amp;F1189&amp;G1189</f>
        <v>25/07/2026MandalskamerateneStaal Jorpeland</v>
      </c>
      <c r="D1189" s="2">
        <v>46228</v>
      </c>
      <c r="E1189" s="3">
        <v>0.54166666666666663</v>
      </c>
      <c r="F1189" t="s">
        <v>3496</v>
      </c>
      <c r="G1189" t="s">
        <v>3497</v>
      </c>
      <c r="H1189">
        <v>4</v>
      </c>
      <c r="I1189">
        <v>2</v>
      </c>
      <c r="J1189">
        <v>8</v>
      </c>
      <c r="K1189">
        <v>3</v>
      </c>
      <c r="L1189" s="22" t="str">
        <f t="shared" si="376"/>
        <v>25/07/2026</v>
      </c>
      <c r="M1189" s="23">
        <f t="shared" si="377"/>
        <v>0.41666666666666663</v>
      </c>
      <c r="N1189" t="str">
        <f t="shared" si="378"/>
        <v>8 - 3</v>
      </c>
      <c r="O1189" t="str">
        <f t="shared" si="379"/>
        <v>Green</v>
      </c>
      <c r="P1189" t="str">
        <f t="shared" si="380"/>
        <v>Red</v>
      </c>
      <c r="Q1189" t="str">
        <f t="shared" si="381"/>
        <v>Red</v>
      </c>
      <c r="R1189" t="str">
        <f t="shared" si="382"/>
        <v>Green</v>
      </c>
      <c r="S1189" t="str">
        <f t="shared" si="383"/>
        <v>Red</v>
      </c>
      <c r="T1189" t="str">
        <f t="shared" si="384"/>
        <v>Green</v>
      </c>
      <c r="U1189" t="str">
        <f t="shared" si="385"/>
        <v>Green</v>
      </c>
      <c r="V1189" t="str">
        <f t="shared" si="386"/>
        <v>Red</v>
      </c>
      <c r="W1189" t="str">
        <f t="shared" si="387"/>
        <v>Red</v>
      </c>
      <c r="X1189" t="str">
        <f t="shared" si="388"/>
        <v>Green</v>
      </c>
      <c r="Y1189" t="str">
        <f t="shared" si="389"/>
        <v>Green</v>
      </c>
      <c r="Z1189" t="str">
        <f t="shared" si="390"/>
        <v>Green</v>
      </c>
      <c r="AA1189" t="str">
        <f t="shared" si="391"/>
        <v>Red</v>
      </c>
      <c r="AB1189" t="str">
        <f t="shared" si="392"/>
        <v>Red</v>
      </c>
      <c r="AC1189" t="str">
        <f t="shared" si="393"/>
        <v>Green</v>
      </c>
      <c r="AD1189" t="str">
        <f t="shared" si="394"/>
        <v>Red</v>
      </c>
    </row>
    <row r="1190" spans="1:30" x14ac:dyDescent="0.2">
      <c r="A1190" t="str">
        <f>L1189&amp;F1190&amp;G1190</f>
        <v>25/07/2026FinnsnesStromsgodset II</v>
      </c>
      <c r="D1190" s="2">
        <v>46228</v>
      </c>
      <c r="E1190" s="3">
        <v>0.54166666666666663</v>
      </c>
      <c r="F1190" t="s">
        <v>3502</v>
      </c>
      <c r="G1190" t="s">
        <v>3503</v>
      </c>
      <c r="H1190">
        <v>0</v>
      </c>
      <c r="I1190">
        <v>1</v>
      </c>
      <c r="J1190">
        <v>2</v>
      </c>
      <c r="K1190">
        <v>1</v>
      </c>
      <c r="L1190" s="22" t="str">
        <f t="shared" si="376"/>
        <v>25/07/2026</v>
      </c>
      <c r="M1190" s="23">
        <f t="shared" si="377"/>
        <v>0.41666666666666663</v>
      </c>
      <c r="N1190" t="str">
        <f t="shared" si="378"/>
        <v>2 - 1</v>
      </c>
      <c r="O1190" t="str">
        <f t="shared" si="379"/>
        <v>Green</v>
      </c>
      <c r="P1190" t="str">
        <f t="shared" si="380"/>
        <v>Red</v>
      </c>
      <c r="Q1190" t="str">
        <f t="shared" si="381"/>
        <v>Red</v>
      </c>
      <c r="R1190" t="str">
        <f t="shared" si="382"/>
        <v>Green</v>
      </c>
      <c r="S1190" t="str">
        <f t="shared" si="383"/>
        <v>Red</v>
      </c>
      <c r="T1190" t="str">
        <f t="shared" si="384"/>
        <v>Green</v>
      </c>
      <c r="U1190" t="str">
        <f t="shared" si="385"/>
        <v>Red</v>
      </c>
      <c r="V1190" t="str">
        <f t="shared" si="386"/>
        <v>Red</v>
      </c>
      <c r="W1190" t="str">
        <f t="shared" si="387"/>
        <v>Green</v>
      </c>
      <c r="X1190" t="str">
        <f t="shared" si="388"/>
        <v>Green</v>
      </c>
      <c r="Y1190" t="str">
        <f t="shared" si="389"/>
        <v>Green</v>
      </c>
      <c r="Z1190" t="str">
        <f t="shared" si="390"/>
        <v>Green</v>
      </c>
      <c r="AA1190" t="str">
        <f t="shared" si="391"/>
        <v>Red</v>
      </c>
      <c r="AB1190" t="str">
        <f t="shared" si="392"/>
        <v>Green</v>
      </c>
      <c r="AC1190" t="str">
        <f t="shared" si="393"/>
        <v>Green</v>
      </c>
      <c r="AD1190" t="str">
        <f t="shared" si="394"/>
        <v>Red</v>
      </c>
    </row>
    <row r="1191" spans="1:30" x14ac:dyDescent="0.2">
      <c r="A1191" t="str">
        <f>L1190&amp;F1191&amp;G1191</f>
        <v>25/07/2026Skjerv√∂yAlta</v>
      </c>
      <c r="D1191" s="2">
        <v>46228</v>
      </c>
      <c r="E1191" s="3">
        <v>0.54166666666666663</v>
      </c>
      <c r="F1191" t="s">
        <v>3504</v>
      </c>
      <c r="G1191" t="s">
        <v>3505</v>
      </c>
      <c r="H1191">
        <v>1</v>
      </c>
      <c r="I1191">
        <v>1</v>
      </c>
      <c r="J1191">
        <v>4</v>
      </c>
      <c r="K1191">
        <v>2</v>
      </c>
      <c r="L1191" s="22" t="str">
        <f t="shared" si="376"/>
        <v>25/07/2026</v>
      </c>
      <c r="M1191" s="23">
        <f t="shared" si="377"/>
        <v>0.41666666666666663</v>
      </c>
      <c r="N1191" t="str">
        <f t="shared" si="378"/>
        <v>4 - 2</v>
      </c>
      <c r="O1191" t="str">
        <f t="shared" si="379"/>
        <v>Green</v>
      </c>
      <c r="P1191" t="str">
        <f t="shared" si="380"/>
        <v>Red</v>
      </c>
      <c r="Q1191" t="str">
        <f t="shared" si="381"/>
        <v>Red</v>
      </c>
      <c r="R1191" t="str">
        <f t="shared" si="382"/>
        <v>Green</v>
      </c>
      <c r="S1191" t="str">
        <f t="shared" si="383"/>
        <v>Red</v>
      </c>
      <c r="T1191" t="str">
        <f t="shared" si="384"/>
        <v>Green</v>
      </c>
      <c r="U1191" t="str">
        <f t="shared" si="385"/>
        <v>Red</v>
      </c>
      <c r="V1191" t="str">
        <f t="shared" si="386"/>
        <v>Green</v>
      </c>
      <c r="W1191" t="str">
        <f t="shared" si="387"/>
        <v>Red</v>
      </c>
      <c r="X1191" t="str">
        <f t="shared" si="388"/>
        <v>Green</v>
      </c>
      <c r="Y1191" t="str">
        <f t="shared" si="389"/>
        <v>Green</v>
      </c>
      <c r="Z1191" t="str">
        <f t="shared" si="390"/>
        <v>Green</v>
      </c>
      <c r="AA1191" t="str">
        <f t="shared" si="391"/>
        <v>Red</v>
      </c>
      <c r="AB1191" t="str">
        <f t="shared" si="392"/>
        <v>Red</v>
      </c>
      <c r="AC1191" t="str">
        <f t="shared" si="393"/>
        <v>Green</v>
      </c>
      <c r="AD1191" t="str">
        <f t="shared" si="394"/>
        <v>Red</v>
      </c>
    </row>
    <row r="1192" spans="1:30" x14ac:dyDescent="0.2">
      <c r="A1192" t="str">
        <f>L1191&amp;F1192&amp;G1192</f>
        <v>25/07/2026Tromso IIIL Ulfstind</v>
      </c>
      <c r="D1192" s="2">
        <v>46228</v>
      </c>
      <c r="E1192" s="3">
        <v>0.54166666666666663</v>
      </c>
      <c r="F1192" t="s">
        <v>3506</v>
      </c>
      <c r="G1192" t="s">
        <v>3507</v>
      </c>
      <c r="H1192">
        <v>0</v>
      </c>
      <c r="I1192">
        <v>0</v>
      </c>
      <c r="J1192">
        <v>1</v>
      </c>
      <c r="K1192">
        <v>3</v>
      </c>
      <c r="L1192" s="22" t="str">
        <f t="shared" si="376"/>
        <v>25/07/2026</v>
      </c>
      <c r="M1192" s="23">
        <f t="shared" si="377"/>
        <v>0.41666666666666663</v>
      </c>
      <c r="N1192" t="str">
        <f t="shared" si="378"/>
        <v>1 - 3</v>
      </c>
      <c r="O1192" t="str">
        <f t="shared" si="379"/>
        <v>Red</v>
      </c>
      <c r="P1192" t="str">
        <f t="shared" si="380"/>
        <v>Red</v>
      </c>
      <c r="Q1192" t="str">
        <f t="shared" si="381"/>
        <v>Green</v>
      </c>
      <c r="R1192" t="str">
        <f t="shared" si="382"/>
        <v>Red</v>
      </c>
      <c r="S1192" t="str">
        <f t="shared" si="383"/>
        <v>Green</v>
      </c>
      <c r="T1192" t="str">
        <f t="shared" si="384"/>
        <v>Green</v>
      </c>
      <c r="U1192" t="str">
        <f t="shared" si="385"/>
        <v>Red</v>
      </c>
      <c r="V1192" t="str">
        <f t="shared" si="386"/>
        <v>Green</v>
      </c>
      <c r="W1192" t="str">
        <f t="shared" si="387"/>
        <v>Red</v>
      </c>
      <c r="X1192" t="str">
        <f t="shared" si="388"/>
        <v>Red</v>
      </c>
      <c r="Y1192" t="str">
        <f t="shared" si="389"/>
        <v>Green</v>
      </c>
      <c r="Z1192" t="str">
        <f t="shared" si="390"/>
        <v>Green</v>
      </c>
      <c r="AA1192" t="str">
        <f t="shared" si="391"/>
        <v>Red</v>
      </c>
      <c r="AB1192" t="str">
        <f t="shared" si="392"/>
        <v>Red</v>
      </c>
      <c r="AC1192" t="str">
        <f t="shared" si="393"/>
        <v>Green</v>
      </c>
      <c r="AD1192" t="str">
        <f t="shared" si="394"/>
        <v>Red</v>
      </c>
    </row>
    <row r="1193" spans="1:30" x14ac:dyDescent="0.2">
      <c r="A1193" t="str">
        <f>L1192&amp;F1193&amp;G1193</f>
        <v>25/07/2026BjorkelangenFram</v>
      </c>
      <c r="D1193" s="2">
        <v>46228</v>
      </c>
      <c r="E1193" s="3">
        <v>0.54166666666666663</v>
      </c>
      <c r="F1193" t="s">
        <v>3512</v>
      </c>
      <c r="G1193" t="s">
        <v>3513</v>
      </c>
      <c r="H1193">
        <v>0</v>
      </c>
      <c r="I1193">
        <v>1</v>
      </c>
      <c r="J1193">
        <v>0</v>
      </c>
      <c r="K1193">
        <v>2</v>
      </c>
      <c r="L1193" s="22" t="str">
        <f t="shared" si="376"/>
        <v>25/07/2026</v>
      </c>
      <c r="M1193" s="23">
        <f t="shared" si="377"/>
        <v>0.41666666666666663</v>
      </c>
      <c r="N1193" t="str">
        <f t="shared" si="378"/>
        <v>0 - 2</v>
      </c>
      <c r="O1193" t="str">
        <f t="shared" si="379"/>
        <v>Red</v>
      </c>
      <c r="P1193" t="str">
        <f t="shared" si="380"/>
        <v>Red</v>
      </c>
      <c r="Q1193" t="str">
        <f t="shared" si="381"/>
        <v>Green</v>
      </c>
      <c r="R1193" t="str">
        <f t="shared" si="382"/>
        <v>Red</v>
      </c>
      <c r="S1193" t="str">
        <f t="shared" si="383"/>
        <v>Green</v>
      </c>
      <c r="T1193" t="str">
        <f t="shared" si="384"/>
        <v>Green</v>
      </c>
      <c r="U1193" t="str">
        <f t="shared" si="385"/>
        <v>Red</v>
      </c>
      <c r="V1193" t="str">
        <f t="shared" si="386"/>
        <v>Red</v>
      </c>
      <c r="W1193" t="str">
        <f t="shared" si="387"/>
        <v>Green</v>
      </c>
      <c r="X1193" t="str">
        <f t="shared" si="388"/>
        <v>Green</v>
      </c>
      <c r="Y1193" t="str">
        <f t="shared" si="389"/>
        <v>Green</v>
      </c>
      <c r="Z1193" t="str">
        <f t="shared" si="390"/>
        <v>Red</v>
      </c>
      <c r="AA1193" t="str">
        <f t="shared" si="391"/>
        <v>Green</v>
      </c>
      <c r="AB1193" t="str">
        <f t="shared" si="392"/>
        <v>Green</v>
      </c>
      <c r="AC1193" t="str">
        <f t="shared" si="393"/>
        <v>Red</v>
      </c>
      <c r="AD1193" t="str">
        <f t="shared" si="394"/>
        <v>Green</v>
      </c>
    </row>
    <row r="1194" spans="1:30" x14ac:dyDescent="0.2">
      <c r="A1194" t="str">
        <f>L1193&amp;F1194&amp;G1194</f>
        <v>25/07/2026ElverumSandefjord II</v>
      </c>
      <c r="D1194" s="2">
        <v>46228</v>
      </c>
      <c r="E1194" s="3">
        <v>0.54166666666666663</v>
      </c>
      <c r="F1194" t="s">
        <v>3514</v>
      </c>
      <c r="G1194" t="s">
        <v>3515</v>
      </c>
      <c r="H1194">
        <v>3</v>
      </c>
      <c r="I1194">
        <v>3</v>
      </c>
      <c r="J1194">
        <v>5</v>
      </c>
      <c r="K1194">
        <v>3</v>
      </c>
      <c r="L1194" s="22" t="str">
        <f t="shared" si="376"/>
        <v>25/07/2026</v>
      </c>
      <c r="M1194" s="23">
        <f t="shared" si="377"/>
        <v>0.41666666666666663</v>
      </c>
      <c r="N1194" t="str">
        <f t="shared" si="378"/>
        <v>5 - 3</v>
      </c>
      <c r="O1194" t="str">
        <f t="shared" si="379"/>
        <v>Green</v>
      </c>
      <c r="P1194" t="str">
        <f t="shared" si="380"/>
        <v>Red</v>
      </c>
      <c r="Q1194" t="str">
        <f t="shared" si="381"/>
        <v>Red</v>
      </c>
      <c r="R1194" t="str">
        <f t="shared" si="382"/>
        <v>Green</v>
      </c>
      <c r="S1194" t="str">
        <f t="shared" si="383"/>
        <v>Red</v>
      </c>
      <c r="T1194" t="str">
        <f t="shared" si="384"/>
        <v>Green</v>
      </c>
      <c r="U1194" t="str">
        <f t="shared" si="385"/>
        <v>Red</v>
      </c>
      <c r="V1194" t="str">
        <f t="shared" si="386"/>
        <v>Green</v>
      </c>
      <c r="W1194" t="str">
        <f t="shared" si="387"/>
        <v>Red</v>
      </c>
      <c r="X1194" t="str">
        <f t="shared" si="388"/>
        <v>Green</v>
      </c>
      <c r="Y1194" t="str">
        <f t="shared" si="389"/>
        <v>Green</v>
      </c>
      <c r="Z1194" t="str">
        <f t="shared" si="390"/>
        <v>Green</v>
      </c>
      <c r="AA1194" t="str">
        <f t="shared" si="391"/>
        <v>Red</v>
      </c>
      <c r="AB1194" t="str">
        <f t="shared" si="392"/>
        <v>Red</v>
      </c>
      <c r="AC1194" t="str">
        <f t="shared" si="393"/>
        <v>Green</v>
      </c>
      <c r="AD1194" t="str">
        <f t="shared" si="394"/>
        <v>Red</v>
      </c>
    </row>
    <row r="1195" spans="1:30" x14ac:dyDescent="0.2">
      <c r="A1195" t="str">
        <f>L1194&amp;F1195&amp;G1195</f>
        <v>25/07/2026Gjovik-LynRade</v>
      </c>
      <c r="D1195" s="2">
        <v>46228</v>
      </c>
      <c r="E1195" s="3">
        <v>0.54166666666666663</v>
      </c>
      <c r="F1195" t="s">
        <v>3516</v>
      </c>
      <c r="G1195" t="s">
        <v>3517</v>
      </c>
      <c r="H1195">
        <v>0</v>
      </c>
      <c r="I1195">
        <v>0</v>
      </c>
      <c r="J1195">
        <v>0</v>
      </c>
      <c r="K1195">
        <v>3</v>
      </c>
      <c r="L1195" s="22" t="str">
        <f t="shared" si="376"/>
        <v>25/07/2026</v>
      </c>
      <c r="M1195" s="23">
        <f t="shared" si="377"/>
        <v>0.41666666666666663</v>
      </c>
      <c r="N1195" t="str">
        <f t="shared" si="378"/>
        <v>0 - 3</v>
      </c>
      <c r="O1195" t="str">
        <f t="shared" si="379"/>
        <v>Red</v>
      </c>
      <c r="P1195" t="str">
        <f t="shared" si="380"/>
        <v>Red</v>
      </c>
      <c r="Q1195" t="str">
        <f t="shared" si="381"/>
        <v>Green</v>
      </c>
      <c r="R1195" t="str">
        <f t="shared" si="382"/>
        <v>Red</v>
      </c>
      <c r="S1195" t="str">
        <f t="shared" si="383"/>
        <v>Green</v>
      </c>
      <c r="T1195" t="str">
        <f t="shared" si="384"/>
        <v>Green</v>
      </c>
      <c r="U1195" t="str">
        <f t="shared" si="385"/>
        <v>Red</v>
      </c>
      <c r="V1195" t="str">
        <f t="shared" si="386"/>
        <v>Green</v>
      </c>
      <c r="W1195" t="str">
        <f t="shared" si="387"/>
        <v>Red</v>
      </c>
      <c r="X1195" t="str">
        <f t="shared" si="388"/>
        <v>Red</v>
      </c>
      <c r="Y1195" t="str">
        <f t="shared" si="389"/>
        <v>Green</v>
      </c>
      <c r="Z1195" t="str">
        <f t="shared" si="390"/>
        <v>Green</v>
      </c>
      <c r="AA1195" t="str">
        <f t="shared" si="391"/>
        <v>Red</v>
      </c>
      <c r="AB1195" t="str">
        <f t="shared" si="392"/>
        <v>Green</v>
      </c>
      <c r="AC1195" t="str">
        <f t="shared" si="393"/>
        <v>Red</v>
      </c>
      <c r="AD1195" t="str">
        <f t="shared" si="394"/>
        <v>Green</v>
      </c>
    </row>
    <row r="1196" spans="1:30" x14ac:dyDescent="0.2">
      <c r="A1196" t="str">
        <f>L1195&amp;F1196&amp;G1196</f>
        <v>25/07/2026RaelingenLillehammer</v>
      </c>
      <c r="D1196" s="2">
        <v>46228</v>
      </c>
      <c r="E1196" s="3">
        <v>0.54166666666666663</v>
      </c>
      <c r="F1196" t="s">
        <v>3518</v>
      </c>
      <c r="G1196" t="s">
        <v>3519</v>
      </c>
      <c r="H1196">
        <v>1</v>
      </c>
      <c r="I1196">
        <v>2</v>
      </c>
      <c r="J1196">
        <v>2</v>
      </c>
      <c r="K1196">
        <v>4</v>
      </c>
      <c r="L1196" s="22" t="str">
        <f t="shared" si="376"/>
        <v>25/07/2026</v>
      </c>
      <c r="M1196" s="23">
        <f t="shared" si="377"/>
        <v>0.41666666666666663</v>
      </c>
      <c r="N1196" t="str">
        <f t="shared" si="378"/>
        <v>2 - 4</v>
      </c>
      <c r="O1196" t="str">
        <f t="shared" si="379"/>
        <v>Red</v>
      </c>
      <c r="P1196" t="str">
        <f t="shared" si="380"/>
        <v>Red</v>
      </c>
      <c r="Q1196" t="str">
        <f t="shared" si="381"/>
        <v>Green</v>
      </c>
      <c r="R1196" t="str">
        <f t="shared" si="382"/>
        <v>Red</v>
      </c>
      <c r="S1196" t="str">
        <f t="shared" si="383"/>
        <v>Green</v>
      </c>
      <c r="T1196" t="str">
        <f t="shared" si="384"/>
        <v>Green</v>
      </c>
      <c r="U1196" t="str">
        <f t="shared" si="385"/>
        <v>Red</v>
      </c>
      <c r="V1196" t="str">
        <f t="shared" si="386"/>
        <v>Red</v>
      </c>
      <c r="W1196" t="str">
        <f t="shared" si="387"/>
        <v>Green</v>
      </c>
      <c r="X1196" t="str">
        <f t="shared" si="388"/>
        <v>Green</v>
      </c>
      <c r="Y1196" t="str">
        <f t="shared" si="389"/>
        <v>Green</v>
      </c>
      <c r="Z1196" t="str">
        <f t="shared" si="390"/>
        <v>Green</v>
      </c>
      <c r="AA1196" t="str">
        <f t="shared" si="391"/>
        <v>Red</v>
      </c>
      <c r="AB1196" t="str">
        <f t="shared" si="392"/>
        <v>Red</v>
      </c>
      <c r="AC1196" t="str">
        <f t="shared" si="393"/>
        <v>Green</v>
      </c>
      <c r="AD1196" t="str">
        <f t="shared" si="394"/>
        <v>Red</v>
      </c>
    </row>
    <row r="1197" spans="1:30" x14ac:dyDescent="0.2">
      <c r="A1197" t="str">
        <f>L1196&amp;F1197&amp;G1197</f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3524</v>
      </c>
      <c r="H1197">
        <v>1</v>
      </c>
      <c r="I1197">
        <v>1</v>
      </c>
      <c r="J1197">
        <v>1</v>
      </c>
      <c r="K1197">
        <v>1</v>
      </c>
      <c r="L1197" s="22" t="str">
        <f t="shared" si="376"/>
        <v>25/07/2026</v>
      </c>
      <c r="M1197" s="23">
        <f t="shared" si="377"/>
        <v>0.41666666666666663</v>
      </c>
      <c r="N1197" t="str">
        <f t="shared" si="378"/>
        <v>1 - 1</v>
      </c>
      <c r="O1197" t="str">
        <f t="shared" si="379"/>
        <v>Red</v>
      </c>
      <c r="P1197" t="str">
        <f t="shared" si="380"/>
        <v>Green</v>
      </c>
      <c r="Q1197" t="str">
        <f t="shared" si="381"/>
        <v>Red</v>
      </c>
      <c r="R1197" t="str">
        <f t="shared" si="382"/>
        <v>Green</v>
      </c>
      <c r="S1197" t="str">
        <f t="shared" si="383"/>
        <v>Green</v>
      </c>
      <c r="T1197" t="str">
        <f t="shared" si="384"/>
        <v>Red</v>
      </c>
      <c r="U1197" t="str">
        <f t="shared" si="385"/>
        <v>Red</v>
      </c>
      <c r="V1197" t="str">
        <f t="shared" si="386"/>
        <v>Green</v>
      </c>
      <c r="W1197" t="str">
        <f t="shared" si="387"/>
        <v>Red</v>
      </c>
      <c r="X1197" t="str">
        <f t="shared" si="388"/>
        <v>Green</v>
      </c>
      <c r="Y1197" t="str">
        <f t="shared" si="389"/>
        <v>Green</v>
      </c>
      <c r="Z1197" t="str">
        <f t="shared" si="390"/>
        <v>Red</v>
      </c>
      <c r="AA1197" t="str">
        <f t="shared" si="391"/>
        <v>Green</v>
      </c>
      <c r="AB1197" t="str">
        <f t="shared" si="392"/>
        <v>Green</v>
      </c>
      <c r="AC1197" t="str">
        <f t="shared" si="393"/>
        <v>Green</v>
      </c>
      <c r="AD1197" t="str">
        <f t="shared" si="394"/>
        <v>Red</v>
      </c>
    </row>
    <row r="1198" spans="1:30" x14ac:dyDescent="0.2">
      <c r="A1198" t="str">
        <f>L1197&amp;F1198&amp;G1198</f>
        <v>25/07/2026Volga UlyanovskNeftekhimik Nizhnekamsk</v>
      </c>
      <c r="D1198" s="2">
        <v>46228</v>
      </c>
      <c r="E1198" s="3">
        <v>0.54166666666666663</v>
      </c>
      <c r="F1198" t="s">
        <v>3561</v>
      </c>
      <c r="G1198" t="s">
        <v>3562</v>
      </c>
      <c r="H1198">
        <v>1</v>
      </c>
      <c r="I1198">
        <v>0</v>
      </c>
      <c r="J1198">
        <v>2</v>
      </c>
      <c r="K1198">
        <v>0</v>
      </c>
      <c r="L1198" s="22" t="str">
        <f t="shared" si="376"/>
        <v>25/07/2026</v>
      </c>
      <c r="M1198" s="23">
        <f t="shared" si="377"/>
        <v>0.41666666666666663</v>
      </c>
      <c r="N1198" t="str">
        <f t="shared" si="378"/>
        <v>2 - 0</v>
      </c>
      <c r="O1198" t="str">
        <f t="shared" si="379"/>
        <v>Green</v>
      </c>
      <c r="P1198" t="str">
        <f t="shared" si="380"/>
        <v>Red</v>
      </c>
      <c r="Q1198" t="str">
        <f t="shared" si="381"/>
        <v>Red</v>
      </c>
      <c r="R1198" t="str">
        <f t="shared" si="382"/>
        <v>Green</v>
      </c>
      <c r="S1198" t="str">
        <f t="shared" si="383"/>
        <v>Red</v>
      </c>
      <c r="T1198" t="str">
        <f t="shared" si="384"/>
        <v>Green</v>
      </c>
      <c r="U1198" t="str">
        <f t="shared" si="385"/>
        <v>Green</v>
      </c>
      <c r="V1198" t="str">
        <f t="shared" si="386"/>
        <v>Red</v>
      </c>
      <c r="W1198" t="str">
        <f t="shared" si="387"/>
        <v>Red</v>
      </c>
      <c r="X1198" t="str">
        <f t="shared" si="388"/>
        <v>Green</v>
      </c>
      <c r="Y1198" t="str">
        <f t="shared" si="389"/>
        <v>Green</v>
      </c>
      <c r="Z1198" t="str">
        <f t="shared" si="390"/>
        <v>Red</v>
      </c>
      <c r="AA1198" t="str">
        <f t="shared" si="391"/>
        <v>Green</v>
      </c>
      <c r="AB1198" t="str">
        <f t="shared" si="392"/>
        <v>Green</v>
      </c>
      <c r="AC1198" t="str">
        <f t="shared" si="393"/>
        <v>Red</v>
      </c>
      <c r="AD1198" t="str">
        <f t="shared" si="394"/>
        <v>Green</v>
      </c>
    </row>
    <row r="1199" spans="1:30" x14ac:dyDescent="0.2">
      <c r="A1199" t="str">
        <f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395">DAY(D1199)&amp;"/"&amp;"07"&amp;"/"&amp;YEAR(D1199)</f>
        <v>25/07/2026</v>
      </c>
      <c r="M1199" s="23">
        <f t="shared" ref="M1199:M1262" si="396">E1199-TIME(3,0,0)</f>
        <v>0.41666666666666663</v>
      </c>
      <c r="N1199" t="str">
        <f t="shared" ref="N1199:N1262" si="397">J1199&amp;" - "&amp;K1199</f>
        <v>0 - 0</v>
      </c>
      <c r="O1199" t="str">
        <f t="shared" si="379"/>
        <v>Red</v>
      </c>
      <c r="P1199" t="str">
        <f t="shared" si="380"/>
        <v>Green</v>
      </c>
      <c r="Q1199" t="str">
        <f t="shared" si="381"/>
        <v>Red</v>
      </c>
      <c r="R1199" t="str">
        <f t="shared" si="382"/>
        <v>Green</v>
      </c>
      <c r="S1199" t="str">
        <f t="shared" si="383"/>
        <v>Green</v>
      </c>
      <c r="T1199" t="str">
        <f t="shared" si="384"/>
        <v>Red</v>
      </c>
      <c r="U1199" t="str">
        <f t="shared" si="385"/>
        <v>Red</v>
      </c>
      <c r="V1199" t="str">
        <f t="shared" si="386"/>
        <v>Green</v>
      </c>
      <c r="W1199" t="str">
        <f t="shared" si="387"/>
        <v>Red</v>
      </c>
      <c r="X1199" t="str">
        <f t="shared" si="388"/>
        <v>Red</v>
      </c>
      <c r="Y1199" t="str">
        <f t="shared" si="389"/>
        <v>Red</v>
      </c>
      <c r="Z1199" t="str">
        <f t="shared" si="390"/>
        <v>Red</v>
      </c>
      <c r="AA1199" t="str">
        <f t="shared" si="391"/>
        <v>Green</v>
      </c>
      <c r="AB1199" t="str">
        <f t="shared" si="392"/>
        <v>Green</v>
      </c>
      <c r="AC1199" t="str">
        <f t="shared" si="393"/>
        <v>Red</v>
      </c>
      <c r="AD1199" t="str">
        <f t="shared" si="394"/>
        <v>Green</v>
      </c>
    </row>
    <row r="1200" spans="1:30" x14ac:dyDescent="0.2">
      <c r="A1200" t="str">
        <f>L1199&amp;F1200&amp;G1200</f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3670</v>
      </c>
      <c r="G1200" t="s">
        <v>3671</v>
      </c>
      <c r="H1200">
        <v>0</v>
      </c>
      <c r="I1200">
        <v>0</v>
      </c>
      <c r="J1200">
        <v>1</v>
      </c>
      <c r="K1200">
        <v>1</v>
      </c>
      <c r="L1200" s="22" t="str">
        <f t="shared" si="395"/>
        <v>25/07/2026</v>
      </c>
      <c r="M1200" s="23">
        <f t="shared" si="396"/>
        <v>0.41666666666666663</v>
      </c>
      <c r="N1200" t="str">
        <f t="shared" si="397"/>
        <v>1 - 1</v>
      </c>
      <c r="O1200" t="str">
        <f t="shared" si="379"/>
        <v>Red</v>
      </c>
      <c r="P1200" t="str">
        <f t="shared" si="380"/>
        <v>Green</v>
      </c>
      <c r="Q1200" t="str">
        <f t="shared" si="381"/>
        <v>Red</v>
      </c>
      <c r="R1200" t="str">
        <f t="shared" si="382"/>
        <v>Green</v>
      </c>
      <c r="S1200" t="str">
        <f t="shared" si="383"/>
        <v>Green</v>
      </c>
      <c r="T1200" t="str">
        <f t="shared" si="384"/>
        <v>Red</v>
      </c>
      <c r="U1200" t="str">
        <f t="shared" si="385"/>
        <v>Red</v>
      </c>
      <c r="V1200" t="str">
        <f t="shared" si="386"/>
        <v>Green</v>
      </c>
      <c r="W1200" t="str">
        <f t="shared" si="387"/>
        <v>Red</v>
      </c>
      <c r="X1200" t="str">
        <f t="shared" si="388"/>
        <v>Red</v>
      </c>
      <c r="Y1200" t="str">
        <f t="shared" si="389"/>
        <v>Green</v>
      </c>
      <c r="Z1200" t="str">
        <f t="shared" si="390"/>
        <v>Red</v>
      </c>
      <c r="AA1200" t="str">
        <f t="shared" si="391"/>
        <v>Green</v>
      </c>
      <c r="AB1200" t="str">
        <f t="shared" si="392"/>
        <v>Green</v>
      </c>
      <c r="AC1200" t="str">
        <f t="shared" si="393"/>
        <v>Green</v>
      </c>
      <c r="AD1200" t="str">
        <f t="shared" si="394"/>
        <v>Red</v>
      </c>
    </row>
    <row r="1201" spans="1:30" x14ac:dyDescent="0.2">
      <c r="A1201" t="str">
        <f>L1200&amp;F1201&amp;G1201</f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3672</v>
      </c>
      <c r="G1201" t="s">
        <v>3673</v>
      </c>
      <c r="H1201">
        <v>1</v>
      </c>
      <c r="I1201">
        <v>0</v>
      </c>
      <c r="J1201">
        <v>1</v>
      </c>
      <c r="K1201">
        <v>1</v>
      </c>
      <c r="L1201" s="22" t="str">
        <f t="shared" si="395"/>
        <v>25/07/2026</v>
      </c>
      <c r="M1201" s="23">
        <f t="shared" si="396"/>
        <v>0.41666666666666663</v>
      </c>
      <c r="N1201" t="str">
        <f t="shared" si="397"/>
        <v>1 - 1</v>
      </c>
      <c r="O1201" t="str">
        <f t="shared" si="379"/>
        <v>Red</v>
      </c>
      <c r="P1201" t="str">
        <f t="shared" si="380"/>
        <v>Green</v>
      </c>
      <c r="Q1201" t="str">
        <f t="shared" si="381"/>
        <v>Red</v>
      </c>
      <c r="R1201" t="str">
        <f t="shared" si="382"/>
        <v>Green</v>
      </c>
      <c r="S1201" t="str">
        <f t="shared" si="383"/>
        <v>Green</v>
      </c>
      <c r="T1201" t="str">
        <f t="shared" si="384"/>
        <v>Red</v>
      </c>
      <c r="U1201" t="str">
        <f t="shared" si="385"/>
        <v>Green</v>
      </c>
      <c r="V1201" t="str">
        <f t="shared" si="386"/>
        <v>Red</v>
      </c>
      <c r="W1201" t="str">
        <f t="shared" si="387"/>
        <v>Red</v>
      </c>
      <c r="X1201" t="str">
        <f t="shared" si="388"/>
        <v>Green</v>
      </c>
      <c r="Y1201" t="str">
        <f t="shared" si="389"/>
        <v>Green</v>
      </c>
      <c r="Z1201" t="str">
        <f t="shared" si="390"/>
        <v>Red</v>
      </c>
      <c r="AA1201" t="str">
        <f t="shared" si="391"/>
        <v>Green</v>
      </c>
      <c r="AB1201" t="str">
        <f t="shared" si="392"/>
        <v>Green</v>
      </c>
      <c r="AC1201" t="str">
        <f t="shared" si="393"/>
        <v>Green</v>
      </c>
      <c r="AD1201" t="str">
        <f t="shared" si="394"/>
        <v>Red</v>
      </c>
    </row>
    <row r="1202" spans="1:30" x14ac:dyDescent="0.2">
      <c r="A1202" t="str">
        <f>L1201&amp;F1202&amp;G1202</f>
        <v>25/07/2026MFC Zhytomyr IIUCSA</v>
      </c>
      <c r="D1202" s="2">
        <v>46228</v>
      </c>
      <c r="E1202" s="3">
        <v>0.54166666666666663</v>
      </c>
      <c r="F1202" t="s">
        <v>3687</v>
      </c>
      <c r="G1202" t="s">
        <v>3688</v>
      </c>
      <c r="H1202">
        <v>2</v>
      </c>
      <c r="I1202">
        <v>1</v>
      </c>
      <c r="J1202">
        <v>2</v>
      </c>
      <c r="K1202">
        <v>2</v>
      </c>
      <c r="L1202" s="22" t="str">
        <f t="shared" si="395"/>
        <v>25/07/2026</v>
      </c>
      <c r="M1202" s="23">
        <f t="shared" si="396"/>
        <v>0.41666666666666663</v>
      </c>
      <c r="N1202" t="str">
        <f t="shared" si="397"/>
        <v>2 - 2</v>
      </c>
      <c r="O1202" t="str">
        <f t="shared" si="379"/>
        <v>Red</v>
      </c>
      <c r="P1202" t="str">
        <f t="shared" si="380"/>
        <v>Green</v>
      </c>
      <c r="Q1202" t="str">
        <f t="shared" si="381"/>
        <v>Red</v>
      </c>
      <c r="R1202" t="str">
        <f t="shared" si="382"/>
        <v>Green</v>
      </c>
      <c r="S1202" t="str">
        <f t="shared" si="383"/>
        <v>Green</v>
      </c>
      <c r="T1202" t="str">
        <f t="shared" si="384"/>
        <v>Red</v>
      </c>
      <c r="U1202" t="str">
        <f t="shared" si="385"/>
        <v>Green</v>
      </c>
      <c r="V1202" t="str">
        <f t="shared" si="386"/>
        <v>Red</v>
      </c>
      <c r="W1202" t="str">
        <f t="shared" si="387"/>
        <v>Red</v>
      </c>
      <c r="X1202" t="str">
        <f t="shared" si="388"/>
        <v>Green</v>
      </c>
      <c r="Y1202" t="str">
        <f t="shared" si="389"/>
        <v>Green</v>
      </c>
      <c r="Z1202" t="str">
        <f t="shared" si="390"/>
        <v>Green</v>
      </c>
      <c r="AA1202" t="str">
        <f t="shared" si="391"/>
        <v>Red</v>
      </c>
      <c r="AB1202" t="str">
        <f t="shared" si="392"/>
        <v>Red</v>
      </c>
      <c r="AC1202" t="str">
        <f t="shared" si="393"/>
        <v>Green</v>
      </c>
      <c r="AD1202" t="str">
        <f t="shared" si="394"/>
        <v>Red</v>
      </c>
    </row>
    <row r="1203" spans="1:30" x14ac:dyDescent="0.2">
      <c r="A1203" t="str">
        <f>L1202&amp;F1203&amp;G1203</f>
        <v>25/07/2026Colon MontevideoPaysandu FC</v>
      </c>
      <c r="D1203" s="2">
        <v>46228</v>
      </c>
      <c r="E1203" s="3">
        <v>0.54166666666666663</v>
      </c>
      <c r="F1203" t="s">
        <v>3692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395"/>
        <v>25/07/2026</v>
      </c>
      <c r="M1203" s="23">
        <f t="shared" si="396"/>
        <v>0.41666666666666663</v>
      </c>
      <c r="N1203" t="str">
        <f t="shared" si="397"/>
        <v>2 - 3</v>
      </c>
      <c r="O1203" t="str">
        <f t="shared" si="379"/>
        <v>Red</v>
      </c>
      <c r="P1203" t="str">
        <f t="shared" si="380"/>
        <v>Red</v>
      </c>
      <c r="Q1203" t="str">
        <f t="shared" si="381"/>
        <v>Green</v>
      </c>
      <c r="R1203" t="str">
        <f t="shared" si="382"/>
        <v>Red</v>
      </c>
      <c r="S1203" t="str">
        <f t="shared" si="383"/>
        <v>Green</v>
      </c>
      <c r="T1203" t="str">
        <f t="shared" si="384"/>
        <v>Green</v>
      </c>
      <c r="U1203" t="str">
        <f t="shared" si="385"/>
        <v>Red</v>
      </c>
      <c r="V1203" t="str">
        <f t="shared" si="386"/>
        <v>Green</v>
      </c>
      <c r="W1203" t="str">
        <f t="shared" si="387"/>
        <v>Red</v>
      </c>
      <c r="X1203" t="str">
        <f t="shared" si="388"/>
        <v>Red</v>
      </c>
      <c r="Y1203" t="str">
        <f t="shared" si="389"/>
        <v>Green</v>
      </c>
      <c r="Z1203" t="str">
        <f t="shared" si="390"/>
        <v>Green</v>
      </c>
      <c r="AA1203" t="str">
        <f t="shared" si="391"/>
        <v>Red</v>
      </c>
      <c r="AB1203" t="str">
        <f t="shared" si="392"/>
        <v>Red</v>
      </c>
      <c r="AC1203" t="str">
        <f t="shared" si="393"/>
        <v>Green</v>
      </c>
      <c r="AD1203" t="str">
        <f t="shared" si="394"/>
        <v>Red</v>
      </c>
    </row>
    <row r="1204" spans="1:30" x14ac:dyDescent="0.2">
      <c r="A1204" t="str">
        <f>L1203&amp;F1204&amp;G1204</f>
        <v>25/07/2026AngersCreteil</v>
      </c>
      <c r="D1204" s="2">
        <v>46228</v>
      </c>
      <c r="E1204" s="3">
        <v>0.54166666666666663</v>
      </c>
      <c r="F1204" t="s">
        <v>1755</v>
      </c>
      <c r="G1204" t="s">
        <v>3821</v>
      </c>
      <c r="H1204">
        <v>1</v>
      </c>
      <c r="I1204">
        <v>0</v>
      </c>
      <c r="J1204">
        <v>2</v>
      </c>
      <c r="K1204">
        <v>1</v>
      </c>
      <c r="L1204" s="22" t="str">
        <f t="shared" si="395"/>
        <v>25/07/2026</v>
      </c>
      <c r="M1204" s="23">
        <f t="shared" si="396"/>
        <v>0.41666666666666663</v>
      </c>
      <c r="N1204" t="str">
        <f t="shared" si="397"/>
        <v>2 - 1</v>
      </c>
      <c r="O1204" t="str">
        <f t="shared" si="379"/>
        <v>Green</v>
      </c>
      <c r="P1204" t="str">
        <f t="shared" si="380"/>
        <v>Red</v>
      </c>
      <c r="Q1204" t="str">
        <f t="shared" si="381"/>
        <v>Red</v>
      </c>
      <c r="R1204" t="str">
        <f t="shared" si="382"/>
        <v>Green</v>
      </c>
      <c r="S1204" t="str">
        <f t="shared" si="383"/>
        <v>Red</v>
      </c>
      <c r="T1204" t="str">
        <f t="shared" si="384"/>
        <v>Green</v>
      </c>
      <c r="U1204" t="str">
        <f t="shared" si="385"/>
        <v>Green</v>
      </c>
      <c r="V1204" t="str">
        <f t="shared" si="386"/>
        <v>Red</v>
      </c>
      <c r="W1204" t="str">
        <f t="shared" si="387"/>
        <v>Red</v>
      </c>
      <c r="X1204" t="str">
        <f t="shared" si="388"/>
        <v>Green</v>
      </c>
      <c r="Y1204" t="str">
        <f t="shared" si="389"/>
        <v>Green</v>
      </c>
      <c r="Z1204" t="str">
        <f t="shared" si="390"/>
        <v>Green</v>
      </c>
      <c r="AA1204" t="str">
        <f t="shared" si="391"/>
        <v>Red</v>
      </c>
      <c r="AB1204" t="str">
        <f t="shared" si="392"/>
        <v>Green</v>
      </c>
      <c r="AC1204" t="str">
        <f t="shared" si="393"/>
        <v>Green</v>
      </c>
      <c r="AD1204" t="str">
        <f t="shared" si="394"/>
        <v>Red</v>
      </c>
    </row>
    <row r="1205" spans="1:30" x14ac:dyDescent="0.2">
      <c r="A1205" t="str">
        <f>L1204&amp;F1205&amp;G1205</f>
        <v>25/07/2026Arminia BielefeldMSV Duisburg</v>
      </c>
      <c r="D1205" s="2">
        <v>46228</v>
      </c>
      <c r="E1205" s="3">
        <v>0.54166666666666663</v>
      </c>
      <c r="F1205" t="s">
        <v>3822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395"/>
        <v>25/07/2026</v>
      </c>
      <c r="M1205" s="23">
        <f t="shared" si="396"/>
        <v>0.41666666666666663</v>
      </c>
      <c r="N1205" t="str">
        <f t="shared" si="397"/>
        <v>1 - 1</v>
      </c>
      <c r="O1205" t="str">
        <f t="shared" si="379"/>
        <v>Red</v>
      </c>
      <c r="P1205" t="str">
        <f t="shared" si="380"/>
        <v>Green</v>
      </c>
      <c r="Q1205" t="str">
        <f t="shared" si="381"/>
        <v>Red</v>
      </c>
      <c r="R1205" t="str">
        <f t="shared" si="382"/>
        <v>Green</v>
      </c>
      <c r="S1205" t="str">
        <f t="shared" si="383"/>
        <v>Green</v>
      </c>
      <c r="T1205" t="str">
        <f t="shared" si="384"/>
        <v>Red</v>
      </c>
      <c r="U1205" t="str">
        <f t="shared" si="385"/>
        <v>Red</v>
      </c>
      <c r="V1205" t="str">
        <f t="shared" si="386"/>
        <v>Green</v>
      </c>
      <c r="W1205" t="str">
        <f t="shared" si="387"/>
        <v>Red</v>
      </c>
      <c r="X1205" t="str">
        <f t="shared" si="388"/>
        <v>Green</v>
      </c>
      <c r="Y1205" t="str">
        <f t="shared" si="389"/>
        <v>Green</v>
      </c>
      <c r="Z1205" t="str">
        <f t="shared" si="390"/>
        <v>Red</v>
      </c>
      <c r="AA1205" t="str">
        <f t="shared" si="391"/>
        <v>Green</v>
      </c>
      <c r="AB1205" t="str">
        <f t="shared" si="392"/>
        <v>Green</v>
      </c>
      <c r="AC1205" t="str">
        <f t="shared" si="393"/>
        <v>Green</v>
      </c>
      <c r="AD1205" t="str">
        <f t="shared" si="394"/>
        <v>Red</v>
      </c>
    </row>
    <row r="1206" spans="1:30" x14ac:dyDescent="0.2">
      <c r="A1206" t="str">
        <f>L1205&amp;F1206&amp;G1206</f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2688</v>
      </c>
      <c r="H1206">
        <v>0</v>
      </c>
      <c r="I1206">
        <v>2</v>
      </c>
      <c r="J1206">
        <v>3</v>
      </c>
      <c r="K1206">
        <v>2</v>
      </c>
      <c r="L1206" s="22" t="str">
        <f t="shared" si="395"/>
        <v>25/07/2026</v>
      </c>
      <c r="M1206" s="23">
        <f t="shared" si="396"/>
        <v>0.41666666666666663</v>
      </c>
      <c r="N1206" t="str">
        <f t="shared" si="397"/>
        <v>3 - 2</v>
      </c>
      <c r="O1206" t="str">
        <f t="shared" si="379"/>
        <v>Green</v>
      </c>
      <c r="P1206" t="str">
        <f t="shared" si="380"/>
        <v>Red</v>
      </c>
      <c r="Q1206" t="str">
        <f t="shared" si="381"/>
        <v>Red</v>
      </c>
      <c r="R1206" t="str">
        <f t="shared" si="382"/>
        <v>Green</v>
      </c>
      <c r="S1206" t="str">
        <f t="shared" si="383"/>
        <v>Red</v>
      </c>
      <c r="T1206" t="str">
        <f t="shared" si="384"/>
        <v>Green</v>
      </c>
      <c r="U1206" t="str">
        <f t="shared" si="385"/>
        <v>Red</v>
      </c>
      <c r="V1206" t="str">
        <f t="shared" si="386"/>
        <v>Red</v>
      </c>
      <c r="W1206" t="str">
        <f t="shared" si="387"/>
        <v>Green</v>
      </c>
      <c r="X1206" t="str">
        <f t="shared" si="388"/>
        <v>Green</v>
      </c>
      <c r="Y1206" t="str">
        <f t="shared" si="389"/>
        <v>Green</v>
      </c>
      <c r="Z1206" t="str">
        <f t="shared" si="390"/>
        <v>Green</v>
      </c>
      <c r="AA1206" t="str">
        <f t="shared" si="391"/>
        <v>Red</v>
      </c>
      <c r="AB1206" t="str">
        <f t="shared" si="392"/>
        <v>Red</v>
      </c>
      <c r="AC1206" t="str">
        <f t="shared" si="393"/>
        <v>Green</v>
      </c>
      <c r="AD1206" t="str">
        <f t="shared" si="394"/>
        <v>Red</v>
      </c>
    </row>
    <row r="1207" spans="1:30" x14ac:dyDescent="0.2">
      <c r="A1207" t="str">
        <f>L1206&amp;F1207&amp;G1207</f>
        <v>25/07/2026Cleethorpes TownGrimsby Borough</v>
      </c>
      <c r="D1207" s="2">
        <v>46228</v>
      </c>
      <c r="E1207" s="3">
        <v>0.54166666666666663</v>
      </c>
      <c r="F1207" t="s">
        <v>3823</v>
      </c>
      <c r="G1207" t="s">
        <v>3824</v>
      </c>
      <c r="H1207">
        <v>1</v>
      </c>
      <c r="I1207">
        <v>1</v>
      </c>
      <c r="J1207">
        <v>2</v>
      </c>
      <c r="K1207">
        <v>2</v>
      </c>
      <c r="L1207" s="22" t="str">
        <f t="shared" si="395"/>
        <v>25/07/2026</v>
      </c>
      <c r="M1207" s="23">
        <f t="shared" si="396"/>
        <v>0.41666666666666663</v>
      </c>
      <c r="N1207" t="str">
        <f t="shared" si="397"/>
        <v>2 - 2</v>
      </c>
      <c r="O1207" t="str">
        <f t="shared" si="379"/>
        <v>Red</v>
      </c>
      <c r="P1207" t="str">
        <f t="shared" si="380"/>
        <v>Green</v>
      </c>
      <c r="Q1207" t="str">
        <f t="shared" si="381"/>
        <v>Red</v>
      </c>
      <c r="R1207" t="str">
        <f t="shared" si="382"/>
        <v>Green</v>
      </c>
      <c r="S1207" t="str">
        <f t="shared" si="383"/>
        <v>Green</v>
      </c>
      <c r="T1207" t="str">
        <f t="shared" si="384"/>
        <v>Red</v>
      </c>
      <c r="U1207" t="str">
        <f t="shared" si="385"/>
        <v>Red</v>
      </c>
      <c r="V1207" t="str">
        <f t="shared" si="386"/>
        <v>Green</v>
      </c>
      <c r="W1207" t="str">
        <f t="shared" si="387"/>
        <v>Red</v>
      </c>
      <c r="X1207" t="str">
        <f t="shared" si="388"/>
        <v>Green</v>
      </c>
      <c r="Y1207" t="str">
        <f t="shared" si="389"/>
        <v>Green</v>
      </c>
      <c r="Z1207" t="str">
        <f t="shared" si="390"/>
        <v>Green</v>
      </c>
      <c r="AA1207" t="str">
        <f t="shared" si="391"/>
        <v>Red</v>
      </c>
      <c r="AB1207" t="str">
        <f t="shared" si="392"/>
        <v>Red</v>
      </c>
      <c r="AC1207" t="str">
        <f t="shared" si="393"/>
        <v>Green</v>
      </c>
      <c r="AD1207" t="str">
        <f t="shared" si="394"/>
        <v>Red</v>
      </c>
    </row>
    <row r="1208" spans="1:30" x14ac:dyDescent="0.2">
      <c r="A1208" t="str">
        <f>L1207&amp;F1208&amp;G1208</f>
        <v>25/07/2026De GraafschapKifisias FC</v>
      </c>
      <c r="D1208" s="2">
        <v>46228</v>
      </c>
      <c r="E1208" s="3">
        <v>0.54166666666666663</v>
      </c>
      <c r="F1208" t="s">
        <v>3825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395"/>
        <v>25/07/2026</v>
      </c>
      <c r="M1208" s="23">
        <f t="shared" si="396"/>
        <v>0.41666666666666663</v>
      </c>
      <c r="N1208" t="str">
        <f t="shared" si="397"/>
        <v>4 - 2</v>
      </c>
      <c r="O1208" t="str">
        <f t="shared" si="379"/>
        <v>Green</v>
      </c>
      <c r="P1208" t="str">
        <f t="shared" si="380"/>
        <v>Red</v>
      </c>
      <c r="Q1208" t="str">
        <f t="shared" si="381"/>
        <v>Red</v>
      </c>
      <c r="R1208" t="str">
        <f t="shared" si="382"/>
        <v>Green</v>
      </c>
      <c r="S1208" t="str">
        <f t="shared" si="383"/>
        <v>Red</v>
      </c>
      <c r="T1208" t="str">
        <f t="shared" si="384"/>
        <v>Green</v>
      </c>
      <c r="U1208" t="str">
        <f t="shared" si="385"/>
        <v>Green</v>
      </c>
      <c r="V1208" t="str">
        <f t="shared" si="386"/>
        <v>Red</v>
      </c>
      <c r="W1208" t="str">
        <f t="shared" si="387"/>
        <v>Red</v>
      </c>
      <c r="X1208" t="str">
        <f t="shared" si="388"/>
        <v>Green</v>
      </c>
      <c r="Y1208" t="str">
        <f t="shared" si="389"/>
        <v>Green</v>
      </c>
      <c r="Z1208" t="str">
        <f t="shared" si="390"/>
        <v>Green</v>
      </c>
      <c r="AA1208" t="str">
        <f t="shared" si="391"/>
        <v>Red</v>
      </c>
      <c r="AB1208" t="str">
        <f t="shared" si="392"/>
        <v>Red</v>
      </c>
      <c r="AC1208" t="str">
        <f t="shared" si="393"/>
        <v>Green</v>
      </c>
      <c r="AD1208" t="str">
        <f t="shared" si="394"/>
        <v>Red</v>
      </c>
    </row>
    <row r="1209" spans="1:30" x14ac:dyDescent="0.2">
      <c r="A1209" t="str">
        <f>L1208&amp;F1209&amp;G1209</f>
        <v>25/07/2026FSV HollenbachStuttgart</v>
      </c>
      <c r="D1209" s="2">
        <v>46228</v>
      </c>
      <c r="E1209" s="3">
        <v>0.54166666666666663</v>
      </c>
      <c r="F1209" t="s">
        <v>3826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395"/>
        <v>25/07/2026</v>
      </c>
      <c r="M1209" s="23">
        <f t="shared" si="396"/>
        <v>0.41666666666666663</v>
      </c>
      <c r="N1209" t="str">
        <f t="shared" si="397"/>
        <v>0 - 5</v>
      </c>
      <c r="O1209" t="str">
        <f t="shared" si="379"/>
        <v>Red</v>
      </c>
      <c r="P1209" t="str">
        <f t="shared" si="380"/>
        <v>Red</v>
      </c>
      <c r="Q1209" t="str">
        <f t="shared" si="381"/>
        <v>Green</v>
      </c>
      <c r="R1209" t="str">
        <f t="shared" si="382"/>
        <v>Red</v>
      </c>
      <c r="S1209" t="str">
        <f t="shared" si="383"/>
        <v>Green</v>
      </c>
      <c r="T1209" t="str">
        <f t="shared" si="384"/>
        <v>Green</v>
      </c>
      <c r="U1209" t="str">
        <f t="shared" si="385"/>
        <v>Red</v>
      </c>
      <c r="V1209" t="str">
        <f t="shared" si="386"/>
        <v>Red</v>
      </c>
      <c r="W1209" t="str">
        <f t="shared" si="387"/>
        <v>Green</v>
      </c>
      <c r="X1209" t="str">
        <f t="shared" si="388"/>
        <v>Green</v>
      </c>
      <c r="Y1209" t="str">
        <f t="shared" si="389"/>
        <v>Green</v>
      </c>
      <c r="Z1209" t="str">
        <f t="shared" si="390"/>
        <v>Green</v>
      </c>
      <c r="AA1209" t="str">
        <f t="shared" si="391"/>
        <v>Red</v>
      </c>
      <c r="AB1209" t="str">
        <f t="shared" si="392"/>
        <v>Red</v>
      </c>
      <c r="AC1209" t="str">
        <f t="shared" si="393"/>
        <v>Red</v>
      </c>
      <c r="AD1209" t="str">
        <f t="shared" si="394"/>
        <v>Green</v>
      </c>
    </row>
    <row r="1210" spans="1:30" x14ac:dyDescent="0.2">
      <c r="A1210" t="str">
        <f>L1209&amp;F1210&amp;G1210</f>
        <v>25/07/2026Hereford UnitedSolihull Moors</v>
      </c>
      <c r="D1210" s="2">
        <v>46228</v>
      </c>
      <c r="E1210" s="3">
        <v>0.54166666666666663</v>
      </c>
      <c r="F1210" t="s">
        <v>3827</v>
      </c>
      <c r="G1210" t="s">
        <v>3828</v>
      </c>
      <c r="H1210">
        <v>0</v>
      </c>
      <c r="I1210">
        <v>0</v>
      </c>
      <c r="J1210">
        <v>0</v>
      </c>
      <c r="K1210">
        <v>3</v>
      </c>
      <c r="L1210" s="22" t="str">
        <f t="shared" si="395"/>
        <v>25/07/2026</v>
      </c>
      <c r="M1210" s="23">
        <f t="shared" si="396"/>
        <v>0.41666666666666663</v>
      </c>
      <c r="N1210" t="str">
        <f t="shared" si="397"/>
        <v>0 - 3</v>
      </c>
      <c r="O1210" t="str">
        <f t="shared" si="379"/>
        <v>Red</v>
      </c>
      <c r="P1210" t="str">
        <f t="shared" si="380"/>
        <v>Red</v>
      </c>
      <c r="Q1210" t="str">
        <f t="shared" si="381"/>
        <v>Green</v>
      </c>
      <c r="R1210" t="str">
        <f t="shared" si="382"/>
        <v>Red</v>
      </c>
      <c r="S1210" t="str">
        <f t="shared" si="383"/>
        <v>Green</v>
      </c>
      <c r="T1210" t="str">
        <f t="shared" si="384"/>
        <v>Green</v>
      </c>
      <c r="U1210" t="str">
        <f t="shared" si="385"/>
        <v>Red</v>
      </c>
      <c r="V1210" t="str">
        <f t="shared" si="386"/>
        <v>Green</v>
      </c>
      <c r="W1210" t="str">
        <f t="shared" si="387"/>
        <v>Red</v>
      </c>
      <c r="X1210" t="str">
        <f t="shared" si="388"/>
        <v>Red</v>
      </c>
      <c r="Y1210" t="str">
        <f t="shared" si="389"/>
        <v>Green</v>
      </c>
      <c r="Z1210" t="str">
        <f t="shared" si="390"/>
        <v>Green</v>
      </c>
      <c r="AA1210" t="str">
        <f t="shared" si="391"/>
        <v>Red</v>
      </c>
      <c r="AB1210" t="str">
        <f t="shared" si="392"/>
        <v>Green</v>
      </c>
      <c r="AC1210" t="str">
        <f t="shared" si="393"/>
        <v>Red</v>
      </c>
      <c r="AD1210" t="str">
        <f t="shared" si="394"/>
        <v>Green</v>
      </c>
    </row>
    <row r="1211" spans="1:30" x14ac:dyDescent="0.2">
      <c r="A1211" t="str">
        <f>L1210&amp;F1211&amp;G1211</f>
        <v>25/07/2026Kickers OffenbachBayer Leverkusen</v>
      </c>
      <c r="D1211" s="2">
        <v>46228</v>
      </c>
      <c r="E1211" s="3">
        <v>0.54166666666666663</v>
      </c>
      <c r="F1211" t="s">
        <v>3829</v>
      </c>
      <c r="G1211" t="s">
        <v>3830</v>
      </c>
      <c r="H1211">
        <v>1</v>
      </c>
      <c r="I1211">
        <v>1</v>
      </c>
      <c r="J1211">
        <v>1</v>
      </c>
      <c r="K1211">
        <v>3</v>
      </c>
      <c r="L1211" s="22" t="str">
        <f t="shared" si="395"/>
        <v>25/07/2026</v>
      </c>
      <c r="M1211" s="23">
        <f t="shared" si="396"/>
        <v>0.41666666666666663</v>
      </c>
      <c r="N1211" t="str">
        <f t="shared" si="397"/>
        <v>1 - 3</v>
      </c>
      <c r="O1211" t="str">
        <f t="shared" si="379"/>
        <v>Red</v>
      </c>
      <c r="P1211" t="str">
        <f t="shared" si="380"/>
        <v>Red</v>
      </c>
      <c r="Q1211" t="str">
        <f t="shared" si="381"/>
        <v>Green</v>
      </c>
      <c r="R1211" t="str">
        <f t="shared" si="382"/>
        <v>Red</v>
      </c>
      <c r="S1211" t="str">
        <f t="shared" si="383"/>
        <v>Green</v>
      </c>
      <c r="T1211" t="str">
        <f t="shared" si="384"/>
        <v>Green</v>
      </c>
      <c r="U1211" t="str">
        <f t="shared" si="385"/>
        <v>Red</v>
      </c>
      <c r="V1211" t="str">
        <f t="shared" si="386"/>
        <v>Green</v>
      </c>
      <c r="W1211" t="str">
        <f t="shared" si="387"/>
        <v>Red</v>
      </c>
      <c r="X1211" t="str">
        <f t="shared" si="388"/>
        <v>Green</v>
      </c>
      <c r="Y1211" t="str">
        <f t="shared" si="389"/>
        <v>Green</v>
      </c>
      <c r="Z1211" t="str">
        <f t="shared" si="390"/>
        <v>Green</v>
      </c>
      <c r="AA1211" t="str">
        <f t="shared" si="391"/>
        <v>Red</v>
      </c>
      <c r="AB1211" t="str">
        <f t="shared" si="392"/>
        <v>Red</v>
      </c>
      <c r="AC1211" t="str">
        <f t="shared" si="393"/>
        <v>Green</v>
      </c>
      <c r="AD1211" t="str">
        <f t="shared" si="394"/>
        <v>Red</v>
      </c>
    </row>
    <row r="1212" spans="1:30" x14ac:dyDescent="0.2">
      <c r="A1212" t="str">
        <f>L1211&amp;F1212&amp;G1212</f>
        <v>25/07/2026MainzHolstein Kiel</v>
      </c>
      <c r="D1212" s="2">
        <v>46228</v>
      </c>
      <c r="E1212" s="3">
        <v>0.54166666666666663</v>
      </c>
      <c r="F1212" t="s">
        <v>3831</v>
      </c>
      <c r="G1212" t="s">
        <v>3832</v>
      </c>
      <c r="H1212">
        <v>2</v>
      </c>
      <c r="I1212">
        <v>0</v>
      </c>
      <c r="J1212">
        <v>3</v>
      </c>
      <c r="K1212">
        <v>0</v>
      </c>
      <c r="L1212" s="22" t="str">
        <f t="shared" si="395"/>
        <v>25/07/2026</v>
      </c>
      <c r="M1212" s="23">
        <f t="shared" si="396"/>
        <v>0.41666666666666663</v>
      </c>
      <c r="N1212" t="str">
        <f t="shared" si="397"/>
        <v>3 - 0</v>
      </c>
      <c r="O1212" t="str">
        <f t="shared" si="379"/>
        <v>Green</v>
      </c>
      <c r="P1212" t="str">
        <f t="shared" si="380"/>
        <v>Red</v>
      </c>
      <c r="Q1212" t="str">
        <f t="shared" si="381"/>
        <v>Red</v>
      </c>
      <c r="R1212" t="str">
        <f t="shared" si="382"/>
        <v>Green</v>
      </c>
      <c r="S1212" t="str">
        <f t="shared" si="383"/>
        <v>Red</v>
      </c>
      <c r="T1212" t="str">
        <f t="shared" si="384"/>
        <v>Green</v>
      </c>
      <c r="U1212" t="str">
        <f t="shared" si="385"/>
        <v>Green</v>
      </c>
      <c r="V1212" t="str">
        <f t="shared" si="386"/>
        <v>Red</v>
      </c>
      <c r="W1212" t="str">
        <f t="shared" si="387"/>
        <v>Red</v>
      </c>
      <c r="X1212" t="str">
        <f t="shared" si="388"/>
        <v>Green</v>
      </c>
      <c r="Y1212" t="str">
        <f t="shared" si="389"/>
        <v>Green</v>
      </c>
      <c r="Z1212" t="str">
        <f t="shared" si="390"/>
        <v>Green</v>
      </c>
      <c r="AA1212" t="str">
        <f t="shared" si="391"/>
        <v>Red</v>
      </c>
      <c r="AB1212" t="str">
        <f t="shared" si="392"/>
        <v>Green</v>
      </c>
      <c r="AC1212" t="str">
        <f t="shared" si="393"/>
        <v>Red</v>
      </c>
      <c r="AD1212" t="str">
        <f t="shared" si="394"/>
        <v>Green</v>
      </c>
    </row>
    <row r="1213" spans="1:30" x14ac:dyDescent="0.2">
      <c r="A1213" t="str">
        <f>L1212&amp;F1213&amp;G1213</f>
        <v>25/07/2026MeppenSchalke 04 II</v>
      </c>
      <c r="D1213" s="2">
        <v>46228</v>
      </c>
      <c r="E1213" s="3">
        <v>0.54166666666666663</v>
      </c>
      <c r="F1213" t="s">
        <v>3833</v>
      </c>
      <c r="G1213" t="s">
        <v>3834</v>
      </c>
      <c r="H1213">
        <v>0</v>
      </c>
      <c r="I1213">
        <v>0</v>
      </c>
      <c r="J1213">
        <v>4</v>
      </c>
      <c r="K1213">
        <v>0</v>
      </c>
      <c r="L1213" s="22" t="str">
        <f t="shared" si="395"/>
        <v>25/07/2026</v>
      </c>
      <c r="M1213" s="23">
        <f t="shared" si="396"/>
        <v>0.41666666666666663</v>
      </c>
      <c r="N1213" t="str">
        <f t="shared" si="397"/>
        <v>4 - 0</v>
      </c>
      <c r="O1213" t="str">
        <f t="shared" si="379"/>
        <v>Green</v>
      </c>
      <c r="P1213" t="str">
        <f t="shared" si="380"/>
        <v>Red</v>
      </c>
      <c r="Q1213" t="str">
        <f t="shared" si="381"/>
        <v>Red</v>
      </c>
      <c r="R1213" t="str">
        <f t="shared" si="382"/>
        <v>Green</v>
      </c>
      <c r="S1213" t="str">
        <f t="shared" si="383"/>
        <v>Red</v>
      </c>
      <c r="T1213" t="str">
        <f t="shared" si="384"/>
        <v>Green</v>
      </c>
      <c r="U1213" t="str">
        <f t="shared" si="385"/>
        <v>Red</v>
      </c>
      <c r="V1213" t="str">
        <f t="shared" si="386"/>
        <v>Green</v>
      </c>
      <c r="W1213" t="str">
        <f t="shared" si="387"/>
        <v>Red</v>
      </c>
      <c r="X1213" t="str">
        <f t="shared" si="388"/>
        <v>Red</v>
      </c>
      <c r="Y1213" t="str">
        <f t="shared" si="389"/>
        <v>Green</v>
      </c>
      <c r="Z1213" t="str">
        <f t="shared" si="390"/>
        <v>Green</v>
      </c>
      <c r="AA1213" t="str">
        <f t="shared" si="391"/>
        <v>Red</v>
      </c>
      <c r="AB1213" t="str">
        <f t="shared" si="392"/>
        <v>Red</v>
      </c>
      <c r="AC1213" t="str">
        <f t="shared" si="393"/>
        <v>Red</v>
      </c>
      <c r="AD1213" t="str">
        <f t="shared" si="394"/>
        <v>Green</v>
      </c>
    </row>
    <row r="1214" spans="1:30" x14ac:dyDescent="0.2">
      <c r="A1214" t="str">
        <f>L1213&amp;F1214&amp;G1214</f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3835</v>
      </c>
      <c r="H1214">
        <v>0</v>
      </c>
      <c r="I1214">
        <v>0</v>
      </c>
      <c r="J1214">
        <v>1</v>
      </c>
      <c r="K1214">
        <v>3</v>
      </c>
      <c r="L1214" s="22" t="str">
        <f t="shared" si="395"/>
        <v>25/07/2026</v>
      </c>
      <c r="M1214" s="23">
        <f t="shared" si="396"/>
        <v>0.41666666666666663</v>
      </c>
      <c r="N1214" t="str">
        <f t="shared" si="397"/>
        <v>1 - 3</v>
      </c>
      <c r="O1214" t="str">
        <f t="shared" si="379"/>
        <v>Red</v>
      </c>
      <c r="P1214" t="str">
        <f t="shared" si="380"/>
        <v>Red</v>
      </c>
      <c r="Q1214" t="str">
        <f t="shared" si="381"/>
        <v>Green</v>
      </c>
      <c r="R1214" t="str">
        <f t="shared" si="382"/>
        <v>Red</v>
      </c>
      <c r="S1214" t="str">
        <f t="shared" si="383"/>
        <v>Green</v>
      </c>
      <c r="T1214" t="str">
        <f t="shared" si="384"/>
        <v>Green</v>
      </c>
      <c r="U1214" t="str">
        <f t="shared" si="385"/>
        <v>Red</v>
      </c>
      <c r="V1214" t="str">
        <f t="shared" si="386"/>
        <v>Green</v>
      </c>
      <c r="W1214" t="str">
        <f t="shared" si="387"/>
        <v>Red</v>
      </c>
      <c r="X1214" t="str">
        <f t="shared" si="388"/>
        <v>Red</v>
      </c>
      <c r="Y1214" t="str">
        <f t="shared" si="389"/>
        <v>Green</v>
      </c>
      <c r="Z1214" t="str">
        <f t="shared" si="390"/>
        <v>Green</v>
      </c>
      <c r="AA1214" t="str">
        <f t="shared" si="391"/>
        <v>Red</v>
      </c>
      <c r="AB1214" t="str">
        <f t="shared" si="392"/>
        <v>Red</v>
      </c>
      <c r="AC1214" t="str">
        <f t="shared" si="393"/>
        <v>Green</v>
      </c>
      <c r="AD1214" t="str">
        <f t="shared" si="394"/>
        <v>Red</v>
      </c>
    </row>
    <row r="1215" spans="1:30" x14ac:dyDescent="0.2">
      <c r="A1215" t="str">
        <f>L1214&amp;F1215&amp;G1215</f>
        <v>25/07/2026Stuttgart IISSV Ulm 1846</v>
      </c>
      <c r="D1215" s="2">
        <v>46228</v>
      </c>
      <c r="E1215" s="3">
        <v>0.54166666666666663</v>
      </c>
      <c r="F1215" t="s">
        <v>3836</v>
      </c>
      <c r="G1215" t="s">
        <v>3837</v>
      </c>
      <c r="H1215">
        <v>3</v>
      </c>
      <c r="I1215">
        <v>0</v>
      </c>
      <c r="J1215">
        <v>4</v>
      </c>
      <c r="K1215">
        <v>0</v>
      </c>
      <c r="L1215" s="22" t="str">
        <f t="shared" si="395"/>
        <v>25/07/2026</v>
      </c>
      <c r="M1215" s="23">
        <f t="shared" si="396"/>
        <v>0.41666666666666663</v>
      </c>
      <c r="N1215" t="str">
        <f t="shared" si="397"/>
        <v>4 - 0</v>
      </c>
      <c r="O1215" t="str">
        <f t="shared" si="379"/>
        <v>Green</v>
      </c>
      <c r="P1215" t="str">
        <f t="shared" si="380"/>
        <v>Red</v>
      </c>
      <c r="Q1215" t="str">
        <f t="shared" si="381"/>
        <v>Red</v>
      </c>
      <c r="R1215" t="str">
        <f t="shared" si="382"/>
        <v>Green</v>
      </c>
      <c r="S1215" t="str">
        <f t="shared" si="383"/>
        <v>Red</v>
      </c>
      <c r="T1215" t="str">
        <f t="shared" si="384"/>
        <v>Green</v>
      </c>
      <c r="U1215" t="str">
        <f t="shared" si="385"/>
        <v>Green</v>
      </c>
      <c r="V1215" t="str">
        <f t="shared" si="386"/>
        <v>Red</v>
      </c>
      <c r="W1215" t="str">
        <f t="shared" si="387"/>
        <v>Red</v>
      </c>
      <c r="X1215" t="str">
        <f t="shared" si="388"/>
        <v>Green</v>
      </c>
      <c r="Y1215" t="str">
        <f t="shared" si="389"/>
        <v>Green</v>
      </c>
      <c r="Z1215" t="str">
        <f t="shared" si="390"/>
        <v>Green</v>
      </c>
      <c r="AA1215" t="str">
        <f t="shared" si="391"/>
        <v>Red</v>
      </c>
      <c r="AB1215" t="str">
        <f t="shared" si="392"/>
        <v>Red</v>
      </c>
      <c r="AC1215" t="str">
        <f t="shared" si="393"/>
        <v>Red</v>
      </c>
      <c r="AD1215" t="str">
        <f t="shared" si="394"/>
        <v>Green</v>
      </c>
    </row>
    <row r="1216" spans="1:30" x14ac:dyDescent="0.2">
      <c r="A1216" t="str">
        <f>L1215&amp;F1216&amp;G1216</f>
        <v>25/07/2026WatfordHansa Rostock</v>
      </c>
      <c r="D1216" s="2">
        <v>46228</v>
      </c>
      <c r="E1216" s="3">
        <v>0.54166666666666663</v>
      </c>
      <c r="F1216" t="s">
        <v>3838</v>
      </c>
      <c r="G1216" t="s">
        <v>3839</v>
      </c>
      <c r="H1216">
        <v>2</v>
      </c>
      <c r="I1216">
        <v>0</v>
      </c>
      <c r="J1216">
        <v>3</v>
      </c>
      <c r="K1216">
        <v>0</v>
      </c>
      <c r="L1216" s="22" t="str">
        <f t="shared" si="395"/>
        <v>25/07/2026</v>
      </c>
      <c r="M1216" s="23">
        <f t="shared" si="396"/>
        <v>0.41666666666666663</v>
      </c>
      <c r="N1216" t="str">
        <f t="shared" si="397"/>
        <v>3 - 0</v>
      </c>
      <c r="O1216" t="str">
        <f t="shared" si="379"/>
        <v>Green</v>
      </c>
      <c r="P1216" t="str">
        <f t="shared" si="380"/>
        <v>Red</v>
      </c>
      <c r="Q1216" t="str">
        <f t="shared" si="381"/>
        <v>Red</v>
      </c>
      <c r="R1216" t="str">
        <f t="shared" si="382"/>
        <v>Green</v>
      </c>
      <c r="S1216" t="str">
        <f t="shared" si="383"/>
        <v>Red</v>
      </c>
      <c r="T1216" t="str">
        <f t="shared" si="384"/>
        <v>Green</v>
      </c>
      <c r="U1216" t="str">
        <f t="shared" si="385"/>
        <v>Green</v>
      </c>
      <c r="V1216" t="str">
        <f t="shared" si="386"/>
        <v>Red</v>
      </c>
      <c r="W1216" t="str">
        <f t="shared" si="387"/>
        <v>Red</v>
      </c>
      <c r="X1216" t="str">
        <f t="shared" si="388"/>
        <v>Green</v>
      </c>
      <c r="Y1216" t="str">
        <f t="shared" si="389"/>
        <v>Green</v>
      </c>
      <c r="Z1216" t="str">
        <f t="shared" si="390"/>
        <v>Green</v>
      </c>
      <c r="AA1216" t="str">
        <f t="shared" si="391"/>
        <v>Red</v>
      </c>
      <c r="AB1216" t="str">
        <f t="shared" si="392"/>
        <v>Green</v>
      </c>
      <c r="AC1216" t="str">
        <f t="shared" si="393"/>
        <v>Red</v>
      </c>
      <c r="AD1216" t="str">
        <f t="shared" si="394"/>
        <v>Green</v>
      </c>
    </row>
    <row r="1217" spans="1:30" x14ac:dyDescent="0.2">
      <c r="A1217" t="str">
        <f>L1216&amp;F1217&amp;G1217</f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395"/>
        <v>25/07/2026</v>
      </c>
      <c r="M1217" s="23">
        <f t="shared" si="396"/>
        <v>0.41666666666666663</v>
      </c>
      <c r="N1217" t="str">
        <f t="shared" si="397"/>
        <v>2 - 0</v>
      </c>
      <c r="O1217" t="str">
        <f t="shared" si="379"/>
        <v>Green</v>
      </c>
      <c r="P1217" t="str">
        <f t="shared" si="380"/>
        <v>Red</v>
      </c>
      <c r="Q1217" t="str">
        <f t="shared" si="381"/>
        <v>Red</v>
      </c>
      <c r="R1217" t="str">
        <f t="shared" si="382"/>
        <v>Green</v>
      </c>
      <c r="S1217" t="str">
        <f t="shared" si="383"/>
        <v>Red</v>
      </c>
      <c r="T1217" t="str">
        <f t="shared" si="384"/>
        <v>Green</v>
      </c>
      <c r="U1217" t="str">
        <f t="shared" si="385"/>
        <v>Red</v>
      </c>
      <c r="V1217" t="str">
        <f t="shared" si="386"/>
        <v>Green</v>
      </c>
      <c r="W1217" t="str">
        <f t="shared" si="387"/>
        <v>Red</v>
      </c>
      <c r="X1217" t="str">
        <f t="shared" si="388"/>
        <v>Red</v>
      </c>
      <c r="Y1217" t="str">
        <f t="shared" si="389"/>
        <v>Green</v>
      </c>
      <c r="Z1217" t="str">
        <f t="shared" si="390"/>
        <v>Red</v>
      </c>
      <c r="AA1217" t="str">
        <f t="shared" si="391"/>
        <v>Green</v>
      </c>
      <c r="AB1217" t="str">
        <f t="shared" si="392"/>
        <v>Green</v>
      </c>
      <c r="AC1217" t="str">
        <f t="shared" si="393"/>
        <v>Red</v>
      </c>
      <c r="AD1217" t="str">
        <f t="shared" si="394"/>
        <v>Green</v>
      </c>
    </row>
    <row r="1218" spans="1:30" x14ac:dyDescent="0.2">
      <c r="A1218" t="str">
        <f>L1217&amp;F1218&amp;G1218</f>
        <v>25/07/2026SV Wals GrunauAustria Salzburg</v>
      </c>
      <c r="D1218" s="2">
        <v>46228</v>
      </c>
      <c r="E1218" s="3">
        <v>0.5625</v>
      </c>
      <c r="F1218" t="s">
        <v>3009</v>
      </c>
      <c r="G1218" t="s">
        <v>3010</v>
      </c>
      <c r="H1218">
        <v>0</v>
      </c>
      <c r="I1218">
        <v>2</v>
      </c>
      <c r="J1218">
        <v>1</v>
      </c>
      <c r="K1218">
        <v>5</v>
      </c>
      <c r="L1218" s="22" t="str">
        <f t="shared" si="395"/>
        <v>25/07/2026</v>
      </c>
      <c r="M1218" s="23">
        <f t="shared" si="396"/>
        <v>0.4375</v>
      </c>
      <c r="N1218" t="str">
        <f t="shared" si="397"/>
        <v>1 - 5</v>
      </c>
      <c r="O1218" t="str">
        <f t="shared" ref="O1218:O1281" si="398">IF($J1218&gt;$K1218,"Green","Red")</f>
        <v>Red</v>
      </c>
      <c r="P1218" t="str">
        <f t="shared" ref="P1218:P1281" si="399">IF($J1218=$K1218,"Green","Red")</f>
        <v>Red</v>
      </c>
      <c r="Q1218" t="str">
        <f t="shared" ref="Q1218:Q1281" si="400">IF($J1218&lt;$K1218,"Green","Red")</f>
        <v>Green</v>
      </c>
      <c r="R1218" t="str">
        <f t="shared" ref="R1218:R1281" si="401">IF($J1218&gt;=$K1218,"Green","Red")</f>
        <v>Red</v>
      </c>
      <c r="S1218" t="str">
        <f t="shared" ref="S1218:S1281" si="402">IF($J1218&lt;=$K1218,"Green","Red")</f>
        <v>Green</v>
      </c>
      <c r="T1218" t="str">
        <f t="shared" ref="T1218:T1281" si="403">IF(OR($J1218&gt;$K1218,$J1218&lt;$K1218),"Green","Red")</f>
        <v>Green</v>
      </c>
      <c r="U1218" t="str">
        <f t="shared" ref="U1218:U1281" si="404">IF($H1218&gt;$I1218,"Green","Red")</f>
        <v>Red</v>
      </c>
      <c r="V1218" t="str">
        <f t="shared" ref="V1218:V1281" si="405">IF($H1218=$I1218,"Green","Red")</f>
        <v>Red</v>
      </c>
      <c r="W1218" t="str">
        <f t="shared" ref="W1218:W1281" si="406">IF($H1218&lt;$I1218,"Green","Red")</f>
        <v>Green</v>
      </c>
      <c r="X1218" t="str">
        <f t="shared" ref="X1218:X1281" si="407">IF($H1218+$I1218&gt;0,"Green","Red")</f>
        <v>Green</v>
      </c>
      <c r="Y1218" t="str">
        <f t="shared" ref="Y1218:Y1281" si="408">IF($J1218+$K1218&gt;1.5,"Green","Red")</f>
        <v>Green</v>
      </c>
      <c r="Z1218" t="str">
        <f t="shared" ref="Z1218:Z1281" si="409">IF($J1218+$K1218&gt;2.5,"Green","Red")</f>
        <v>Green</v>
      </c>
      <c r="AA1218" t="str">
        <f t="shared" ref="AA1218:AA1281" si="410">IF($J1218+$K1218&lt;2.5,"Green","Red")</f>
        <v>Red</v>
      </c>
      <c r="AB1218" t="str">
        <f t="shared" ref="AB1218:AB1281" si="411">IF($J1218+$K1218&lt;3.5,"Green","Red")</f>
        <v>Red</v>
      </c>
      <c r="AC1218" t="str">
        <f t="shared" ref="AC1218:AC1281" si="412">IF(AND($J1218&gt;0,$K1218&gt;0),"Green","Red")</f>
        <v>Green</v>
      </c>
      <c r="AD1218" t="str">
        <f t="shared" ref="AD1218:AD1281" si="413">IF(OR($J1218=0,$K1218=0),"Green","Red")</f>
        <v>Red</v>
      </c>
    </row>
    <row r="1219" spans="1:30" x14ac:dyDescent="0.2">
      <c r="A1219" t="str">
        <f>L1218&amp;F1219&amp;G1219</f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395"/>
        <v>25/07/2026</v>
      </c>
      <c r="M1219" s="23">
        <f t="shared" si="396"/>
        <v>0.4375</v>
      </c>
      <c r="N1219" t="str">
        <f t="shared" si="397"/>
        <v>1 - 1</v>
      </c>
      <c r="O1219" t="str">
        <f t="shared" si="398"/>
        <v>Red</v>
      </c>
      <c r="P1219" t="str">
        <f t="shared" si="399"/>
        <v>Green</v>
      </c>
      <c r="Q1219" t="str">
        <f t="shared" si="400"/>
        <v>Red</v>
      </c>
      <c r="R1219" t="str">
        <f t="shared" si="401"/>
        <v>Green</v>
      </c>
      <c r="S1219" t="str">
        <f t="shared" si="402"/>
        <v>Green</v>
      </c>
      <c r="T1219" t="str">
        <f t="shared" si="403"/>
        <v>Red</v>
      </c>
      <c r="U1219" t="str">
        <f t="shared" si="404"/>
        <v>Green</v>
      </c>
      <c r="V1219" t="str">
        <f t="shared" si="405"/>
        <v>Red</v>
      </c>
      <c r="W1219" t="str">
        <f t="shared" si="406"/>
        <v>Red</v>
      </c>
      <c r="X1219" t="str">
        <f t="shared" si="407"/>
        <v>Green</v>
      </c>
      <c r="Y1219" t="str">
        <f t="shared" si="408"/>
        <v>Green</v>
      </c>
      <c r="Z1219" t="str">
        <f t="shared" si="409"/>
        <v>Red</v>
      </c>
      <c r="AA1219" t="str">
        <f t="shared" si="410"/>
        <v>Green</v>
      </c>
      <c r="AB1219" t="str">
        <f t="shared" si="411"/>
        <v>Green</v>
      </c>
      <c r="AC1219" t="str">
        <f t="shared" si="412"/>
        <v>Green</v>
      </c>
      <c r="AD1219" t="str">
        <f t="shared" si="413"/>
        <v>Red</v>
      </c>
    </row>
    <row r="1220" spans="1:30" x14ac:dyDescent="0.2">
      <c r="A1220" t="str">
        <f>L1219&amp;F1220&amp;G1220</f>
        <v>25/07/2026FC Kolkheti PotiAragvi Dusheti</v>
      </c>
      <c r="D1220" s="2">
        <v>46228</v>
      </c>
      <c r="E1220" s="3">
        <v>0.5625</v>
      </c>
      <c r="F1220" t="s">
        <v>3270</v>
      </c>
      <c r="G1220" t="s">
        <v>3271</v>
      </c>
      <c r="H1220">
        <v>0</v>
      </c>
      <c r="I1220">
        <v>0</v>
      </c>
      <c r="J1220">
        <v>0</v>
      </c>
      <c r="K1220">
        <v>0</v>
      </c>
      <c r="L1220" s="22" t="str">
        <f t="shared" si="395"/>
        <v>25/07/2026</v>
      </c>
      <c r="M1220" s="23">
        <f t="shared" si="396"/>
        <v>0.4375</v>
      </c>
      <c r="N1220" t="str">
        <f t="shared" si="397"/>
        <v>0 - 0</v>
      </c>
      <c r="O1220" t="str">
        <f t="shared" si="398"/>
        <v>Red</v>
      </c>
      <c r="P1220" t="str">
        <f t="shared" si="399"/>
        <v>Green</v>
      </c>
      <c r="Q1220" t="str">
        <f t="shared" si="400"/>
        <v>Red</v>
      </c>
      <c r="R1220" t="str">
        <f t="shared" si="401"/>
        <v>Green</v>
      </c>
      <c r="S1220" t="str">
        <f t="shared" si="402"/>
        <v>Green</v>
      </c>
      <c r="T1220" t="str">
        <f t="shared" si="403"/>
        <v>Red</v>
      </c>
      <c r="U1220" t="str">
        <f t="shared" si="404"/>
        <v>Red</v>
      </c>
      <c r="V1220" t="str">
        <f t="shared" si="405"/>
        <v>Green</v>
      </c>
      <c r="W1220" t="str">
        <f t="shared" si="406"/>
        <v>Red</v>
      </c>
      <c r="X1220" t="str">
        <f t="shared" si="407"/>
        <v>Red</v>
      </c>
      <c r="Y1220" t="str">
        <f t="shared" si="408"/>
        <v>Red</v>
      </c>
      <c r="Z1220" t="str">
        <f t="shared" si="409"/>
        <v>Red</v>
      </c>
      <c r="AA1220" t="str">
        <f t="shared" si="410"/>
        <v>Green</v>
      </c>
      <c r="AB1220" t="str">
        <f t="shared" si="411"/>
        <v>Green</v>
      </c>
      <c r="AC1220" t="str">
        <f t="shared" si="412"/>
        <v>Red</v>
      </c>
      <c r="AD1220" t="str">
        <f t="shared" si="413"/>
        <v>Green</v>
      </c>
    </row>
    <row r="1221" spans="1:30" x14ac:dyDescent="0.2">
      <c r="A1221" t="str">
        <f>L1220&amp;F1221&amp;G1221</f>
        <v>25/07/2026NotoddenSotra S–ö</v>
      </c>
      <c r="D1221" s="2">
        <v>46228</v>
      </c>
      <c r="E1221" s="3">
        <v>0.5625</v>
      </c>
      <c r="F1221" t="s">
        <v>3458</v>
      </c>
      <c r="G1221" t="s">
        <v>3459</v>
      </c>
      <c r="H1221">
        <v>1</v>
      </c>
      <c r="I1221">
        <v>0</v>
      </c>
      <c r="J1221">
        <v>1</v>
      </c>
      <c r="K1221">
        <v>0</v>
      </c>
      <c r="L1221" s="22" t="str">
        <f t="shared" si="395"/>
        <v>25/07/2026</v>
      </c>
      <c r="M1221" s="23">
        <f t="shared" si="396"/>
        <v>0.4375</v>
      </c>
      <c r="N1221" t="str">
        <f t="shared" si="397"/>
        <v>1 - 0</v>
      </c>
      <c r="O1221" t="str">
        <f t="shared" si="398"/>
        <v>Green</v>
      </c>
      <c r="P1221" t="str">
        <f t="shared" si="399"/>
        <v>Red</v>
      </c>
      <c r="Q1221" t="str">
        <f t="shared" si="400"/>
        <v>Red</v>
      </c>
      <c r="R1221" t="str">
        <f t="shared" si="401"/>
        <v>Green</v>
      </c>
      <c r="S1221" t="str">
        <f t="shared" si="402"/>
        <v>Red</v>
      </c>
      <c r="T1221" t="str">
        <f t="shared" si="403"/>
        <v>Green</v>
      </c>
      <c r="U1221" t="str">
        <f t="shared" si="404"/>
        <v>Green</v>
      </c>
      <c r="V1221" t="str">
        <f t="shared" si="405"/>
        <v>Red</v>
      </c>
      <c r="W1221" t="str">
        <f t="shared" si="406"/>
        <v>Red</v>
      </c>
      <c r="X1221" t="str">
        <f t="shared" si="407"/>
        <v>Green</v>
      </c>
      <c r="Y1221" t="str">
        <f t="shared" si="408"/>
        <v>Red</v>
      </c>
      <c r="Z1221" t="str">
        <f t="shared" si="409"/>
        <v>Red</v>
      </c>
      <c r="AA1221" t="str">
        <f t="shared" si="410"/>
        <v>Green</v>
      </c>
      <c r="AB1221" t="str">
        <f t="shared" si="411"/>
        <v>Green</v>
      </c>
      <c r="AC1221" t="str">
        <f t="shared" si="412"/>
        <v>Red</v>
      </c>
      <c r="AD1221" t="str">
        <f t="shared" si="413"/>
        <v>Green</v>
      </c>
    </row>
    <row r="1222" spans="1:30" x14ac:dyDescent="0.2">
      <c r="A1222" t="str">
        <f>L1221&amp;F1222&amp;G1222</f>
        <v>25/07/2026MelhusHerd</v>
      </c>
      <c r="D1222" s="2">
        <v>46228</v>
      </c>
      <c r="E1222" s="3">
        <v>0.5625</v>
      </c>
      <c r="F1222" t="s">
        <v>3484</v>
      </c>
      <c r="G1222" t="s">
        <v>3485</v>
      </c>
      <c r="H1222">
        <v>1</v>
      </c>
      <c r="I1222">
        <v>0</v>
      </c>
      <c r="J1222">
        <v>2</v>
      </c>
      <c r="K1222">
        <v>0</v>
      </c>
      <c r="L1222" s="22" t="str">
        <f t="shared" si="395"/>
        <v>25/07/2026</v>
      </c>
      <c r="M1222" s="23">
        <f t="shared" si="396"/>
        <v>0.4375</v>
      </c>
      <c r="N1222" t="str">
        <f t="shared" si="397"/>
        <v>2 - 0</v>
      </c>
      <c r="O1222" t="str">
        <f t="shared" si="398"/>
        <v>Green</v>
      </c>
      <c r="P1222" t="str">
        <f t="shared" si="399"/>
        <v>Red</v>
      </c>
      <c r="Q1222" t="str">
        <f t="shared" si="400"/>
        <v>Red</v>
      </c>
      <c r="R1222" t="str">
        <f t="shared" si="401"/>
        <v>Green</v>
      </c>
      <c r="S1222" t="str">
        <f t="shared" si="402"/>
        <v>Red</v>
      </c>
      <c r="T1222" t="str">
        <f t="shared" si="403"/>
        <v>Green</v>
      </c>
      <c r="U1222" t="str">
        <f t="shared" si="404"/>
        <v>Green</v>
      </c>
      <c r="V1222" t="str">
        <f t="shared" si="405"/>
        <v>Red</v>
      </c>
      <c r="W1222" t="str">
        <f t="shared" si="406"/>
        <v>Red</v>
      </c>
      <c r="X1222" t="str">
        <f t="shared" si="407"/>
        <v>Green</v>
      </c>
      <c r="Y1222" t="str">
        <f t="shared" si="408"/>
        <v>Green</v>
      </c>
      <c r="Z1222" t="str">
        <f t="shared" si="409"/>
        <v>Red</v>
      </c>
      <c r="AA1222" t="str">
        <f t="shared" si="410"/>
        <v>Green</v>
      </c>
      <c r="AB1222" t="str">
        <f t="shared" si="411"/>
        <v>Green</v>
      </c>
      <c r="AC1222" t="str">
        <f t="shared" si="412"/>
        <v>Red</v>
      </c>
      <c r="AD1222" t="str">
        <f t="shared" si="413"/>
        <v>Green</v>
      </c>
    </row>
    <row r="1223" spans="1:30" x14ac:dyDescent="0.2">
      <c r="A1223" t="str">
        <f>L1222&amp;F1223&amp;G1223</f>
        <v>25/07/2026Lechia GdanskPogon Grodzisk Mazowiecki</v>
      </c>
      <c r="D1223" s="2">
        <v>46228</v>
      </c>
      <c r="E1223" s="3">
        <v>0.5625</v>
      </c>
      <c r="F1223" t="s">
        <v>3541</v>
      </c>
      <c r="G1223" t="s">
        <v>3542</v>
      </c>
      <c r="H1223">
        <v>0</v>
      </c>
      <c r="I1223">
        <v>1</v>
      </c>
      <c r="J1223">
        <v>0</v>
      </c>
      <c r="K1223">
        <v>3</v>
      </c>
      <c r="L1223" s="22" t="str">
        <f t="shared" si="395"/>
        <v>25/07/2026</v>
      </c>
      <c r="M1223" s="23">
        <f t="shared" si="396"/>
        <v>0.4375</v>
      </c>
      <c r="N1223" t="str">
        <f t="shared" si="397"/>
        <v>0 - 3</v>
      </c>
      <c r="O1223" t="str">
        <f t="shared" si="398"/>
        <v>Red</v>
      </c>
      <c r="P1223" t="str">
        <f t="shared" si="399"/>
        <v>Red</v>
      </c>
      <c r="Q1223" t="str">
        <f t="shared" si="400"/>
        <v>Green</v>
      </c>
      <c r="R1223" t="str">
        <f t="shared" si="401"/>
        <v>Red</v>
      </c>
      <c r="S1223" t="str">
        <f t="shared" si="402"/>
        <v>Green</v>
      </c>
      <c r="T1223" t="str">
        <f t="shared" si="403"/>
        <v>Green</v>
      </c>
      <c r="U1223" t="str">
        <f t="shared" si="404"/>
        <v>Red</v>
      </c>
      <c r="V1223" t="str">
        <f t="shared" si="405"/>
        <v>Red</v>
      </c>
      <c r="W1223" t="str">
        <f t="shared" si="406"/>
        <v>Green</v>
      </c>
      <c r="X1223" t="str">
        <f t="shared" si="407"/>
        <v>Green</v>
      </c>
      <c r="Y1223" t="str">
        <f t="shared" si="408"/>
        <v>Green</v>
      </c>
      <c r="Z1223" t="str">
        <f t="shared" si="409"/>
        <v>Green</v>
      </c>
      <c r="AA1223" t="str">
        <f t="shared" si="410"/>
        <v>Red</v>
      </c>
      <c r="AB1223" t="str">
        <f t="shared" si="411"/>
        <v>Green</v>
      </c>
      <c r="AC1223" t="str">
        <f t="shared" si="412"/>
        <v>Red</v>
      </c>
      <c r="AD1223" t="str">
        <f t="shared" si="413"/>
        <v>Green</v>
      </c>
    </row>
    <row r="1224" spans="1:30" x14ac:dyDescent="0.2">
      <c r="A1224" t="str">
        <f>L1223&amp;F1224&amp;G1224</f>
        <v>25/07/2026Pogon SiedlceLKS Lodz</v>
      </c>
      <c r="D1224" s="2">
        <v>46228</v>
      </c>
      <c r="E1224" s="3">
        <v>0.5625</v>
      </c>
      <c r="F1224" t="s">
        <v>3543</v>
      </c>
      <c r="G1224" t="s">
        <v>3544</v>
      </c>
      <c r="H1224">
        <v>1</v>
      </c>
      <c r="I1224">
        <v>0</v>
      </c>
      <c r="J1224">
        <v>1</v>
      </c>
      <c r="K1224">
        <v>1</v>
      </c>
      <c r="L1224" s="22" t="str">
        <f t="shared" si="395"/>
        <v>25/07/2026</v>
      </c>
      <c r="M1224" s="23">
        <f t="shared" si="396"/>
        <v>0.4375</v>
      </c>
      <c r="N1224" t="str">
        <f t="shared" si="397"/>
        <v>1 - 1</v>
      </c>
      <c r="O1224" t="str">
        <f t="shared" si="398"/>
        <v>Red</v>
      </c>
      <c r="P1224" t="str">
        <f t="shared" si="399"/>
        <v>Green</v>
      </c>
      <c r="Q1224" t="str">
        <f t="shared" si="400"/>
        <v>Red</v>
      </c>
      <c r="R1224" t="str">
        <f t="shared" si="401"/>
        <v>Green</v>
      </c>
      <c r="S1224" t="str">
        <f t="shared" si="402"/>
        <v>Green</v>
      </c>
      <c r="T1224" t="str">
        <f t="shared" si="403"/>
        <v>Red</v>
      </c>
      <c r="U1224" t="str">
        <f t="shared" si="404"/>
        <v>Green</v>
      </c>
      <c r="V1224" t="str">
        <f t="shared" si="405"/>
        <v>Red</v>
      </c>
      <c r="W1224" t="str">
        <f t="shared" si="406"/>
        <v>Red</v>
      </c>
      <c r="X1224" t="str">
        <f t="shared" si="407"/>
        <v>Green</v>
      </c>
      <c r="Y1224" t="str">
        <f t="shared" si="408"/>
        <v>Green</v>
      </c>
      <c r="Z1224" t="str">
        <f t="shared" si="409"/>
        <v>Red</v>
      </c>
      <c r="AA1224" t="str">
        <f t="shared" si="410"/>
        <v>Green</v>
      </c>
      <c r="AB1224" t="str">
        <f t="shared" si="411"/>
        <v>Green</v>
      </c>
      <c r="AC1224" t="str">
        <f t="shared" si="412"/>
        <v>Green</v>
      </c>
      <c r="AD1224" t="str">
        <f t="shared" si="413"/>
        <v>Red</v>
      </c>
    </row>
    <row r="1225" spans="1:30" x14ac:dyDescent="0.2">
      <c r="A1225" t="str">
        <f>L1224&amp;F1225&amp;G1225</f>
        <v>25/07/2026Stal RzeszowChrobry Glogow</v>
      </c>
      <c r="D1225" s="2">
        <v>46228</v>
      </c>
      <c r="E1225" s="3">
        <v>0.5625</v>
      </c>
      <c r="F1225" t="s">
        <v>3545</v>
      </c>
      <c r="G1225" t="s">
        <v>3546</v>
      </c>
      <c r="H1225">
        <v>0</v>
      </c>
      <c r="I1225">
        <v>1</v>
      </c>
      <c r="J1225">
        <v>1</v>
      </c>
      <c r="K1225">
        <v>5</v>
      </c>
      <c r="L1225" s="22" t="str">
        <f t="shared" si="395"/>
        <v>25/07/2026</v>
      </c>
      <c r="M1225" s="23">
        <f t="shared" si="396"/>
        <v>0.4375</v>
      </c>
      <c r="N1225" t="str">
        <f t="shared" si="397"/>
        <v>1 - 5</v>
      </c>
      <c r="O1225" t="str">
        <f t="shared" si="398"/>
        <v>Red</v>
      </c>
      <c r="P1225" t="str">
        <f t="shared" si="399"/>
        <v>Red</v>
      </c>
      <c r="Q1225" t="str">
        <f t="shared" si="400"/>
        <v>Green</v>
      </c>
      <c r="R1225" t="str">
        <f t="shared" si="401"/>
        <v>Red</v>
      </c>
      <c r="S1225" t="str">
        <f t="shared" si="402"/>
        <v>Green</v>
      </c>
      <c r="T1225" t="str">
        <f t="shared" si="403"/>
        <v>Green</v>
      </c>
      <c r="U1225" t="str">
        <f t="shared" si="404"/>
        <v>Red</v>
      </c>
      <c r="V1225" t="str">
        <f t="shared" si="405"/>
        <v>Red</v>
      </c>
      <c r="W1225" t="str">
        <f t="shared" si="406"/>
        <v>Green</v>
      </c>
      <c r="X1225" t="str">
        <f t="shared" si="407"/>
        <v>Green</v>
      </c>
      <c r="Y1225" t="str">
        <f t="shared" si="408"/>
        <v>Green</v>
      </c>
      <c r="Z1225" t="str">
        <f t="shared" si="409"/>
        <v>Green</v>
      </c>
      <c r="AA1225" t="str">
        <f t="shared" si="410"/>
        <v>Red</v>
      </c>
      <c r="AB1225" t="str">
        <f t="shared" si="411"/>
        <v>Red</v>
      </c>
      <c r="AC1225" t="str">
        <f t="shared" si="412"/>
        <v>Green</v>
      </c>
      <c r="AD1225" t="str">
        <f t="shared" si="413"/>
        <v>Red</v>
      </c>
    </row>
    <row r="1226" spans="1:30" x14ac:dyDescent="0.2">
      <c r="A1226" t="str">
        <f>L1225&amp;F1226&amp;G1226</f>
        <v>25/07/2026Angusht NazranKyzyltash</v>
      </c>
      <c r="D1226" s="2">
        <v>46228</v>
      </c>
      <c r="E1226" s="3">
        <v>0.5625</v>
      </c>
      <c r="F1226" t="s">
        <v>3575</v>
      </c>
      <c r="G1226" t="s">
        <v>3576</v>
      </c>
      <c r="H1226">
        <v>0</v>
      </c>
      <c r="I1226">
        <v>0</v>
      </c>
      <c r="J1226">
        <v>0</v>
      </c>
      <c r="K1226">
        <v>0</v>
      </c>
      <c r="L1226" s="22" t="str">
        <f t="shared" si="395"/>
        <v>25/07/2026</v>
      </c>
      <c r="M1226" s="23">
        <f t="shared" si="396"/>
        <v>0.4375</v>
      </c>
      <c r="N1226" t="str">
        <f t="shared" si="397"/>
        <v>0 - 0</v>
      </c>
      <c r="O1226" t="str">
        <f t="shared" si="398"/>
        <v>Red</v>
      </c>
      <c r="P1226" t="str">
        <f t="shared" si="399"/>
        <v>Green</v>
      </c>
      <c r="Q1226" t="str">
        <f t="shared" si="400"/>
        <v>Red</v>
      </c>
      <c r="R1226" t="str">
        <f t="shared" si="401"/>
        <v>Green</v>
      </c>
      <c r="S1226" t="str">
        <f t="shared" si="402"/>
        <v>Green</v>
      </c>
      <c r="T1226" t="str">
        <f t="shared" si="403"/>
        <v>Red</v>
      </c>
      <c r="U1226" t="str">
        <f t="shared" si="404"/>
        <v>Red</v>
      </c>
      <c r="V1226" t="str">
        <f t="shared" si="405"/>
        <v>Green</v>
      </c>
      <c r="W1226" t="str">
        <f t="shared" si="406"/>
        <v>Red</v>
      </c>
      <c r="X1226" t="str">
        <f t="shared" si="407"/>
        <v>Red</v>
      </c>
      <c r="Y1226" t="str">
        <f t="shared" si="408"/>
        <v>Red</v>
      </c>
      <c r="Z1226" t="str">
        <f t="shared" si="409"/>
        <v>Red</v>
      </c>
      <c r="AA1226" t="str">
        <f t="shared" si="410"/>
        <v>Green</v>
      </c>
      <c r="AB1226" t="str">
        <f t="shared" si="411"/>
        <v>Green</v>
      </c>
      <c r="AC1226" t="str">
        <f t="shared" si="412"/>
        <v>Red</v>
      </c>
      <c r="AD1226" t="str">
        <f t="shared" si="413"/>
        <v>Green</v>
      </c>
    </row>
    <row r="1227" spans="1:30" x14ac:dyDescent="0.2">
      <c r="A1227" t="str">
        <f>L1226&amp;F1227&amp;G1227</f>
        <v>25/07/2026Greuther FurthHoffenheim</v>
      </c>
      <c r="D1227" s="2">
        <v>46228</v>
      </c>
      <c r="E1227" s="3">
        <v>0.5625</v>
      </c>
      <c r="F1227" t="s">
        <v>3840</v>
      </c>
      <c r="G1227" t="s">
        <v>3841</v>
      </c>
      <c r="H1227">
        <v>0</v>
      </c>
      <c r="I1227">
        <v>1</v>
      </c>
      <c r="J1227">
        <v>1</v>
      </c>
      <c r="K1227">
        <v>4</v>
      </c>
      <c r="L1227" s="22" t="str">
        <f t="shared" si="395"/>
        <v>25/07/2026</v>
      </c>
      <c r="M1227" s="23">
        <f t="shared" si="396"/>
        <v>0.4375</v>
      </c>
      <c r="N1227" t="str">
        <f t="shared" si="397"/>
        <v>1 - 4</v>
      </c>
      <c r="O1227" t="str">
        <f t="shared" si="398"/>
        <v>Red</v>
      </c>
      <c r="P1227" t="str">
        <f t="shared" si="399"/>
        <v>Red</v>
      </c>
      <c r="Q1227" t="str">
        <f t="shared" si="400"/>
        <v>Green</v>
      </c>
      <c r="R1227" t="str">
        <f t="shared" si="401"/>
        <v>Red</v>
      </c>
      <c r="S1227" t="str">
        <f t="shared" si="402"/>
        <v>Green</v>
      </c>
      <c r="T1227" t="str">
        <f t="shared" si="403"/>
        <v>Green</v>
      </c>
      <c r="U1227" t="str">
        <f t="shared" si="404"/>
        <v>Red</v>
      </c>
      <c r="V1227" t="str">
        <f t="shared" si="405"/>
        <v>Red</v>
      </c>
      <c r="W1227" t="str">
        <f t="shared" si="406"/>
        <v>Green</v>
      </c>
      <c r="X1227" t="str">
        <f t="shared" si="407"/>
        <v>Green</v>
      </c>
      <c r="Y1227" t="str">
        <f t="shared" si="408"/>
        <v>Green</v>
      </c>
      <c r="Z1227" t="str">
        <f t="shared" si="409"/>
        <v>Green</v>
      </c>
      <c r="AA1227" t="str">
        <f t="shared" si="410"/>
        <v>Red</v>
      </c>
      <c r="AB1227" t="str">
        <f t="shared" si="411"/>
        <v>Red</v>
      </c>
      <c r="AC1227" t="str">
        <f t="shared" si="412"/>
        <v>Green</v>
      </c>
      <c r="AD1227" t="str">
        <f t="shared" si="413"/>
        <v>Red</v>
      </c>
    </row>
    <row r="1228" spans="1:30" x14ac:dyDescent="0.2">
      <c r="A1228" t="str">
        <f>L1227&amp;F1228&amp;G1228</f>
        <v>25/07/2026Haverfordwest CountyLlanelli</v>
      </c>
      <c r="D1228" s="2">
        <v>46228</v>
      </c>
      <c r="E1228" s="3">
        <v>0.5625</v>
      </c>
      <c r="F1228" t="s">
        <v>3842</v>
      </c>
      <c r="G1228" t="s">
        <v>3843</v>
      </c>
      <c r="H1228">
        <v>6</v>
      </c>
      <c r="I1228">
        <v>0</v>
      </c>
      <c r="J1228">
        <v>8</v>
      </c>
      <c r="K1228">
        <v>0</v>
      </c>
      <c r="L1228" s="22" t="str">
        <f t="shared" si="395"/>
        <v>25/07/2026</v>
      </c>
      <c r="M1228" s="23">
        <f t="shared" si="396"/>
        <v>0.4375</v>
      </c>
      <c r="N1228" t="str">
        <f t="shared" si="397"/>
        <v>8 - 0</v>
      </c>
      <c r="O1228" t="str">
        <f t="shared" si="398"/>
        <v>Green</v>
      </c>
      <c r="P1228" t="str">
        <f t="shared" si="399"/>
        <v>Red</v>
      </c>
      <c r="Q1228" t="str">
        <f t="shared" si="400"/>
        <v>Red</v>
      </c>
      <c r="R1228" t="str">
        <f t="shared" si="401"/>
        <v>Green</v>
      </c>
      <c r="S1228" t="str">
        <f t="shared" si="402"/>
        <v>Red</v>
      </c>
      <c r="T1228" t="str">
        <f t="shared" si="403"/>
        <v>Green</v>
      </c>
      <c r="U1228" t="str">
        <f t="shared" si="404"/>
        <v>Green</v>
      </c>
      <c r="V1228" t="str">
        <f t="shared" si="405"/>
        <v>Red</v>
      </c>
      <c r="W1228" t="str">
        <f t="shared" si="406"/>
        <v>Red</v>
      </c>
      <c r="X1228" t="str">
        <f t="shared" si="407"/>
        <v>Green</v>
      </c>
      <c r="Y1228" t="str">
        <f t="shared" si="408"/>
        <v>Green</v>
      </c>
      <c r="Z1228" t="str">
        <f t="shared" si="409"/>
        <v>Green</v>
      </c>
      <c r="AA1228" t="str">
        <f t="shared" si="410"/>
        <v>Red</v>
      </c>
      <c r="AB1228" t="str">
        <f t="shared" si="411"/>
        <v>Red</v>
      </c>
      <c r="AC1228" t="str">
        <f t="shared" si="412"/>
        <v>Red</v>
      </c>
      <c r="AD1228" t="str">
        <f t="shared" si="413"/>
        <v>Green</v>
      </c>
    </row>
    <row r="1229" spans="1:30" x14ac:dyDescent="0.2">
      <c r="A1229" t="str">
        <f>L1228&amp;F1229&amp;G1229</f>
        <v>25/07/2026Wehen WiesbadenBayern Munich</v>
      </c>
      <c r="D1229" s="2">
        <v>46228</v>
      </c>
      <c r="E1229" s="3">
        <v>0.5625</v>
      </c>
      <c r="F1229" t="s">
        <v>3844</v>
      </c>
      <c r="G1229" t="s">
        <v>3845</v>
      </c>
      <c r="H1229">
        <v>1</v>
      </c>
      <c r="I1229">
        <v>0</v>
      </c>
      <c r="J1229">
        <v>2</v>
      </c>
      <c r="K1229">
        <v>1</v>
      </c>
      <c r="L1229" s="22" t="str">
        <f t="shared" si="395"/>
        <v>25/07/2026</v>
      </c>
      <c r="M1229" s="23">
        <f t="shared" si="396"/>
        <v>0.4375</v>
      </c>
      <c r="N1229" t="str">
        <f t="shared" si="397"/>
        <v>2 - 1</v>
      </c>
      <c r="O1229" t="str">
        <f t="shared" si="398"/>
        <v>Green</v>
      </c>
      <c r="P1229" t="str">
        <f t="shared" si="399"/>
        <v>Red</v>
      </c>
      <c r="Q1229" t="str">
        <f t="shared" si="400"/>
        <v>Red</v>
      </c>
      <c r="R1229" t="str">
        <f t="shared" si="401"/>
        <v>Green</v>
      </c>
      <c r="S1229" t="str">
        <f t="shared" si="402"/>
        <v>Red</v>
      </c>
      <c r="T1229" t="str">
        <f t="shared" si="403"/>
        <v>Green</v>
      </c>
      <c r="U1229" t="str">
        <f t="shared" si="404"/>
        <v>Green</v>
      </c>
      <c r="V1229" t="str">
        <f t="shared" si="405"/>
        <v>Red</v>
      </c>
      <c r="W1229" t="str">
        <f t="shared" si="406"/>
        <v>Red</v>
      </c>
      <c r="X1229" t="str">
        <f t="shared" si="407"/>
        <v>Green</v>
      </c>
      <c r="Y1229" t="str">
        <f t="shared" si="408"/>
        <v>Green</v>
      </c>
      <c r="Z1229" t="str">
        <f t="shared" si="409"/>
        <v>Green</v>
      </c>
      <c r="AA1229" t="str">
        <f t="shared" si="410"/>
        <v>Red</v>
      </c>
      <c r="AB1229" t="str">
        <f t="shared" si="411"/>
        <v>Green</v>
      </c>
      <c r="AC1229" t="str">
        <f t="shared" si="412"/>
        <v>Green</v>
      </c>
      <c r="AD1229" t="str">
        <f t="shared" si="413"/>
        <v>Red</v>
      </c>
    </row>
    <row r="1230" spans="1:30" x14ac:dyDescent="0.2">
      <c r="A1230" t="str">
        <f>L1229&amp;F1230&amp;G1230</f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2793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395"/>
        <v>25/07/2026</v>
      </c>
      <c r="M1230" s="23">
        <f t="shared" si="396"/>
        <v>0.45833333333333337</v>
      </c>
      <c r="N1230" t="str">
        <f t="shared" si="397"/>
        <v>0 - 3</v>
      </c>
      <c r="O1230" t="str">
        <f t="shared" si="398"/>
        <v>Red</v>
      </c>
      <c r="P1230" t="str">
        <f t="shared" si="399"/>
        <v>Red</v>
      </c>
      <c r="Q1230" t="str">
        <f t="shared" si="400"/>
        <v>Green</v>
      </c>
      <c r="R1230" t="str">
        <f t="shared" si="401"/>
        <v>Red</v>
      </c>
      <c r="S1230" t="str">
        <f t="shared" si="402"/>
        <v>Green</v>
      </c>
      <c r="T1230" t="str">
        <f t="shared" si="403"/>
        <v>Green</v>
      </c>
      <c r="U1230" t="str">
        <f t="shared" si="404"/>
        <v>Red</v>
      </c>
      <c r="V1230" t="str">
        <f t="shared" si="405"/>
        <v>Green</v>
      </c>
      <c r="W1230" t="str">
        <f t="shared" si="406"/>
        <v>Red</v>
      </c>
      <c r="X1230" t="str">
        <f t="shared" si="407"/>
        <v>Red</v>
      </c>
      <c r="Y1230" t="str">
        <f t="shared" si="408"/>
        <v>Green</v>
      </c>
      <c r="Z1230" t="str">
        <f t="shared" si="409"/>
        <v>Green</v>
      </c>
      <c r="AA1230" t="str">
        <f t="shared" si="410"/>
        <v>Red</v>
      </c>
      <c r="AB1230" t="str">
        <f t="shared" si="411"/>
        <v>Green</v>
      </c>
      <c r="AC1230" t="str">
        <f t="shared" si="412"/>
        <v>Red</v>
      </c>
      <c r="AD1230" t="str">
        <f t="shared" si="413"/>
        <v>Green</v>
      </c>
    </row>
    <row r="1231" spans="1:30" x14ac:dyDescent="0.2">
      <c r="A1231" t="str">
        <f>L1230&amp;F1231&amp;G1231</f>
        <v>25/07/2026SoligorskFC Slutsk</v>
      </c>
      <c r="D1231" s="2">
        <v>46228</v>
      </c>
      <c r="E1231" s="3">
        <v>0.58333333333333337</v>
      </c>
      <c r="F1231" t="s">
        <v>3039</v>
      </c>
      <c r="G1231" t="s">
        <v>3040</v>
      </c>
      <c r="H1231">
        <v>1</v>
      </c>
      <c r="I1231">
        <v>0</v>
      </c>
      <c r="J1231">
        <v>2</v>
      </c>
      <c r="K1231">
        <v>2</v>
      </c>
      <c r="L1231" s="22" t="str">
        <f t="shared" si="395"/>
        <v>25/07/2026</v>
      </c>
      <c r="M1231" s="23">
        <f t="shared" si="396"/>
        <v>0.45833333333333337</v>
      </c>
      <c r="N1231" t="str">
        <f t="shared" si="397"/>
        <v>2 - 2</v>
      </c>
      <c r="O1231" t="str">
        <f t="shared" si="398"/>
        <v>Red</v>
      </c>
      <c r="P1231" t="str">
        <f t="shared" si="399"/>
        <v>Green</v>
      </c>
      <c r="Q1231" t="str">
        <f t="shared" si="400"/>
        <v>Red</v>
      </c>
      <c r="R1231" t="str">
        <f t="shared" si="401"/>
        <v>Green</v>
      </c>
      <c r="S1231" t="str">
        <f t="shared" si="402"/>
        <v>Green</v>
      </c>
      <c r="T1231" t="str">
        <f t="shared" si="403"/>
        <v>Red</v>
      </c>
      <c r="U1231" t="str">
        <f t="shared" si="404"/>
        <v>Green</v>
      </c>
      <c r="V1231" t="str">
        <f t="shared" si="405"/>
        <v>Red</v>
      </c>
      <c r="W1231" t="str">
        <f t="shared" si="406"/>
        <v>Red</v>
      </c>
      <c r="X1231" t="str">
        <f t="shared" si="407"/>
        <v>Green</v>
      </c>
      <c r="Y1231" t="str">
        <f t="shared" si="408"/>
        <v>Green</v>
      </c>
      <c r="Z1231" t="str">
        <f t="shared" si="409"/>
        <v>Green</v>
      </c>
      <c r="AA1231" t="str">
        <f t="shared" si="410"/>
        <v>Red</v>
      </c>
      <c r="AB1231" t="str">
        <f t="shared" si="411"/>
        <v>Red</v>
      </c>
      <c r="AC1231" t="str">
        <f t="shared" si="412"/>
        <v>Green</v>
      </c>
      <c r="AD1231" t="str">
        <f t="shared" si="413"/>
        <v>Red</v>
      </c>
    </row>
    <row r="1232" spans="1:30" x14ac:dyDescent="0.2">
      <c r="A1232" t="str">
        <f>L1231&amp;F1232&amp;G1232</f>
        <v>25/07/2026FredericiaHB Koge</v>
      </c>
      <c r="D1232" s="2">
        <v>46228</v>
      </c>
      <c r="E1232" s="3">
        <v>0.58333333333333337</v>
      </c>
      <c r="F1232" t="s">
        <v>3190</v>
      </c>
      <c r="G1232" t="s">
        <v>3191</v>
      </c>
      <c r="H1232">
        <v>0</v>
      </c>
      <c r="I1232">
        <v>0</v>
      </c>
      <c r="J1232">
        <v>3</v>
      </c>
      <c r="K1232">
        <v>0</v>
      </c>
      <c r="L1232" s="22" t="str">
        <f t="shared" si="395"/>
        <v>25/07/2026</v>
      </c>
      <c r="M1232" s="23">
        <f t="shared" si="396"/>
        <v>0.45833333333333337</v>
      </c>
      <c r="N1232" t="str">
        <f t="shared" si="397"/>
        <v>3 - 0</v>
      </c>
      <c r="O1232" t="str">
        <f t="shared" si="398"/>
        <v>Green</v>
      </c>
      <c r="P1232" t="str">
        <f t="shared" si="399"/>
        <v>Red</v>
      </c>
      <c r="Q1232" t="str">
        <f t="shared" si="400"/>
        <v>Red</v>
      </c>
      <c r="R1232" t="str">
        <f t="shared" si="401"/>
        <v>Green</v>
      </c>
      <c r="S1232" t="str">
        <f t="shared" si="402"/>
        <v>Red</v>
      </c>
      <c r="T1232" t="str">
        <f t="shared" si="403"/>
        <v>Green</v>
      </c>
      <c r="U1232" t="str">
        <f t="shared" si="404"/>
        <v>Red</v>
      </c>
      <c r="V1232" t="str">
        <f t="shared" si="405"/>
        <v>Green</v>
      </c>
      <c r="W1232" t="str">
        <f t="shared" si="406"/>
        <v>Red</v>
      </c>
      <c r="X1232" t="str">
        <f t="shared" si="407"/>
        <v>Red</v>
      </c>
      <c r="Y1232" t="str">
        <f t="shared" si="408"/>
        <v>Green</v>
      </c>
      <c r="Z1232" t="str">
        <f t="shared" si="409"/>
        <v>Green</v>
      </c>
      <c r="AA1232" t="str">
        <f t="shared" si="410"/>
        <v>Red</v>
      </c>
      <c r="AB1232" t="str">
        <f t="shared" si="411"/>
        <v>Green</v>
      </c>
      <c r="AC1232" t="str">
        <f t="shared" si="412"/>
        <v>Red</v>
      </c>
      <c r="AD1232" t="str">
        <f t="shared" si="413"/>
        <v>Green</v>
      </c>
    </row>
    <row r="1233" spans="1:30" x14ac:dyDescent="0.2">
      <c r="A1233" t="str">
        <f>L1232&amp;F1233&amp;G1233</f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3217</v>
      </c>
      <c r="H1233">
        <v>3</v>
      </c>
      <c r="I1233">
        <v>0</v>
      </c>
      <c r="J1233">
        <v>3</v>
      </c>
      <c r="K1233">
        <v>1</v>
      </c>
      <c r="L1233" s="22" t="str">
        <f t="shared" si="395"/>
        <v>25/07/2026</v>
      </c>
      <c r="M1233" s="23">
        <f t="shared" si="396"/>
        <v>0.45833333333333337</v>
      </c>
      <c r="N1233" t="str">
        <f t="shared" si="397"/>
        <v>3 - 1</v>
      </c>
      <c r="O1233" t="str">
        <f t="shared" si="398"/>
        <v>Green</v>
      </c>
      <c r="P1233" t="str">
        <f t="shared" si="399"/>
        <v>Red</v>
      </c>
      <c r="Q1233" t="str">
        <f t="shared" si="400"/>
        <v>Red</v>
      </c>
      <c r="R1233" t="str">
        <f t="shared" si="401"/>
        <v>Green</v>
      </c>
      <c r="S1233" t="str">
        <f t="shared" si="402"/>
        <v>Red</v>
      </c>
      <c r="T1233" t="str">
        <f t="shared" si="403"/>
        <v>Green</v>
      </c>
      <c r="U1233" t="str">
        <f t="shared" si="404"/>
        <v>Green</v>
      </c>
      <c r="V1233" t="str">
        <f t="shared" si="405"/>
        <v>Red</v>
      </c>
      <c r="W1233" t="str">
        <f t="shared" si="406"/>
        <v>Red</v>
      </c>
      <c r="X1233" t="str">
        <f t="shared" si="407"/>
        <v>Green</v>
      </c>
      <c r="Y1233" t="str">
        <f t="shared" si="408"/>
        <v>Green</v>
      </c>
      <c r="Z1233" t="str">
        <f t="shared" si="409"/>
        <v>Green</v>
      </c>
      <c r="AA1233" t="str">
        <f t="shared" si="410"/>
        <v>Red</v>
      </c>
      <c r="AB1233" t="str">
        <f t="shared" si="411"/>
        <v>Red</v>
      </c>
      <c r="AC1233" t="str">
        <f t="shared" si="412"/>
        <v>Green</v>
      </c>
      <c r="AD1233" t="str">
        <f t="shared" si="413"/>
        <v>Red</v>
      </c>
    </row>
    <row r="1234" spans="1:30" x14ac:dyDescent="0.2">
      <c r="A1234" t="str">
        <f>L1233&amp;F1234&amp;G1234</f>
        <v>25/07/2026Jakobstads BKVaasa PS II</v>
      </c>
      <c r="D1234" s="2">
        <v>46228</v>
      </c>
      <c r="E1234" s="3">
        <v>0.58333333333333337</v>
      </c>
      <c r="F1234" t="s">
        <v>3233</v>
      </c>
      <c r="G1234" t="s">
        <v>3234</v>
      </c>
      <c r="H1234">
        <v>1</v>
      </c>
      <c r="I1234">
        <v>0</v>
      </c>
      <c r="J1234">
        <v>2</v>
      </c>
      <c r="K1234">
        <v>0</v>
      </c>
      <c r="L1234" s="22" t="str">
        <f t="shared" si="395"/>
        <v>25/07/2026</v>
      </c>
      <c r="M1234" s="23">
        <f t="shared" si="396"/>
        <v>0.45833333333333337</v>
      </c>
      <c r="N1234" t="str">
        <f t="shared" si="397"/>
        <v>2 - 0</v>
      </c>
      <c r="O1234" t="str">
        <f t="shared" si="398"/>
        <v>Green</v>
      </c>
      <c r="P1234" t="str">
        <f t="shared" si="399"/>
        <v>Red</v>
      </c>
      <c r="Q1234" t="str">
        <f t="shared" si="400"/>
        <v>Red</v>
      </c>
      <c r="R1234" t="str">
        <f t="shared" si="401"/>
        <v>Green</v>
      </c>
      <c r="S1234" t="str">
        <f t="shared" si="402"/>
        <v>Red</v>
      </c>
      <c r="T1234" t="str">
        <f t="shared" si="403"/>
        <v>Green</v>
      </c>
      <c r="U1234" t="str">
        <f t="shared" si="404"/>
        <v>Green</v>
      </c>
      <c r="V1234" t="str">
        <f t="shared" si="405"/>
        <v>Red</v>
      </c>
      <c r="W1234" t="str">
        <f t="shared" si="406"/>
        <v>Red</v>
      </c>
      <c r="X1234" t="str">
        <f t="shared" si="407"/>
        <v>Green</v>
      </c>
      <c r="Y1234" t="str">
        <f t="shared" si="408"/>
        <v>Green</v>
      </c>
      <c r="Z1234" t="str">
        <f t="shared" si="409"/>
        <v>Red</v>
      </c>
      <c r="AA1234" t="str">
        <f t="shared" si="410"/>
        <v>Green</v>
      </c>
      <c r="AB1234" t="str">
        <f t="shared" si="411"/>
        <v>Green</v>
      </c>
      <c r="AC1234" t="str">
        <f t="shared" si="412"/>
        <v>Red</v>
      </c>
      <c r="AD1234" t="str">
        <f t="shared" si="413"/>
        <v>Green</v>
      </c>
    </row>
    <row r="1235" spans="1:30" x14ac:dyDescent="0.2">
      <c r="A1235" t="str">
        <f>L1234&amp;F1235&amp;G1235</f>
        <v>25/07/2026Bayern HofDJK Don Bosco Bamberg</v>
      </c>
      <c r="D1235" s="2">
        <v>46228</v>
      </c>
      <c r="E1235" s="3">
        <v>0.58333333333333337</v>
      </c>
      <c r="F1235" t="s">
        <v>3292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395"/>
        <v>25/07/2026</v>
      </c>
      <c r="M1235" s="23">
        <f t="shared" si="396"/>
        <v>0.45833333333333337</v>
      </c>
      <c r="N1235" t="str">
        <f t="shared" si="397"/>
        <v>2 - 0</v>
      </c>
      <c r="O1235" t="str">
        <f t="shared" si="398"/>
        <v>Green</v>
      </c>
      <c r="P1235" t="str">
        <f t="shared" si="399"/>
        <v>Red</v>
      </c>
      <c r="Q1235" t="str">
        <f t="shared" si="400"/>
        <v>Red</v>
      </c>
      <c r="R1235" t="str">
        <f t="shared" si="401"/>
        <v>Green</v>
      </c>
      <c r="S1235" t="str">
        <f t="shared" si="402"/>
        <v>Red</v>
      </c>
      <c r="T1235" t="str">
        <f t="shared" si="403"/>
        <v>Green</v>
      </c>
      <c r="U1235" t="str">
        <f t="shared" si="404"/>
        <v>Red</v>
      </c>
      <c r="V1235" t="str">
        <f t="shared" si="405"/>
        <v>Green</v>
      </c>
      <c r="W1235" t="str">
        <f t="shared" si="406"/>
        <v>Red</v>
      </c>
      <c r="X1235" t="str">
        <f t="shared" si="407"/>
        <v>Red</v>
      </c>
      <c r="Y1235" t="str">
        <f t="shared" si="408"/>
        <v>Green</v>
      </c>
      <c r="Z1235" t="str">
        <f t="shared" si="409"/>
        <v>Red</v>
      </c>
      <c r="AA1235" t="str">
        <f t="shared" si="410"/>
        <v>Green</v>
      </c>
      <c r="AB1235" t="str">
        <f t="shared" si="411"/>
        <v>Green</v>
      </c>
      <c r="AC1235" t="str">
        <f t="shared" si="412"/>
        <v>Red</v>
      </c>
      <c r="AD1235" t="str">
        <f t="shared" si="413"/>
        <v>Green</v>
      </c>
    </row>
    <row r="1236" spans="1:30" x14ac:dyDescent="0.2">
      <c r="A1236" t="str">
        <f>L1235&amp;F1236&amp;G1236</f>
        <v>25/07/2026Jahn Regensburg IITSV Nordlingen</v>
      </c>
      <c r="D1236" s="2">
        <v>46228</v>
      </c>
      <c r="E1236" s="3">
        <v>0.58333333333333337</v>
      </c>
      <c r="F1236" t="s">
        <v>3293</v>
      </c>
      <c r="G1236" t="s">
        <v>3294</v>
      </c>
      <c r="H1236">
        <v>1</v>
      </c>
      <c r="I1236">
        <v>0</v>
      </c>
      <c r="J1236">
        <v>1</v>
      </c>
      <c r="K1236">
        <v>1</v>
      </c>
      <c r="L1236" s="22" t="str">
        <f t="shared" si="395"/>
        <v>25/07/2026</v>
      </c>
      <c r="M1236" s="23">
        <f t="shared" si="396"/>
        <v>0.45833333333333337</v>
      </c>
      <c r="N1236" t="str">
        <f t="shared" si="397"/>
        <v>1 - 1</v>
      </c>
      <c r="O1236" t="str">
        <f t="shared" si="398"/>
        <v>Red</v>
      </c>
      <c r="P1236" t="str">
        <f t="shared" si="399"/>
        <v>Green</v>
      </c>
      <c r="Q1236" t="str">
        <f t="shared" si="400"/>
        <v>Red</v>
      </c>
      <c r="R1236" t="str">
        <f t="shared" si="401"/>
        <v>Green</v>
      </c>
      <c r="S1236" t="str">
        <f t="shared" si="402"/>
        <v>Green</v>
      </c>
      <c r="T1236" t="str">
        <f t="shared" si="403"/>
        <v>Red</v>
      </c>
      <c r="U1236" t="str">
        <f t="shared" si="404"/>
        <v>Green</v>
      </c>
      <c r="V1236" t="str">
        <f t="shared" si="405"/>
        <v>Red</v>
      </c>
      <c r="W1236" t="str">
        <f t="shared" si="406"/>
        <v>Red</v>
      </c>
      <c r="X1236" t="str">
        <f t="shared" si="407"/>
        <v>Green</v>
      </c>
      <c r="Y1236" t="str">
        <f t="shared" si="408"/>
        <v>Green</v>
      </c>
      <c r="Z1236" t="str">
        <f t="shared" si="409"/>
        <v>Red</v>
      </c>
      <c r="AA1236" t="str">
        <f t="shared" si="410"/>
        <v>Green</v>
      </c>
      <c r="AB1236" t="str">
        <f t="shared" si="411"/>
        <v>Green</v>
      </c>
      <c r="AC1236" t="str">
        <f t="shared" si="412"/>
        <v>Green</v>
      </c>
      <c r="AD1236" t="str">
        <f t="shared" si="413"/>
        <v>Red</v>
      </c>
    </row>
    <row r="1237" spans="1:30" x14ac:dyDescent="0.2">
      <c r="A1237" t="str">
        <f>L1236&amp;F1237&amp;G1237</f>
        <v>25/07/2026Szegedi VSEVasas SC II</v>
      </c>
      <c r="D1237" s="2">
        <v>46228</v>
      </c>
      <c r="E1237" s="3">
        <v>0.58333333333333337</v>
      </c>
      <c r="F1237" t="s">
        <v>3324</v>
      </c>
      <c r="G1237" t="s">
        <v>3325</v>
      </c>
      <c r="H1237">
        <v>0</v>
      </c>
      <c r="I1237">
        <v>1</v>
      </c>
      <c r="J1237">
        <v>1</v>
      </c>
      <c r="K1237">
        <v>1</v>
      </c>
      <c r="L1237" s="22" t="str">
        <f t="shared" si="395"/>
        <v>25/07/2026</v>
      </c>
      <c r="M1237" s="23">
        <f t="shared" si="396"/>
        <v>0.45833333333333337</v>
      </c>
      <c r="N1237" t="str">
        <f t="shared" si="397"/>
        <v>1 - 1</v>
      </c>
      <c r="O1237" t="str">
        <f t="shared" si="398"/>
        <v>Red</v>
      </c>
      <c r="P1237" t="str">
        <f t="shared" si="399"/>
        <v>Green</v>
      </c>
      <c r="Q1237" t="str">
        <f t="shared" si="400"/>
        <v>Red</v>
      </c>
      <c r="R1237" t="str">
        <f t="shared" si="401"/>
        <v>Green</v>
      </c>
      <c r="S1237" t="str">
        <f t="shared" si="402"/>
        <v>Green</v>
      </c>
      <c r="T1237" t="str">
        <f t="shared" si="403"/>
        <v>Red</v>
      </c>
      <c r="U1237" t="str">
        <f t="shared" si="404"/>
        <v>Red</v>
      </c>
      <c r="V1237" t="str">
        <f t="shared" si="405"/>
        <v>Red</v>
      </c>
      <c r="W1237" t="str">
        <f t="shared" si="406"/>
        <v>Green</v>
      </c>
      <c r="X1237" t="str">
        <f t="shared" si="407"/>
        <v>Green</v>
      </c>
      <c r="Y1237" t="str">
        <f t="shared" si="408"/>
        <v>Green</v>
      </c>
      <c r="Z1237" t="str">
        <f t="shared" si="409"/>
        <v>Red</v>
      </c>
      <c r="AA1237" t="str">
        <f t="shared" si="410"/>
        <v>Green</v>
      </c>
      <c r="AB1237" t="str">
        <f t="shared" si="411"/>
        <v>Green</v>
      </c>
      <c r="AC1237" t="str">
        <f t="shared" si="412"/>
        <v>Green</v>
      </c>
      <c r="AD1237" t="str">
        <f t="shared" si="413"/>
        <v>Red</v>
      </c>
    </row>
    <row r="1238" spans="1:30" x14ac:dyDescent="0.2">
      <c r="A1238" t="str">
        <f>L1237&amp;F1238&amp;G1238</f>
        <v>25/07/2026Zalaegerszegi TE IIVeszprem FC</v>
      </c>
      <c r="D1238" s="2">
        <v>46228</v>
      </c>
      <c r="E1238" s="3">
        <v>0.58333333333333337</v>
      </c>
      <c r="F1238" t="s">
        <v>3326</v>
      </c>
      <c r="G1238" t="s">
        <v>3327</v>
      </c>
      <c r="H1238">
        <v>0</v>
      </c>
      <c r="I1238">
        <v>1</v>
      </c>
      <c r="J1238">
        <v>1</v>
      </c>
      <c r="K1238">
        <v>3</v>
      </c>
      <c r="L1238" s="22" t="str">
        <f t="shared" si="395"/>
        <v>25/07/2026</v>
      </c>
      <c r="M1238" s="23">
        <f t="shared" si="396"/>
        <v>0.45833333333333337</v>
      </c>
      <c r="N1238" t="str">
        <f t="shared" si="397"/>
        <v>1 - 3</v>
      </c>
      <c r="O1238" t="str">
        <f t="shared" si="398"/>
        <v>Red</v>
      </c>
      <c r="P1238" t="str">
        <f t="shared" si="399"/>
        <v>Red</v>
      </c>
      <c r="Q1238" t="str">
        <f t="shared" si="400"/>
        <v>Green</v>
      </c>
      <c r="R1238" t="str">
        <f t="shared" si="401"/>
        <v>Red</v>
      </c>
      <c r="S1238" t="str">
        <f t="shared" si="402"/>
        <v>Green</v>
      </c>
      <c r="T1238" t="str">
        <f t="shared" si="403"/>
        <v>Green</v>
      </c>
      <c r="U1238" t="str">
        <f t="shared" si="404"/>
        <v>Red</v>
      </c>
      <c r="V1238" t="str">
        <f t="shared" si="405"/>
        <v>Red</v>
      </c>
      <c r="W1238" t="str">
        <f t="shared" si="406"/>
        <v>Green</v>
      </c>
      <c r="X1238" t="str">
        <f t="shared" si="407"/>
        <v>Green</v>
      </c>
      <c r="Y1238" t="str">
        <f t="shared" si="408"/>
        <v>Green</v>
      </c>
      <c r="Z1238" t="str">
        <f t="shared" si="409"/>
        <v>Green</v>
      </c>
      <c r="AA1238" t="str">
        <f t="shared" si="410"/>
        <v>Red</v>
      </c>
      <c r="AB1238" t="str">
        <f t="shared" si="411"/>
        <v>Red</v>
      </c>
      <c r="AC1238" t="str">
        <f t="shared" si="412"/>
        <v>Green</v>
      </c>
      <c r="AD1238" t="str">
        <f t="shared" si="413"/>
        <v>Red</v>
      </c>
    </row>
    <row r="1239" spans="1:30" x14ac:dyDescent="0.2">
      <c r="A1239" t="str">
        <f>L1238&amp;F1239&amp;G1239</f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395"/>
        <v>25/07/2026</v>
      </c>
      <c r="M1239" s="23">
        <f t="shared" si="396"/>
        <v>0.45833333333333337</v>
      </c>
      <c r="N1239" t="str">
        <f t="shared" si="397"/>
        <v xml:space="preserve"> - </v>
      </c>
      <c r="O1239" t="str">
        <f t="shared" si="398"/>
        <v>Red</v>
      </c>
      <c r="P1239" t="str">
        <f t="shared" si="399"/>
        <v>Green</v>
      </c>
      <c r="Q1239" t="str">
        <f t="shared" si="400"/>
        <v>Red</v>
      </c>
      <c r="R1239" t="str">
        <f t="shared" si="401"/>
        <v>Green</v>
      </c>
      <c r="S1239" t="str">
        <f t="shared" si="402"/>
        <v>Green</v>
      </c>
      <c r="T1239" t="str">
        <f t="shared" si="403"/>
        <v>Red</v>
      </c>
      <c r="U1239" t="str">
        <f t="shared" si="404"/>
        <v>Red</v>
      </c>
      <c r="V1239" t="str">
        <f t="shared" si="405"/>
        <v>Green</v>
      </c>
      <c r="W1239" t="str">
        <f t="shared" si="406"/>
        <v>Red</v>
      </c>
      <c r="X1239" t="str">
        <f t="shared" si="407"/>
        <v>Red</v>
      </c>
      <c r="Y1239" t="str">
        <f t="shared" si="408"/>
        <v>Red</v>
      </c>
      <c r="Z1239" t="str">
        <f t="shared" si="409"/>
        <v>Red</v>
      </c>
      <c r="AA1239" t="str">
        <f t="shared" si="410"/>
        <v>Green</v>
      </c>
      <c r="AB1239" t="str">
        <f t="shared" si="411"/>
        <v>Green</v>
      </c>
      <c r="AC1239" t="str">
        <f t="shared" si="412"/>
        <v>Red</v>
      </c>
      <c r="AD1239" t="str">
        <f t="shared" si="413"/>
        <v>Green</v>
      </c>
    </row>
    <row r="1240" spans="1:30" x14ac:dyDescent="0.2">
      <c r="A1240" t="str">
        <f>L1239&amp;F1240&amp;G1240</f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395"/>
        <v>25/07/2026</v>
      </c>
      <c r="M1240" s="23">
        <f t="shared" si="396"/>
        <v>0.45833333333333337</v>
      </c>
      <c r="N1240" t="str">
        <f t="shared" si="397"/>
        <v>2 - 0</v>
      </c>
      <c r="O1240" t="str">
        <f t="shared" si="398"/>
        <v>Green</v>
      </c>
      <c r="P1240" t="str">
        <f t="shared" si="399"/>
        <v>Red</v>
      </c>
      <c r="Q1240" t="str">
        <f t="shared" si="400"/>
        <v>Red</v>
      </c>
      <c r="R1240" t="str">
        <f t="shared" si="401"/>
        <v>Green</v>
      </c>
      <c r="S1240" t="str">
        <f t="shared" si="402"/>
        <v>Red</v>
      </c>
      <c r="T1240" t="str">
        <f t="shared" si="403"/>
        <v>Green</v>
      </c>
      <c r="U1240" t="str">
        <f t="shared" si="404"/>
        <v>Green</v>
      </c>
      <c r="V1240" t="str">
        <f t="shared" si="405"/>
        <v>Red</v>
      </c>
      <c r="W1240" t="str">
        <f t="shared" si="406"/>
        <v>Red</v>
      </c>
      <c r="X1240" t="str">
        <f t="shared" si="407"/>
        <v>Green</v>
      </c>
      <c r="Y1240" t="str">
        <f t="shared" si="408"/>
        <v>Green</v>
      </c>
      <c r="Z1240" t="str">
        <f t="shared" si="409"/>
        <v>Red</v>
      </c>
      <c r="AA1240" t="str">
        <f t="shared" si="410"/>
        <v>Green</v>
      </c>
      <c r="AB1240" t="str">
        <f t="shared" si="411"/>
        <v>Green</v>
      </c>
      <c r="AC1240" t="str">
        <f t="shared" si="412"/>
        <v>Red</v>
      </c>
      <c r="AD1240" t="str">
        <f t="shared" si="413"/>
        <v>Green</v>
      </c>
    </row>
    <row r="1241" spans="1:30" x14ac:dyDescent="0.2">
      <c r="A1241" t="str">
        <f>L1240&amp;F1241&amp;G1241</f>
        <v>25/07/2026Huginn/Hottur/LeiknirKV Vesturbaer</v>
      </c>
      <c r="D1241" s="2">
        <v>46228</v>
      </c>
      <c r="E1241" s="3">
        <v>0.58333333333333337</v>
      </c>
      <c r="F1241" t="s">
        <v>3358</v>
      </c>
      <c r="G1241" t="s">
        <v>3359</v>
      </c>
      <c r="H1241">
        <v>1</v>
      </c>
      <c r="I1241">
        <v>0</v>
      </c>
      <c r="J1241">
        <v>1</v>
      </c>
      <c r="K1241">
        <v>1</v>
      </c>
      <c r="L1241" s="22" t="str">
        <f t="shared" si="395"/>
        <v>25/07/2026</v>
      </c>
      <c r="M1241" s="23">
        <f t="shared" si="396"/>
        <v>0.45833333333333337</v>
      </c>
      <c r="N1241" t="str">
        <f t="shared" si="397"/>
        <v>1 - 1</v>
      </c>
      <c r="O1241" t="str">
        <f t="shared" si="398"/>
        <v>Red</v>
      </c>
      <c r="P1241" t="str">
        <f t="shared" si="399"/>
        <v>Green</v>
      </c>
      <c r="Q1241" t="str">
        <f t="shared" si="400"/>
        <v>Red</v>
      </c>
      <c r="R1241" t="str">
        <f t="shared" si="401"/>
        <v>Green</v>
      </c>
      <c r="S1241" t="str">
        <f t="shared" si="402"/>
        <v>Green</v>
      </c>
      <c r="T1241" t="str">
        <f t="shared" si="403"/>
        <v>Red</v>
      </c>
      <c r="U1241" t="str">
        <f t="shared" si="404"/>
        <v>Green</v>
      </c>
      <c r="V1241" t="str">
        <f t="shared" si="405"/>
        <v>Red</v>
      </c>
      <c r="W1241" t="str">
        <f t="shared" si="406"/>
        <v>Red</v>
      </c>
      <c r="X1241" t="str">
        <f t="shared" si="407"/>
        <v>Green</v>
      </c>
      <c r="Y1241" t="str">
        <f t="shared" si="408"/>
        <v>Green</v>
      </c>
      <c r="Z1241" t="str">
        <f t="shared" si="409"/>
        <v>Red</v>
      </c>
      <c r="AA1241" t="str">
        <f t="shared" si="410"/>
        <v>Green</v>
      </c>
      <c r="AB1241" t="str">
        <f t="shared" si="411"/>
        <v>Green</v>
      </c>
      <c r="AC1241" t="str">
        <f t="shared" si="412"/>
        <v>Green</v>
      </c>
      <c r="AD1241" t="str">
        <f t="shared" si="413"/>
        <v>Red</v>
      </c>
    </row>
    <row r="1242" spans="1:30" x14ac:dyDescent="0.2">
      <c r="A1242" t="str">
        <f>L1241&amp;F1242&amp;G1242</f>
        <v>25/07/2026Vidir GardurSindri</v>
      </c>
      <c r="D1242" s="2">
        <v>46228</v>
      </c>
      <c r="E1242" s="3">
        <v>0.58333333333333337</v>
      </c>
      <c r="F1242" t="s">
        <v>3360</v>
      </c>
      <c r="G1242" t="s">
        <v>3361</v>
      </c>
      <c r="H1242">
        <v>0</v>
      </c>
      <c r="I1242">
        <v>1</v>
      </c>
      <c r="J1242">
        <v>0</v>
      </c>
      <c r="K1242">
        <v>1</v>
      </c>
      <c r="L1242" s="22" t="str">
        <f t="shared" si="395"/>
        <v>25/07/2026</v>
      </c>
      <c r="M1242" s="23">
        <f t="shared" si="396"/>
        <v>0.45833333333333337</v>
      </c>
      <c r="N1242" t="str">
        <f t="shared" si="397"/>
        <v>0 - 1</v>
      </c>
      <c r="O1242" t="str">
        <f t="shared" si="398"/>
        <v>Red</v>
      </c>
      <c r="P1242" t="str">
        <f t="shared" si="399"/>
        <v>Red</v>
      </c>
      <c r="Q1242" t="str">
        <f t="shared" si="400"/>
        <v>Green</v>
      </c>
      <c r="R1242" t="str">
        <f t="shared" si="401"/>
        <v>Red</v>
      </c>
      <c r="S1242" t="str">
        <f t="shared" si="402"/>
        <v>Green</v>
      </c>
      <c r="T1242" t="str">
        <f t="shared" si="403"/>
        <v>Green</v>
      </c>
      <c r="U1242" t="str">
        <f t="shared" si="404"/>
        <v>Red</v>
      </c>
      <c r="V1242" t="str">
        <f t="shared" si="405"/>
        <v>Red</v>
      </c>
      <c r="W1242" t="str">
        <f t="shared" si="406"/>
        <v>Green</v>
      </c>
      <c r="X1242" t="str">
        <f t="shared" si="407"/>
        <v>Green</v>
      </c>
      <c r="Y1242" t="str">
        <f t="shared" si="408"/>
        <v>Red</v>
      </c>
      <c r="Z1242" t="str">
        <f t="shared" si="409"/>
        <v>Red</v>
      </c>
      <c r="AA1242" t="str">
        <f t="shared" si="410"/>
        <v>Green</v>
      </c>
      <c r="AB1242" t="str">
        <f t="shared" si="411"/>
        <v>Green</v>
      </c>
      <c r="AC1242" t="str">
        <f t="shared" si="412"/>
        <v>Red</v>
      </c>
      <c r="AD1242" t="str">
        <f t="shared" si="413"/>
        <v>Green</v>
      </c>
    </row>
    <row r="1243" spans="1:30" x14ac:dyDescent="0.2">
      <c r="A1243" t="str">
        <f>L1242&amp;F1243&amp;G1243</f>
        <v>25/07/2026Bohemian WomenSligo Rovers Women</v>
      </c>
      <c r="D1243" s="2">
        <v>46228</v>
      </c>
      <c r="E1243" s="3">
        <v>0.58333333333333337</v>
      </c>
      <c r="F1243" t="s">
        <v>3373</v>
      </c>
      <c r="G1243" t="s">
        <v>3374</v>
      </c>
      <c r="H1243">
        <v>0</v>
      </c>
      <c r="I1243">
        <v>3</v>
      </c>
      <c r="J1243">
        <v>2</v>
      </c>
      <c r="K1243">
        <v>3</v>
      </c>
      <c r="L1243" s="22" t="str">
        <f t="shared" si="395"/>
        <v>25/07/2026</v>
      </c>
      <c r="M1243" s="23">
        <f t="shared" si="396"/>
        <v>0.45833333333333337</v>
      </c>
      <c r="N1243" t="str">
        <f t="shared" si="397"/>
        <v>2 - 3</v>
      </c>
      <c r="O1243" t="str">
        <f t="shared" si="398"/>
        <v>Red</v>
      </c>
      <c r="P1243" t="str">
        <f t="shared" si="399"/>
        <v>Red</v>
      </c>
      <c r="Q1243" t="str">
        <f t="shared" si="400"/>
        <v>Green</v>
      </c>
      <c r="R1243" t="str">
        <f t="shared" si="401"/>
        <v>Red</v>
      </c>
      <c r="S1243" t="str">
        <f t="shared" si="402"/>
        <v>Green</v>
      </c>
      <c r="T1243" t="str">
        <f t="shared" si="403"/>
        <v>Green</v>
      </c>
      <c r="U1243" t="str">
        <f t="shared" si="404"/>
        <v>Red</v>
      </c>
      <c r="V1243" t="str">
        <f t="shared" si="405"/>
        <v>Red</v>
      </c>
      <c r="W1243" t="str">
        <f t="shared" si="406"/>
        <v>Green</v>
      </c>
      <c r="X1243" t="str">
        <f t="shared" si="407"/>
        <v>Green</v>
      </c>
      <c r="Y1243" t="str">
        <f t="shared" si="408"/>
        <v>Green</v>
      </c>
      <c r="Z1243" t="str">
        <f t="shared" si="409"/>
        <v>Green</v>
      </c>
      <c r="AA1243" t="str">
        <f t="shared" si="410"/>
        <v>Red</v>
      </c>
      <c r="AB1243" t="str">
        <f t="shared" si="411"/>
        <v>Red</v>
      </c>
      <c r="AC1243" t="str">
        <f t="shared" si="412"/>
        <v>Green</v>
      </c>
      <c r="AD1243" t="str">
        <f t="shared" si="413"/>
        <v>Red</v>
      </c>
    </row>
    <row r="1244" spans="1:30" x14ac:dyDescent="0.2">
      <c r="A1244" t="str">
        <f>L1243&amp;F1244&amp;G1244</f>
        <v>25/07/2026Shamrock Rovers WomenWaterford Women</v>
      </c>
      <c r="D1244" s="2">
        <v>46228</v>
      </c>
      <c r="E1244" s="3">
        <v>0.58333333333333337</v>
      </c>
      <c r="F1244" t="s">
        <v>3375</v>
      </c>
      <c r="G1244" t="s">
        <v>3376</v>
      </c>
      <c r="H1244">
        <v>0</v>
      </c>
      <c r="I1244">
        <v>0</v>
      </c>
      <c r="J1244">
        <v>1</v>
      </c>
      <c r="K1244">
        <v>1</v>
      </c>
      <c r="L1244" s="22" t="str">
        <f t="shared" si="395"/>
        <v>25/07/2026</v>
      </c>
      <c r="M1244" s="23">
        <f t="shared" si="396"/>
        <v>0.45833333333333337</v>
      </c>
      <c r="N1244" t="str">
        <f t="shared" si="397"/>
        <v>1 - 1</v>
      </c>
      <c r="O1244" t="str">
        <f t="shared" si="398"/>
        <v>Red</v>
      </c>
      <c r="P1244" t="str">
        <f t="shared" si="399"/>
        <v>Green</v>
      </c>
      <c r="Q1244" t="str">
        <f t="shared" si="400"/>
        <v>Red</v>
      </c>
      <c r="R1244" t="str">
        <f t="shared" si="401"/>
        <v>Green</v>
      </c>
      <c r="S1244" t="str">
        <f t="shared" si="402"/>
        <v>Green</v>
      </c>
      <c r="T1244" t="str">
        <f t="shared" si="403"/>
        <v>Red</v>
      </c>
      <c r="U1244" t="str">
        <f t="shared" si="404"/>
        <v>Red</v>
      </c>
      <c r="V1244" t="str">
        <f t="shared" si="405"/>
        <v>Green</v>
      </c>
      <c r="W1244" t="str">
        <f t="shared" si="406"/>
        <v>Red</v>
      </c>
      <c r="X1244" t="str">
        <f t="shared" si="407"/>
        <v>Red</v>
      </c>
      <c r="Y1244" t="str">
        <f t="shared" si="408"/>
        <v>Green</v>
      </c>
      <c r="Z1244" t="str">
        <f t="shared" si="409"/>
        <v>Red</v>
      </c>
      <c r="AA1244" t="str">
        <f t="shared" si="410"/>
        <v>Green</v>
      </c>
      <c r="AB1244" t="str">
        <f t="shared" si="411"/>
        <v>Green</v>
      </c>
      <c r="AC1244" t="str">
        <f t="shared" si="412"/>
        <v>Green</v>
      </c>
      <c r="AD1244" t="str">
        <f t="shared" si="413"/>
        <v>Red</v>
      </c>
    </row>
    <row r="1245" spans="1:30" x14ac:dyDescent="0.2">
      <c r="A1245" t="str">
        <f>L1244&amp;F1245&amp;G1245</f>
        <v>25/07/2026Treaty United WomenShelbourne Women</v>
      </c>
      <c r="D1245" s="2">
        <v>46228</v>
      </c>
      <c r="E1245" s="3">
        <v>0.58333333333333337</v>
      </c>
      <c r="F1245" t="s">
        <v>3377</v>
      </c>
      <c r="G1245" t="s">
        <v>3378</v>
      </c>
      <c r="H1245">
        <v>1</v>
      </c>
      <c r="I1245">
        <v>1</v>
      </c>
      <c r="J1245">
        <v>1</v>
      </c>
      <c r="K1245">
        <v>1</v>
      </c>
      <c r="L1245" s="22" t="str">
        <f t="shared" si="395"/>
        <v>25/07/2026</v>
      </c>
      <c r="M1245" s="23">
        <f t="shared" si="396"/>
        <v>0.45833333333333337</v>
      </c>
      <c r="N1245" t="str">
        <f t="shared" si="397"/>
        <v>1 - 1</v>
      </c>
      <c r="O1245" t="str">
        <f t="shared" si="398"/>
        <v>Red</v>
      </c>
      <c r="P1245" t="str">
        <f t="shared" si="399"/>
        <v>Green</v>
      </c>
      <c r="Q1245" t="str">
        <f t="shared" si="400"/>
        <v>Red</v>
      </c>
      <c r="R1245" t="str">
        <f t="shared" si="401"/>
        <v>Green</v>
      </c>
      <c r="S1245" t="str">
        <f t="shared" si="402"/>
        <v>Green</v>
      </c>
      <c r="T1245" t="str">
        <f t="shared" si="403"/>
        <v>Red</v>
      </c>
      <c r="U1245" t="str">
        <f t="shared" si="404"/>
        <v>Red</v>
      </c>
      <c r="V1245" t="str">
        <f t="shared" si="405"/>
        <v>Green</v>
      </c>
      <c r="W1245" t="str">
        <f t="shared" si="406"/>
        <v>Red</v>
      </c>
      <c r="X1245" t="str">
        <f t="shared" si="407"/>
        <v>Green</v>
      </c>
      <c r="Y1245" t="str">
        <f t="shared" si="408"/>
        <v>Green</v>
      </c>
      <c r="Z1245" t="str">
        <f t="shared" si="409"/>
        <v>Red</v>
      </c>
      <c r="AA1245" t="str">
        <f t="shared" si="410"/>
        <v>Green</v>
      </c>
      <c r="AB1245" t="str">
        <f t="shared" si="411"/>
        <v>Green</v>
      </c>
      <c r="AC1245" t="str">
        <f t="shared" si="412"/>
        <v>Green</v>
      </c>
      <c r="AD1245" t="str">
        <f t="shared" si="413"/>
        <v>Red</v>
      </c>
    </row>
    <row r="1246" spans="1:30" x14ac:dyDescent="0.2">
      <c r="A1246" t="str">
        <f>L1245&amp;F1246&amp;G1246</f>
        <v>25/07/2026Beitar Riga MarinersVentspils</v>
      </c>
      <c r="D1246" s="2">
        <v>46228</v>
      </c>
      <c r="E1246" s="3">
        <v>0.58333333333333337</v>
      </c>
      <c r="F1246" t="s">
        <v>3395</v>
      </c>
      <c r="G1246" t="s">
        <v>3396</v>
      </c>
      <c r="H1246">
        <v>0</v>
      </c>
      <c r="I1246">
        <v>1</v>
      </c>
      <c r="J1246">
        <v>1</v>
      </c>
      <c r="K1246">
        <v>1</v>
      </c>
      <c r="L1246" s="22" t="str">
        <f t="shared" si="395"/>
        <v>25/07/2026</v>
      </c>
      <c r="M1246" s="23">
        <f t="shared" si="396"/>
        <v>0.45833333333333337</v>
      </c>
      <c r="N1246" t="str">
        <f t="shared" si="397"/>
        <v>1 - 1</v>
      </c>
      <c r="O1246" t="str">
        <f t="shared" si="398"/>
        <v>Red</v>
      </c>
      <c r="P1246" t="str">
        <f t="shared" si="399"/>
        <v>Green</v>
      </c>
      <c r="Q1246" t="str">
        <f t="shared" si="400"/>
        <v>Red</v>
      </c>
      <c r="R1246" t="str">
        <f t="shared" si="401"/>
        <v>Green</v>
      </c>
      <c r="S1246" t="str">
        <f t="shared" si="402"/>
        <v>Green</v>
      </c>
      <c r="T1246" t="str">
        <f t="shared" si="403"/>
        <v>Red</v>
      </c>
      <c r="U1246" t="str">
        <f t="shared" si="404"/>
        <v>Red</v>
      </c>
      <c r="V1246" t="str">
        <f t="shared" si="405"/>
        <v>Red</v>
      </c>
      <c r="W1246" t="str">
        <f t="shared" si="406"/>
        <v>Green</v>
      </c>
      <c r="X1246" t="str">
        <f t="shared" si="407"/>
        <v>Green</v>
      </c>
      <c r="Y1246" t="str">
        <f t="shared" si="408"/>
        <v>Green</v>
      </c>
      <c r="Z1246" t="str">
        <f t="shared" si="409"/>
        <v>Red</v>
      </c>
      <c r="AA1246" t="str">
        <f t="shared" si="410"/>
        <v>Green</v>
      </c>
      <c r="AB1246" t="str">
        <f t="shared" si="411"/>
        <v>Green</v>
      </c>
      <c r="AC1246" t="str">
        <f t="shared" si="412"/>
        <v>Green</v>
      </c>
      <c r="AD1246" t="str">
        <f t="shared" si="413"/>
        <v>Red</v>
      </c>
    </row>
    <row r="1247" spans="1:30" x14ac:dyDescent="0.2">
      <c r="A1247" t="str">
        <f>L1246&amp;F1247&amp;G1247</f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3401</v>
      </c>
      <c r="H1247">
        <v>1</v>
      </c>
      <c r="I1247">
        <v>1</v>
      </c>
      <c r="J1247">
        <v>2</v>
      </c>
      <c r="K1247">
        <v>1</v>
      </c>
      <c r="L1247" s="22" t="str">
        <f t="shared" si="395"/>
        <v>25/07/2026</v>
      </c>
      <c r="M1247" s="23">
        <f t="shared" si="396"/>
        <v>0.45833333333333337</v>
      </c>
      <c r="N1247" t="str">
        <f t="shared" si="397"/>
        <v>2 - 1</v>
      </c>
      <c r="O1247" t="str">
        <f t="shared" si="398"/>
        <v>Green</v>
      </c>
      <c r="P1247" t="str">
        <f t="shared" si="399"/>
        <v>Red</v>
      </c>
      <c r="Q1247" t="str">
        <f t="shared" si="400"/>
        <v>Red</v>
      </c>
      <c r="R1247" t="str">
        <f t="shared" si="401"/>
        <v>Green</v>
      </c>
      <c r="S1247" t="str">
        <f t="shared" si="402"/>
        <v>Red</v>
      </c>
      <c r="T1247" t="str">
        <f t="shared" si="403"/>
        <v>Green</v>
      </c>
      <c r="U1247" t="str">
        <f t="shared" si="404"/>
        <v>Red</v>
      </c>
      <c r="V1247" t="str">
        <f t="shared" si="405"/>
        <v>Green</v>
      </c>
      <c r="W1247" t="str">
        <f t="shared" si="406"/>
        <v>Red</v>
      </c>
      <c r="X1247" t="str">
        <f t="shared" si="407"/>
        <v>Green</v>
      </c>
      <c r="Y1247" t="str">
        <f t="shared" si="408"/>
        <v>Green</v>
      </c>
      <c r="Z1247" t="str">
        <f t="shared" si="409"/>
        <v>Green</v>
      </c>
      <c r="AA1247" t="str">
        <f t="shared" si="410"/>
        <v>Red</v>
      </c>
      <c r="AB1247" t="str">
        <f t="shared" si="411"/>
        <v>Green</v>
      </c>
      <c r="AC1247" t="str">
        <f t="shared" si="412"/>
        <v>Green</v>
      </c>
      <c r="AD1247" t="str">
        <f t="shared" si="413"/>
        <v>Red</v>
      </c>
    </row>
    <row r="1248" spans="1:30" x14ac:dyDescent="0.2">
      <c r="A1248" t="str">
        <f>L1247&amp;F1248&amp;G1248</f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395"/>
        <v>25/07/2026</v>
      </c>
      <c r="M1248" s="23">
        <f t="shared" si="396"/>
        <v>0.45833333333333337</v>
      </c>
      <c r="N1248" t="str">
        <f t="shared" si="397"/>
        <v>1 - 2</v>
      </c>
      <c r="O1248" t="str">
        <f t="shared" si="398"/>
        <v>Red</v>
      </c>
      <c r="P1248" t="str">
        <f t="shared" si="399"/>
        <v>Red</v>
      </c>
      <c r="Q1248" t="str">
        <f t="shared" si="400"/>
        <v>Green</v>
      </c>
      <c r="R1248" t="str">
        <f t="shared" si="401"/>
        <v>Red</v>
      </c>
      <c r="S1248" t="str">
        <f t="shared" si="402"/>
        <v>Green</v>
      </c>
      <c r="T1248" t="str">
        <f t="shared" si="403"/>
        <v>Green</v>
      </c>
      <c r="U1248" t="str">
        <f t="shared" si="404"/>
        <v>Red</v>
      </c>
      <c r="V1248" t="str">
        <f t="shared" si="405"/>
        <v>Green</v>
      </c>
      <c r="W1248" t="str">
        <f t="shared" si="406"/>
        <v>Red</v>
      </c>
      <c r="X1248" t="str">
        <f t="shared" si="407"/>
        <v>Green</v>
      </c>
      <c r="Y1248" t="str">
        <f t="shared" si="408"/>
        <v>Green</v>
      </c>
      <c r="Z1248" t="str">
        <f t="shared" si="409"/>
        <v>Green</v>
      </c>
      <c r="AA1248" t="str">
        <f t="shared" si="410"/>
        <v>Red</v>
      </c>
      <c r="AB1248" t="str">
        <f t="shared" si="411"/>
        <v>Green</v>
      </c>
      <c r="AC1248" t="str">
        <f t="shared" si="412"/>
        <v>Green</v>
      </c>
      <c r="AD1248" t="str">
        <f t="shared" si="413"/>
        <v>Red</v>
      </c>
    </row>
    <row r="1249" spans="1:30" x14ac:dyDescent="0.2">
      <c r="A1249" t="str">
        <f>L1248&amp;F1249&amp;G1249</f>
        <v>25/07/2026Stabaek IIViking II</v>
      </c>
      <c r="D1249" s="2">
        <v>46228</v>
      </c>
      <c r="E1249" s="3">
        <v>0.58333333333333337</v>
      </c>
      <c r="F1249" t="s">
        <v>3498</v>
      </c>
      <c r="G1249" t="s">
        <v>3499</v>
      </c>
      <c r="H1249">
        <v>0</v>
      </c>
      <c r="I1249">
        <v>0</v>
      </c>
      <c r="J1249">
        <v>1</v>
      </c>
      <c r="K1249">
        <v>1</v>
      </c>
      <c r="L1249" s="22" t="str">
        <f t="shared" si="395"/>
        <v>25/07/2026</v>
      </c>
      <c r="M1249" s="23">
        <f t="shared" si="396"/>
        <v>0.45833333333333337</v>
      </c>
      <c r="N1249" t="str">
        <f t="shared" si="397"/>
        <v>1 - 1</v>
      </c>
      <c r="O1249" t="str">
        <f t="shared" si="398"/>
        <v>Red</v>
      </c>
      <c r="P1249" t="str">
        <f t="shared" si="399"/>
        <v>Green</v>
      </c>
      <c r="Q1249" t="str">
        <f t="shared" si="400"/>
        <v>Red</v>
      </c>
      <c r="R1249" t="str">
        <f t="shared" si="401"/>
        <v>Green</v>
      </c>
      <c r="S1249" t="str">
        <f t="shared" si="402"/>
        <v>Green</v>
      </c>
      <c r="T1249" t="str">
        <f t="shared" si="403"/>
        <v>Red</v>
      </c>
      <c r="U1249" t="str">
        <f t="shared" si="404"/>
        <v>Red</v>
      </c>
      <c r="V1249" t="str">
        <f t="shared" si="405"/>
        <v>Green</v>
      </c>
      <c r="W1249" t="str">
        <f t="shared" si="406"/>
        <v>Red</v>
      </c>
      <c r="X1249" t="str">
        <f t="shared" si="407"/>
        <v>Red</v>
      </c>
      <c r="Y1249" t="str">
        <f t="shared" si="408"/>
        <v>Green</v>
      </c>
      <c r="Z1249" t="str">
        <f t="shared" si="409"/>
        <v>Red</v>
      </c>
      <c r="AA1249" t="str">
        <f t="shared" si="410"/>
        <v>Green</v>
      </c>
      <c r="AB1249" t="str">
        <f t="shared" si="411"/>
        <v>Green</v>
      </c>
      <c r="AC1249" t="str">
        <f t="shared" si="412"/>
        <v>Green</v>
      </c>
      <c r="AD1249" t="str">
        <f t="shared" si="413"/>
        <v>Red</v>
      </c>
    </row>
    <row r="1250" spans="1:30" x14ac:dyDescent="0.2">
      <c r="A1250" t="str">
        <f>L1249&amp;F1250&amp;G1250</f>
        <v>25/07/2026ChelyabinskPari Nizhny Novgorod</v>
      </c>
      <c r="D1250" s="2">
        <v>46228</v>
      </c>
      <c r="E1250" s="3">
        <v>0.58333333333333337</v>
      </c>
      <c r="F1250" t="s">
        <v>3563</v>
      </c>
      <c r="G1250" t="s">
        <v>3564</v>
      </c>
      <c r="H1250">
        <v>1</v>
      </c>
      <c r="I1250">
        <v>2</v>
      </c>
      <c r="J1250">
        <v>1</v>
      </c>
      <c r="K1250">
        <v>2</v>
      </c>
      <c r="L1250" s="22" t="str">
        <f t="shared" si="395"/>
        <v>25/07/2026</v>
      </c>
      <c r="M1250" s="23">
        <f t="shared" si="396"/>
        <v>0.45833333333333337</v>
      </c>
      <c r="N1250" t="str">
        <f t="shared" si="397"/>
        <v>1 - 2</v>
      </c>
      <c r="O1250" t="str">
        <f t="shared" si="398"/>
        <v>Red</v>
      </c>
      <c r="P1250" t="str">
        <f t="shared" si="399"/>
        <v>Red</v>
      </c>
      <c r="Q1250" t="str">
        <f t="shared" si="400"/>
        <v>Green</v>
      </c>
      <c r="R1250" t="str">
        <f t="shared" si="401"/>
        <v>Red</v>
      </c>
      <c r="S1250" t="str">
        <f t="shared" si="402"/>
        <v>Green</v>
      </c>
      <c r="T1250" t="str">
        <f t="shared" si="403"/>
        <v>Green</v>
      </c>
      <c r="U1250" t="str">
        <f t="shared" si="404"/>
        <v>Red</v>
      </c>
      <c r="V1250" t="str">
        <f t="shared" si="405"/>
        <v>Red</v>
      </c>
      <c r="W1250" t="str">
        <f t="shared" si="406"/>
        <v>Green</v>
      </c>
      <c r="X1250" t="str">
        <f t="shared" si="407"/>
        <v>Green</v>
      </c>
      <c r="Y1250" t="str">
        <f t="shared" si="408"/>
        <v>Green</v>
      </c>
      <c r="Z1250" t="str">
        <f t="shared" si="409"/>
        <v>Green</v>
      </c>
      <c r="AA1250" t="str">
        <f t="shared" si="410"/>
        <v>Red</v>
      </c>
      <c r="AB1250" t="str">
        <f t="shared" si="411"/>
        <v>Green</v>
      </c>
      <c r="AC1250" t="str">
        <f t="shared" si="412"/>
        <v>Green</v>
      </c>
      <c r="AD1250" t="str">
        <f t="shared" si="413"/>
        <v>Red</v>
      </c>
    </row>
    <row r="1251" spans="1:30" x14ac:dyDescent="0.2">
      <c r="A1251" t="str">
        <f>L1250&amp;F1251&amp;G1251</f>
        <v>25/07/2026Dynamo StavropolIrtysh Omsk</v>
      </c>
      <c r="D1251" s="2">
        <v>46228</v>
      </c>
      <c r="E1251" s="3">
        <v>0.58333333333333337</v>
      </c>
      <c r="F1251" t="s">
        <v>3569</v>
      </c>
      <c r="G1251" t="s">
        <v>3570</v>
      </c>
      <c r="H1251">
        <v>1</v>
      </c>
      <c r="I1251">
        <v>0</v>
      </c>
      <c r="J1251">
        <v>1</v>
      </c>
      <c r="K1251">
        <v>1</v>
      </c>
      <c r="L1251" s="22" t="str">
        <f t="shared" si="395"/>
        <v>25/07/2026</v>
      </c>
      <c r="M1251" s="23">
        <f t="shared" si="396"/>
        <v>0.45833333333333337</v>
      </c>
      <c r="N1251" t="str">
        <f t="shared" si="397"/>
        <v>1 - 1</v>
      </c>
      <c r="O1251" t="str">
        <f t="shared" si="398"/>
        <v>Red</v>
      </c>
      <c r="P1251" t="str">
        <f t="shared" si="399"/>
        <v>Green</v>
      </c>
      <c r="Q1251" t="str">
        <f t="shared" si="400"/>
        <v>Red</v>
      </c>
      <c r="R1251" t="str">
        <f t="shared" si="401"/>
        <v>Green</v>
      </c>
      <c r="S1251" t="str">
        <f t="shared" si="402"/>
        <v>Green</v>
      </c>
      <c r="T1251" t="str">
        <f t="shared" si="403"/>
        <v>Red</v>
      </c>
      <c r="U1251" t="str">
        <f t="shared" si="404"/>
        <v>Green</v>
      </c>
      <c r="V1251" t="str">
        <f t="shared" si="405"/>
        <v>Red</v>
      </c>
      <c r="W1251" t="str">
        <f t="shared" si="406"/>
        <v>Red</v>
      </c>
      <c r="X1251" t="str">
        <f t="shared" si="407"/>
        <v>Green</v>
      </c>
      <c r="Y1251" t="str">
        <f t="shared" si="408"/>
        <v>Green</v>
      </c>
      <c r="Z1251" t="str">
        <f t="shared" si="409"/>
        <v>Red</v>
      </c>
      <c r="AA1251" t="str">
        <f t="shared" si="410"/>
        <v>Green</v>
      </c>
      <c r="AB1251" t="str">
        <f t="shared" si="411"/>
        <v>Green</v>
      </c>
      <c r="AC1251" t="str">
        <f t="shared" si="412"/>
        <v>Green</v>
      </c>
      <c r="AD1251" t="str">
        <f t="shared" si="413"/>
        <v>Red</v>
      </c>
    </row>
    <row r="1252" spans="1:30" x14ac:dyDescent="0.2">
      <c r="A1252" t="str">
        <f>L1251&amp;F1252&amp;G1252</f>
        <v>25/07/2026AstrakhanChayka Peschanokopskoye II</v>
      </c>
      <c r="D1252" s="2">
        <v>46228</v>
      </c>
      <c r="E1252" s="3">
        <v>0.58333333333333337</v>
      </c>
      <c r="F1252" t="s">
        <v>3577</v>
      </c>
      <c r="G1252" t="s">
        <v>3578</v>
      </c>
      <c r="H1252">
        <v>0</v>
      </c>
      <c r="I1252">
        <v>0</v>
      </c>
      <c r="J1252">
        <v>3</v>
      </c>
      <c r="K1252">
        <v>0</v>
      </c>
      <c r="L1252" s="22" t="str">
        <f t="shared" si="395"/>
        <v>25/07/2026</v>
      </c>
      <c r="M1252" s="23">
        <f t="shared" si="396"/>
        <v>0.45833333333333337</v>
      </c>
      <c r="N1252" t="str">
        <f t="shared" si="397"/>
        <v>3 - 0</v>
      </c>
      <c r="O1252" t="str">
        <f t="shared" si="398"/>
        <v>Green</v>
      </c>
      <c r="P1252" t="str">
        <f t="shared" si="399"/>
        <v>Red</v>
      </c>
      <c r="Q1252" t="str">
        <f t="shared" si="400"/>
        <v>Red</v>
      </c>
      <c r="R1252" t="str">
        <f t="shared" si="401"/>
        <v>Green</v>
      </c>
      <c r="S1252" t="str">
        <f t="shared" si="402"/>
        <v>Red</v>
      </c>
      <c r="T1252" t="str">
        <f t="shared" si="403"/>
        <v>Green</v>
      </c>
      <c r="U1252" t="str">
        <f t="shared" si="404"/>
        <v>Red</v>
      </c>
      <c r="V1252" t="str">
        <f t="shared" si="405"/>
        <v>Green</v>
      </c>
      <c r="W1252" t="str">
        <f t="shared" si="406"/>
        <v>Red</v>
      </c>
      <c r="X1252" t="str">
        <f t="shared" si="407"/>
        <v>Red</v>
      </c>
      <c r="Y1252" t="str">
        <f t="shared" si="408"/>
        <v>Green</v>
      </c>
      <c r="Z1252" t="str">
        <f t="shared" si="409"/>
        <v>Green</v>
      </c>
      <c r="AA1252" t="str">
        <f t="shared" si="410"/>
        <v>Red</v>
      </c>
      <c r="AB1252" t="str">
        <f t="shared" si="411"/>
        <v>Green</v>
      </c>
      <c r="AC1252" t="str">
        <f t="shared" si="412"/>
        <v>Red</v>
      </c>
      <c r="AD1252" t="str">
        <f t="shared" si="413"/>
        <v>Green</v>
      </c>
    </row>
    <row r="1253" spans="1:30" x14ac:dyDescent="0.2">
      <c r="A1253" t="str">
        <f>L1252&amp;F1253&amp;G1253</f>
        <v>25/07/2026Pobeda KhasavyurtShakhtar Taganrog</v>
      </c>
      <c r="D1253" s="2">
        <v>46228</v>
      </c>
      <c r="E1253" s="3">
        <v>0.58333333333333337</v>
      </c>
      <c r="F1253" t="s">
        <v>3579</v>
      </c>
      <c r="G1253" t="s">
        <v>3580</v>
      </c>
      <c r="H1253">
        <v>0</v>
      </c>
      <c r="I1253">
        <v>0</v>
      </c>
      <c r="J1253">
        <v>4</v>
      </c>
      <c r="K1253">
        <v>3</v>
      </c>
      <c r="L1253" s="22" t="str">
        <f t="shared" si="395"/>
        <v>25/07/2026</v>
      </c>
      <c r="M1253" s="23">
        <f t="shared" si="396"/>
        <v>0.45833333333333337</v>
      </c>
      <c r="N1253" t="str">
        <f t="shared" si="397"/>
        <v>4 - 3</v>
      </c>
      <c r="O1253" t="str">
        <f t="shared" si="398"/>
        <v>Green</v>
      </c>
      <c r="P1253" t="str">
        <f t="shared" si="399"/>
        <v>Red</v>
      </c>
      <c r="Q1253" t="str">
        <f t="shared" si="400"/>
        <v>Red</v>
      </c>
      <c r="R1253" t="str">
        <f t="shared" si="401"/>
        <v>Green</v>
      </c>
      <c r="S1253" t="str">
        <f t="shared" si="402"/>
        <v>Red</v>
      </c>
      <c r="T1253" t="str">
        <f t="shared" si="403"/>
        <v>Green</v>
      </c>
      <c r="U1253" t="str">
        <f t="shared" si="404"/>
        <v>Red</v>
      </c>
      <c r="V1253" t="str">
        <f t="shared" si="405"/>
        <v>Green</v>
      </c>
      <c r="W1253" t="str">
        <f t="shared" si="406"/>
        <v>Red</v>
      </c>
      <c r="X1253" t="str">
        <f t="shared" si="407"/>
        <v>Red</v>
      </c>
      <c r="Y1253" t="str">
        <f t="shared" si="408"/>
        <v>Green</v>
      </c>
      <c r="Z1253" t="str">
        <f t="shared" si="409"/>
        <v>Green</v>
      </c>
      <c r="AA1253" t="str">
        <f t="shared" si="410"/>
        <v>Red</v>
      </c>
      <c r="AB1253" t="str">
        <f t="shared" si="411"/>
        <v>Red</v>
      </c>
      <c r="AC1253" t="str">
        <f t="shared" si="412"/>
        <v>Green</v>
      </c>
      <c r="AD1253" t="str">
        <f t="shared" si="413"/>
        <v>Red</v>
      </c>
    </row>
    <row r="1254" spans="1:30" x14ac:dyDescent="0.2">
      <c r="A1254" t="str">
        <f>L1253&amp;F1254&amp;G1254</f>
        <v>25/07/2026Spartak NalchikRubin Yalta</v>
      </c>
      <c r="D1254" s="2">
        <v>46228</v>
      </c>
      <c r="E1254" s="3">
        <v>0.58333333333333337</v>
      </c>
      <c r="F1254" t="s">
        <v>3581</v>
      </c>
      <c r="G1254" t="s">
        <v>3582</v>
      </c>
      <c r="H1254">
        <v>0</v>
      </c>
      <c r="I1254">
        <v>0</v>
      </c>
      <c r="J1254">
        <v>1</v>
      </c>
      <c r="K1254">
        <v>1</v>
      </c>
      <c r="L1254" s="22" t="str">
        <f t="shared" si="395"/>
        <v>25/07/2026</v>
      </c>
      <c r="M1254" s="23">
        <f t="shared" si="396"/>
        <v>0.45833333333333337</v>
      </c>
      <c r="N1254" t="str">
        <f t="shared" si="397"/>
        <v>1 - 1</v>
      </c>
      <c r="O1254" t="str">
        <f t="shared" si="398"/>
        <v>Red</v>
      </c>
      <c r="P1254" t="str">
        <f t="shared" si="399"/>
        <v>Green</v>
      </c>
      <c r="Q1254" t="str">
        <f t="shared" si="400"/>
        <v>Red</v>
      </c>
      <c r="R1254" t="str">
        <f t="shared" si="401"/>
        <v>Green</v>
      </c>
      <c r="S1254" t="str">
        <f t="shared" si="402"/>
        <v>Green</v>
      </c>
      <c r="T1254" t="str">
        <f t="shared" si="403"/>
        <v>Red</v>
      </c>
      <c r="U1254" t="str">
        <f t="shared" si="404"/>
        <v>Red</v>
      </c>
      <c r="V1254" t="str">
        <f t="shared" si="405"/>
        <v>Green</v>
      </c>
      <c r="W1254" t="str">
        <f t="shared" si="406"/>
        <v>Red</v>
      </c>
      <c r="X1254" t="str">
        <f t="shared" si="407"/>
        <v>Red</v>
      </c>
      <c r="Y1254" t="str">
        <f t="shared" si="408"/>
        <v>Green</v>
      </c>
      <c r="Z1254" t="str">
        <f t="shared" si="409"/>
        <v>Red</v>
      </c>
      <c r="AA1254" t="str">
        <f t="shared" si="410"/>
        <v>Green</v>
      </c>
      <c r="AB1254" t="str">
        <f t="shared" si="411"/>
        <v>Green</v>
      </c>
      <c r="AC1254" t="str">
        <f t="shared" si="412"/>
        <v>Green</v>
      </c>
      <c r="AD1254" t="str">
        <f t="shared" si="413"/>
        <v>Red</v>
      </c>
    </row>
    <row r="1255" spans="1:30" x14ac:dyDescent="0.2">
      <c r="A1255" t="str">
        <f>L1254&amp;F1255&amp;G1255</f>
        <v>25/07/2026Shumbrat SaranskSpartak Tambov</v>
      </c>
      <c r="D1255" s="2">
        <v>46228</v>
      </c>
      <c r="E1255" s="3">
        <v>0.58333333333333337</v>
      </c>
      <c r="F1255" t="s">
        <v>3595</v>
      </c>
      <c r="G1255" t="s">
        <v>3596</v>
      </c>
      <c r="H1255">
        <v>0</v>
      </c>
      <c r="I1255">
        <v>0</v>
      </c>
      <c r="J1255">
        <v>1</v>
      </c>
      <c r="K1255">
        <v>2</v>
      </c>
      <c r="L1255" s="22" t="str">
        <f t="shared" si="395"/>
        <v>25/07/2026</v>
      </c>
      <c r="M1255" s="23">
        <f t="shared" si="396"/>
        <v>0.45833333333333337</v>
      </c>
      <c r="N1255" t="str">
        <f t="shared" si="397"/>
        <v>1 - 2</v>
      </c>
      <c r="O1255" t="str">
        <f t="shared" si="398"/>
        <v>Red</v>
      </c>
      <c r="P1255" t="str">
        <f t="shared" si="399"/>
        <v>Red</v>
      </c>
      <c r="Q1255" t="str">
        <f t="shared" si="400"/>
        <v>Green</v>
      </c>
      <c r="R1255" t="str">
        <f t="shared" si="401"/>
        <v>Red</v>
      </c>
      <c r="S1255" t="str">
        <f t="shared" si="402"/>
        <v>Green</v>
      </c>
      <c r="T1255" t="str">
        <f t="shared" si="403"/>
        <v>Green</v>
      </c>
      <c r="U1255" t="str">
        <f t="shared" si="404"/>
        <v>Red</v>
      </c>
      <c r="V1255" t="str">
        <f t="shared" si="405"/>
        <v>Green</v>
      </c>
      <c r="W1255" t="str">
        <f t="shared" si="406"/>
        <v>Red</v>
      </c>
      <c r="X1255" t="str">
        <f t="shared" si="407"/>
        <v>Red</v>
      </c>
      <c r="Y1255" t="str">
        <f t="shared" si="408"/>
        <v>Green</v>
      </c>
      <c r="Z1255" t="str">
        <f t="shared" si="409"/>
        <v>Green</v>
      </c>
      <c r="AA1255" t="str">
        <f t="shared" si="410"/>
        <v>Red</v>
      </c>
      <c r="AB1255" t="str">
        <f t="shared" si="411"/>
        <v>Green</v>
      </c>
      <c r="AC1255" t="str">
        <f t="shared" si="412"/>
        <v>Green</v>
      </c>
      <c r="AD1255" t="str">
        <f t="shared" si="413"/>
        <v>Red</v>
      </c>
    </row>
    <row r="1256" spans="1:30" x14ac:dyDescent="0.2">
      <c r="A1256" t="str">
        <f>L1255&amp;F1256&amp;G1256</f>
        <v>25/07/2026Zenit St Petersburg WomenZvezda 2005 Perm Women</v>
      </c>
      <c r="D1256" s="2">
        <v>46228</v>
      </c>
      <c r="E1256" s="3">
        <v>0.58333333333333337</v>
      </c>
      <c r="F1256" t="s">
        <v>3605</v>
      </c>
      <c r="G1256" t="s">
        <v>3606</v>
      </c>
      <c r="H1256">
        <v>0</v>
      </c>
      <c r="I1256">
        <v>0</v>
      </c>
      <c r="J1256">
        <v>9</v>
      </c>
      <c r="K1256">
        <v>0</v>
      </c>
      <c r="L1256" s="22" t="str">
        <f t="shared" si="395"/>
        <v>25/07/2026</v>
      </c>
      <c r="M1256" s="23">
        <f t="shared" si="396"/>
        <v>0.45833333333333337</v>
      </c>
      <c r="N1256" t="str">
        <f t="shared" si="397"/>
        <v>9 - 0</v>
      </c>
      <c r="O1256" t="str">
        <f t="shared" si="398"/>
        <v>Green</v>
      </c>
      <c r="P1256" t="str">
        <f t="shared" si="399"/>
        <v>Red</v>
      </c>
      <c r="Q1256" t="str">
        <f t="shared" si="400"/>
        <v>Red</v>
      </c>
      <c r="R1256" t="str">
        <f t="shared" si="401"/>
        <v>Green</v>
      </c>
      <c r="S1256" t="str">
        <f t="shared" si="402"/>
        <v>Red</v>
      </c>
      <c r="T1256" t="str">
        <f t="shared" si="403"/>
        <v>Green</v>
      </c>
      <c r="U1256" t="str">
        <f t="shared" si="404"/>
        <v>Red</v>
      </c>
      <c r="V1256" t="str">
        <f t="shared" si="405"/>
        <v>Green</v>
      </c>
      <c r="W1256" t="str">
        <f t="shared" si="406"/>
        <v>Red</v>
      </c>
      <c r="X1256" t="str">
        <f t="shared" si="407"/>
        <v>Red</v>
      </c>
      <c r="Y1256" t="str">
        <f t="shared" si="408"/>
        <v>Green</v>
      </c>
      <c r="Z1256" t="str">
        <f t="shared" si="409"/>
        <v>Green</v>
      </c>
      <c r="AA1256" t="str">
        <f t="shared" si="410"/>
        <v>Red</v>
      </c>
      <c r="AB1256" t="str">
        <f t="shared" si="411"/>
        <v>Red</v>
      </c>
      <c r="AC1256" t="str">
        <f t="shared" si="412"/>
        <v>Red</v>
      </c>
      <c r="AD1256" t="str">
        <f t="shared" si="413"/>
        <v>Green</v>
      </c>
    </row>
    <row r="1257" spans="1:30" x14ac:dyDescent="0.2">
      <c r="A1257" t="str">
        <f>L1256&amp;F1257&amp;G1257</f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395"/>
        <v>25/07/2026</v>
      </c>
      <c r="M1257" s="23">
        <f t="shared" si="396"/>
        <v>0.45833333333333337</v>
      </c>
      <c r="N1257" t="str">
        <f t="shared" si="397"/>
        <v>3 - 0</v>
      </c>
      <c r="O1257" t="str">
        <f t="shared" si="398"/>
        <v>Green</v>
      </c>
      <c r="P1257" t="str">
        <f t="shared" si="399"/>
        <v>Red</v>
      </c>
      <c r="Q1257" t="str">
        <f t="shared" si="400"/>
        <v>Red</v>
      </c>
      <c r="R1257" t="str">
        <f t="shared" si="401"/>
        <v>Green</v>
      </c>
      <c r="S1257" t="str">
        <f t="shared" si="402"/>
        <v>Red</v>
      </c>
      <c r="T1257" t="str">
        <f t="shared" si="403"/>
        <v>Green</v>
      </c>
      <c r="U1257" t="str">
        <f t="shared" si="404"/>
        <v>Green</v>
      </c>
      <c r="V1257" t="str">
        <f t="shared" si="405"/>
        <v>Red</v>
      </c>
      <c r="W1257" t="str">
        <f t="shared" si="406"/>
        <v>Red</v>
      </c>
      <c r="X1257" t="str">
        <f t="shared" si="407"/>
        <v>Green</v>
      </c>
      <c r="Y1257" t="str">
        <f t="shared" si="408"/>
        <v>Green</v>
      </c>
      <c r="Z1257" t="str">
        <f t="shared" si="409"/>
        <v>Green</v>
      </c>
      <c r="AA1257" t="str">
        <f t="shared" si="410"/>
        <v>Red</v>
      </c>
      <c r="AB1257" t="str">
        <f t="shared" si="411"/>
        <v>Green</v>
      </c>
      <c r="AC1257" t="str">
        <f t="shared" si="412"/>
        <v>Red</v>
      </c>
      <c r="AD1257" t="str">
        <f t="shared" si="413"/>
        <v>Green</v>
      </c>
    </row>
    <row r="1258" spans="1:30" x14ac:dyDescent="0.2">
      <c r="A1258" t="str">
        <f>L1257&amp;F1258&amp;G1258</f>
        <v>25/07/2026AirdrieoniansRoss County</v>
      </c>
      <c r="D1258" s="2">
        <v>46228</v>
      </c>
      <c r="E1258" s="3">
        <v>0.58333333333333337</v>
      </c>
      <c r="F1258" t="s">
        <v>3609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395"/>
        <v>25/07/2026</v>
      </c>
      <c r="M1258" s="23">
        <f t="shared" si="396"/>
        <v>0.45833333333333337</v>
      </c>
      <c r="N1258" t="str">
        <f t="shared" si="397"/>
        <v>0 - 3</v>
      </c>
      <c r="O1258" t="str">
        <f t="shared" si="398"/>
        <v>Red</v>
      </c>
      <c r="P1258" t="str">
        <f t="shared" si="399"/>
        <v>Red</v>
      </c>
      <c r="Q1258" t="str">
        <f t="shared" si="400"/>
        <v>Green</v>
      </c>
      <c r="R1258" t="str">
        <f t="shared" si="401"/>
        <v>Red</v>
      </c>
      <c r="S1258" t="str">
        <f t="shared" si="402"/>
        <v>Green</v>
      </c>
      <c r="T1258" t="str">
        <f t="shared" si="403"/>
        <v>Green</v>
      </c>
      <c r="U1258" t="str">
        <f t="shared" si="404"/>
        <v>Red</v>
      </c>
      <c r="V1258" t="str">
        <f t="shared" si="405"/>
        <v>Red</v>
      </c>
      <c r="W1258" t="str">
        <f t="shared" si="406"/>
        <v>Green</v>
      </c>
      <c r="X1258" t="str">
        <f t="shared" si="407"/>
        <v>Green</v>
      </c>
      <c r="Y1258" t="str">
        <f t="shared" si="408"/>
        <v>Green</v>
      </c>
      <c r="Z1258" t="str">
        <f t="shared" si="409"/>
        <v>Green</v>
      </c>
      <c r="AA1258" t="str">
        <f t="shared" si="410"/>
        <v>Red</v>
      </c>
      <c r="AB1258" t="str">
        <f t="shared" si="411"/>
        <v>Green</v>
      </c>
      <c r="AC1258" t="str">
        <f t="shared" si="412"/>
        <v>Red</v>
      </c>
      <c r="AD1258" t="str">
        <f t="shared" si="413"/>
        <v>Green</v>
      </c>
    </row>
    <row r="1259" spans="1:30" x14ac:dyDescent="0.2">
      <c r="A1259" t="str">
        <f>L1258&amp;F1259&amp;G1259</f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3610</v>
      </c>
      <c r="H1259">
        <v>0</v>
      </c>
      <c r="I1259">
        <v>0</v>
      </c>
      <c r="J1259">
        <v>1</v>
      </c>
      <c r="K1259">
        <v>0</v>
      </c>
      <c r="L1259" s="22" t="str">
        <f t="shared" si="395"/>
        <v>25/07/2026</v>
      </c>
      <c r="M1259" s="23">
        <f t="shared" si="396"/>
        <v>0.45833333333333337</v>
      </c>
      <c r="N1259" t="str">
        <f t="shared" si="397"/>
        <v>1 - 0</v>
      </c>
      <c r="O1259" t="str">
        <f t="shared" si="398"/>
        <v>Green</v>
      </c>
      <c r="P1259" t="str">
        <f t="shared" si="399"/>
        <v>Red</v>
      </c>
      <c r="Q1259" t="str">
        <f t="shared" si="400"/>
        <v>Red</v>
      </c>
      <c r="R1259" t="str">
        <f t="shared" si="401"/>
        <v>Green</v>
      </c>
      <c r="S1259" t="str">
        <f t="shared" si="402"/>
        <v>Red</v>
      </c>
      <c r="T1259" t="str">
        <f t="shared" si="403"/>
        <v>Green</v>
      </c>
      <c r="U1259" t="str">
        <f t="shared" si="404"/>
        <v>Red</v>
      </c>
      <c r="V1259" t="str">
        <f t="shared" si="405"/>
        <v>Green</v>
      </c>
      <c r="W1259" t="str">
        <f t="shared" si="406"/>
        <v>Red</v>
      </c>
      <c r="X1259" t="str">
        <f t="shared" si="407"/>
        <v>Red</v>
      </c>
      <c r="Y1259" t="str">
        <f t="shared" si="408"/>
        <v>Red</v>
      </c>
      <c r="Z1259" t="str">
        <f t="shared" si="409"/>
        <v>Red</v>
      </c>
      <c r="AA1259" t="str">
        <f t="shared" si="410"/>
        <v>Green</v>
      </c>
      <c r="AB1259" t="str">
        <f t="shared" si="411"/>
        <v>Green</v>
      </c>
      <c r="AC1259" t="str">
        <f t="shared" si="412"/>
        <v>Red</v>
      </c>
      <c r="AD1259" t="str">
        <f t="shared" si="413"/>
        <v>Green</v>
      </c>
    </row>
    <row r="1260" spans="1:30" x14ac:dyDescent="0.2">
      <c r="A1260" t="str">
        <f>L1259&amp;F1260&amp;G1260</f>
        <v>25/07/2026Ayr UnitedAlloa Athletic</v>
      </c>
      <c r="D1260" s="2">
        <v>46228</v>
      </c>
      <c r="E1260" s="3">
        <v>0.58333333333333337</v>
      </c>
      <c r="F1260" t="s">
        <v>3611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395"/>
        <v>25/07/2026</v>
      </c>
      <c r="M1260" s="23">
        <f t="shared" si="396"/>
        <v>0.45833333333333337</v>
      </c>
      <c r="N1260" t="str">
        <f t="shared" si="397"/>
        <v>4 - 1</v>
      </c>
      <c r="O1260" t="str">
        <f t="shared" si="398"/>
        <v>Green</v>
      </c>
      <c r="P1260" t="str">
        <f t="shared" si="399"/>
        <v>Red</v>
      </c>
      <c r="Q1260" t="str">
        <f t="shared" si="400"/>
        <v>Red</v>
      </c>
      <c r="R1260" t="str">
        <f t="shared" si="401"/>
        <v>Green</v>
      </c>
      <c r="S1260" t="str">
        <f t="shared" si="402"/>
        <v>Red</v>
      </c>
      <c r="T1260" t="str">
        <f t="shared" si="403"/>
        <v>Green</v>
      </c>
      <c r="U1260" t="str">
        <f t="shared" si="404"/>
        <v>Green</v>
      </c>
      <c r="V1260" t="str">
        <f t="shared" si="405"/>
        <v>Red</v>
      </c>
      <c r="W1260" t="str">
        <f t="shared" si="406"/>
        <v>Red</v>
      </c>
      <c r="X1260" t="str">
        <f t="shared" si="407"/>
        <v>Green</v>
      </c>
      <c r="Y1260" t="str">
        <f t="shared" si="408"/>
        <v>Green</v>
      </c>
      <c r="Z1260" t="str">
        <f t="shared" si="409"/>
        <v>Green</v>
      </c>
      <c r="AA1260" t="str">
        <f t="shared" si="410"/>
        <v>Red</v>
      </c>
      <c r="AB1260" t="str">
        <f t="shared" si="411"/>
        <v>Red</v>
      </c>
      <c r="AC1260" t="str">
        <f t="shared" si="412"/>
        <v>Green</v>
      </c>
      <c r="AD1260" t="str">
        <f t="shared" si="413"/>
        <v>Red</v>
      </c>
    </row>
    <row r="1261" spans="1:30" x14ac:dyDescent="0.2">
      <c r="A1261" t="str">
        <f>L1260&amp;F1261&amp;G1261</f>
        <v>25/07/2026DumbartonCove Rangers</v>
      </c>
      <c r="D1261" s="2">
        <v>46228</v>
      </c>
      <c r="E1261" s="3">
        <v>0.58333333333333337</v>
      </c>
      <c r="F1261" t="s">
        <v>3612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395"/>
        <v>25/07/2026</v>
      </c>
      <c r="M1261" s="23">
        <f t="shared" si="396"/>
        <v>0.45833333333333337</v>
      </c>
      <c r="N1261" t="str">
        <f t="shared" si="397"/>
        <v>2 - 0</v>
      </c>
      <c r="O1261" t="str">
        <f t="shared" si="398"/>
        <v>Green</v>
      </c>
      <c r="P1261" t="str">
        <f t="shared" si="399"/>
        <v>Red</v>
      </c>
      <c r="Q1261" t="str">
        <f t="shared" si="400"/>
        <v>Red</v>
      </c>
      <c r="R1261" t="str">
        <f t="shared" si="401"/>
        <v>Green</v>
      </c>
      <c r="S1261" t="str">
        <f t="shared" si="402"/>
        <v>Red</v>
      </c>
      <c r="T1261" t="str">
        <f t="shared" si="403"/>
        <v>Green</v>
      </c>
      <c r="U1261" t="str">
        <f t="shared" si="404"/>
        <v>Green</v>
      </c>
      <c r="V1261" t="str">
        <f t="shared" si="405"/>
        <v>Red</v>
      </c>
      <c r="W1261" t="str">
        <f t="shared" si="406"/>
        <v>Red</v>
      </c>
      <c r="X1261" t="str">
        <f t="shared" si="407"/>
        <v>Green</v>
      </c>
      <c r="Y1261" t="str">
        <f t="shared" si="408"/>
        <v>Green</v>
      </c>
      <c r="Z1261" t="str">
        <f t="shared" si="409"/>
        <v>Red</v>
      </c>
      <c r="AA1261" t="str">
        <f t="shared" si="410"/>
        <v>Green</v>
      </c>
      <c r="AB1261" t="str">
        <f t="shared" si="411"/>
        <v>Green</v>
      </c>
      <c r="AC1261" t="str">
        <f t="shared" si="412"/>
        <v>Red</v>
      </c>
      <c r="AD1261" t="str">
        <f t="shared" si="413"/>
        <v>Green</v>
      </c>
    </row>
    <row r="1262" spans="1:30" x14ac:dyDescent="0.2">
      <c r="A1262" t="str">
        <f>L1261&amp;F1262&amp;G1262</f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395"/>
        <v>25/07/2026</v>
      </c>
      <c r="M1262" s="23">
        <f t="shared" si="396"/>
        <v>0.45833333333333337</v>
      </c>
      <c r="N1262" t="str">
        <f t="shared" si="397"/>
        <v>4 - 0</v>
      </c>
      <c r="O1262" t="str">
        <f t="shared" si="398"/>
        <v>Green</v>
      </c>
      <c r="P1262" t="str">
        <f t="shared" si="399"/>
        <v>Red</v>
      </c>
      <c r="Q1262" t="str">
        <f t="shared" si="400"/>
        <v>Red</v>
      </c>
      <c r="R1262" t="str">
        <f t="shared" si="401"/>
        <v>Green</v>
      </c>
      <c r="S1262" t="str">
        <f t="shared" si="402"/>
        <v>Red</v>
      </c>
      <c r="T1262" t="str">
        <f t="shared" si="403"/>
        <v>Green</v>
      </c>
      <c r="U1262" t="str">
        <f t="shared" si="404"/>
        <v>Red</v>
      </c>
      <c r="V1262" t="str">
        <f t="shared" si="405"/>
        <v>Green</v>
      </c>
      <c r="W1262" t="str">
        <f t="shared" si="406"/>
        <v>Red</v>
      </c>
      <c r="X1262" t="str">
        <f t="shared" si="407"/>
        <v>Red</v>
      </c>
      <c r="Y1262" t="str">
        <f t="shared" si="408"/>
        <v>Green</v>
      </c>
      <c r="Z1262" t="str">
        <f t="shared" si="409"/>
        <v>Green</v>
      </c>
      <c r="AA1262" t="str">
        <f t="shared" si="410"/>
        <v>Red</v>
      </c>
      <c r="AB1262" t="str">
        <f t="shared" si="411"/>
        <v>Red</v>
      </c>
      <c r="AC1262" t="str">
        <f t="shared" si="412"/>
        <v>Red</v>
      </c>
      <c r="AD1262" t="str">
        <f t="shared" si="413"/>
        <v>Green</v>
      </c>
    </row>
    <row r="1263" spans="1:30" x14ac:dyDescent="0.2">
      <c r="A1263" t="str">
        <f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14">DAY(D1263)&amp;"/"&amp;"07"&amp;"/"&amp;YEAR(D1263)</f>
        <v>25/07/2026</v>
      </c>
      <c r="M1263" s="23">
        <f t="shared" ref="M1263:M1326" si="415">E1263-TIME(3,0,0)</f>
        <v>0.45833333333333337</v>
      </c>
      <c r="N1263" t="str">
        <f t="shared" ref="N1263:N1326" si="416">J1263&amp;" - "&amp;K1263</f>
        <v>3 - 0</v>
      </c>
      <c r="O1263" t="str">
        <f t="shared" si="398"/>
        <v>Green</v>
      </c>
      <c r="P1263" t="str">
        <f t="shared" si="399"/>
        <v>Red</v>
      </c>
      <c r="Q1263" t="str">
        <f t="shared" si="400"/>
        <v>Red</v>
      </c>
      <c r="R1263" t="str">
        <f t="shared" si="401"/>
        <v>Green</v>
      </c>
      <c r="S1263" t="str">
        <f t="shared" si="402"/>
        <v>Red</v>
      </c>
      <c r="T1263" t="str">
        <f t="shared" si="403"/>
        <v>Green</v>
      </c>
      <c r="U1263" t="str">
        <f t="shared" si="404"/>
        <v>Green</v>
      </c>
      <c r="V1263" t="str">
        <f t="shared" si="405"/>
        <v>Red</v>
      </c>
      <c r="W1263" t="str">
        <f t="shared" si="406"/>
        <v>Red</v>
      </c>
      <c r="X1263" t="str">
        <f t="shared" si="407"/>
        <v>Green</v>
      </c>
      <c r="Y1263" t="str">
        <f t="shared" si="408"/>
        <v>Green</v>
      </c>
      <c r="Z1263" t="str">
        <f t="shared" si="409"/>
        <v>Green</v>
      </c>
      <c r="AA1263" t="str">
        <f t="shared" si="410"/>
        <v>Red</v>
      </c>
      <c r="AB1263" t="str">
        <f t="shared" si="411"/>
        <v>Green</v>
      </c>
      <c r="AC1263" t="str">
        <f t="shared" si="412"/>
        <v>Red</v>
      </c>
      <c r="AD1263" t="str">
        <f t="shared" si="413"/>
        <v>Green</v>
      </c>
    </row>
    <row r="1264" spans="1:30" x14ac:dyDescent="0.2">
      <c r="A1264" t="str">
        <f>L1263&amp;F1264&amp;G1264</f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3613</v>
      </c>
      <c r="H1264">
        <v>2</v>
      </c>
      <c r="I1264">
        <v>0</v>
      </c>
      <c r="J1264">
        <v>3</v>
      </c>
      <c r="K1264">
        <v>1</v>
      </c>
      <c r="L1264" s="22" t="str">
        <f t="shared" si="414"/>
        <v>25/07/2026</v>
      </c>
      <c r="M1264" s="23">
        <f t="shared" si="415"/>
        <v>0.45833333333333337</v>
      </c>
      <c r="N1264" t="str">
        <f t="shared" si="416"/>
        <v>3 - 1</v>
      </c>
      <c r="O1264" t="str">
        <f t="shared" si="398"/>
        <v>Green</v>
      </c>
      <c r="P1264" t="str">
        <f t="shared" si="399"/>
        <v>Red</v>
      </c>
      <c r="Q1264" t="str">
        <f t="shared" si="400"/>
        <v>Red</v>
      </c>
      <c r="R1264" t="str">
        <f t="shared" si="401"/>
        <v>Green</v>
      </c>
      <c r="S1264" t="str">
        <f t="shared" si="402"/>
        <v>Red</v>
      </c>
      <c r="T1264" t="str">
        <f t="shared" si="403"/>
        <v>Green</v>
      </c>
      <c r="U1264" t="str">
        <f t="shared" si="404"/>
        <v>Green</v>
      </c>
      <c r="V1264" t="str">
        <f t="shared" si="405"/>
        <v>Red</v>
      </c>
      <c r="W1264" t="str">
        <f t="shared" si="406"/>
        <v>Red</v>
      </c>
      <c r="X1264" t="str">
        <f t="shared" si="407"/>
        <v>Green</v>
      </c>
      <c r="Y1264" t="str">
        <f t="shared" si="408"/>
        <v>Green</v>
      </c>
      <c r="Z1264" t="str">
        <f t="shared" si="409"/>
        <v>Green</v>
      </c>
      <c r="AA1264" t="str">
        <f t="shared" si="410"/>
        <v>Red</v>
      </c>
      <c r="AB1264" t="str">
        <f t="shared" si="411"/>
        <v>Red</v>
      </c>
      <c r="AC1264" t="str">
        <f t="shared" si="412"/>
        <v>Green</v>
      </c>
      <c r="AD1264" t="str">
        <f t="shared" si="413"/>
        <v>Red</v>
      </c>
    </row>
    <row r="1265" spans="1:30" x14ac:dyDescent="0.2">
      <c r="A1265" t="str">
        <f>L1264&amp;F1265&amp;G1265</f>
        <v>25/07/2026Greenock MortonInverness CT</v>
      </c>
      <c r="D1265" s="2">
        <v>46228</v>
      </c>
      <c r="E1265" s="3">
        <v>0.58333333333333337</v>
      </c>
      <c r="F1265" t="s">
        <v>3614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14"/>
        <v>25/07/2026</v>
      </c>
      <c r="M1265" s="23">
        <f t="shared" si="415"/>
        <v>0.45833333333333337</v>
      </c>
      <c r="N1265" t="str">
        <f t="shared" si="416"/>
        <v>0 - 1</v>
      </c>
      <c r="O1265" t="str">
        <f t="shared" si="398"/>
        <v>Red</v>
      </c>
      <c r="P1265" t="str">
        <f t="shared" si="399"/>
        <v>Red</v>
      </c>
      <c r="Q1265" t="str">
        <f t="shared" si="400"/>
        <v>Green</v>
      </c>
      <c r="R1265" t="str">
        <f t="shared" si="401"/>
        <v>Red</v>
      </c>
      <c r="S1265" t="str">
        <f t="shared" si="402"/>
        <v>Green</v>
      </c>
      <c r="T1265" t="str">
        <f t="shared" si="403"/>
        <v>Green</v>
      </c>
      <c r="U1265" t="str">
        <f t="shared" si="404"/>
        <v>Red</v>
      </c>
      <c r="V1265" t="str">
        <f t="shared" si="405"/>
        <v>Red</v>
      </c>
      <c r="W1265" t="str">
        <f t="shared" si="406"/>
        <v>Green</v>
      </c>
      <c r="X1265" t="str">
        <f t="shared" si="407"/>
        <v>Green</v>
      </c>
      <c r="Y1265" t="str">
        <f t="shared" si="408"/>
        <v>Red</v>
      </c>
      <c r="Z1265" t="str">
        <f t="shared" si="409"/>
        <v>Red</v>
      </c>
      <c r="AA1265" t="str">
        <f t="shared" si="410"/>
        <v>Green</v>
      </c>
      <c r="AB1265" t="str">
        <f t="shared" si="411"/>
        <v>Green</v>
      </c>
      <c r="AC1265" t="str">
        <f t="shared" si="412"/>
        <v>Red</v>
      </c>
      <c r="AD1265" t="str">
        <f t="shared" si="413"/>
        <v>Green</v>
      </c>
    </row>
    <row r="1266" spans="1:30" x14ac:dyDescent="0.2">
      <c r="A1266" t="str">
        <f>L1265&amp;F1266&amp;G1266</f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3615</v>
      </c>
      <c r="H1266">
        <v>2</v>
      </c>
      <c r="I1266">
        <v>0</v>
      </c>
      <c r="J1266">
        <v>5</v>
      </c>
      <c r="K1266">
        <v>0</v>
      </c>
      <c r="L1266" s="22" t="str">
        <f t="shared" si="414"/>
        <v>25/07/2026</v>
      </c>
      <c r="M1266" s="23">
        <f t="shared" si="415"/>
        <v>0.45833333333333337</v>
      </c>
      <c r="N1266" t="str">
        <f t="shared" si="416"/>
        <v>5 - 0</v>
      </c>
      <c r="O1266" t="str">
        <f t="shared" si="398"/>
        <v>Green</v>
      </c>
      <c r="P1266" t="str">
        <f t="shared" si="399"/>
        <v>Red</v>
      </c>
      <c r="Q1266" t="str">
        <f t="shared" si="400"/>
        <v>Red</v>
      </c>
      <c r="R1266" t="str">
        <f t="shared" si="401"/>
        <v>Green</v>
      </c>
      <c r="S1266" t="str">
        <f t="shared" si="402"/>
        <v>Red</v>
      </c>
      <c r="T1266" t="str">
        <f t="shared" si="403"/>
        <v>Green</v>
      </c>
      <c r="U1266" t="str">
        <f t="shared" si="404"/>
        <v>Green</v>
      </c>
      <c r="V1266" t="str">
        <f t="shared" si="405"/>
        <v>Red</v>
      </c>
      <c r="W1266" t="str">
        <f t="shared" si="406"/>
        <v>Red</v>
      </c>
      <c r="X1266" t="str">
        <f t="shared" si="407"/>
        <v>Green</v>
      </c>
      <c r="Y1266" t="str">
        <f t="shared" si="408"/>
        <v>Green</v>
      </c>
      <c r="Z1266" t="str">
        <f t="shared" si="409"/>
        <v>Green</v>
      </c>
      <c r="AA1266" t="str">
        <f t="shared" si="410"/>
        <v>Red</v>
      </c>
      <c r="AB1266" t="str">
        <f t="shared" si="411"/>
        <v>Red</v>
      </c>
      <c r="AC1266" t="str">
        <f t="shared" si="412"/>
        <v>Red</v>
      </c>
      <c r="AD1266" t="str">
        <f t="shared" si="413"/>
        <v>Green</v>
      </c>
    </row>
    <row r="1267" spans="1:30" x14ac:dyDescent="0.2">
      <c r="A1267" t="str">
        <f>L1266&amp;F1267&amp;G1267</f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14"/>
        <v>25/07/2026</v>
      </c>
      <c r="M1267" s="23">
        <f t="shared" si="415"/>
        <v>0.45833333333333337</v>
      </c>
      <c r="N1267" t="str">
        <f t="shared" si="416"/>
        <v>0 - 2</v>
      </c>
      <c r="O1267" t="str">
        <f t="shared" si="398"/>
        <v>Red</v>
      </c>
      <c r="P1267" t="str">
        <f t="shared" si="399"/>
        <v>Red</v>
      </c>
      <c r="Q1267" t="str">
        <f t="shared" si="400"/>
        <v>Green</v>
      </c>
      <c r="R1267" t="str">
        <f t="shared" si="401"/>
        <v>Red</v>
      </c>
      <c r="S1267" t="str">
        <f t="shared" si="402"/>
        <v>Green</v>
      </c>
      <c r="T1267" t="str">
        <f t="shared" si="403"/>
        <v>Green</v>
      </c>
      <c r="U1267" t="str">
        <f t="shared" si="404"/>
        <v>Red</v>
      </c>
      <c r="V1267" t="str">
        <f t="shared" si="405"/>
        <v>Red</v>
      </c>
      <c r="W1267" t="str">
        <f t="shared" si="406"/>
        <v>Green</v>
      </c>
      <c r="X1267" t="str">
        <f t="shared" si="407"/>
        <v>Green</v>
      </c>
      <c r="Y1267" t="str">
        <f t="shared" si="408"/>
        <v>Green</v>
      </c>
      <c r="Z1267" t="str">
        <f t="shared" si="409"/>
        <v>Red</v>
      </c>
      <c r="AA1267" t="str">
        <f t="shared" si="410"/>
        <v>Green</v>
      </c>
      <c r="AB1267" t="str">
        <f t="shared" si="411"/>
        <v>Green</v>
      </c>
      <c r="AC1267" t="str">
        <f t="shared" si="412"/>
        <v>Red</v>
      </c>
      <c r="AD1267" t="str">
        <f t="shared" si="413"/>
        <v>Green</v>
      </c>
    </row>
    <row r="1268" spans="1:30" x14ac:dyDescent="0.2">
      <c r="A1268" t="str">
        <f>L1267&amp;F1268&amp;G1268</f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14"/>
        <v>25/07/2026</v>
      </c>
      <c r="M1268" s="23">
        <f t="shared" si="415"/>
        <v>0.45833333333333337</v>
      </c>
      <c r="N1268" t="str">
        <f t="shared" si="416"/>
        <v>0 - 0</v>
      </c>
      <c r="O1268" t="str">
        <f t="shared" si="398"/>
        <v>Red</v>
      </c>
      <c r="P1268" t="str">
        <f t="shared" si="399"/>
        <v>Green</v>
      </c>
      <c r="Q1268" t="str">
        <f t="shared" si="400"/>
        <v>Red</v>
      </c>
      <c r="R1268" t="str">
        <f t="shared" si="401"/>
        <v>Green</v>
      </c>
      <c r="S1268" t="str">
        <f t="shared" si="402"/>
        <v>Green</v>
      </c>
      <c r="T1268" t="str">
        <f t="shared" si="403"/>
        <v>Red</v>
      </c>
      <c r="U1268" t="str">
        <f t="shared" si="404"/>
        <v>Red</v>
      </c>
      <c r="V1268" t="str">
        <f t="shared" si="405"/>
        <v>Green</v>
      </c>
      <c r="W1268" t="str">
        <f t="shared" si="406"/>
        <v>Red</v>
      </c>
      <c r="X1268" t="str">
        <f t="shared" si="407"/>
        <v>Red</v>
      </c>
      <c r="Y1268" t="str">
        <f t="shared" si="408"/>
        <v>Red</v>
      </c>
      <c r="Z1268" t="str">
        <f t="shared" si="409"/>
        <v>Red</v>
      </c>
      <c r="AA1268" t="str">
        <f t="shared" si="410"/>
        <v>Green</v>
      </c>
      <c r="AB1268" t="str">
        <f t="shared" si="411"/>
        <v>Green</v>
      </c>
      <c r="AC1268" t="str">
        <f t="shared" si="412"/>
        <v>Red</v>
      </c>
      <c r="AD1268" t="str">
        <f t="shared" si="413"/>
        <v>Green</v>
      </c>
    </row>
    <row r="1269" spans="1:30" x14ac:dyDescent="0.2">
      <c r="A1269" t="str">
        <f>L1268&amp;F1269&amp;G1269</f>
        <v>25/07/2026Queen's ParkQueen of the South</v>
      </c>
      <c r="D1269" s="2">
        <v>46228</v>
      </c>
      <c r="E1269" s="3">
        <v>0.58333333333333337</v>
      </c>
      <c r="F1269" t="s">
        <v>3616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14"/>
        <v>25/07/2026</v>
      </c>
      <c r="M1269" s="23">
        <f t="shared" si="415"/>
        <v>0.45833333333333337</v>
      </c>
      <c r="N1269" t="str">
        <f t="shared" si="416"/>
        <v>3 - 1</v>
      </c>
      <c r="O1269" t="str">
        <f t="shared" si="398"/>
        <v>Green</v>
      </c>
      <c r="P1269" t="str">
        <f t="shared" si="399"/>
        <v>Red</v>
      </c>
      <c r="Q1269" t="str">
        <f t="shared" si="400"/>
        <v>Red</v>
      </c>
      <c r="R1269" t="str">
        <f t="shared" si="401"/>
        <v>Green</v>
      </c>
      <c r="S1269" t="str">
        <f t="shared" si="402"/>
        <v>Red</v>
      </c>
      <c r="T1269" t="str">
        <f t="shared" si="403"/>
        <v>Green</v>
      </c>
      <c r="U1269" t="str">
        <f t="shared" si="404"/>
        <v>Green</v>
      </c>
      <c r="V1269" t="str">
        <f t="shared" si="405"/>
        <v>Red</v>
      </c>
      <c r="W1269" t="str">
        <f t="shared" si="406"/>
        <v>Red</v>
      </c>
      <c r="X1269" t="str">
        <f t="shared" si="407"/>
        <v>Green</v>
      </c>
      <c r="Y1269" t="str">
        <f t="shared" si="408"/>
        <v>Green</v>
      </c>
      <c r="Z1269" t="str">
        <f t="shared" si="409"/>
        <v>Green</v>
      </c>
      <c r="AA1269" t="str">
        <f t="shared" si="410"/>
        <v>Red</v>
      </c>
      <c r="AB1269" t="str">
        <f t="shared" si="411"/>
        <v>Red</v>
      </c>
      <c r="AC1269" t="str">
        <f t="shared" si="412"/>
        <v>Green</v>
      </c>
      <c r="AD1269" t="str">
        <f t="shared" si="413"/>
        <v>Red</v>
      </c>
    </row>
    <row r="1270" spans="1:30" x14ac:dyDescent="0.2">
      <c r="A1270" t="str">
        <f>L1269&amp;F1270&amp;G1270</f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14"/>
        <v>25/07/2026</v>
      </c>
      <c r="M1270" s="23">
        <f t="shared" si="415"/>
        <v>0.45833333333333337</v>
      </c>
      <c r="N1270" t="str">
        <f t="shared" si="416"/>
        <v>1 - 1</v>
      </c>
      <c r="O1270" t="str">
        <f t="shared" si="398"/>
        <v>Red</v>
      </c>
      <c r="P1270" t="str">
        <f t="shared" si="399"/>
        <v>Green</v>
      </c>
      <c r="Q1270" t="str">
        <f t="shared" si="400"/>
        <v>Red</v>
      </c>
      <c r="R1270" t="str">
        <f t="shared" si="401"/>
        <v>Green</v>
      </c>
      <c r="S1270" t="str">
        <f t="shared" si="402"/>
        <v>Green</v>
      </c>
      <c r="T1270" t="str">
        <f t="shared" si="403"/>
        <v>Red</v>
      </c>
      <c r="U1270" t="str">
        <f t="shared" si="404"/>
        <v>Red</v>
      </c>
      <c r="V1270" t="str">
        <f t="shared" si="405"/>
        <v>Green</v>
      </c>
      <c r="W1270" t="str">
        <f t="shared" si="406"/>
        <v>Red</v>
      </c>
      <c r="X1270" t="str">
        <f t="shared" si="407"/>
        <v>Red</v>
      </c>
      <c r="Y1270" t="str">
        <f t="shared" si="408"/>
        <v>Green</v>
      </c>
      <c r="Z1270" t="str">
        <f t="shared" si="409"/>
        <v>Red</v>
      </c>
      <c r="AA1270" t="str">
        <f t="shared" si="410"/>
        <v>Green</v>
      </c>
      <c r="AB1270" t="str">
        <f t="shared" si="411"/>
        <v>Green</v>
      </c>
      <c r="AC1270" t="str">
        <f t="shared" si="412"/>
        <v>Green</v>
      </c>
      <c r="AD1270" t="str">
        <f t="shared" si="413"/>
        <v>Red</v>
      </c>
    </row>
    <row r="1271" spans="1:30" x14ac:dyDescent="0.2">
      <c r="A1271" t="str">
        <f>L1270&amp;F1271&amp;G1271</f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14"/>
        <v>25/07/2026</v>
      </c>
      <c r="M1271" s="23">
        <f t="shared" si="415"/>
        <v>0.45833333333333337</v>
      </c>
      <c r="N1271" t="str">
        <f t="shared" si="416"/>
        <v>0 - 0</v>
      </c>
      <c r="O1271" t="str">
        <f t="shared" si="398"/>
        <v>Red</v>
      </c>
      <c r="P1271" t="str">
        <f t="shared" si="399"/>
        <v>Green</v>
      </c>
      <c r="Q1271" t="str">
        <f t="shared" si="400"/>
        <v>Red</v>
      </c>
      <c r="R1271" t="str">
        <f t="shared" si="401"/>
        <v>Green</v>
      </c>
      <c r="S1271" t="str">
        <f t="shared" si="402"/>
        <v>Green</v>
      </c>
      <c r="T1271" t="str">
        <f t="shared" si="403"/>
        <v>Red</v>
      </c>
      <c r="U1271" t="str">
        <f t="shared" si="404"/>
        <v>Red</v>
      </c>
      <c r="V1271" t="str">
        <f t="shared" si="405"/>
        <v>Green</v>
      </c>
      <c r="W1271" t="str">
        <f t="shared" si="406"/>
        <v>Red</v>
      </c>
      <c r="X1271" t="str">
        <f t="shared" si="407"/>
        <v>Red</v>
      </c>
      <c r="Y1271" t="str">
        <f t="shared" si="408"/>
        <v>Red</v>
      </c>
      <c r="Z1271" t="str">
        <f t="shared" si="409"/>
        <v>Red</v>
      </c>
      <c r="AA1271" t="str">
        <f t="shared" si="410"/>
        <v>Green</v>
      </c>
      <c r="AB1271" t="str">
        <f t="shared" si="411"/>
        <v>Green</v>
      </c>
      <c r="AC1271" t="str">
        <f t="shared" si="412"/>
        <v>Red</v>
      </c>
      <c r="AD1271" t="str">
        <f t="shared" si="413"/>
        <v>Green</v>
      </c>
    </row>
    <row r="1272" spans="1:30" x14ac:dyDescent="0.2">
      <c r="A1272" t="str">
        <f>L1271&amp;F1272&amp;G1272</f>
        <v>25/07/2026SK Futura HumenneFC Tatran Presov</v>
      </c>
      <c r="D1272" s="2">
        <v>46228</v>
      </c>
      <c r="E1272" s="3">
        <v>0.58333333333333337</v>
      </c>
      <c r="F1272" t="s">
        <v>3628</v>
      </c>
      <c r="G1272" t="s">
        <v>3629</v>
      </c>
      <c r="H1272">
        <v>0</v>
      </c>
      <c r="I1272">
        <v>0</v>
      </c>
      <c r="J1272">
        <v>1</v>
      </c>
      <c r="K1272">
        <v>2</v>
      </c>
      <c r="L1272" s="22" t="str">
        <f t="shared" si="414"/>
        <v>25/07/2026</v>
      </c>
      <c r="M1272" s="23">
        <f t="shared" si="415"/>
        <v>0.45833333333333337</v>
      </c>
      <c r="N1272" t="str">
        <f t="shared" si="416"/>
        <v>1 - 2</v>
      </c>
      <c r="O1272" t="str">
        <f t="shared" si="398"/>
        <v>Red</v>
      </c>
      <c r="P1272" t="str">
        <f t="shared" si="399"/>
        <v>Red</v>
      </c>
      <c r="Q1272" t="str">
        <f t="shared" si="400"/>
        <v>Green</v>
      </c>
      <c r="R1272" t="str">
        <f t="shared" si="401"/>
        <v>Red</v>
      </c>
      <c r="S1272" t="str">
        <f t="shared" si="402"/>
        <v>Green</v>
      </c>
      <c r="T1272" t="str">
        <f t="shared" si="403"/>
        <v>Green</v>
      </c>
      <c r="U1272" t="str">
        <f t="shared" si="404"/>
        <v>Red</v>
      </c>
      <c r="V1272" t="str">
        <f t="shared" si="405"/>
        <v>Green</v>
      </c>
      <c r="W1272" t="str">
        <f t="shared" si="406"/>
        <v>Red</v>
      </c>
      <c r="X1272" t="str">
        <f t="shared" si="407"/>
        <v>Red</v>
      </c>
      <c r="Y1272" t="str">
        <f t="shared" si="408"/>
        <v>Green</v>
      </c>
      <c r="Z1272" t="str">
        <f t="shared" si="409"/>
        <v>Green</v>
      </c>
      <c r="AA1272" t="str">
        <f t="shared" si="410"/>
        <v>Red</v>
      </c>
      <c r="AB1272" t="str">
        <f t="shared" si="411"/>
        <v>Green</v>
      </c>
      <c r="AC1272" t="str">
        <f t="shared" si="412"/>
        <v>Green</v>
      </c>
      <c r="AD1272" t="str">
        <f t="shared" si="413"/>
        <v>Red</v>
      </c>
    </row>
    <row r="1273" spans="1:30" x14ac:dyDescent="0.2">
      <c r="A1273" t="str">
        <f>L1272&amp;F1273&amp;G1273</f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3662</v>
      </c>
      <c r="G1273" t="s">
        <v>3663</v>
      </c>
      <c r="H1273">
        <v>0</v>
      </c>
      <c r="I1273">
        <v>3</v>
      </c>
      <c r="J1273">
        <v>0</v>
      </c>
      <c r="K1273">
        <v>4</v>
      </c>
      <c r="L1273" s="22" t="str">
        <f t="shared" si="414"/>
        <v>25/07/2026</v>
      </c>
      <c r="M1273" s="23">
        <f t="shared" si="415"/>
        <v>0.45833333333333337</v>
      </c>
      <c r="N1273" t="str">
        <f t="shared" si="416"/>
        <v>0 - 4</v>
      </c>
      <c r="O1273" t="str">
        <f t="shared" si="398"/>
        <v>Red</v>
      </c>
      <c r="P1273" t="str">
        <f t="shared" si="399"/>
        <v>Red</v>
      </c>
      <c r="Q1273" t="str">
        <f t="shared" si="400"/>
        <v>Green</v>
      </c>
      <c r="R1273" t="str">
        <f t="shared" si="401"/>
        <v>Red</v>
      </c>
      <c r="S1273" t="str">
        <f t="shared" si="402"/>
        <v>Green</v>
      </c>
      <c r="T1273" t="str">
        <f t="shared" si="403"/>
        <v>Green</v>
      </c>
      <c r="U1273" t="str">
        <f t="shared" si="404"/>
        <v>Red</v>
      </c>
      <c r="V1273" t="str">
        <f t="shared" si="405"/>
        <v>Red</v>
      </c>
      <c r="W1273" t="str">
        <f t="shared" si="406"/>
        <v>Green</v>
      </c>
      <c r="X1273" t="str">
        <f t="shared" si="407"/>
        <v>Green</v>
      </c>
      <c r="Y1273" t="str">
        <f t="shared" si="408"/>
        <v>Green</v>
      </c>
      <c r="Z1273" t="str">
        <f t="shared" si="409"/>
        <v>Green</v>
      </c>
      <c r="AA1273" t="str">
        <f t="shared" si="410"/>
        <v>Red</v>
      </c>
      <c r="AB1273" t="str">
        <f t="shared" si="411"/>
        <v>Red</v>
      </c>
      <c r="AC1273" t="str">
        <f t="shared" si="412"/>
        <v>Red</v>
      </c>
      <c r="AD1273" t="str">
        <f t="shared" si="413"/>
        <v>Green</v>
      </c>
    </row>
    <row r="1274" spans="1:30" x14ac:dyDescent="0.2">
      <c r="A1274" t="str">
        <f>L1273&amp;F1274&amp;G1274</f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3674</v>
      </c>
      <c r="G1274" t="s">
        <v>3675</v>
      </c>
      <c r="H1274">
        <v>0</v>
      </c>
      <c r="I1274">
        <v>2</v>
      </c>
      <c r="J1274">
        <v>1</v>
      </c>
      <c r="K1274">
        <v>2</v>
      </c>
      <c r="L1274" s="22" t="str">
        <f t="shared" si="414"/>
        <v>25/07/2026</v>
      </c>
      <c r="M1274" s="23">
        <f t="shared" si="415"/>
        <v>0.45833333333333337</v>
      </c>
      <c r="N1274" t="str">
        <f t="shared" si="416"/>
        <v>1 - 2</v>
      </c>
      <c r="O1274" t="str">
        <f t="shared" si="398"/>
        <v>Red</v>
      </c>
      <c r="P1274" t="str">
        <f t="shared" si="399"/>
        <v>Red</v>
      </c>
      <c r="Q1274" t="str">
        <f t="shared" si="400"/>
        <v>Green</v>
      </c>
      <c r="R1274" t="str">
        <f t="shared" si="401"/>
        <v>Red</v>
      </c>
      <c r="S1274" t="str">
        <f t="shared" si="402"/>
        <v>Green</v>
      </c>
      <c r="T1274" t="str">
        <f t="shared" si="403"/>
        <v>Green</v>
      </c>
      <c r="U1274" t="str">
        <f t="shared" si="404"/>
        <v>Red</v>
      </c>
      <c r="V1274" t="str">
        <f t="shared" si="405"/>
        <v>Red</v>
      </c>
      <c r="W1274" t="str">
        <f t="shared" si="406"/>
        <v>Green</v>
      </c>
      <c r="X1274" t="str">
        <f t="shared" si="407"/>
        <v>Green</v>
      </c>
      <c r="Y1274" t="str">
        <f t="shared" si="408"/>
        <v>Green</v>
      </c>
      <c r="Z1274" t="str">
        <f t="shared" si="409"/>
        <v>Green</v>
      </c>
      <c r="AA1274" t="str">
        <f t="shared" si="410"/>
        <v>Red</v>
      </c>
      <c r="AB1274" t="str">
        <f t="shared" si="411"/>
        <v>Green</v>
      </c>
      <c r="AC1274" t="str">
        <f t="shared" si="412"/>
        <v>Green</v>
      </c>
      <c r="AD1274" t="str">
        <f t="shared" si="413"/>
        <v>Red</v>
      </c>
    </row>
    <row r="1275" spans="1:30" x14ac:dyDescent="0.2">
      <c r="A1275" t="str">
        <f>L1274&amp;F1275&amp;G1275</f>
        <v>25/07/2026Respublika FAFC Jayxun</v>
      </c>
      <c r="D1275" s="2">
        <v>46228</v>
      </c>
      <c r="E1275" s="3">
        <v>0.58333333333333337</v>
      </c>
      <c r="F1275" t="s">
        <v>3730</v>
      </c>
      <c r="G1275" t="s">
        <v>3731</v>
      </c>
      <c r="H1275">
        <v>0</v>
      </c>
      <c r="I1275">
        <v>0</v>
      </c>
      <c r="J1275">
        <v>1</v>
      </c>
      <c r="K1275">
        <v>2</v>
      </c>
      <c r="L1275" s="22" t="str">
        <f t="shared" si="414"/>
        <v>25/07/2026</v>
      </c>
      <c r="M1275" s="23">
        <f t="shared" si="415"/>
        <v>0.45833333333333337</v>
      </c>
      <c r="N1275" t="str">
        <f t="shared" si="416"/>
        <v>1 - 2</v>
      </c>
      <c r="O1275" t="str">
        <f t="shared" si="398"/>
        <v>Red</v>
      </c>
      <c r="P1275" t="str">
        <f t="shared" si="399"/>
        <v>Red</v>
      </c>
      <c r="Q1275" t="str">
        <f t="shared" si="400"/>
        <v>Green</v>
      </c>
      <c r="R1275" t="str">
        <f t="shared" si="401"/>
        <v>Red</v>
      </c>
      <c r="S1275" t="str">
        <f t="shared" si="402"/>
        <v>Green</v>
      </c>
      <c r="T1275" t="str">
        <f t="shared" si="403"/>
        <v>Green</v>
      </c>
      <c r="U1275" t="str">
        <f t="shared" si="404"/>
        <v>Red</v>
      </c>
      <c r="V1275" t="str">
        <f t="shared" si="405"/>
        <v>Green</v>
      </c>
      <c r="W1275" t="str">
        <f t="shared" si="406"/>
        <v>Red</v>
      </c>
      <c r="X1275" t="str">
        <f t="shared" si="407"/>
        <v>Red</v>
      </c>
      <c r="Y1275" t="str">
        <f t="shared" si="408"/>
        <v>Green</v>
      </c>
      <c r="Z1275" t="str">
        <f t="shared" si="409"/>
        <v>Green</v>
      </c>
      <c r="AA1275" t="str">
        <f t="shared" si="410"/>
        <v>Red</v>
      </c>
      <c r="AB1275" t="str">
        <f t="shared" si="411"/>
        <v>Green</v>
      </c>
      <c r="AC1275" t="str">
        <f t="shared" si="412"/>
        <v>Green</v>
      </c>
      <c r="AD1275" t="str">
        <f t="shared" si="413"/>
        <v>Red</v>
      </c>
    </row>
    <row r="1276" spans="1:30" x14ac:dyDescent="0.2">
      <c r="A1276" t="str">
        <f>L1275&amp;F1276&amp;G1276</f>
        <v>25/07/2026AFC FyldeWigan</v>
      </c>
      <c r="D1276" s="2">
        <v>46228</v>
      </c>
      <c r="E1276" s="3">
        <v>0.58333333333333337</v>
      </c>
      <c r="F1276" t="s">
        <v>3846</v>
      </c>
      <c r="G1276" t="s">
        <v>3847</v>
      </c>
      <c r="H1276">
        <v>0</v>
      </c>
      <c r="I1276">
        <v>2</v>
      </c>
      <c r="J1276">
        <v>0</v>
      </c>
      <c r="K1276">
        <v>2</v>
      </c>
      <c r="L1276" s="22" t="str">
        <f t="shared" si="414"/>
        <v>25/07/2026</v>
      </c>
      <c r="M1276" s="23">
        <f t="shared" si="415"/>
        <v>0.45833333333333337</v>
      </c>
      <c r="N1276" t="str">
        <f t="shared" si="416"/>
        <v>0 - 2</v>
      </c>
      <c r="O1276" t="str">
        <f t="shared" si="398"/>
        <v>Red</v>
      </c>
      <c r="P1276" t="str">
        <f t="shared" si="399"/>
        <v>Red</v>
      </c>
      <c r="Q1276" t="str">
        <f t="shared" si="400"/>
        <v>Green</v>
      </c>
      <c r="R1276" t="str">
        <f t="shared" si="401"/>
        <v>Red</v>
      </c>
      <c r="S1276" t="str">
        <f t="shared" si="402"/>
        <v>Green</v>
      </c>
      <c r="T1276" t="str">
        <f t="shared" si="403"/>
        <v>Green</v>
      </c>
      <c r="U1276" t="str">
        <f t="shared" si="404"/>
        <v>Red</v>
      </c>
      <c r="V1276" t="str">
        <f t="shared" si="405"/>
        <v>Red</v>
      </c>
      <c r="W1276" t="str">
        <f t="shared" si="406"/>
        <v>Green</v>
      </c>
      <c r="X1276" t="str">
        <f t="shared" si="407"/>
        <v>Green</v>
      </c>
      <c r="Y1276" t="str">
        <f t="shared" si="408"/>
        <v>Green</v>
      </c>
      <c r="Z1276" t="str">
        <f t="shared" si="409"/>
        <v>Red</v>
      </c>
      <c r="AA1276" t="str">
        <f t="shared" si="410"/>
        <v>Green</v>
      </c>
      <c r="AB1276" t="str">
        <f t="shared" si="411"/>
        <v>Green</v>
      </c>
      <c r="AC1276" t="str">
        <f t="shared" si="412"/>
        <v>Red</v>
      </c>
      <c r="AD1276" t="str">
        <f t="shared" si="413"/>
        <v>Green</v>
      </c>
    </row>
    <row r="1277" spans="1:30" x14ac:dyDescent="0.2">
      <c r="A1277" t="str">
        <f>L1276&amp;F1277&amp;G1277</f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3848</v>
      </c>
      <c r="H1277">
        <v>1</v>
      </c>
      <c r="I1277">
        <v>0</v>
      </c>
      <c r="J1277">
        <v>2</v>
      </c>
      <c r="K1277">
        <v>0</v>
      </c>
      <c r="L1277" s="22" t="str">
        <f t="shared" si="414"/>
        <v>25/07/2026</v>
      </c>
      <c r="M1277" s="23">
        <f t="shared" si="415"/>
        <v>0.45833333333333337</v>
      </c>
      <c r="N1277" t="str">
        <f t="shared" si="416"/>
        <v>2 - 0</v>
      </c>
      <c r="O1277" t="str">
        <f t="shared" si="398"/>
        <v>Green</v>
      </c>
      <c r="P1277" t="str">
        <f t="shared" si="399"/>
        <v>Red</v>
      </c>
      <c r="Q1277" t="str">
        <f t="shared" si="400"/>
        <v>Red</v>
      </c>
      <c r="R1277" t="str">
        <f t="shared" si="401"/>
        <v>Green</v>
      </c>
      <c r="S1277" t="str">
        <f t="shared" si="402"/>
        <v>Red</v>
      </c>
      <c r="T1277" t="str">
        <f t="shared" si="403"/>
        <v>Green</v>
      </c>
      <c r="U1277" t="str">
        <f t="shared" si="404"/>
        <v>Green</v>
      </c>
      <c r="V1277" t="str">
        <f t="shared" si="405"/>
        <v>Red</v>
      </c>
      <c r="W1277" t="str">
        <f t="shared" si="406"/>
        <v>Red</v>
      </c>
      <c r="X1277" t="str">
        <f t="shared" si="407"/>
        <v>Green</v>
      </c>
      <c r="Y1277" t="str">
        <f t="shared" si="408"/>
        <v>Green</v>
      </c>
      <c r="Z1277" t="str">
        <f t="shared" si="409"/>
        <v>Red</v>
      </c>
      <c r="AA1277" t="str">
        <f t="shared" si="410"/>
        <v>Green</v>
      </c>
      <c r="AB1277" t="str">
        <f t="shared" si="411"/>
        <v>Green</v>
      </c>
      <c r="AC1277" t="str">
        <f t="shared" si="412"/>
        <v>Red</v>
      </c>
      <c r="AD1277" t="str">
        <f t="shared" si="413"/>
        <v>Green</v>
      </c>
    </row>
    <row r="1278" spans="1:30" x14ac:dyDescent="0.2">
      <c r="A1278" t="str">
        <f>L1277&amp;F1278&amp;G1278</f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14"/>
        <v>25/07/2026</v>
      </c>
      <c r="M1278" s="23">
        <f t="shared" si="415"/>
        <v>0.45833333333333337</v>
      </c>
      <c r="N1278" t="str">
        <f t="shared" si="416"/>
        <v>2 - 5</v>
      </c>
      <c r="O1278" t="str">
        <f t="shared" si="398"/>
        <v>Red</v>
      </c>
      <c r="P1278" t="str">
        <f t="shared" si="399"/>
        <v>Red</v>
      </c>
      <c r="Q1278" t="str">
        <f t="shared" si="400"/>
        <v>Green</v>
      </c>
      <c r="R1278" t="str">
        <f t="shared" si="401"/>
        <v>Red</v>
      </c>
      <c r="S1278" t="str">
        <f t="shared" si="402"/>
        <v>Green</v>
      </c>
      <c r="T1278" t="str">
        <f t="shared" si="403"/>
        <v>Green</v>
      </c>
      <c r="U1278" t="str">
        <f t="shared" si="404"/>
        <v>Red</v>
      </c>
      <c r="V1278" t="str">
        <f t="shared" si="405"/>
        <v>Red</v>
      </c>
      <c r="W1278" t="str">
        <f t="shared" si="406"/>
        <v>Green</v>
      </c>
      <c r="X1278" t="str">
        <f t="shared" si="407"/>
        <v>Green</v>
      </c>
      <c r="Y1278" t="str">
        <f t="shared" si="408"/>
        <v>Green</v>
      </c>
      <c r="Z1278" t="str">
        <f t="shared" si="409"/>
        <v>Green</v>
      </c>
      <c r="AA1278" t="str">
        <f t="shared" si="410"/>
        <v>Red</v>
      </c>
      <c r="AB1278" t="str">
        <f t="shared" si="411"/>
        <v>Red</v>
      </c>
      <c r="AC1278" t="str">
        <f t="shared" si="412"/>
        <v>Green</v>
      </c>
      <c r="AD1278" t="str">
        <f t="shared" si="413"/>
        <v>Red</v>
      </c>
    </row>
    <row r="1279" spans="1:30" x14ac:dyDescent="0.2">
      <c r="A1279" t="str">
        <f>L1278&amp;F1279&amp;G1279</f>
        <v>25/07/2026AmaZuluMidlands Wanderers</v>
      </c>
      <c r="D1279" s="2">
        <v>46228</v>
      </c>
      <c r="E1279" s="3">
        <v>0.58333333333333337</v>
      </c>
      <c r="F1279" t="s">
        <v>3849</v>
      </c>
      <c r="G1279" t="s">
        <v>3850</v>
      </c>
      <c r="H1279">
        <v>2</v>
      </c>
      <c r="I1279">
        <v>0</v>
      </c>
      <c r="J1279">
        <v>2</v>
      </c>
      <c r="K1279">
        <v>0</v>
      </c>
      <c r="L1279" s="22" t="str">
        <f t="shared" si="414"/>
        <v>25/07/2026</v>
      </c>
      <c r="M1279" s="23">
        <f t="shared" si="415"/>
        <v>0.45833333333333337</v>
      </c>
      <c r="N1279" t="str">
        <f t="shared" si="416"/>
        <v>2 - 0</v>
      </c>
      <c r="O1279" t="str">
        <f t="shared" si="398"/>
        <v>Green</v>
      </c>
      <c r="P1279" t="str">
        <f t="shared" si="399"/>
        <v>Red</v>
      </c>
      <c r="Q1279" t="str">
        <f t="shared" si="400"/>
        <v>Red</v>
      </c>
      <c r="R1279" t="str">
        <f t="shared" si="401"/>
        <v>Green</v>
      </c>
      <c r="S1279" t="str">
        <f t="shared" si="402"/>
        <v>Red</v>
      </c>
      <c r="T1279" t="str">
        <f t="shared" si="403"/>
        <v>Green</v>
      </c>
      <c r="U1279" t="str">
        <f t="shared" si="404"/>
        <v>Green</v>
      </c>
      <c r="V1279" t="str">
        <f t="shared" si="405"/>
        <v>Red</v>
      </c>
      <c r="W1279" t="str">
        <f t="shared" si="406"/>
        <v>Red</v>
      </c>
      <c r="X1279" t="str">
        <f t="shared" si="407"/>
        <v>Green</v>
      </c>
      <c r="Y1279" t="str">
        <f t="shared" si="408"/>
        <v>Green</v>
      </c>
      <c r="Z1279" t="str">
        <f t="shared" si="409"/>
        <v>Red</v>
      </c>
      <c r="AA1279" t="str">
        <f t="shared" si="410"/>
        <v>Green</v>
      </c>
      <c r="AB1279" t="str">
        <f t="shared" si="411"/>
        <v>Green</v>
      </c>
      <c r="AC1279" t="str">
        <f t="shared" si="412"/>
        <v>Red</v>
      </c>
      <c r="AD1279" t="str">
        <f t="shared" si="413"/>
        <v>Green</v>
      </c>
    </row>
    <row r="1280" spans="1:30" x14ac:dyDescent="0.2">
      <c r="A1280" t="str">
        <f>L1279&amp;F1280&amp;G1280</f>
        <v>25/07/2026BarnetOxford United</v>
      </c>
      <c r="D1280" s="2">
        <v>46228</v>
      </c>
      <c r="E1280" s="3">
        <v>0.58333333333333337</v>
      </c>
      <c r="F1280" t="s">
        <v>3851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14"/>
        <v>25/07/2026</v>
      </c>
      <c r="M1280" s="23">
        <f t="shared" si="415"/>
        <v>0.45833333333333337</v>
      </c>
      <c r="N1280" t="str">
        <f t="shared" si="416"/>
        <v>1 - 2</v>
      </c>
      <c r="O1280" t="str">
        <f t="shared" si="398"/>
        <v>Red</v>
      </c>
      <c r="P1280" t="str">
        <f t="shared" si="399"/>
        <v>Red</v>
      </c>
      <c r="Q1280" t="str">
        <f t="shared" si="400"/>
        <v>Green</v>
      </c>
      <c r="R1280" t="str">
        <f t="shared" si="401"/>
        <v>Red</v>
      </c>
      <c r="S1280" t="str">
        <f t="shared" si="402"/>
        <v>Green</v>
      </c>
      <c r="T1280" t="str">
        <f t="shared" si="403"/>
        <v>Green</v>
      </c>
      <c r="U1280" t="str">
        <f t="shared" si="404"/>
        <v>Red</v>
      </c>
      <c r="V1280" t="str">
        <f t="shared" si="405"/>
        <v>Red</v>
      </c>
      <c r="W1280" t="str">
        <f t="shared" si="406"/>
        <v>Green</v>
      </c>
      <c r="X1280" t="str">
        <f t="shared" si="407"/>
        <v>Green</v>
      </c>
      <c r="Y1280" t="str">
        <f t="shared" si="408"/>
        <v>Green</v>
      </c>
      <c r="Z1280" t="str">
        <f t="shared" si="409"/>
        <v>Green</v>
      </c>
      <c r="AA1280" t="str">
        <f t="shared" si="410"/>
        <v>Red</v>
      </c>
      <c r="AB1280" t="str">
        <f t="shared" si="411"/>
        <v>Green</v>
      </c>
      <c r="AC1280" t="str">
        <f t="shared" si="412"/>
        <v>Green</v>
      </c>
      <c r="AD1280" t="str">
        <f t="shared" si="413"/>
        <v>Red</v>
      </c>
    </row>
    <row r="1281" spans="1:30" x14ac:dyDescent="0.2">
      <c r="A1281" t="str">
        <f>L1280&amp;F1281&amp;G1281</f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3852</v>
      </c>
      <c r="H1281">
        <v>1</v>
      </c>
      <c r="I1281">
        <v>0</v>
      </c>
      <c r="J1281">
        <v>2</v>
      </c>
      <c r="K1281">
        <v>0</v>
      </c>
      <c r="L1281" s="22" t="str">
        <f t="shared" si="414"/>
        <v>25/07/2026</v>
      </c>
      <c r="M1281" s="23">
        <f t="shared" si="415"/>
        <v>0.45833333333333337</v>
      </c>
      <c r="N1281" t="str">
        <f t="shared" si="416"/>
        <v>2 - 0</v>
      </c>
      <c r="O1281" t="str">
        <f t="shared" si="398"/>
        <v>Green</v>
      </c>
      <c r="P1281" t="str">
        <f t="shared" si="399"/>
        <v>Red</v>
      </c>
      <c r="Q1281" t="str">
        <f t="shared" si="400"/>
        <v>Red</v>
      </c>
      <c r="R1281" t="str">
        <f t="shared" si="401"/>
        <v>Green</v>
      </c>
      <c r="S1281" t="str">
        <f t="shared" si="402"/>
        <v>Red</v>
      </c>
      <c r="T1281" t="str">
        <f t="shared" si="403"/>
        <v>Green</v>
      </c>
      <c r="U1281" t="str">
        <f t="shared" si="404"/>
        <v>Green</v>
      </c>
      <c r="V1281" t="str">
        <f t="shared" si="405"/>
        <v>Red</v>
      </c>
      <c r="W1281" t="str">
        <f t="shared" si="406"/>
        <v>Red</v>
      </c>
      <c r="X1281" t="str">
        <f t="shared" si="407"/>
        <v>Green</v>
      </c>
      <c r="Y1281" t="str">
        <f t="shared" si="408"/>
        <v>Green</v>
      </c>
      <c r="Z1281" t="str">
        <f t="shared" si="409"/>
        <v>Red</v>
      </c>
      <c r="AA1281" t="str">
        <f t="shared" si="410"/>
        <v>Green</v>
      </c>
      <c r="AB1281" t="str">
        <f t="shared" si="411"/>
        <v>Green</v>
      </c>
      <c r="AC1281" t="str">
        <f t="shared" si="412"/>
        <v>Red</v>
      </c>
      <c r="AD1281" t="str">
        <f t="shared" si="413"/>
        <v>Green</v>
      </c>
    </row>
    <row r="1282" spans="1:30" x14ac:dyDescent="0.2">
      <c r="A1282" t="str">
        <f>L1281&amp;F1282&amp;G1282</f>
        <v>25/07/2026Barry TownGloucester City</v>
      </c>
      <c r="D1282" s="2">
        <v>46228</v>
      </c>
      <c r="E1282" s="3">
        <v>0.58333333333333337</v>
      </c>
      <c r="F1282" t="s">
        <v>3853</v>
      </c>
      <c r="G1282" t="s">
        <v>3854</v>
      </c>
      <c r="H1282">
        <v>0</v>
      </c>
      <c r="I1282">
        <v>1</v>
      </c>
      <c r="J1282">
        <v>0</v>
      </c>
      <c r="K1282">
        <v>1</v>
      </c>
      <c r="L1282" s="22" t="str">
        <f t="shared" si="414"/>
        <v>25/07/2026</v>
      </c>
      <c r="M1282" s="23">
        <f t="shared" si="415"/>
        <v>0.45833333333333337</v>
      </c>
      <c r="N1282" t="str">
        <f t="shared" si="416"/>
        <v>0 - 1</v>
      </c>
      <c r="O1282" t="str">
        <f t="shared" ref="O1282:O1345" si="417">IF($J1282&gt;$K1282,"Green","Red")</f>
        <v>Red</v>
      </c>
      <c r="P1282" t="str">
        <f t="shared" ref="P1282:P1345" si="418">IF($J1282=$K1282,"Green","Red")</f>
        <v>Red</v>
      </c>
      <c r="Q1282" t="str">
        <f t="shared" ref="Q1282:Q1345" si="419">IF($J1282&lt;$K1282,"Green","Red")</f>
        <v>Green</v>
      </c>
      <c r="R1282" t="str">
        <f t="shared" ref="R1282:R1345" si="420">IF($J1282&gt;=$K1282,"Green","Red")</f>
        <v>Red</v>
      </c>
      <c r="S1282" t="str">
        <f t="shared" ref="S1282:S1345" si="421">IF($J1282&lt;=$K1282,"Green","Red")</f>
        <v>Green</v>
      </c>
      <c r="T1282" t="str">
        <f t="shared" ref="T1282:T1345" si="422">IF(OR($J1282&gt;$K1282,$J1282&lt;$K1282),"Green","Red")</f>
        <v>Green</v>
      </c>
      <c r="U1282" t="str">
        <f t="shared" ref="U1282:U1345" si="423">IF($H1282&gt;$I1282,"Green","Red")</f>
        <v>Red</v>
      </c>
      <c r="V1282" t="str">
        <f t="shared" ref="V1282:V1345" si="424">IF($H1282=$I1282,"Green","Red")</f>
        <v>Red</v>
      </c>
      <c r="W1282" t="str">
        <f t="shared" ref="W1282:W1345" si="425">IF($H1282&lt;$I1282,"Green","Red")</f>
        <v>Green</v>
      </c>
      <c r="X1282" t="str">
        <f t="shared" ref="X1282:X1345" si="426">IF($H1282+$I1282&gt;0,"Green","Red")</f>
        <v>Green</v>
      </c>
      <c r="Y1282" t="str">
        <f t="shared" ref="Y1282:Y1345" si="427">IF($J1282+$K1282&gt;1.5,"Green","Red")</f>
        <v>Red</v>
      </c>
      <c r="Z1282" t="str">
        <f t="shared" ref="Z1282:Z1345" si="428">IF($J1282+$K1282&gt;2.5,"Green","Red")</f>
        <v>Red</v>
      </c>
      <c r="AA1282" t="str">
        <f t="shared" ref="AA1282:AA1345" si="429">IF($J1282+$K1282&lt;2.5,"Green","Red")</f>
        <v>Green</v>
      </c>
      <c r="AB1282" t="str">
        <f t="shared" ref="AB1282:AB1345" si="430">IF($J1282+$K1282&lt;3.5,"Green","Red")</f>
        <v>Green</v>
      </c>
      <c r="AC1282" t="str">
        <f t="shared" ref="AC1282:AC1345" si="431">IF(AND($J1282&gt;0,$K1282&gt;0),"Green","Red")</f>
        <v>Red</v>
      </c>
      <c r="AD1282" t="str">
        <f t="shared" ref="AD1282:AD1345" si="432">IF(OR($J1282=0,$K1282=0),"Green","Red")</f>
        <v>Green</v>
      </c>
    </row>
    <row r="1283" spans="1:30" x14ac:dyDescent="0.2">
      <c r="A1283" t="str">
        <f>L1282&amp;F1283&amp;G1283</f>
        <v>25/07/2026Bishops CleeveChippenham Town</v>
      </c>
      <c r="D1283" s="2">
        <v>46228</v>
      </c>
      <c r="E1283" s="3">
        <v>0.58333333333333337</v>
      </c>
      <c r="F1283" t="s">
        <v>3855</v>
      </c>
      <c r="G1283" t="s">
        <v>3856</v>
      </c>
      <c r="H1283">
        <v>1</v>
      </c>
      <c r="I1283">
        <v>1</v>
      </c>
      <c r="J1283">
        <v>1</v>
      </c>
      <c r="K1283">
        <v>2</v>
      </c>
      <c r="L1283" s="22" t="str">
        <f t="shared" si="414"/>
        <v>25/07/2026</v>
      </c>
      <c r="M1283" s="23">
        <f t="shared" si="415"/>
        <v>0.45833333333333337</v>
      </c>
      <c r="N1283" t="str">
        <f t="shared" si="416"/>
        <v>1 - 2</v>
      </c>
      <c r="O1283" t="str">
        <f t="shared" si="417"/>
        <v>Red</v>
      </c>
      <c r="P1283" t="str">
        <f t="shared" si="418"/>
        <v>Red</v>
      </c>
      <c r="Q1283" t="str">
        <f t="shared" si="419"/>
        <v>Green</v>
      </c>
      <c r="R1283" t="str">
        <f t="shared" si="420"/>
        <v>Red</v>
      </c>
      <c r="S1283" t="str">
        <f t="shared" si="421"/>
        <v>Green</v>
      </c>
      <c r="T1283" t="str">
        <f t="shared" si="422"/>
        <v>Green</v>
      </c>
      <c r="U1283" t="str">
        <f t="shared" si="423"/>
        <v>Red</v>
      </c>
      <c r="V1283" t="str">
        <f t="shared" si="424"/>
        <v>Green</v>
      </c>
      <c r="W1283" t="str">
        <f t="shared" si="425"/>
        <v>Red</v>
      </c>
      <c r="X1283" t="str">
        <f t="shared" si="426"/>
        <v>Green</v>
      </c>
      <c r="Y1283" t="str">
        <f t="shared" si="427"/>
        <v>Green</v>
      </c>
      <c r="Z1283" t="str">
        <f t="shared" si="428"/>
        <v>Green</v>
      </c>
      <c r="AA1283" t="str">
        <f t="shared" si="429"/>
        <v>Red</v>
      </c>
      <c r="AB1283" t="str">
        <f t="shared" si="430"/>
        <v>Green</v>
      </c>
      <c r="AC1283" t="str">
        <f t="shared" si="431"/>
        <v>Green</v>
      </c>
      <c r="AD1283" t="str">
        <f t="shared" si="432"/>
        <v>Red</v>
      </c>
    </row>
    <row r="1284" spans="1:30" x14ac:dyDescent="0.2">
      <c r="A1284" t="str">
        <f>L1283&amp;F1284&amp;G1284</f>
        <v>25/07/2026Blyth SpartansStockton Town</v>
      </c>
      <c r="D1284" s="2">
        <v>46228</v>
      </c>
      <c r="E1284" s="3">
        <v>0.58333333333333337</v>
      </c>
      <c r="F1284" t="s">
        <v>3857</v>
      </c>
      <c r="G1284" t="s">
        <v>3858</v>
      </c>
      <c r="H1284">
        <v>1</v>
      </c>
      <c r="I1284">
        <v>0</v>
      </c>
      <c r="J1284">
        <v>3</v>
      </c>
      <c r="K1284">
        <v>0</v>
      </c>
      <c r="L1284" s="22" t="str">
        <f t="shared" si="414"/>
        <v>25/07/2026</v>
      </c>
      <c r="M1284" s="23">
        <f t="shared" si="415"/>
        <v>0.45833333333333337</v>
      </c>
      <c r="N1284" t="str">
        <f t="shared" si="416"/>
        <v>3 - 0</v>
      </c>
      <c r="O1284" t="str">
        <f t="shared" si="417"/>
        <v>Green</v>
      </c>
      <c r="P1284" t="str">
        <f t="shared" si="418"/>
        <v>Red</v>
      </c>
      <c r="Q1284" t="str">
        <f t="shared" si="419"/>
        <v>Red</v>
      </c>
      <c r="R1284" t="str">
        <f t="shared" si="420"/>
        <v>Green</v>
      </c>
      <c r="S1284" t="str">
        <f t="shared" si="421"/>
        <v>Red</v>
      </c>
      <c r="T1284" t="str">
        <f t="shared" si="422"/>
        <v>Green</v>
      </c>
      <c r="U1284" t="str">
        <f t="shared" si="423"/>
        <v>Green</v>
      </c>
      <c r="V1284" t="str">
        <f t="shared" si="424"/>
        <v>Red</v>
      </c>
      <c r="W1284" t="str">
        <f t="shared" si="425"/>
        <v>Red</v>
      </c>
      <c r="X1284" t="str">
        <f t="shared" si="426"/>
        <v>Green</v>
      </c>
      <c r="Y1284" t="str">
        <f t="shared" si="427"/>
        <v>Green</v>
      </c>
      <c r="Z1284" t="str">
        <f t="shared" si="428"/>
        <v>Green</v>
      </c>
      <c r="AA1284" t="str">
        <f t="shared" si="429"/>
        <v>Red</v>
      </c>
      <c r="AB1284" t="str">
        <f t="shared" si="430"/>
        <v>Green</v>
      </c>
      <c r="AC1284" t="str">
        <f t="shared" si="431"/>
        <v>Red</v>
      </c>
      <c r="AD1284" t="str">
        <f t="shared" si="432"/>
        <v>Green</v>
      </c>
    </row>
    <row r="1285" spans="1:30" x14ac:dyDescent="0.2">
      <c r="A1285" t="str">
        <f>L1284&amp;F1285&amp;G1285</f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3859</v>
      </c>
      <c r="H1285">
        <v>1</v>
      </c>
      <c r="I1285">
        <v>0</v>
      </c>
      <c r="J1285">
        <v>2</v>
      </c>
      <c r="K1285">
        <v>0</v>
      </c>
      <c r="L1285" s="22" t="str">
        <f t="shared" si="414"/>
        <v>25/07/2026</v>
      </c>
      <c r="M1285" s="23">
        <f t="shared" si="415"/>
        <v>0.45833333333333337</v>
      </c>
      <c r="N1285" t="str">
        <f t="shared" si="416"/>
        <v>2 - 0</v>
      </c>
      <c r="O1285" t="str">
        <f t="shared" si="417"/>
        <v>Green</v>
      </c>
      <c r="P1285" t="str">
        <f t="shared" si="418"/>
        <v>Red</v>
      </c>
      <c r="Q1285" t="str">
        <f t="shared" si="419"/>
        <v>Red</v>
      </c>
      <c r="R1285" t="str">
        <f t="shared" si="420"/>
        <v>Green</v>
      </c>
      <c r="S1285" t="str">
        <f t="shared" si="421"/>
        <v>Red</v>
      </c>
      <c r="T1285" t="str">
        <f t="shared" si="422"/>
        <v>Green</v>
      </c>
      <c r="U1285" t="str">
        <f t="shared" si="423"/>
        <v>Green</v>
      </c>
      <c r="V1285" t="str">
        <f t="shared" si="424"/>
        <v>Red</v>
      </c>
      <c r="W1285" t="str">
        <f t="shared" si="425"/>
        <v>Red</v>
      </c>
      <c r="X1285" t="str">
        <f t="shared" si="426"/>
        <v>Green</v>
      </c>
      <c r="Y1285" t="str">
        <f t="shared" si="427"/>
        <v>Green</v>
      </c>
      <c r="Z1285" t="str">
        <f t="shared" si="428"/>
        <v>Red</v>
      </c>
      <c r="AA1285" t="str">
        <f t="shared" si="429"/>
        <v>Green</v>
      </c>
      <c r="AB1285" t="str">
        <f t="shared" si="430"/>
        <v>Green</v>
      </c>
      <c r="AC1285" t="str">
        <f t="shared" si="431"/>
        <v>Red</v>
      </c>
      <c r="AD1285" t="str">
        <f t="shared" si="432"/>
        <v>Green</v>
      </c>
    </row>
    <row r="1286" spans="1:30" x14ac:dyDescent="0.2">
      <c r="A1286" t="str">
        <f>L1285&amp;F1286&amp;G1286</f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3860</v>
      </c>
      <c r="H1286">
        <v>0</v>
      </c>
      <c r="I1286">
        <v>0</v>
      </c>
      <c r="J1286">
        <v>0</v>
      </c>
      <c r="K1286">
        <v>0</v>
      </c>
      <c r="L1286" s="22" t="str">
        <f t="shared" si="414"/>
        <v>25/07/2026</v>
      </c>
      <c r="M1286" s="23">
        <f t="shared" si="415"/>
        <v>0.45833333333333337</v>
      </c>
      <c r="N1286" t="str">
        <f t="shared" si="416"/>
        <v>0 - 0</v>
      </c>
      <c r="O1286" t="str">
        <f t="shared" si="417"/>
        <v>Red</v>
      </c>
      <c r="P1286" t="str">
        <f t="shared" si="418"/>
        <v>Green</v>
      </c>
      <c r="Q1286" t="str">
        <f t="shared" si="419"/>
        <v>Red</v>
      </c>
      <c r="R1286" t="str">
        <f t="shared" si="420"/>
        <v>Green</v>
      </c>
      <c r="S1286" t="str">
        <f t="shared" si="421"/>
        <v>Green</v>
      </c>
      <c r="T1286" t="str">
        <f t="shared" si="422"/>
        <v>Red</v>
      </c>
      <c r="U1286" t="str">
        <f t="shared" si="423"/>
        <v>Red</v>
      </c>
      <c r="V1286" t="str">
        <f t="shared" si="424"/>
        <v>Green</v>
      </c>
      <c r="W1286" t="str">
        <f t="shared" si="425"/>
        <v>Red</v>
      </c>
      <c r="X1286" t="str">
        <f t="shared" si="426"/>
        <v>Red</v>
      </c>
      <c r="Y1286" t="str">
        <f t="shared" si="427"/>
        <v>Red</v>
      </c>
      <c r="Z1286" t="str">
        <f t="shared" si="428"/>
        <v>Red</v>
      </c>
      <c r="AA1286" t="str">
        <f t="shared" si="429"/>
        <v>Green</v>
      </c>
      <c r="AB1286" t="str">
        <f t="shared" si="430"/>
        <v>Green</v>
      </c>
      <c r="AC1286" t="str">
        <f t="shared" si="431"/>
        <v>Red</v>
      </c>
      <c r="AD1286" t="str">
        <f t="shared" si="432"/>
        <v>Green</v>
      </c>
    </row>
    <row r="1287" spans="1:30" x14ac:dyDescent="0.2">
      <c r="A1287" t="str">
        <f>L1286&amp;F1287&amp;G1287</f>
        <v>25/07/2026Boston UnitedPeterborough United</v>
      </c>
      <c r="D1287" s="2">
        <v>46228</v>
      </c>
      <c r="E1287" s="3">
        <v>0.58333333333333337</v>
      </c>
      <c r="F1287" t="s">
        <v>3861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14"/>
        <v>25/07/2026</v>
      </c>
      <c r="M1287" s="23">
        <f t="shared" si="415"/>
        <v>0.45833333333333337</v>
      </c>
      <c r="N1287" t="str">
        <f t="shared" si="416"/>
        <v>1 - 0</v>
      </c>
      <c r="O1287" t="str">
        <f t="shared" si="417"/>
        <v>Green</v>
      </c>
      <c r="P1287" t="str">
        <f t="shared" si="418"/>
        <v>Red</v>
      </c>
      <c r="Q1287" t="str">
        <f t="shared" si="419"/>
        <v>Red</v>
      </c>
      <c r="R1287" t="str">
        <f t="shared" si="420"/>
        <v>Green</v>
      </c>
      <c r="S1287" t="str">
        <f t="shared" si="421"/>
        <v>Red</v>
      </c>
      <c r="T1287" t="str">
        <f t="shared" si="422"/>
        <v>Green</v>
      </c>
      <c r="U1287" t="str">
        <f t="shared" si="423"/>
        <v>Red</v>
      </c>
      <c r="V1287" t="str">
        <f t="shared" si="424"/>
        <v>Green</v>
      </c>
      <c r="W1287" t="str">
        <f t="shared" si="425"/>
        <v>Red</v>
      </c>
      <c r="X1287" t="str">
        <f t="shared" si="426"/>
        <v>Red</v>
      </c>
      <c r="Y1287" t="str">
        <f t="shared" si="427"/>
        <v>Red</v>
      </c>
      <c r="Z1287" t="str">
        <f t="shared" si="428"/>
        <v>Red</v>
      </c>
      <c r="AA1287" t="str">
        <f t="shared" si="429"/>
        <v>Green</v>
      </c>
      <c r="AB1287" t="str">
        <f t="shared" si="430"/>
        <v>Green</v>
      </c>
      <c r="AC1287" t="str">
        <f t="shared" si="431"/>
        <v>Red</v>
      </c>
      <c r="AD1287" t="str">
        <f t="shared" si="432"/>
        <v>Green</v>
      </c>
    </row>
    <row r="1288" spans="1:30" x14ac:dyDescent="0.2">
      <c r="A1288" t="str">
        <f>L1287&amp;F1288&amp;G1288</f>
        <v>25/07/2026Bristol City U21Merthyr Town</v>
      </c>
      <c r="D1288" s="2">
        <v>46228</v>
      </c>
      <c r="E1288" s="3">
        <v>0.58333333333333337</v>
      </c>
      <c r="F1288" t="s">
        <v>3862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14"/>
        <v>25/07/2026</v>
      </c>
      <c r="M1288" s="23">
        <f t="shared" si="415"/>
        <v>0.45833333333333337</v>
      </c>
      <c r="N1288" t="str">
        <f t="shared" si="416"/>
        <v>1 - 1</v>
      </c>
      <c r="O1288" t="str">
        <f t="shared" si="417"/>
        <v>Red</v>
      </c>
      <c r="P1288" t="str">
        <f t="shared" si="418"/>
        <v>Green</v>
      </c>
      <c r="Q1288" t="str">
        <f t="shared" si="419"/>
        <v>Red</v>
      </c>
      <c r="R1288" t="str">
        <f t="shared" si="420"/>
        <v>Green</v>
      </c>
      <c r="S1288" t="str">
        <f t="shared" si="421"/>
        <v>Green</v>
      </c>
      <c r="T1288" t="str">
        <f t="shared" si="422"/>
        <v>Red</v>
      </c>
      <c r="U1288" t="str">
        <f t="shared" si="423"/>
        <v>Red</v>
      </c>
      <c r="V1288" t="str">
        <f t="shared" si="424"/>
        <v>Green</v>
      </c>
      <c r="W1288" t="str">
        <f t="shared" si="425"/>
        <v>Red</v>
      </c>
      <c r="X1288" t="str">
        <f t="shared" si="426"/>
        <v>Green</v>
      </c>
      <c r="Y1288" t="str">
        <f t="shared" si="427"/>
        <v>Green</v>
      </c>
      <c r="Z1288" t="str">
        <f t="shared" si="428"/>
        <v>Red</v>
      </c>
      <c r="AA1288" t="str">
        <f t="shared" si="429"/>
        <v>Green</v>
      </c>
      <c r="AB1288" t="str">
        <f t="shared" si="430"/>
        <v>Green</v>
      </c>
      <c r="AC1288" t="str">
        <f t="shared" si="431"/>
        <v>Green</v>
      </c>
      <c r="AD1288" t="str">
        <f t="shared" si="432"/>
        <v>Red</v>
      </c>
    </row>
    <row r="1289" spans="1:30" x14ac:dyDescent="0.2">
      <c r="A1289" t="str">
        <f>L1288&amp;F1289&amp;G1289</f>
        <v>25/07/2026BromleyCrystal Palace</v>
      </c>
      <c r="D1289" s="2">
        <v>46228</v>
      </c>
      <c r="E1289" s="3">
        <v>0.58333333333333337</v>
      </c>
      <c r="F1289" t="s">
        <v>3863</v>
      </c>
      <c r="G1289" t="s">
        <v>3864</v>
      </c>
      <c r="H1289">
        <v>0</v>
      </c>
      <c r="I1289">
        <v>0</v>
      </c>
      <c r="J1289">
        <v>3</v>
      </c>
      <c r="K1289">
        <v>0</v>
      </c>
      <c r="L1289" s="22" t="str">
        <f t="shared" si="414"/>
        <v>25/07/2026</v>
      </c>
      <c r="M1289" s="23">
        <f t="shared" si="415"/>
        <v>0.45833333333333337</v>
      </c>
      <c r="N1289" t="str">
        <f t="shared" si="416"/>
        <v>3 - 0</v>
      </c>
      <c r="O1289" t="str">
        <f t="shared" si="417"/>
        <v>Green</v>
      </c>
      <c r="P1289" t="str">
        <f t="shared" si="418"/>
        <v>Red</v>
      </c>
      <c r="Q1289" t="str">
        <f t="shared" si="419"/>
        <v>Red</v>
      </c>
      <c r="R1289" t="str">
        <f t="shared" si="420"/>
        <v>Green</v>
      </c>
      <c r="S1289" t="str">
        <f t="shared" si="421"/>
        <v>Red</v>
      </c>
      <c r="T1289" t="str">
        <f t="shared" si="422"/>
        <v>Green</v>
      </c>
      <c r="U1289" t="str">
        <f t="shared" si="423"/>
        <v>Red</v>
      </c>
      <c r="V1289" t="str">
        <f t="shared" si="424"/>
        <v>Green</v>
      </c>
      <c r="W1289" t="str">
        <f t="shared" si="425"/>
        <v>Red</v>
      </c>
      <c r="X1289" t="str">
        <f t="shared" si="426"/>
        <v>Red</v>
      </c>
      <c r="Y1289" t="str">
        <f t="shared" si="427"/>
        <v>Green</v>
      </c>
      <c r="Z1289" t="str">
        <f t="shared" si="428"/>
        <v>Green</v>
      </c>
      <c r="AA1289" t="str">
        <f t="shared" si="429"/>
        <v>Red</v>
      </c>
      <c r="AB1289" t="str">
        <f t="shared" si="430"/>
        <v>Green</v>
      </c>
      <c r="AC1289" t="str">
        <f t="shared" si="431"/>
        <v>Red</v>
      </c>
      <c r="AD1289" t="str">
        <f t="shared" si="432"/>
        <v>Green</v>
      </c>
    </row>
    <row r="1290" spans="1:30" x14ac:dyDescent="0.2">
      <c r="A1290" t="str">
        <f>L1289&amp;F1290&amp;G1290</f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3865</v>
      </c>
      <c r="H1290">
        <v>3</v>
      </c>
      <c r="I1290">
        <v>0</v>
      </c>
      <c r="J1290">
        <v>8</v>
      </c>
      <c r="K1290">
        <v>0</v>
      </c>
      <c r="L1290" s="22" t="str">
        <f t="shared" si="414"/>
        <v>25/07/2026</v>
      </c>
      <c r="M1290" s="23">
        <f t="shared" si="415"/>
        <v>0.45833333333333337</v>
      </c>
      <c r="N1290" t="str">
        <f t="shared" si="416"/>
        <v>8 - 0</v>
      </c>
      <c r="O1290" t="str">
        <f t="shared" si="417"/>
        <v>Green</v>
      </c>
      <c r="P1290" t="str">
        <f t="shared" si="418"/>
        <v>Red</v>
      </c>
      <c r="Q1290" t="str">
        <f t="shared" si="419"/>
        <v>Red</v>
      </c>
      <c r="R1290" t="str">
        <f t="shared" si="420"/>
        <v>Green</v>
      </c>
      <c r="S1290" t="str">
        <f t="shared" si="421"/>
        <v>Red</v>
      </c>
      <c r="T1290" t="str">
        <f t="shared" si="422"/>
        <v>Green</v>
      </c>
      <c r="U1290" t="str">
        <f t="shared" si="423"/>
        <v>Green</v>
      </c>
      <c r="V1290" t="str">
        <f t="shared" si="424"/>
        <v>Red</v>
      </c>
      <c r="W1290" t="str">
        <f t="shared" si="425"/>
        <v>Red</v>
      </c>
      <c r="X1290" t="str">
        <f t="shared" si="426"/>
        <v>Green</v>
      </c>
      <c r="Y1290" t="str">
        <f t="shared" si="427"/>
        <v>Green</v>
      </c>
      <c r="Z1290" t="str">
        <f t="shared" si="428"/>
        <v>Green</v>
      </c>
      <c r="AA1290" t="str">
        <f t="shared" si="429"/>
        <v>Red</v>
      </c>
      <c r="AB1290" t="str">
        <f t="shared" si="430"/>
        <v>Red</v>
      </c>
      <c r="AC1290" t="str">
        <f t="shared" si="431"/>
        <v>Red</v>
      </c>
      <c r="AD1290" t="str">
        <f t="shared" si="432"/>
        <v>Green</v>
      </c>
    </row>
    <row r="1291" spans="1:30" x14ac:dyDescent="0.2">
      <c r="A1291" t="str">
        <f>L1290&amp;F1291&amp;G1291</f>
        <v>25/07/2026Bury TownCambridge City</v>
      </c>
      <c r="D1291" s="2">
        <v>46228</v>
      </c>
      <c r="E1291" s="3">
        <v>0.58333333333333337</v>
      </c>
      <c r="F1291" t="s">
        <v>3866</v>
      </c>
      <c r="G1291" t="s">
        <v>3867</v>
      </c>
      <c r="H1291">
        <v>0</v>
      </c>
      <c r="I1291">
        <v>1</v>
      </c>
      <c r="J1291">
        <v>1</v>
      </c>
      <c r="K1291">
        <v>2</v>
      </c>
      <c r="L1291" s="22" t="str">
        <f t="shared" si="414"/>
        <v>25/07/2026</v>
      </c>
      <c r="M1291" s="23">
        <f t="shared" si="415"/>
        <v>0.45833333333333337</v>
      </c>
      <c r="N1291" t="str">
        <f t="shared" si="416"/>
        <v>1 - 2</v>
      </c>
      <c r="O1291" t="str">
        <f t="shared" si="417"/>
        <v>Red</v>
      </c>
      <c r="P1291" t="str">
        <f t="shared" si="418"/>
        <v>Red</v>
      </c>
      <c r="Q1291" t="str">
        <f t="shared" si="419"/>
        <v>Green</v>
      </c>
      <c r="R1291" t="str">
        <f t="shared" si="420"/>
        <v>Red</v>
      </c>
      <c r="S1291" t="str">
        <f t="shared" si="421"/>
        <v>Green</v>
      </c>
      <c r="T1291" t="str">
        <f t="shared" si="422"/>
        <v>Green</v>
      </c>
      <c r="U1291" t="str">
        <f t="shared" si="423"/>
        <v>Red</v>
      </c>
      <c r="V1291" t="str">
        <f t="shared" si="424"/>
        <v>Red</v>
      </c>
      <c r="W1291" t="str">
        <f t="shared" si="425"/>
        <v>Green</v>
      </c>
      <c r="X1291" t="str">
        <f t="shared" si="426"/>
        <v>Green</v>
      </c>
      <c r="Y1291" t="str">
        <f t="shared" si="427"/>
        <v>Green</v>
      </c>
      <c r="Z1291" t="str">
        <f t="shared" si="428"/>
        <v>Green</v>
      </c>
      <c r="AA1291" t="str">
        <f t="shared" si="429"/>
        <v>Red</v>
      </c>
      <c r="AB1291" t="str">
        <f t="shared" si="430"/>
        <v>Green</v>
      </c>
      <c r="AC1291" t="str">
        <f t="shared" si="431"/>
        <v>Green</v>
      </c>
      <c r="AD1291" t="str">
        <f t="shared" si="432"/>
        <v>Red</v>
      </c>
    </row>
    <row r="1292" spans="1:30" x14ac:dyDescent="0.2">
      <c r="A1292" t="str">
        <f>L1291&amp;F1292&amp;G1292</f>
        <v>25/07/2026Canvey IslandBrentwood Town</v>
      </c>
      <c r="D1292" s="2">
        <v>46228</v>
      </c>
      <c r="E1292" s="3">
        <v>0.58333333333333337</v>
      </c>
      <c r="F1292" t="s">
        <v>3868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14"/>
        <v>25/07/2026</v>
      </c>
      <c r="M1292" s="23">
        <f t="shared" si="415"/>
        <v>0.45833333333333337</v>
      </c>
      <c r="N1292" t="str">
        <f t="shared" si="416"/>
        <v>3 - 4</v>
      </c>
      <c r="O1292" t="str">
        <f t="shared" si="417"/>
        <v>Red</v>
      </c>
      <c r="P1292" t="str">
        <f t="shared" si="418"/>
        <v>Red</v>
      </c>
      <c r="Q1292" t="str">
        <f t="shared" si="419"/>
        <v>Green</v>
      </c>
      <c r="R1292" t="str">
        <f t="shared" si="420"/>
        <v>Red</v>
      </c>
      <c r="S1292" t="str">
        <f t="shared" si="421"/>
        <v>Green</v>
      </c>
      <c r="T1292" t="str">
        <f t="shared" si="422"/>
        <v>Green</v>
      </c>
      <c r="U1292" t="str">
        <f t="shared" si="423"/>
        <v>Red</v>
      </c>
      <c r="V1292" t="str">
        <f t="shared" si="424"/>
        <v>Red</v>
      </c>
      <c r="W1292" t="str">
        <f t="shared" si="425"/>
        <v>Green</v>
      </c>
      <c r="X1292" t="str">
        <f t="shared" si="426"/>
        <v>Green</v>
      </c>
      <c r="Y1292" t="str">
        <f t="shared" si="427"/>
        <v>Green</v>
      </c>
      <c r="Z1292" t="str">
        <f t="shared" si="428"/>
        <v>Green</v>
      </c>
      <c r="AA1292" t="str">
        <f t="shared" si="429"/>
        <v>Red</v>
      </c>
      <c r="AB1292" t="str">
        <f t="shared" si="430"/>
        <v>Red</v>
      </c>
      <c r="AC1292" t="str">
        <f t="shared" si="431"/>
        <v>Green</v>
      </c>
      <c r="AD1292" t="str">
        <f t="shared" si="432"/>
        <v>Red</v>
      </c>
    </row>
    <row r="1293" spans="1:30" x14ac:dyDescent="0.2">
      <c r="A1293" t="str">
        <f>L1292&amp;F1293&amp;G1293</f>
        <v>25/07/2026CelticAC Milan</v>
      </c>
      <c r="D1293" s="2">
        <v>46228</v>
      </c>
      <c r="E1293" s="3">
        <v>0.58333333333333337</v>
      </c>
      <c r="F1293" t="s">
        <v>3869</v>
      </c>
      <c r="G1293" t="s">
        <v>3870</v>
      </c>
      <c r="H1293">
        <v>2</v>
      </c>
      <c r="I1293">
        <v>0</v>
      </c>
      <c r="J1293">
        <v>2</v>
      </c>
      <c r="K1293">
        <v>2</v>
      </c>
      <c r="L1293" s="22" t="str">
        <f t="shared" si="414"/>
        <v>25/07/2026</v>
      </c>
      <c r="M1293" s="23">
        <f t="shared" si="415"/>
        <v>0.45833333333333337</v>
      </c>
      <c r="N1293" t="str">
        <f t="shared" si="416"/>
        <v>2 - 2</v>
      </c>
      <c r="O1293" t="str">
        <f t="shared" si="417"/>
        <v>Red</v>
      </c>
      <c r="P1293" t="str">
        <f t="shared" si="418"/>
        <v>Green</v>
      </c>
      <c r="Q1293" t="str">
        <f t="shared" si="419"/>
        <v>Red</v>
      </c>
      <c r="R1293" t="str">
        <f t="shared" si="420"/>
        <v>Green</v>
      </c>
      <c r="S1293" t="str">
        <f t="shared" si="421"/>
        <v>Green</v>
      </c>
      <c r="T1293" t="str">
        <f t="shared" si="422"/>
        <v>Red</v>
      </c>
      <c r="U1293" t="str">
        <f t="shared" si="423"/>
        <v>Green</v>
      </c>
      <c r="V1293" t="str">
        <f t="shared" si="424"/>
        <v>Red</v>
      </c>
      <c r="W1293" t="str">
        <f t="shared" si="425"/>
        <v>Red</v>
      </c>
      <c r="X1293" t="str">
        <f t="shared" si="426"/>
        <v>Green</v>
      </c>
      <c r="Y1293" t="str">
        <f t="shared" si="427"/>
        <v>Green</v>
      </c>
      <c r="Z1293" t="str">
        <f t="shared" si="428"/>
        <v>Green</v>
      </c>
      <c r="AA1293" t="str">
        <f t="shared" si="429"/>
        <v>Red</v>
      </c>
      <c r="AB1293" t="str">
        <f t="shared" si="430"/>
        <v>Red</v>
      </c>
      <c r="AC1293" t="str">
        <f t="shared" si="431"/>
        <v>Green</v>
      </c>
      <c r="AD1293" t="str">
        <f t="shared" si="432"/>
        <v>Red</v>
      </c>
    </row>
    <row r="1294" spans="1:30" x14ac:dyDescent="0.2">
      <c r="A1294" t="str">
        <f>L1293&amp;F1294&amp;G1294</f>
        <v>25/07/2026Chelmsford CityWitham Town</v>
      </c>
      <c r="D1294" s="2">
        <v>46228</v>
      </c>
      <c r="E1294" s="3">
        <v>0.58333333333333337</v>
      </c>
      <c r="F1294" t="s">
        <v>3871</v>
      </c>
      <c r="G1294" t="s">
        <v>3872</v>
      </c>
      <c r="H1294">
        <v>0</v>
      </c>
      <c r="I1294">
        <v>1</v>
      </c>
      <c r="J1294">
        <v>1</v>
      </c>
      <c r="K1294">
        <v>2</v>
      </c>
      <c r="L1294" s="22" t="str">
        <f t="shared" si="414"/>
        <v>25/07/2026</v>
      </c>
      <c r="M1294" s="23">
        <f t="shared" si="415"/>
        <v>0.45833333333333337</v>
      </c>
      <c r="N1294" t="str">
        <f t="shared" si="416"/>
        <v>1 - 2</v>
      </c>
      <c r="O1294" t="str">
        <f t="shared" si="417"/>
        <v>Red</v>
      </c>
      <c r="P1294" t="str">
        <f t="shared" si="418"/>
        <v>Red</v>
      </c>
      <c r="Q1294" t="str">
        <f t="shared" si="419"/>
        <v>Green</v>
      </c>
      <c r="R1294" t="str">
        <f t="shared" si="420"/>
        <v>Red</v>
      </c>
      <c r="S1294" t="str">
        <f t="shared" si="421"/>
        <v>Green</v>
      </c>
      <c r="T1294" t="str">
        <f t="shared" si="422"/>
        <v>Green</v>
      </c>
      <c r="U1294" t="str">
        <f t="shared" si="423"/>
        <v>Red</v>
      </c>
      <c r="V1294" t="str">
        <f t="shared" si="424"/>
        <v>Red</v>
      </c>
      <c r="W1294" t="str">
        <f t="shared" si="425"/>
        <v>Green</v>
      </c>
      <c r="X1294" t="str">
        <f t="shared" si="426"/>
        <v>Green</v>
      </c>
      <c r="Y1294" t="str">
        <f t="shared" si="427"/>
        <v>Green</v>
      </c>
      <c r="Z1294" t="str">
        <f t="shared" si="428"/>
        <v>Green</v>
      </c>
      <c r="AA1294" t="str">
        <f t="shared" si="429"/>
        <v>Red</v>
      </c>
      <c r="AB1294" t="str">
        <f t="shared" si="430"/>
        <v>Green</v>
      </c>
      <c r="AC1294" t="str">
        <f t="shared" si="431"/>
        <v>Green</v>
      </c>
      <c r="AD1294" t="str">
        <f t="shared" si="432"/>
        <v>Red</v>
      </c>
    </row>
    <row r="1295" spans="1:30" x14ac:dyDescent="0.2">
      <c r="A1295" t="str">
        <f>L1294&amp;F1295&amp;G1295</f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14"/>
        <v>25/07/2026</v>
      </c>
      <c r="M1295" s="23">
        <f t="shared" si="415"/>
        <v>0.45833333333333337</v>
      </c>
      <c r="N1295" t="str">
        <f t="shared" si="416"/>
        <v>1 - 1</v>
      </c>
      <c r="O1295" t="str">
        <f t="shared" si="417"/>
        <v>Red</v>
      </c>
      <c r="P1295" t="str">
        <f t="shared" si="418"/>
        <v>Green</v>
      </c>
      <c r="Q1295" t="str">
        <f t="shared" si="419"/>
        <v>Red</v>
      </c>
      <c r="R1295" t="str">
        <f t="shared" si="420"/>
        <v>Green</v>
      </c>
      <c r="S1295" t="str">
        <f t="shared" si="421"/>
        <v>Green</v>
      </c>
      <c r="T1295" t="str">
        <f t="shared" si="422"/>
        <v>Red</v>
      </c>
      <c r="U1295" t="str">
        <f t="shared" si="423"/>
        <v>Red</v>
      </c>
      <c r="V1295" t="str">
        <f t="shared" si="424"/>
        <v>Red</v>
      </c>
      <c r="W1295" t="str">
        <f t="shared" si="425"/>
        <v>Green</v>
      </c>
      <c r="X1295" t="str">
        <f t="shared" si="426"/>
        <v>Green</v>
      </c>
      <c r="Y1295" t="str">
        <f t="shared" si="427"/>
        <v>Green</v>
      </c>
      <c r="Z1295" t="str">
        <f t="shared" si="428"/>
        <v>Red</v>
      </c>
      <c r="AA1295" t="str">
        <f t="shared" si="429"/>
        <v>Green</v>
      </c>
      <c r="AB1295" t="str">
        <f t="shared" si="430"/>
        <v>Green</v>
      </c>
      <c r="AC1295" t="str">
        <f t="shared" si="431"/>
        <v>Green</v>
      </c>
      <c r="AD1295" t="str">
        <f t="shared" si="432"/>
        <v>Red</v>
      </c>
    </row>
    <row r="1296" spans="1:30" x14ac:dyDescent="0.2">
      <c r="A1296" t="str">
        <f>L1295&amp;F1296&amp;G1296</f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3873</v>
      </c>
      <c r="H1296">
        <v>0</v>
      </c>
      <c r="I1296">
        <v>1</v>
      </c>
      <c r="J1296">
        <v>1</v>
      </c>
      <c r="K1296">
        <v>2</v>
      </c>
      <c r="L1296" s="22" t="str">
        <f t="shared" si="414"/>
        <v>25/07/2026</v>
      </c>
      <c r="M1296" s="23">
        <f t="shared" si="415"/>
        <v>0.45833333333333337</v>
      </c>
      <c r="N1296" t="str">
        <f t="shared" si="416"/>
        <v>1 - 2</v>
      </c>
      <c r="O1296" t="str">
        <f t="shared" si="417"/>
        <v>Red</v>
      </c>
      <c r="P1296" t="str">
        <f t="shared" si="418"/>
        <v>Red</v>
      </c>
      <c r="Q1296" t="str">
        <f t="shared" si="419"/>
        <v>Green</v>
      </c>
      <c r="R1296" t="str">
        <f t="shared" si="420"/>
        <v>Red</v>
      </c>
      <c r="S1296" t="str">
        <f t="shared" si="421"/>
        <v>Green</v>
      </c>
      <c r="T1296" t="str">
        <f t="shared" si="422"/>
        <v>Green</v>
      </c>
      <c r="U1296" t="str">
        <f t="shared" si="423"/>
        <v>Red</v>
      </c>
      <c r="V1296" t="str">
        <f t="shared" si="424"/>
        <v>Red</v>
      </c>
      <c r="W1296" t="str">
        <f t="shared" si="425"/>
        <v>Green</v>
      </c>
      <c r="X1296" t="str">
        <f t="shared" si="426"/>
        <v>Green</v>
      </c>
      <c r="Y1296" t="str">
        <f t="shared" si="427"/>
        <v>Green</v>
      </c>
      <c r="Z1296" t="str">
        <f t="shared" si="428"/>
        <v>Green</v>
      </c>
      <c r="AA1296" t="str">
        <f t="shared" si="429"/>
        <v>Red</v>
      </c>
      <c r="AB1296" t="str">
        <f t="shared" si="430"/>
        <v>Green</v>
      </c>
      <c r="AC1296" t="str">
        <f t="shared" si="431"/>
        <v>Green</v>
      </c>
      <c r="AD1296" t="str">
        <f t="shared" si="432"/>
        <v>Red</v>
      </c>
    </row>
    <row r="1297" spans="1:30" x14ac:dyDescent="0.2">
      <c r="A1297" t="str">
        <f>L1296&amp;F1297&amp;G1297</f>
        <v>25/07/2026Chichester CityAylesbury United</v>
      </c>
      <c r="D1297" s="2">
        <v>46228</v>
      </c>
      <c r="E1297" s="3">
        <v>0.58333333333333337</v>
      </c>
      <c r="F1297" t="s">
        <v>3874</v>
      </c>
      <c r="G1297" t="s">
        <v>3875</v>
      </c>
      <c r="H1297">
        <v>1</v>
      </c>
      <c r="I1297">
        <v>1</v>
      </c>
      <c r="J1297">
        <v>2</v>
      </c>
      <c r="K1297">
        <v>1</v>
      </c>
      <c r="L1297" s="22" t="str">
        <f t="shared" si="414"/>
        <v>25/07/2026</v>
      </c>
      <c r="M1297" s="23">
        <f t="shared" si="415"/>
        <v>0.45833333333333337</v>
      </c>
      <c r="N1297" t="str">
        <f t="shared" si="416"/>
        <v>2 - 1</v>
      </c>
      <c r="O1297" t="str">
        <f t="shared" si="417"/>
        <v>Green</v>
      </c>
      <c r="P1297" t="str">
        <f t="shared" si="418"/>
        <v>Red</v>
      </c>
      <c r="Q1297" t="str">
        <f t="shared" si="419"/>
        <v>Red</v>
      </c>
      <c r="R1297" t="str">
        <f t="shared" si="420"/>
        <v>Green</v>
      </c>
      <c r="S1297" t="str">
        <f t="shared" si="421"/>
        <v>Red</v>
      </c>
      <c r="T1297" t="str">
        <f t="shared" si="422"/>
        <v>Green</v>
      </c>
      <c r="U1297" t="str">
        <f t="shared" si="423"/>
        <v>Red</v>
      </c>
      <c r="V1297" t="str">
        <f t="shared" si="424"/>
        <v>Green</v>
      </c>
      <c r="W1297" t="str">
        <f t="shared" si="425"/>
        <v>Red</v>
      </c>
      <c r="X1297" t="str">
        <f t="shared" si="426"/>
        <v>Green</v>
      </c>
      <c r="Y1297" t="str">
        <f t="shared" si="427"/>
        <v>Green</v>
      </c>
      <c r="Z1297" t="str">
        <f t="shared" si="428"/>
        <v>Green</v>
      </c>
      <c r="AA1297" t="str">
        <f t="shared" si="429"/>
        <v>Red</v>
      </c>
      <c r="AB1297" t="str">
        <f t="shared" si="430"/>
        <v>Green</v>
      </c>
      <c r="AC1297" t="str">
        <f t="shared" si="431"/>
        <v>Green</v>
      </c>
      <c r="AD1297" t="str">
        <f t="shared" si="432"/>
        <v>Red</v>
      </c>
    </row>
    <row r="1298" spans="1:30" x14ac:dyDescent="0.2">
      <c r="A1298" t="str">
        <f>L1297&amp;F1298&amp;G1298</f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3876</v>
      </c>
      <c r="H1298">
        <v>0</v>
      </c>
      <c r="I1298">
        <v>0</v>
      </c>
      <c r="J1298">
        <v>0</v>
      </c>
      <c r="K1298">
        <v>3</v>
      </c>
      <c r="L1298" s="22" t="str">
        <f t="shared" si="414"/>
        <v>25/07/2026</v>
      </c>
      <c r="M1298" s="23">
        <f t="shared" si="415"/>
        <v>0.45833333333333337</v>
      </c>
      <c r="N1298" t="str">
        <f t="shared" si="416"/>
        <v>0 - 3</v>
      </c>
      <c r="O1298" t="str">
        <f t="shared" si="417"/>
        <v>Red</v>
      </c>
      <c r="P1298" t="str">
        <f t="shared" si="418"/>
        <v>Red</v>
      </c>
      <c r="Q1298" t="str">
        <f t="shared" si="419"/>
        <v>Green</v>
      </c>
      <c r="R1298" t="str">
        <f t="shared" si="420"/>
        <v>Red</v>
      </c>
      <c r="S1298" t="str">
        <f t="shared" si="421"/>
        <v>Green</v>
      </c>
      <c r="T1298" t="str">
        <f t="shared" si="422"/>
        <v>Green</v>
      </c>
      <c r="U1298" t="str">
        <f t="shared" si="423"/>
        <v>Red</v>
      </c>
      <c r="V1298" t="str">
        <f t="shared" si="424"/>
        <v>Green</v>
      </c>
      <c r="W1298" t="str">
        <f t="shared" si="425"/>
        <v>Red</v>
      </c>
      <c r="X1298" t="str">
        <f t="shared" si="426"/>
        <v>Red</v>
      </c>
      <c r="Y1298" t="str">
        <f t="shared" si="427"/>
        <v>Green</v>
      </c>
      <c r="Z1298" t="str">
        <f t="shared" si="428"/>
        <v>Green</v>
      </c>
      <c r="AA1298" t="str">
        <f t="shared" si="429"/>
        <v>Red</v>
      </c>
      <c r="AB1298" t="str">
        <f t="shared" si="430"/>
        <v>Green</v>
      </c>
      <c r="AC1298" t="str">
        <f t="shared" si="431"/>
        <v>Red</v>
      </c>
      <c r="AD1298" t="str">
        <f t="shared" si="432"/>
        <v>Green</v>
      </c>
    </row>
    <row r="1299" spans="1:30" x14ac:dyDescent="0.2">
      <c r="A1299" t="str">
        <f>L1298&amp;F1299&amp;G1299</f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3877</v>
      </c>
      <c r="H1299">
        <v>0</v>
      </c>
      <c r="I1299">
        <v>1</v>
      </c>
      <c r="J1299">
        <v>0</v>
      </c>
      <c r="K1299">
        <v>1</v>
      </c>
      <c r="L1299" s="22" t="str">
        <f t="shared" si="414"/>
        <v>25/07/2026</v>
      </c>
      <c r="M1299" s="23">
        <f t="shared" si="415"/>
        <v>0.45833333333333337</v>
      </c>
      <c r="N1299" t="str">
        <f t="shared" si="416"/>
        <v>0 - 1</v>
      </c>
      <c r="O1299" t="str">
        <f t="shared" si="417"/>
        <v>Red</v>
      </c>
      <c r="P1299" t="str">
        <f t="shared" si="418"/>
        <v>Red</v>
      </c>
      <c r="Q1299" t="str">
        <f t="shared" si="419"/>
        <v>Green</v>
      </c>
      <c r="R1299" t="str">
        <f t="shared" si="420"/>
        <v>Red</v>
      </c>
      <c r="S1299" t="str">
        <f t="shared" si="421"/>
        <v>Green</v>
      </c>
      <c r="T1299" t="str">
        <f t="shared" si="422"/>
        <v>Green</v>
      </c>
      <c r="U1299" t="str">
        <f t="shared" si="423"/>
        <v>Red</v>
      </c>
      <c r="V1299" t="str">
        <f t="shared" si="424"/>
        <v>Red</v>
      </c>
      <c r="W1299" t="str">
        <f t="shared" si="425"/>
        <v>Green</v>
      </c>
      <c r="X1299" t="str">
        <f t="shared" si="426"/>
        <v>Green</v>
      </c>
      <c r="Y1299" t="str">
        <f t="shared" si="427"/>
        <v>Red</v>
      </c>
      <c r="Z1299" t="str">
        <f t="shared" si="428"/>
        <v>Red</v>
      </c>
      <c r="AA1299" t="str">
        <f t="shared" si="429"/>
        <v>Green</v>
      </c>
      <c r="AB1299" t="str">
        <f t="shared" si="430"/>
        <v>Green</v>
      </c>
      <c r="AC1299" t="str">
        <f t="shared" si="431"/>
        <v>Red</v>
      </c>
      <c r="AD1299" t="str">
        <f t="shared" si="432"/>
        <v>Green</v>
      </c>
    </row>
    <row r="1300" spans="1:30" x14ac:dyDescent="0.2">
      <c r="A1300" t="str">
        <f>L1299&amp;F1300&amp;G1300</f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14"/>
        <v>25/07/2026</v>
      </c>
      <c r="M1300" s="23">
        <f t="shared" si="415"/>
        <v>0.45833333333333337</v>
      </c>
      <c r="N1300" t="str">
        <f t="shared" si="416"/>
        <v>1 - 2</v>
      </c>
      <c r="O1300" t="str">
        <f t="shared" si="417"/>
        <v>Red</v>
      </c>
      <c r="P1300" t="str">
        <f t="shared" si="418"/>
        <v>Red</v>
      </c>
      <c r="Q1300" t="str">
        <f t="shared" si="419"/>
        <v>Green</v>
      </c>
      <c r="R1300" t="str">
        <f t="shared" si="420"/>
        <v>Red</v>
      </c>
      <c r="S1300" t="str">
        <f t="shared" si="421"/>
        <v>Green</v>
      </c>
      <c r="T1300" t="str">
        <f t="shared" si="422"/>
        <v>Green</v>
      </c>
      <c r="U1300" t="str">
        <f t="shared" si="423"/>
        <v>Red</v>
      </c>
      <c r="V1300" t="str">
        <f t="shared" si="424"/>
        <v>Green</v>
      </c>
      <c r="W1300" t="str">
        <f t="shared" si="425"/>
        <v>Red</v>
      </c>
      <c r="X1300" t="str">
        <f t="shared" si="426"/>
        <v>Green</v>
      </c>
      <c r="Y1300" t="str">
        <f t="shared" si="427"/>
        <v>Green</v>
      </c>
      <c r="Z1300" t="str">
        <f t="shared" si="428"/>
        <v>Green</v>
      </c>
      <c r="AA1300" t="str">
        <f t="shared" si="429"/>
        <v>Red</v>
      </c>
      <c r="AB1300" t="str">
        <f t="shared" si="430"/>
        <v>Green</v>
      </c>
      <c r="AC1300" t="str">
        <f t="shared" si="431"/>
        <v>Green</v>
      </c>
      <c r="AD1300" t="str">
        <f t="shared" si="432"/>
        <v>Red</v>
      </c>
    </row>
    <row r="1301" spans="1:30" x14ac:dyDescent="0.2">
      <c r="A1301" t="str">
        <f>L1300&amp;F1301&amp;G1301</f>
        <v>25/07/2026Curzon AshtonClitheroe</v>
      </c>
      <c r="D1301" s="2">
        <v>46228</v>
      </c>
      <c r="E1301" s="3">
        <v>0.58333333333333337</v>
      </c>
      <c r="F1301" t="s">
        <v>3878</v>
      </c>
      <c r="G1301" t="s">
        <v>3879</v>
      </c>
      <c r="H1301">
        <v>1</v>
      </c>
      <c r="I1301">
        <v>0</v>
      </c>
      <c r="J1301">
        <v>1</v>
      </c>
      <c r="K1301">
        <v>1</v>
      </c>
      <c r="L1301" s="22" t="str">
        <f t="shared" si="414"/>
        <v>25/07/2026</v>
      </c>
      <c r="M1301" s="23">
        <f t="shared" si="415"/>
        <v>0.45833333333333337</v>
      </c>
      <c r="N1301" t="str">
        <f t="shared" si="416"/>
        <v>1 - 1</v>
      </c>
      <c r="O1301" t="str">
        <f t="shared" si="417"/>
        <v>Red</v>
      </c>
      <c r="P1301" t="str">
        <f t="shared" si="418"/>
        <v>Green</v>
      </c>
      <c r="Q1301" t="str">
        <f t="shared" si="419"/>
        <v>Red</v>
      </c>
      <c r="R1301" t="str">
        <f t="shared" si="420"/>
        <v>Green</v>
      </c>
      <c r="S1301" t="str">
        <f t="shared" si="421"/>
        <v>Green</v>
      </c>
      <c r="T1301" t="str">
        <f t="shared" si="422"/>
        <v>Red</v>
      </c>
      <c r="U1301" t="str">
        <f t="shared" si="423"/>
        <v>Green</v>
      </c>
      <c r="V1301" t="str">
        <f t="shared" si="424"/>
        <v>Red</v>
      </c>
      <c r="W1301" t="str">
        <f t="shared" si="425"/>
        <v>Red</v>
      </c>
      <c r="X1301" t="str">
        <f t="shared" si="426"/>
        <v>Green</v>
      </c>
      <c r="Y1301" t="str">
        <f t="shared" si="427"/>
        <v>Green</v>
      </c>
      <c r="Z1301" t="str">
        <f t="shared" si="428"/>
        <v>Red</v>
      </c>
      <c r="AA1301" t="str">
        <f t="shared" si="429"/>
        <v>Green</v>
      </c>
      <c r="AB1301" t="str">
        <f t="shared" si="430"/>
        <v>Green</v>
      </c>
      <c r="AC1301" t="str">
        <f t="shared" si="431"/>
        <v>Green</v>
      </c>
      <c r="AD1301" t="str">
        <f t="shared" si="432"/>
        <v>Red</v>
      </c>
    </row>
    <row r="1302" spans="1:30" x14ac:dyDescent="0.2">
      <c r="A1302" t="str">
        <f>L1301&amp;F1302&amp;G1302</f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3880</v>
      </c>
      <c r="H1302">
        <v>0</v>
      </c>
      <c r="I1302">
        <v>0</v>
      </c>
      <c r="J1302">
        <v>0</v>
      </c>
      <c r="K1302">
        <v>0</v>
      </c>
      <c r="L1302" s="22" t="str">
        <f t="shared" si="414"/>
        <v>25/07/2026</v>
      </c>
      <c r="M1302" s="23">
        <f t="shared" si="415"/>
        <v>0.45833333333333337</v>
      </c>
      <c r="N1302" t="str">
        <f t="shared" si="416"/>
        <v>0 - 0</v>
      </c>
      <c r="O1302" t="str">
        <f t="shared" si="417"/>
        <v>Red</v>
      </c>
      <c r="P1302" t="str">
        <f t="shared" si="418"/>
        <v>Green</v>
      </c>
      <c r="Q1302" t="str">
        <f t="shared" si="419"/>
        <v>Red</v>
      </c>
      <c r="R1302" t="str">
        <f t="shared" si="420"/>
        <v>Green</v>
      </c>
      <c r="S1302" t="str">
        <f t="shared" si="421"/>
        <v>Green</v>
      </c>
      <c r="T1302" t="str">
        <f t="shared" si="422"/>
        <v>Red</v>
      </c>
      <c r="U1302" t="str">
        <f t="shared" si="423"/>
        <v>Red</v>
      </c>
      <c r="V1302" t="str">
        <f t="shared" si="424"/>
        <v>Green</v>
      </c>
      <c r="W1302" t="str">
        <f t="shared" si="425"/>
        <v>Red</v>
      </c>
      <c r="X1302" t="str">
        <f t="shared" si="426"/>
        <v>Red</v>
      </c>
      <c r="Y1302" t="str">
        <f t="shared" si="427"/>
        <v>Red</v>
      </c>
      <c r="Z1302" t="str">
        <f t="shared" si="428"/>
        <v>Red</v>
      </c>
      <c r="AA1302" t="str">
        <f t="shared" si="429"/>
        <v>Green</v>
      </c>
      <c r="AB1302" t="str">
        <f t="shared" si="430"/>
        <v>Green</v>
      </c>
      <c r="AC1302" t="str">
        <f t="shared" si="431"/>
        <v>Red</v>
      </c>
      <c r="AD1302" t="str">
        <f t="shared" si="432"/>
        <v>Green</v>
      </c>
    </row>
    <row r="1303" spans="1:30" x14ac:dyDescent="0.2">
      <c r="A1303" t="str">
        <f>L1302&amp;F1303&amp;G1303</f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14"/>
        <v>25/07/2026</v>
      </c>
      <c r="M1303" s="23">
        <f t="shared" si="415"/>
        <v>0.45833333333333337</v>
      </c>
      <c r="N1303" t="str">
        <f t="shared" si="416"/>
        <v>1 - 0</v>
      </c>
      <c r="O1303" t="str">
        <f t="shared" si="417"/>
        <v>Green</v>
      </c>
      <c r="P1303" t="str">
        <f t="shared" si="418"/>
        <v>Red</v>
      </c>
      <c r="Q1303" t="str">
        <f t="shared" si="419"/>
        <v>Red</v>
      </c>
      <c r="R1303" t="str">
        <f t="shared" si="420"/>
        <v>Green</v>
      </c>
      <c r="S1303" t="str">
        <f t="shared" si="421"/>
        <v>Red</v>
      </c>
      <c r="T1303" t="str">
        <f t="shared" si="422"/>
        <v>Green</v>
      </c>
      <c r="U1303" t="str">
        <f t="shared" si="423"/>
        <v>Red</v>
      </c>
      <c r="V1303" t="str">
        <f t="shared" si="424"/>
        <v>Green</v>
      </c>
      <c r="W1303" t="str">
        <f t="shared" si="425"/>
        <v>Red</v>
      </c>
      <c r="X1303" t="str">
        <f t="shared" si="426"/>
        <v>Red</v>
      </c>
      <c r="Y1303" t="str">
        <f t="shared" si="427"/>
        <v>Red</v>
      </c>
      <c r="Z1303" t="str">
        <f t="shared" si="428"/>
        <v>Red</v>
      </c>
      <c r="AA1303" t="str">
        <f t="shared" si="429"/>
        <v>Green</v>
      </c>
      <c r="AB1303" t="str">
        <f t="shared" si="430"/>
        <v>Green</v>
      </c>
      <c r="AC1303" t="str">
        <f t="shared" si="431"/>
        <v>Red</v>
      </c>
      <c r="AD1303" t="str">
        <f t="shared" si="432"/>
        <v>Green</v>
      </c>
    </row>
    <row r="1304" spans="1:30" x14ac:dyDescent="0.2">
      <c r="A1304" t="str">
        <f>L1303&amp;F1304&amp;G1304</f>
        <v>25/07/2026DundelaBangor FC</v>
      </c>
      <c r="D1304" s="2">
        <v>46228</v>
      </c>
      <c r="E1304" s="3">
        <v>0.58333333333333337</v>
      </c>
      <c r="F1304" t="s">
        <v>3881</v>
      </c>
      <c r="G1304" t="s">
        <v>3882</v>
      </c>
      <c r="H1304">
        <v>0</v>
      </c>
      <c r="I1304">
        <v>1</v>
      </c>
      <c r="J1304">
        <v>1</v>
      </c>
      <c r="K1304">
        <v>1</v>
      </c>
      <c r="L1304" s="22" t="str">
        <f t="shared" si="414"/>
        <v>25/07/2026</v>
      </c>
      <c r="M1304" s="23">
        <f t="shared" si="415"/>
        <v>0.45833333333333337</v>
      </c>
      <c r="N1304" t="str">
        <f t="shared" si="416"/>
        <v>1 - 1</v>
      </c>
      <c r="O1304" t="str">
        <f t="shared" si="417"/>
        <v>Red</v>
      </c>
      <c r="P1304" t="str">
        <f t="shared" si="418"/>
        <v>Green</v>
      </c>
      <c r="Q1304" t="str">
        <f t="shared" si="419"/>
        <v>Red</v>
      </c>
      <c r="R1304" t="str">
        <f t="shared" si="420"/>
        <v>Green</v>
      </c>
      <c r="S1304" t="str">
        <f t="shared" si="421"/>
        <v>Green</v>
      </c>
      <c r="T1304" t="str">
        <f t="shared" si="422"/>
        <v>Red</v>
      </c>
      <c r="U1304" t="str">
        <f t="shared" si="423"/>
        <v>Red</v>
      </c>
      <c r="V1304" t="str">
        <f t="shared" si="424"/>
        <v>Red</v>
      </c>
      <c r="W1304" t="str">
        <f t="shared" si="425"/>
        <v>Green</v>
      </c>
      <c r="X1304" t="str">
        <f t="shared" si="426"/>
        <v>Green</v>
      </c>
      <c r="Y1304" t="str">
        <f t="shared" si="427"/>
        <v>Green</v>
      </c>
      <c r="Z1304" t="str">
        <f t="shared" si="428"/>
        <v>Red</v>
      </c>
      <c r="AA1304" t="str">
        <f t="shared" si="429"/>
        <v>Green</v>
      </c>
      <c r="AB1304" t="str">
        <f t="shared" si="430"/>
        <v>Green</v>
      </c>
      <c r="AC1304" t="str">
        <f t="shared" si="431"/>
        <v>Green</v>
      </c>
      <c r="AD1304" t="str">
        <f t="shared" si="432"/>
        <v>Red</v>
      </c>
    </row>
    <row r="1305" spans="1:30" x14ac:dyDescent="0.2">
      <c r="A1305" t="str">
        <f>L1304&amp;F1305&amp;G1305</f>
        <v>25/07/2026Eastbourne BoroughEastbourne Town</v>
      </c>
      <c r="D1305" s="2">
        <v>46228</v>
      </c>
      <c r="E1305" s="3">
        <v>0.58333333333333337</v>
      </c>
      <c r="F1305" t="s">
        <v>3883</v>
      </c>
      <c r="G1305" t="s">
        <v>3884</v>
      </c>
      <c r="H1305">
        <v>0</v>
      </c>
      <c r="I1305">
        <v>0</v>
      </c>
      <c r="J1305">
        <v>3</v>
      </c>
      <c r="K1305">
        <v>1</v>
      </c>
      <c r="L1305" s="22" t="str">
        <f t="shared" si="414"/>
        <v>25/07/2026</v>
      </c>
      <c r="M1305" s="23">
        <f t="shared" si="415"/>
        <v>0.45833333333333337</v>
      </c>
      <c r="N1305" t="str">
        <f t="shared" si="416"/>
        <v>3 - 1</v>
      </c>
      <c r="O1305" t="str">
        <f t="shared" si="417"/>
        <v>Green</v>
      </c>
      <c r="P1305" t="str">
        <f t="shared" si="418"/>
        <v>Red</v>
      </c>
      <c r="Q1305" t="str">
        <f t="shared" si="419"/>
        <v>Red</v>
      </c>
      <c r="R1305" t="str">
        <f t="shared" si="420"/>
        <v>Green</v>
      </c>
      <c r="S1305" t="str">
        <f t="shared" si="421"/>
        <v>Red</v>
      </c>
      <c r="T1305" t="str">
        <f t="shared" si="422"/>
        <v>Green</v>
      </c>
      <c r="U1305" t="str">
        <f t="shared" si="423"/>
        <v>Red</v>
      </c>
      <c r="V1305" t="str">
        <f t="shared" si="424"/>
        <v>Green</v>
      </c>
      <c r="W1305" t="str">
        <f t="shared" si="425"/>
        <v>Red</v>
      </c>
      <c r="X1305" t="str">
        <f t="shared" si="426"/>
        <v>Red</v>
      </c>
      <c r="Y1305" t="str">
        <f t="shared" si="427"/>
        <v>Green</v>
      </c>
      <c r="Z1305" t="str">
        <f t="shared" si="428"/>
        <v>Green</v>
      </c>
      <c r="AA1305" t="str">
        <f t="shared" si="429"/>
        <v>Red</v>
      </c>
      <c r="AB1305" t="str">
        <f t="shared" si="430"/>
        <v>Red</v>
      </c>
      <c r="AC1305" t="str">
        <f t="shared" si="431"/>
        <v>Green</v>
      </c>
      <c r="AD1305" t="str">
        <f t="shared" si="432"/>
        <v>Red</v>
      </c>
    </row>
    <row r="1306" spans="1:30" x14ac:dyDescent="0.2">
      <c r="A1306" t="str">
        <f>L1305&amp;F1306&amp;G1306</f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3885</v>
      </c>
      <c r="H1306">
        <v>0</v>
      </c>
      <c r="I1306">
        <v>1</v>
      </c>
      <c r="J1306">
        <v>0</v>
      </c>
      <c r="K1306">
        <v>1</v>
      </c>
      <c r="L1306" s="22" t="str">
        <f t="shared" si="414"/>
        <v>25/07/2026</v>
      </c>
      <c r="M1306" s="23">
        <f t="shared" si="415"/>
        <v>0.45833333333333337</v>
      </c>
      <c r="N1306" t="str">
        <f t="shared" si="416"/>
        <v>0 - 1</v>
      </c>
      <c r="O1306" t="str">
        <f t="shared" si="417"/>
        <v>Red</v>
      </c>
      <c r="P1306" t="str">
        <f t="shared" si="418"/>
        <v>Red</v>
      </c>
      <c r="Q1306" t="str">
        <f t="shared" si="419"/>
        <v>Green</v>
      </c>
      <c r="R1306" t="str">
        <f t="shared" si="420"/>
        <v>Red</v>
      </c>
      <c r="S1306" t="str">
        <f t="shared" si="421"/>
        <v>Green</v>
      </c>
      <c r="T1306" t="str">
        <f t="shared" si="422"/>
        <v>Green</v>
      </c>
      <c r="U1306" t="str">
        <f t="shared" si="423"/>
        <v>Red</v>
      </c>
      <c r="V1306" t="str">
        <f t="shared" si="424"/>
        <v>Red</v>
      </c>
      <c r="W1306" t="str">
        <f t="shared" si="425"/>
        <v>Green</v>
      </c>
      <c r="X1306" t="str">
        <f t="shared" si="426"/>
        <v>Green</v>
      </c>
      <c r="Y1306" t="str">
        <f t="shared" si="427"/>
        <v>Red</v>
      </c>
      <c r="Z1306" t="str">
        <f t="shared" si="428"/>
        <v>Red</v>
      </c>
      <c r="AA1306" t="str">
        <f t="shared" si="429"/>
        <v>Green</v>
      </c>
      <c r="AB1306" t="str">
        <f t="shared" si="430"/>
        <v>Green</v>
      </c>
      <c r="AC1306" t="str">
        <f t="shared" si="431"/>
        <v>Red</v>
      </c>
      <c r="AD1306" t="str">
        <f t="shared" si="432"/>
        <v>Green</v>
      </c>
    </row>
    <row r="1307" spans="1:30" x14ac:dyDescent="0.2">
      <c r="A1307" t="str">
        <f>L1306&amp;F1307&amp;G1307</f>
        <v>25/07/2026Faversham TownDartford</v>
      </c>
      <c r="D1307" s="2">
        <v>46228</v>
      </c>
      <c r="E1307" s="3">
        <v>0.58333333333333337</v>
      </c>
      <c r="F1307" t="s">
        <v>3886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14"/>
        <v>25/07/2026</v>
      </c>
      <c r="M1307" s="23">
        <f t="shared" si="415"/>
        <v>0.45833333333333337</v>
      </c>
      <c r="N1307" t="str">
        <f t="shared" si="416"/>
        <v>0 - 2</v>
      </c>
      <c r="O1307" t="str">
        <f t="shared" si="417"/>
        <v>Red</v>
      </c>
      <c r="P1307" t="str">
        <f t="shared" si="418"/>
        <v>Red</v>
      </c>
      <c r="Q1307" t="str">
        <f t="shared" si="419"/>
        <v>Green</v>
      </c>
      <c r="R1307" t="str">
        <f t="shared" si="420"/>
        <v>Red</v>
      </c>
      <c r="S1307" t="str">
        <f t="shared" si="421"/>
        <v>Green</v>
      </c>
      <c r="T1307" t="str">
        <f t="shared" si="422"/>
        <v>Green</v>
      </c>
      <c r="U1307" t="str">
        <f t="shared" si="423"/>
        <v>Red</v>
      </c>
      <c r="V1307" t="str">
        <f t="shared" si="424"/>
        <v>Green</v>
      </c>
      <c r="W1307" t="str">
        <f t="shared" si="425"/>
        <v>Red</v>
      </c>
      <c r="X1307" t="str">
        <f t="shared" si="426"/>
        <v>Red</v>
      </c>
      <c r="Y1307" t="str">
        <f t="shared" si="427"/>
        <v>Green</v>
      </c>
      <c r="Z1307" t="str">
        <f t="shared" si="428"/>
        <v>Red</v>
      </c>
      <c r="AA1307" t="str">
        <f t="shared" si="429"/>
        <v>Green</v>
      </c>
      <c r="AB1307" t="str">
        <f t="shared" si="430"/>
        <v>Green</v>
      </c>
      <c r="AC1307" t="str">
        <f t="shared" si="431"/>
        <v>Red</v>
      </c>
      <c r="AD1307" t="str">
        <f t="shared" si="432"/>
        <v>Green</v>
      </c>
    </row>
    <row r="1308" spans="1:30" x14ac:dyDescent="0.2">
      <c r="A1308" t="str">
        <f>L1307&amp;F1308&amp;G1308</f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3887</v>
      </c>
      <c r="H1308">
        <v>0</v>
      </c>
      <c r="I1308">
        <v>5</v>
      </c>
      <c r="J1308">
        <v>1</v>
      </c>
      <c r="K1308">
        <v>5</v>
      </c>
      <c r="L1308" s="22" t="str">
        <f t="shared" si="414"/>
        <v>25/07/2026</v>
      </c>
      <c r="M1308" s="23">
        <f t="shared" si="415"/>
        <v>0.45833333333333337</v>
      </c>
      <c r="N1308" t="str">
        <f t="shared" si="416"/>
        <v>1 - 5</v>
      </c>
      <c r="O1308" t="str">
        <f t="shared" si="417"/>
        <v>Red</v>
      </c>
      <c r="P1308" t="str">
        <f t="shared" si="418"/>
        <v>Red</v>
      </c>
      <c r="Q1308" t="str">
        <f t="shared" si="419"/>
        <v>Green</v>
      </c>
      <c r="R1308" t="str">
        <f t="shared" si="420"/>
        <v>Red</v>
      </c>
      <c r="S1308" t="str">
        <f t="shared" si="421"/>
        <v>Green</v>
      </c>
      <c r="T1308" t="str">
        <f t="shared" si="422"/>
        <v>Green</v>
      </c>
      <c r="U1308" t="str">
        <f t="shared" si="423"/>
        <v>Red</v>
      </c>
      <c r="V1308" t="str">
        <f t="shared" si="424"/>
        <v>Red</v>
      </c>
      <c r="W1308" t="str">
        <f t="shared" si="425"/>
        <v>Green</v>
      </c>
      <c r="X1308" t="str">
        <f t="shared" si="426"/>
        <v>Green</v>
      </c>
      <c r="Y1308" t="str">
        <f t="shared" si="427"/>
        <v>Green</v>
      </c>
      <c r="Z1308" t="str">
        <f t="shared" si="428"/>
        <v>Green</v>
      </c>
      <c r="AA1308" t="str">
        <f t="shared" si="429"/>
        <v>Red</v>
      </c>
      <c r="AB1308" t="str">
        <f t="shared" si="430"/>
        <v>Red</v>
      </c>
      <c r="AC1308" t="str">
        <f t="shared" si="431"/>
        <v>Green</v>
      </c>
      <c r="AD1308" t="str">
        <f t="shared" si="432"/>
        <v>Red</v>
      </c>
    </row>
    <row r="1309" spans="1:30" x14ac:dyDescent="0.2">
      <c r="A1309" t="str">
        <f>L1308&amp;F1309&amp;G1309</f>
        <v>25/07/2026Frome TownSalisbury City</v>
      </c>
      <c r="D1309" s="2">
        <v>46228</v>
      </c>
      <c r="E1309" s="3">
        <v>0.58333333333333337</v>
      </c>
      <c r="F1309" t="s">
        <v>3888</v>
      </c>
      <c r="G1309" t="s">
        <v>3889</v>
      </c>
      <c r="H1309">
        <v>1</v>
      </c>
      <c r="I1309">
        <v>0</v>
      </c>
      <c r="J1309">
        <v>3</v>
      </c>
      <c r="K1309">
        <v>0</v>
      </c>
      <c r="L1309" s="22" t="str">
        <f t="shared" si="414"/>
        <v>25/07/2026</v>
      </c>
      <c r="M1309" s="23">
        <f t="shared" si="415"/>
        <v>0.45833333333333337</v>
      </c>
      <c r="N1309" t="str">
        <f t="shared" si="416"/>
        <v>3 - 0</v>
      </c>
      <c r="O1309" t="str">
        <f t="shared" si="417"/>
        <v>Green</v>
      </c>
      <c r="P1309" t="str">
        <f t="shared" si="418"/>
        <v>Red</v>
      </c>
      <c r="Q1309" t="str">
        <f t="shared" si="419"/>
        <v>Red</v>
      </c>
      <c r="R1309" t="str">
        <f t="shared" si="420"/>
        <v>Green</v>
      </c>
      <c r="S1309" t="str">
        <f t="shared" si="421"/>
        <v>Red</v>
      </c>
      <c r="T1309" t="str">
        <f t="shared" si="422"/>
        <v>Green</v>
      </c>
      <c r="U1309" t="str">
        <f t="shared" si="423"/>
        <v>Green</v>
      </c>
      <c r="V1309" t="str">
        <f t="shared" si="424"/>
        <v>Red</v>
      </c>
      <c r="W1309" t="str">
        <f t="shared" si="425"/>
        <v>Red</v>
      </c>
      <c r="X1309" t="str">
        <f t="shared" si="426"/>
        <v>Green</v>
      </c>
      <c r="Y1309" t="str">
        <f t="shared" si="427"/>
        <v>Green</v>
      </c>
      <c r="Z1309" t="str">
        <f t="shared" si="428"/>
        <v>Green</v>
      </c>
      <c r="AA1309" t="str">
        <f t="shared" si="429"/>
        <v>Red</v>
      </c>
      <c r="AB1309" t="str">
        <f t="shared" si="430"/>
        <v>Green</v>
      </c>
      <c r="AC1309" t="str">
        <f t="shared" si="431"/>
        <v>Red</v>
      </c>
      <c r="AD1309" t="str">
        <f t="shared" si="432"/>
        <v>Green</v>
      </c>
    </row>
    <row r="1310" spans="1:30" x14ac:dyDescent="0.2">
      <c r="A1310" t="str">
        <f>L1309&amp;F1310&amp;G1310</f>
        <v>25/07/2026Halesowen TownTamworth</v>
      </c>
      <c r="D1310" s="2">
        <v>46228</v>
      </c>
      <c r="E1310" s="3">
        <v>0.58333333333333337</v>
      </c>
      <c r="F1310" t="s">
        <v>3890</v>
      </c>
      <c r="G1310" t="s">
        <v>3891</v>
      </c>
      <c r="H1310">
        <v>1</v>
      </c>
      <c r="I1310">
        <v>0</v>
      </c>
      <c r="J1310">
        <v>2</v>
      </c>
      <c r="K1310">
        <v>2</v>
      </c>
      <c r="L1310" s="22" t="str">
        <f t="shared" si="414"/>
        <v>25/07/2026</v>
      </c>
      <c r="M1310" s="23">
        <f t="shared" si="415"/>
        <v>0.45833333333333337</v>
      </c>
      <c r="N1310" t="str">
        <f t="shared" si="416"/>
        <v>2 - 2</v>
      </c>
      <c r="O1310" t="str">
        <f t="shared" si="417"/>
        <v>Red</v>
      </c>
      <c r="P1310" t="str">
        <f t="shared" si="418"/>
        <v>Green</v>
      </c>
      <c r="Q1310" t="str">
        <f t="shared" si="419"/>
        <v>Red</v>
      </c>
      <c r="R1310" t="str">
        <f t="shared" si="420"/>
        <v>Green</v>
      </c>
      <c r="S1310" t="str">
        <f t="shared" si="421"/>
        <v>Green</v>
      </c>
      <c r="T1310" t="str">
        <f t="shared" si="422"/>
        <v>Red</v>
      </c>
      <c r="U1310" t="str">
        <f t="shared" si="423"/>
        <v>Green</v>
      </c>
      <c r="V1310" t="str">
        <f t="shared" si="424"/>
        <v>Red</v>
      </c>
      <c r="W1310" t="str">
        <f t="shared" si="425"/>
        <v>Red</v>
      </c>
      <c r="X1310" t="str">
        <f t="shared" si="426"/>
        <v>Green</v>
      </c>
      <c r="Y1310" t="str">
        <f t="shared" si="427"/>
        <v>Green</v>
      </c>
      <c r="Z1310" t="str">
        <f t="shared" si="428"/>
        <v>Green</v>
      </c>
      <c r="AA1310" t="str">
        <f t="shared" si="429"/>
        <v>Red</v>
      </c>
      <c r="AB1310" t="str">
        <f t="shared" si="430"/>
        <v>Red</v>
      </c>
      <c r="AC1310" t="str">
        <f t="shared" si="431"/>
        <v>Green</v>
      </c>
      <c r="AD1310" t="str">
        <f t="shared" si="432"/>
        <v>Red</v>
      </c>
    </row>
    <row r="1311" spans="1:30" x14ac:dyDescent="0.2">
      <c r="A1311" t="str">
        <f>L1310&amp;F1311&amp;G1311</f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3892</v>
      </c>
      <c r="H1311">
        <v>0</v>
      </c>
      <c r="I1311">
        <v>1</v>
      </c>
      <c r="J1311">
        <v>0</v>
      </c>
      <c r="K1311">
        <v>3</v>
      </c>
      <c r="L1311" s="22" t="str">
        <f t="shared" si="414"/>
        <v>25/07/2026</v>
      </c>
      <c r="M1311" s="23">
        <f t="shared" si="415"/>
        <v>0.45833333333333337</v>
      </c>
      <c r="N1311" t="str">
        <f t="shared" si="416"/>
        <v>0 - 3</v>
      </c>
      <c r="O1311" t="str">
        <f t="shared" si="417"/>
        <v>Red</v>
      </c>
      <c r="P1311" t="str">
        <f t="shared" si="418"/>
        <v>Red</v>
      </c>
      <c r="Q1311" t="str">
        <f t="shared" si="419"/>
        <v>Green</v>
      </c>
      <c r="R1311" t="str">
        <f t="shared" si="420"/>
        <v>Red</v>
      </c>
      <c r="S1311" t="str">
        <f t="shared" si="421"/>
        <v>Green</v>
      </c>
      <c r="T1311" t="str">
        <f t="shared" si="422"/>
        <v>Green</v>
      </c>
      <c r="U1311" t="str">
        <f t="shared" si="423"/>
        <v>Red</v>
      </c>
      <c r="V1311" t="str">
        <f t="shared" si="424"/>
        <v>Red</v>
      </c>
      <c r="W1311" t="str">
        <f t="shared" si="425"/>
        <v>Green</v>
      </c>
      <c r="X1311" t="str">
        <f t="shared" si="426"/>
        <v>Green</v>
      </c>
      <c r="Y1311" t="str">
        <f t="shared" si="427"/>
        <v>Green</v>
      </c>
      <c r="Z1311" t="str">
        <f t="shared" si="428"/>
        <v>Green</v>
      </c>
      <c r="AA1311" t="str">
        <f t="shared" si="429"/>
        <v>Red</v>
      </c>
      <c r="AB1311" t="str">
        <f t="shared" si="430"/>
        <v>Green</v>
      </c>
      <c r="AC1311" t="str">
        <f t="shared" si="431"/>
        <v>Red</v>
      </c>
      <c r="AD1311" t="str">
        <f t="shared" si="432"/>
        <v>Green</v>
      </c>
    </row>
    <row r="1312" spans="1:30" x14ac:dyDescent="0.2">
      <c r="A1312" t="str">
        <f>L1311&amp;F1312&amp;G1312</f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3893</v>
      </c>
      <c r="H1312">
        <v>0</v>
      </c>
      <c r="I1312">
        <v>0</v>
      </c>
      <c r="J1312">
        <v>0</v>
      </c>
      <c r="K1312">
        <v>1</v>
      </c>
      <c r="L1312" s="22" t="str">
        <f t="shared" si="414"/>
        <v>25/07/2026</v>
      </c>
      <c r="M1312" s="23">
        <f t="shared" si="415"/>
        <v>0.45833333333333337</v>
      </c>
      <c r="N1312" t="str">
        <f t="shared" si="416"/>
        <v>0 - 1</v>
      </c>
      <c r="O1312" t="str">
        <f t="shared" si="417"/>
        <v>Red</v>
      </c>
      <c r="P1312" t="str">
        <f t="shared" si="418"/>
        <v>Red</v>
      </c>
      <c r="Q1312" t="str">
        <f t="shared" si="419"/>
        <v>Green</v>
      </c>
      <c r="R1312" t="str">
        <f t="shared" si="420"/>
        <v>Red</v>
      </c>
      <c r="S1312" t="str">
        <f t="shared" si="421"/>
        <v>Green</v>
      </c>
      <c r="T1312" t="str">
        <f t="shared" si="422"/>
        <v>Green</v>
      </c>
      <c r="U1312" t="str">
        <f t="shared" si="423"/>
        <v>Red</v>
      </c>
      <c r="V1312" t="str">
        <f t="shared" si="424"/>
        <v>Green</v>
      </c>
      <c r="W1312" t="str">
        <f t="shared" si="425"/>
        <v>Red</v>
      </c>
      <c r="X1312" t="str">
        <f t="shared" si="426"/>
        <v>Red</v>
      </c>
      <c r="Y1312" t="str">
        <f t="shared" si="427"/>
        <v>Red</v>
      </c>
      <c r="Z1312" t="str">
        <f t="shared" si="428"/>
        <v>Red</v>
      </c>
      <c r="AA1312" t="str">
        <f t="shared" si="429"/>
        <v>Green</v>
      </c>
      <c r="AB1312" t="str">
        <f t="shared" si="430"/>
        <v>Green</v>
      </c>
      <c r="AC1312" t="str">
        <f t="shared" si="431"/>
        <v>Red</v>
      </c>
      <c r="AD1312" t="str">
        <f t="shared" si="432"/>
        <v>Green</v>
      </c>
    </row>
    <row r="1313" spans="1:30" x14ac:dyDescent="0.2">
      <c r="A1313" t="str">
        <f>L1312&amp;F1313&amp;G1313</f>
        <v>25/07/2026Kettering TownHemel Hempstead Town</v>
      </c>
      <c r="D1313" s="2">
        <v>46228</v>
      </c>
      <c r="E1313" s="3">
        <v>0.58333333333333337</v>
      </c>
      <c r="F1313" t="s">
        <v>3894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14"/>
        <v>25/07/2026</v>
      </c>
      <c r="M1313" s="23">
        <f t="shared" si="415"/>
        <v>0.45833333333333337</v>
      </c>
      <c r="N1313" t="str">
        <f t="shared" si="416"/>
        <v>1 - 3</v>
      </c>
      <c r="O1313" t="str">
        <f t="shared" si="417"/>
        <v>Red</v>
      </c>
      <c r="P1313" t="str">
        <f t="shared" si="418"/>
        <v>Red</v>
      </c>
      <c r="Q1313" t="str">
        <f t="shared" si="419"/>
        <v>Green</v>
      </c>
      <c r="R1313" t="str">
        <f t="shared" si="420"/>
        <v>Red</v>
      </c>
      <c r="S1313" t="str">
        <f t="shared" si="421"/>
        <v>Green</v>
      </c>
      <c r="T1313" t="str">
        <f t="shared" si="422"/>
        <v>Green</v>
      </c>
      <c r="U1313" t="str">
        <f t="shared" si="423"/>
        <v>Red</v>
      </c>
      <c r="V1313" t="str">
        <f t="shared" si="424"/>
        <v>Green</v>
      </c>
      <c r="W1313" t="str">
        <f t="shared" si="425"/>
        <v>Red</v>
      </c>
      <c r="X1313" t="str">
        <f t="shared" si="426"/>
        <v>Green</v>
      </c>
      <c r="Y1313" t="str">
        <f t="shared" si="427"/>
        <v>Green</v>
      </c>
      <c r="Z1313" t="str">
        <f t="shared" si="428"/>
        <v>Green</v>
      </c>
      <c r="AA1313" t="str">
        <f t="shared" si="429"/>
        <v>Red</v>
      </c>
      <c r="AB1313" t="str">
        <f t="shared" si="430"/>
        <v>Red</v>
      </c>
      <c r="AC1313" t="str">
        <f t="shared" si="431"/>
        <v>Green</v>
      </c>
      <c r="AD1313" t="str">
        <f t="shared" si="432"/>
        <v>Red</v>
      </c>
    </row>
    <row r="1314" spans="1:30" x14ac:dyDescent="0.2">
      <c r="A1314" t="str">
        <f>L1313&amp;F1314&amp;G1314</f>
        <v>25/07/2026KV KortrijkAmiens</v>
      </c>
      <c r="D1314" s="2">
        <v>46228</v>
      </c>
      <c r="E1314" s="3">
        <v>0.58333333333333337</v>
      </c>
      <c r="F1314" t="s">
        <v>3762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14"/>
        <v>25/07/2026</v>
      </c>
      <c r="M1314" s="23">
        <f t="shared" si="415"/>
        <v>0.45833333333333337</v>
      </c>
      <c r="N1314" t="str">
        <f t="shared" si="416"/>
        <v>1 - 1</v>
      </c>
      <c r="O1314" t="str">
        <f t="shared" si="417"/>
        <v>Red</v>
      </c>
      <c r="P1314" t="str">
        <f t="shared" si="418"/>
        <v>Green</v>
      </c>
      <c r="Q1314" t="str">
        <f t="shared" si="419"/>
        <v>Red</v>
      </c>
      <c r="R1314" t="str">
        <f t="shared" si="420"/>
        <v>Green</v>
      </c>
      <c r="S1314" t="str">
        <f t="shared" si="421"/>
        <v>Green</v>
      </c>
      <c r="T1314" t="str">
        <f t="shared" si="422"/>
        <v>Red</v>
      </c>
      <c r="U1314" t="str">
        <f t="shared" si="423"/>
        <v>Green</v>
      </c>
      <c r="V1314" t="str">
        <f t="shared" si="424"/>
        <v>Red</v>
      </c>
      <c r="W1314" t="str">
        <f t="shared" si="425"/>
        <v>Red</v>
      </c>
      <c r="X1314" t="str">
        <f t="shared" si="426"/>
        <v>Green</v>
      </c>
      <c r="Y1314" t="str">
        <f t="shared" si="427"/>
        <v>Green</v>
      </c>
      <c r="Z1314" t="str">
        <f t="shared" si="428"/>
        <v>Red</v>
      </c>
      <c r="AA1314" t="str">
        <f t="shared" si="429"/>
        <v>Green</v>
      </c>
      <c r="AB1314" t="str">
        <f t="shared" si="430"/>
        <v>Green</v>
      </c>
      <c r="AC1314" t="str">
        <f t="shared" si="431"/>
        <v>Green</v>
      </c>
      <c r="AD1314" t="str">
        <f t="shared" si="432"/>
        <v>Red</v>
      </c>
    </row>
    <row r="1315" spans="1:30" x14ac:dyDescent="0.2">
      <c r="A1315" t="str">
        <f>L1314&amp;F1315&amp;G1315</f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3895</v>
      </c>
      <c r="H1315">
        <v>0</v>
      </c>
      <c r="I1315">
        <v>1</v>
      </c>
      <c r="J1315">
        <v>1</v>
      </c>
      <c r="K1315">
        <v>1</v>
      </c>
      <c r="L1315" s="22" t="str">
        <f t="shared" si="414"/>
        <v>25/07/2026</v>
      </c>
      <c r="M1315" s="23">
        <f t="shared" si="415"/>
        <v>0.45833333333333337</v>
      </c>
      <c r="N1315" t="str">
        <f t="shared" si="416"/>
        <v>1 - 1</v>
      </c>
      <c r="O1315" t="str">
        <f t="shared" si="417"/>
        <v>Red</v>
      </c>
      <c r="P1315" t="str">
        <f t="shared" si="418"/>
        <v>Green</v>
      </c>
      <c r="Q1315" t="str">
        <f t="shared" si="419"/>
        <v>Red</v>
      </c>
      <c r="R1315" t="str">
        <f t="shared" si="420"/>
        <v>Green</v>
      </c>
      <c r="S1315" t="str">
        <f t="shared" si="421"/>
        <v>Green</v>
      </c>
      <c r="T1315" t="str">
        <f t="shared" si="422"/>
        <v>Red</v>
      </c>
      <c r="U1315" t="str">
        <f t="shared" si="423"/>
        <v>Red</v>
      </c>
      <c r="V1315" t="str">
        <f t="shared" si="424"/>
        <v>Red</v>
      </c>
      <c r="W1315" t="str">
        <f t="shared" si="425"/>
        <v>Green</v>
      </c>
      <c r="X1315" t="str">
        <f t="shared" si="426"/>
        <v>Green</v>
      </c>
      <c r="Y1315" t="str">
        <f t="shared" si="427"/>
        <v>Green</v>
      </c>
      <c r="Z1315" t="str">
        <f t="shared" si="428"/>
        <v>Red</v>
      </c>
      <c r="AA1315" t="str">
        <f t="shared" si="429"/>
        <v>Green</v>
      </c>
      <c r="AB1315" t="str">
        <f t="shared" si="430"/>
        <v>Green</v>
      </c>
      <c r="AC1315" t="str">
        <f t="shared" si="431"/>
        <v>Green</v>
      </c>
      <c r="AD1315" t="str">
        <f t="shared" si="432"/>
        <v>Red</v>
      </c>
    </row>
    <row r="1316" spans="1:30" x14ac:dyDescent="0.2">
      <c r="A1316" t="str">
        <f>L1315&amp;F1316&amp;G1316</f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14"/>
        <v>25/07/2026</v>
      </c>
      <c r="M1316" s="23">
        <f t="shared" si="415"/>
        <v>0.45833333333333337</v>
      </c>
      <c r="N1316" t="str">
        <f t="shared" si="416"/>
        <v>2 - 2</v>
      </c>
      <c r="O1316" t="str">
        <f t="shared" si="417"/>
        <v>Red</v>
      </c>
      <c r="P1316" t="str">
        <f t="shared" si="418"/>
        <v>Green</v>
      </c>
      <c r="Q1316" t="str">
        <f t="shared" si="419"/>
        <v>Red</v>
      </c>
      <c r="R1316" t="str">
        <f t="shared" si="420"/>
        <v>Green</v>
      </c>
      <c r="S1316" t="str">
        <f t="shared" si="421"/>
        <v>Green</v>
      </c>
      <c r="T1316" t="str">
        <f t="shared" si="422"/>
        <v>Red</v>
      </c>
      <c r="U1316" t="str">
        <f t="shared" si="423"/>
        <v>Red</v>
      </c>
      <c r="V1316" t="str">
        <f t="shared" si="424"/>
        <v>Red</v>
      </c>
      <c r="W1316" t="str">
        <f t="shared" si="425"/>
        <v>Green</v>
      </c>
      <c r="X1316" t="str">
        <f t="shared" si="426"/>
        <v>Green</v>
      </c>
      <c r="Y1316" t="str">
        <f t="shared" si="427"/>
        <v>Green</v>
      </c>
      <c r="Z1316" t="str">
        <f t="shared" si="428"/>
        <v>Green</v>
      </c>
      <c r="AA1316" t="str">
        <f t="shared" si="429"/>
        <v>Red</v>
      </c>
      <c r="AB1316" t="str">
        <f t="shared" si="430"/>
        <v>Red</v>
      </c>
      <c r="AC1316" t="str">
        <f t="shared" si="431"/>
        <v>Green</v>
      </c>
      <c r="AD1316" t="str">
        <f t="shared" si="432"/>
        <v>Red</v>
      </c>
    </row>
    <row r="1317" spans="1:30" x14ac:dyDescent="0.2">
      <c r="A1317" t="str">
        <f>L1316&amp;F1317&amp;G1317</f>
        <v>25/07/2026LewesDorking Wanderers</v>
      </c>
      <c r="D1317" s="2">
        <v>46228</v>
      </c>
      <c r="E1317" s="3">
        <v>0.58333333333333337</v>
      </c>
      <c r="F1317" t="s">
        <v>3896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14"/>
        <v>25/07/2026</v>
      </c>
      <c r="M1317" s="23">
        <f t="shared" si="415"/>
        <v>0.45833333333333337</v>
      </c>
      <c r="N1317" t="str">
        <f t="shared" si="416"/>
        <v>1 - 2</v>
      </c>
      <c r="O1317" t="str">
        <f t="shared" si="417"/>
        <v>Red</v>
      </c>
      <c r="P1317" t="str">
        <f t="shared" si="418"/>
        <v>Red</v>
      </c>
      <c r="Q1317" t="str">
        <f t="shared" si="419"/>
        <v>Green</v>
      </c>
      <c r="R1317" t="str">
        <f t="shared" si="420"/>
        <v>Red</v>
      </c>
      <c r="S1317" t="str">
        <f t="shared" si="421"/>
        <v>Green</v>
      </c>
      <c r="T1317" t="str">
        <f t="shared" si="422"/>
        <v>Green</v>
      </c>
      <c r="U1317" t="str">
        <f t="shared" si="423"/>
        <v>Red</v>
      </c>
      <c r="V1317" t="str">
        <f t="shared" si="424"/>
        <v>Green</v>
      </c>
      <c r="W1317" t="str">
        <f t="shared" si="425"/>
        <v>Red</v>
      </c>
      <c r="X1317" t="str">
        <f t="shared" si="426"/>
        <v>Red</v>
      </c>
      <c r="Y1317" t="str">
        <f t="shared" si="427"/>
        <v>Green</v>
      </c>
      <c r="Z1317" t="str">
        <f t="shared" si="428"/>
        <v>Green</v>
      </c>
      <c r="AA1317" t="str">
        <f t="shared" si="429"/>
        <v>Red</v>
      </c>
      <c r="AB1317" t="str">
        <f t="shared" si="430"/>
        <v>Green</v>
      </c>
      <c r="AC1317" t="str">
        <f t="shared" si="431"/>
        <v>Green</v>
      </c>
      <c r="AD1317" t="str">
        <f t="shared" si="432"/>
        <v>Red</v>
      </c>
    </row>
    <row r="1318" spans="1:30" x14ac:dyDescent="0.2">
      <c r="A1318" t="str">
        <f>L1317&amp;F1318&amp;G1318</f>
        <v>25/07/2026Lower BreckAvro FC</v>
      </c>
      <c r="D1318" s="2">
        <v>46228</v>
      </c>
      <c r="E1318" s="3">
        <v>0.58333333333333337</v>
      </c>
      <c r="F1318" t="s">
        <v>3897</v>
      </c>
      <c r="G1318" t="s">
        <v>3898</v>
      </c>
      <c r="H1318">
        <v>1</v>
      </c>
      <c r="I1318">
        <v>1</v>
      </c>
      <c r="J1318">
        <v>2</v>
      </c>
      <c r="K1318">
        <v>2</v>
      </c>
      <c r="L1318" s="22" t="str">
        <f t="shared" si="414"/>
        <v>25/07/2026</v>
      </c>
      <c r="M1318" s="23">
        <f t="shared" si="415"/>
        <v>0.45833333333333337</v>
      </c>
      <c r="N1318" t="str">
        <f t="shared" si="416"/>
        <v>2 - 2</v>
      </c>
      <c r="O1318" t="str">
        <f t="shared" si="417"/>
        <v>Red</v>
      </c>
      <c r="P1318" t="str">
        <f t="shared" si="418"/>
        <v>Green</v>
      </c>
      <c r="Q1318" t="str">
        <f t="shared" si="419"/>
        <v>Red</v>
      </c>
      <c r="R1318" t="str">
        <f t="shared" si="420"/>
        <v>Green</v>
      </c>
      <c r="S1318" t="str">
        <f t="shared" si="421"/>
        <v>Green</v>
      </c>
      <c r="T1318" t="str">
        <f t="shared" si="422"/>
        <v>Red</v>
      </c>
      <c r="U1318" t="str">
        <f t="shared" si="423"/>
        <v>Red</v>
      </c>
      <c r="V1318" t="str">
        <f t="shared" si="424"/>
        <v>Green</v>
      </c>
      <c r="W1318" t="str">
        <f t="shared" si="425"/>
        <v>Red</v>
      </c>
      <c r="X1318" t="str">
        <f t="shared" si="426"/>
        <v>Green</v>
      </c>
      <c r="Y1318" t="str">
        <f t="shared" si="427"/>
        <v>Green</v>
      </c>
      <c r="Z1318" t="str">
        <f t="shared" si="428"/>
        <v>Green</v>
      </c>
      <c r="AA1318" t="str">
        <f t="shared" si="429"/>
        <v>Red</v>
      </c>
      <c r="AB1318" t="str">
        <f t="shared" si="430"/>
        <v>Red</v>
      </c>
      <c r="AC1318" t="str">
        <f t="shared" si="431"/>
        <v>Green</v>
      </c>
      <c r="AD1318" t="str">
        <f t="shared" si="432"/>
        <v>Red</v>
      </c>
    </row>
    <row r="1319" spans="1:30" x14ac:dyDescent="0.2">
      <c r="A1319" t="str">
        <f>L1318&amp;F1319&amp;G1319</f>
        <v>25/07/2026Maidstone UnitedAshford United</v>
      </c>
      <c r="D1319" s="2">
        <v>46228</v>
      </c>
      <c r="E1319" s="3">
        <v>0.58333333333333337</v>
      </c>
      <c r="F1319" t="s">
        <v>3899</v>
      </c>
      <c r="G1319" t="s">
        <v>3900</v>
      </c>
      <c r="H1319">
        <v>3</v>
      </c>
      <c r="I1319">
        <v>0</v>
      </c>
      <c r="J1319">
        <v>4</v>
      </c>
      <c r="K1319">
        <v>0</v>
      </c>
      <c r="L1319" s="22" t="str">
        <f t="shared" si="414"/>
        <v>25/07/2026</v>
      </c>
      <c r="M1319" s="23">
        <f t="shared" si="415"/>
        <v>0.45833333333333337</v>
      </c>
      <c r="N1319" t="str">
        <f t="shared" si="416"/>
        <v>4 - 0</v>
      </c>
      <c r="O1319" t="str">
        <f t="shared" si="417"/>
        <v>Green</v>
      </c>
      <c r="P1319" t="str">
        <f t="shared" si="418"/>
        <v>Red</v>
      </c>
      <c r="Q1319" t="str">
        <f t="shared" si="419"/>
        <v>Red</v>
      </c>
      <c r="R1319" t="str">
        <f t="shared" si="420"/>
        <v>Green</v>
      </c>
      <c r="S1319" t="str">
        <f t="shared" si="421"/>
        <v>Red</v>
      </c>
      <c r="T1319" t="str">
        <f t="shared" si="422"/>
        <v>Green</v>
      </c>
      <c r="U1319" t="str">
        <f t="shared" si="423"/>
        <v>Green</v>
      </c>
      <c r="V1319" t="str">
        <f t="shared" si="424"/>
        <v>Red</v>
      </c>
      <c r="W1319" t="str">
        <f t="shared" si="425"/>
        <v>Red</v>
      </c>
      <c r="X1319" t="str">
        <f t="shared" si="426"/>
        <v>Green</v>
      </c>
      <c r="Y1319" t="str">
        <f t="shared" si="427"/>
        <v>Green</v>
      </c>
      <c r="Z1319" t="str">
        <f t="shared" si="428"/>
        <v>Green</v>
      </c>
      <c r="AA1319" t="str">
        <f t="shared" si="429"/>
        <v>Red</v>
      </c>
      <c r="AB1319" t="str">
        <f t="shared" si="430"/>
        <v>Red</v>
      </c>
      <c r="AC1319" t="str">
        <f t="shared" si="431"/>
        <v>Red</v>
      </c>
      <c r="AD1319" t="str">
        <f t="shared" si="432"/>
        <v>Green</v>
      </c>
    </row>
    <row r="1320" spans="1:30" x14ac:dyDescent="0.2">
      <c r="A1320" t="str">
        <f>L1319&amp;F1320&amp;G1320</f>
        <v>25/07/2026MorecambeBury</v>
      </c>
      <c r="D1320" s="2">
        <v>46228</v>
      </c>
      <c r="E1320" s="3">
        <v>0.58333333333333337</v>
      </c>
      <c r="F1320" t="s">
        <v>3901</v>
      </c>
      <c r="G1320" t="s">
        <v>3902</v>
      </c>
      <c r="L1320" s="22" t="str">
        <f t="shared" si="414"/>
        <v>25/07/2026</v>
      </c>
      <c r="M1320" s="23">
        <f t="shared" si="415"/>
        <v>0.45833333333333337</v>
      </c>
      <c r="N1320" t="str">
        <f t="shared" si="416"/>
        <v xml:space="preserve"> - </v>
      </c>
      <c r="O1320" t="str">
        <f t="shared" si="417"/>
        <v>Red</v>
      </c>
      <c r="P1320" t="str">
        <f t="shared" si="418"/>
        <v>Green</v>
      </c>
      <c r="Q1320" t="str">
        <f t="shared" si="419"/>
        <v>Red</v>
      </c>
      <c r="R1320" t="str">
        <f t="shared" si="420"/>
        <v>Green</v>
      </c>
      <c r="S1320" t="str">
        <f t="shared" si="421"/>
        <v>Green</v>
      </c>
      <c r="T1320" t="str">
        <f t="shared" si="422"/>
        <v>Red</v>
      </c>
      <c r="U1320" t="str">
        <f t="shared" si="423"/>
        <v>Red</v>
      </c>
      <c r="V1320" t="str">
        <f t="shared" si="424"/>
        <v>Green</v>
      </c>
      <c r="W1320" t="str">
        <f t="shared" si="425"/>
        <v>Red</v>
      </c>
      <c r="X1320" t="str">
        <f t="shared" si="426"/>
        <v>Red</v>
      </c>
      <c r="Y1320" t="str">
        <f t="shared" si="427"/>
        <v>Red</v>
      </c>
      <c r="Z1320" t="str">
        <f t="shared" si="428"/>
        <v>Red</v>
      </c>
      <c r="AA1320" t="str">
        <f t="shared" si="429"/>
        <v>Green</v>
      </c>
      <c r="AB1320" t="str">
        <f t="shared" si="430"/>
        <v>Green</v>
      </c>
      <c r="AC1320" t="str">
        <f t="shared" si="431"/>
        <v>Red</v>
      </c>
      <c r="AD1320" t="str">
        <f t="shared" si="432"/>
        <v>Green</v>
      </c>
    </row>
    <row r="1321" spans="1:30" x14ac:dyDescent="0.2">
      <c r="A1321" t="str">
        <f>L1320&amp;F1321&amp;G1321</f>
        <v>25/07/2026MossleyAFC Emley</v>
      </c>
      <c r="D1321" s="2">
        <v>46228</v>
      </c>
      <c r="E1321" s="3">
        <v>0.58333333333333337</v>
      </c>
      <c r="F1321" t="s">
        <v>3903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14"/>
        <v>25/07/2026</v>
      </c>
      <c r="M1321" s="23">
        <f t="shared" si="415"/>
        <v>0.45833333333333337</v>
      </c>
      <c r="N1321" t="str">
        <f t="shared" si="416"/>
        <v>1 - 0</v>
      </c>
      <c r="O1321" t="str">
        <f t="shared" si="417"/>
        <v>Green</v>
      </c>
      <c r="P1321" t="str">
        <f t="shared" si="418"/>
        <v>Red</v>
      </c>
      <c r="Q1321" t="str">
        <f t="shared" si="419"/>
        <v>Red</v>
      </c>
      <c r="R1321" t="str">
        <f t="shared" si="420"/>
        <v>Green</v>
      </c>
      <c r="S1321" t="str">
        <f t="shared" si="421"/>
        <v>Red</v>
      </c>
      <c r="T1321" t="str">
        <f t="shared" si="422"/>
        <v>Green</v>
      </c>
      <c r="U1321" t="str">
        <f t="shared" si="423"/>
        <v>Red</v>
      </c>
      <c r="V1321" t="str">
        <f t="shared" si="424"/>
        <v>Green</v>
      </c>
      <c r="W1321" t="str">
        <f t="shared" si="425"/>
        <v>Red</v>
      </c>
      <c r="X1321" t="str">
        <f t="shared" si="426"/>
        <v>Red</v>
      </c>
      <c r="Y1321" t="str">
        <f t="shared" si="427"/>
        <v>Red</v>
      </c>
      <c r="Z1321" t="str">
        <f t="shared" si="428"/>
        <v>Red</v>
      </c>
      <c r="AA1321" t="str">
        <f t="shared" si="429"/>
        <v>Green</v>
      </c>
      <c r="AB1321" t="str">
        <f t="shared" si="430"/>
        <v>Green</v>
      </c>
      <c r="AC1321" t="str">
        <f t="shared" si="431"/>
        <v>Red</v>
      </c>
      <c r="AD1321" t="str">
        <f t="shared" si="432"/>
        <v>Green</v>
      </c>
    </row>
    <row r="1322" spans="1:30" x14ac:dyDescent="0.2">
      <c r="A1322" t="str">
        <f>L1321&amp;F1322&amp;G1322</f>
        <v>25/07/2026Newport Pagnell TownPeterborough Sports</v>
      </c>
      <c r="D1322" s="2">
        <v>46228</v>
      </c>
      <c r="E1322" s="3">
        <v>0.58333333333333337</v>
      </c>
      <c r="F1322" t="s">
        <v>3904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14"/>
        <v>25/07/2026</v>
      </c>
      <c r="M1322" s="23">
        <f t="shared" si="415"/>
        <v>0.45833333333333337</v>
      </c>
      <c r="N1322" t="str">
        <f t="shared" si="416"/>
        <v>1 - 0</v>
      </c>
      <c r="O1322" t="str">
        <f t="shared" si="417"/>
        <v>Green</v>
      </c>
      <c r="P1322" t="str">
        <f t="shared" si="418"/>
        <v>Red</v>
      </c>
      <c r="Q1322" t="str">
        <f t="shared" si="419"/>
        <v>Red</v>
      </c>
      <c r="R1322" t="str">
        <f t="shared" si="420"/>
        <v>Green</v>
      </c>
      <c r="S1322" t="str">
        <f t="shared" si="421"/>
        <v>Red</v>
      </c>
      <c r="T1322" t="str">
        <f t="shared" si="422"/>
        <v>Green</v>
      </c>
      <c r="U1322" t="str">
        <f t="shared" si="423"/>
        <v>Red</v>
      </c>
      <c r="V1322" t="str">
        <f t="shared" si="424"/>
        <v>Green</v>
      </c>
      <c r="W1322" t="str">
        <f t="shared" si="425"/>
        <v>Red</v>
      </c>
      <c r="X1322" t="str">
        <f t="shared" si="426"/>
        <v>Red</v>
      </c>
      <c r="Y1322" t="str">
        <f t="shared" si="427"/>
        <v>Red</v>
      </c>
      <c r="Z1322" t="str">
        <f t="shared" si="428"/>
        <v>Red</v>
      </c>
      <c r="AA1322" t="str">
        <f t="shared" si="429"/>
        <v>Green</v>
      </c>
      <c r="AB1322" t="str">
        <f t="shared" si="430"/>
        <v>Green</v>
      </c>
      <c r="AC1322" t="str">
        <f t="shared" si="431"/>
        <v>Red</v>
      </c>
      <c r="AD1322" t="str">
        <f t="shared" si="432"/>
        <v>Green</v>
      </c>
    </row>
    <row r="1323" spans="1:30" x14ac:dyDescent="0.2">
      <c r="A1323" t="str">
        <f>L1322&amp;F1323&amp;G1323</f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14"/>
        <v>25/07/2026</v>
      </c>
      <c r="M1323" s="23">
        <f t="shared" si="415"/>
        <v>0.45833333333333337</v>
      </c>
      <c r="N1323" t="str">
        <f t="shared" si="416"/>
        <v>0 - 2</v>
      </c>
      <c r="O1323" t="str">
        <f t="shared" si="417"/>
        <v>Red</v>
      </c>
      <c r="P1323" t="str">
        <f t="shared" si="418"/>
        <v>Red</v>
      </c>
      <c r="Q1323" t="str">
        <f t="shared" si="419"/>
        <v>Green</v>
      </c>
      <c r="R1323" t="str">
        <f t="shared" si="420"/>
        <v>Red</v>
      </c>
      <c r="S1323" t="str">
        <f t="shared" si="421"/>
        <v>Green</v>
      </c>
      <c r="T1323" t="str">
        <f t="shared" si="422"/>
        <v>Green</v>
      </c>
      <c r="U1323" t="str">
        <f t="shared" si="423"/>
        <v>Red</v>
      </c>
      <c r="V1323" t="str">
        <f t="shared" si="424"/>
        <v>Red</v>
      </c>
      <c r="W1323" t="str">
        <f t="shared" si="425"/>
        <v>Green</v>
      </c>
      <c r="X1323" t="str">
        <f t="shared" si="426"/>
        <v>Green</v>
      </c>
      <c r="Y1323" t="str">
        <f t="shared" si="427"/>
        <v>Green</v>
      </c>
      <c r="Z1323" t="str">
        <f t="shared" si="428"/>
        <v>Red</v>
      </c>
      <c r="AA1323" t="str">
        <f t="shared" si="429"/>
        <v>Green</v>
      </c>
      <c r="AB1323" t="str">
        <f t="shared" si="430"/>
        <v>Green</v>
      </c>
      <c r="AC1323" t="str">
        <f t="shared" si="431"/>
        <v>Red</v>
      </c>
      <c r="AD1323" t="str">
        <f t="shared" si="432"/>
        <v>Green</v>
      </c>
    </row>
    <row r="1324" spans="1:30" x14ac:dyDescent="0.2">
      <c r="A1324" t="str">
        <f>L1323&amp;F1324&amp;G1324</f>
        <v>25/07/2026Oxford CityWalton &amp; Hersham</v>
      </c>
      <c r="D1324" s="2">
        <v>46228</v>
      </c>
      <c r="E1324" s="3">
        <v>0.58333333333333337</v>
      </c>
      <c r="F1324" t="s">
        <v>3905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14"/>
        <v>25/07/2026</v>
      </c>
      <c r="M1324" s="23">
        <f t="shared" si="415"/>
        <v>0.45833333333333337</v>
      </c>
      <c r="N1324" t="str">
        <f t="shared" si="416"/>
        <v>1 - 2</v>
      </c>
      <c r="O1324" t="str">
        <f t="shared" si="417"/>
        <v>Red</v>
      </c>
      <c r="P1324" t="str">
        <f t="shared" si="418"/>
        <v>Red</v>
      </c>
      <c r="Q1324" t="str">
        <f t="shared" si="419"/>
        <v>Green</v>
      </c>
      <c r="R1324" t="str">
        <f t="shared" si="420"/>
        <v>Red</v>
      </c>
      <c r="S1324" t="str">
        <f t="shared" si="421"/>
        <v>Green</v>
      </c>
      <c r="T1324" t="str">
        <f t="shared" si="422"/>
        <v>Green</v>
      </c>
      <c r="U1324" t="str">
        <f t="shared" si="423"/>
        <v>Green</v>
      </c>
      <c r="V1324" t="str">
        <f t="shared" si="424"/>
        <v>Red</v>
      </c>
      <c r="W1324" t="str">
        <f t="shared" si="425"/>
        <v>Red</v>
      </c>
      <c r="X1324" t="str">
        <f t="shared" si="426"/>
        <v>Green</v>
      </c>
      <c r="Y1324" t="str">
        <f t="shared" si="427"/>
        <v>Green</v>
      </c>
      <c r="Z1324" t="str">
        <f t="shared" si="428"/>
        <v>Green</v>
      </c>
      <c r="AA1324" t="str">
        <f t="shared" si="429"/>
        <v>Red</v>
      </c>
      <c r="AB1324" t="str">
        <f t="shared" si="430"/>
        <v>Green</v>
      </c>
      <c r="AC1324" t="str">
        <f t="shared" si="431"/>
        <v>Green</v>
      </c>
      <c r="AD1324" t="str">
        <f t="shared" si="432"/>
        <v>Red</v>
      </c>
    </row>
    <row r="1325" spans="1:30" x14ac:dyDescent="0.2">
      <c r="A1325" t="str">
        <f>L1324&amp;F1325&amp;G1325</f>
        <v>25/07/2026PalermoNurnberg</v>
      </c>
      <c r="D1325" s="2">
        <v>46228</v>
      </c>
      <c r="E1325" s="3">
        <v>0.58333333333333337</v>
      </c>
      <c r="F1325" t="s">
        <v>1641</v>
      </c>
      <c r="G1325" t="s">
        <v>3906</v>
      </c>
      <c r="H1325">
        <v>0</v>
      </c>
      <c r="I1325">
        <v>1</v>
      </c>
      <c r="J1325">
        <v>2</v>
      </c>
      <c r="K1325">
        <v>2</v>
      </c>
      <c r="L1325" s="22" t="str">
        <f t="shared" si="414"/>
        <v>25/07/2026</v>
      </c>
      <c r="M1325" s="23">
        <f t="shared" si="415"/>
        <v>0.45833333333333337</v>
      </c>
      <c r="N1325" t="str">
        <f t="shared" si="416"/>
        <v>2 - 2</v>
      </c>
      <c r="O1325" t="str">
        <f t="shared" si="417"/>
        <v>Red</v>
      </c>
      <c r="P1325" t="str">
        <f t="shared" si="418"/>
        <v>Green</v>
      </c>
      <c r="Q1325" t="str">
        <f t="shared" si="419"/>
        <v>Red</v>
      </c>
      <c r="R1325" t="str">
        <f t="shared" si="420"/>
        <v>Green</v>
      </c>
      <c r="S1325" t="str">
        <f t="shared" si="421"/>
        <v>Green</v>
      </c>
      <c r="T1325" t="str">
        <f t="shared" si="422"/>
        <v>Red</v>
      </c>
      <c r="U1325" t="str">
        <f t="shared" si="423"/>
        <v>Red</v>
      </c>
      <c r="V1325" t="str">
        <f t="shared" si="424"/>
        <v>Red</v>
      </c>
      <c r="W1325" t="str">
        <f t="shared" si="425"/>
        <v>Green</v>
      </c>
      <c r="X1325" t="str">
        <f t="shared" si="426"/>
        <v>Green</v>
      </c>
      <c r="Y1325" t="str">
        <f t="shared" si="427"/>
        <v>Green</v>
      </c>
      <c r="Z1325" t="str">
        <f t="shared" si="428"/>
        <v>Green</v>
      </c>
      <c r="AA1325" t="str">
        <f t="shared" si="429"/>
        <v>Red</v>
      </c>
      <c r="AB1325" t="str">
        <f t="shared" si="430"/>
        <v>Red</v>
      </c>
      <c r="AC1325" t="str">
        <f t="shared" si="431"/>
        <v>Green</v>
      </c>
      <c r="AD1325" t="str">
        <f t="shared" si="432"/>
        <v>Red</v>
      </c>
    </row>
    <row r="1326" spans="1:30" x14ac:dyDescent="0.2">
      <c r="A1326" t="str">
        <f>L1325&amp;F1326&amp;G1326</f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14"/>
        <v>25/07/2026</v>
      </c>
      <c r="M1326" s="23">
        <f t="shared" si="415"/>
        <v>0.45833333333333337</v>
      </c>
      <c r="N1326" t="str">
        <f t="shared" si="416"/>
        <v>3 - 2</v>
      </c>
      <c r="O1326" t="str">
        <f t="shared" si="417"/>
        <v>Green</v>
      </c>
      <c r="P1326" t="str">
        <f t="shared" si="418"/>
        <v>Red</v>
      </c>
      <c r="Q1326" t="str">
        <f t="shared" si="419"/>
        <v>Red</v>
      </c>
      <c r="R1326" t="str">
        <f t="shared" si="420"/>
        <v>Green</v>
      </c>
      <c r="S1326" t="str">
        <f t="shared" si="421"/>
        <v>Red</v>
      </c>
      <c r="T1326" t="str">
        <f t="shared" si="422"/>
        <v>Green</v>
      </c>
      <c r="U1326" t="str">
        <f t="shared" si="423"/>
        <v>Green</v>
      </c>
      <c r="V1326" t="str">
        <f t="shared" si="424"/>
        <v>Red</v>
      </c>
      <c r="W1326" t="str">
        <f t="shared" si="425"/>
        <v>Red</v>
      </c>
      <c r="X1326" t="str">
        <f t="shared" si="426"/>
        <v>Green</v>
      </c>
      <c r="Y1326" t="str">
        <f t="shared" si="427"/>
        <v>Green</v>
      </c>
      <c r="Z1326" t="str">
        <f t="shared" si="428"/>
        <v>Green</v>
      </c>
      <c r="AA1326" t="str">
        <f t="shared" si="429"/>
        <v>Red</v>
      </c>
      <c r="AB1326" t="str">
        <f t="shared" si="430"/>
        <v>Red</v>
      </c>
      <c r="AC1326" t="str">
        <f t="shared" si="431"/>
        <v>Green</v>
      </c>
      <c r="AD1326" t="str">
        <f t="shared" si="432"/>
        <v>Red</v>
      </c>
    </row>
    <row r="1327" spans="1:30" x14ac:dyDescent="0.2">
      <c r="A1327" t="str">
        <f>L1326&amp;F1327&amp;G1327</f>
        <v>25/07/2026Redditch UnitedLoughborough University</v>
      </c>
      <c r="D1327" s="2">
        <v>46228</v>
      </c>
      <c r="E1327" s="3">
        <v>0.58333333333333337</v>
      </c>
      <c r="F1327" t="s">
        <v>3907</v>
      </c>
      <c r="G1327" t="s">
        <v>3908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33">DAY(D1327)&amp;"/"&amp;"07"&amp;"/"&amp;YEAR(D1327)</f>
        <v>25/07/2026</v>
      </c>
      <c r="M1327" s="23">
        <f t="shared" ref="M1327:M1390" si="434">E1327-TIME(3,0,0)</f>
        <v>0.45833333333333337</v>
      </c>
      <c r="N1327" t="str">
        <f t="shared" ref="N1327:N1390" si="435">J1327&amp;" - "&amp;K1327</f>
        <v>2 - 2</v>
      </c>
      <c r="O1327" t="str">
        <f t="shared" si="417"/>
        <v>Red</v>
      </c>
      <c r="P1327" t="str">
        <f t="shared" si="418"/>
        <v>Green</v>
      </c>
      <c r="Q1327" t="str">
        <f t="shared" si="419"/>
        <v>Red</v>
      </c>
      <c r="R1327" t="str">
        <f t="shared" si="420"/>
        <v>Green</v>
      </c>
      <c r="S1327" t="str">
        <f t="shared" si="421"/>
        <v>Green</v>
      </c>
      <c r="T1327" t="str">
        <f t="shared" si="422"/>
        <v>Red</v>
      </c>
      <c r="U1327" t="str">
        <f t="shared" si="423"/>
        <v>Green</v>
      </c>
      <c r="V1327" t="str">
        <f t="shared" si="424"/>
        <v>Red</v>
      </c>
      <c r="W1327" t="str">
        <f t="shared" si="425"/>
        <v>Red</v>
      </c>
      <c r="X1327" t="str">
        <f t="shared" si="426"/>
        <v>Green</v>
      </c>
      <c r="Y1327" t="str">
        <f t="shared" si="427"/>
        <v>Green</v>
      </c>
      <c r="Z1327" t="str">
        <f t="shared" si="428"/>
        <v>Green</v>
      </c>
      <c r="AA1327" t="str">
        <f t="shared" si="429"/>
        <v>Red</v>
      </c>
      <c r="AB1327" t="str">
        <f t="shared" si="430"/>
        <v>Red</v>
      </c>
      <c r="AC1327" t="str">
        <f t="shared" si="431"/>
        <v>Green</v>
      </c>
      <c r="AD1327" t="str">
        <f t="shared" si="432"/>
        <v>Red</v>
      </c>
    </row>
    <row r="1328" spans="1:30" x14ac:dyDescent="0.2">
      <c r="A1328" t="str">
        <f>L1327&amp;F1328&amp;G1328</f>
        <v>25/07/2026Rochdale AFC Farnham</v>
      </c>
      <c r="D1328" s="2">
        <v>46228</v>
      </c>
      <c r="E1328" s="3">
        <v>0.58333333333333337</v>
      </c>
      <c r="F1328" t="s">
        <v>3909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33"/>
        <v>25/07/2026</v>
      </c>
      <c r="M1328" s="23">
        <f t="shared" si="434"/>
        <v>0.45833333333333337</v>
      </c>
      <c r="N1328" t="str">
        <f t="shared" si="435"/>
        <v>2 - 2</v>
      </c>
      <c r="O1328" t="str">
        <f t="shared" si="417"/>
        <v>Red</v>
      </c>
      <c r="P1328" t="str">
        <f t="shared" si="418"/>
        <v>Green</v>
      </c>
      <c r="Q1328" t="str">
        <f t="shared" si="419"/>
        <v>Red</v>
      </c>
      <c r="R1328" t="str">
        <f t="shared" si="420"/>
        <v>Green</v>
      </c>
      <c r="S1328" t="str">
        <f t="shared" si="421"/>
        <v>Green</v>
      </c>
      <c r="T1328" t="str">
        <f t="shared" si="422"/>
        <v>Red</v>
      </c>
      <c r="U1328" t="str">
        <f t="shared" si="423"/>
        <v>Red</v>
      </c>
      <c r="V1328" t="str">
        <f t="shared" si="424"/>
        <v>Green</v>
      </c>
      <c r="W1328" t="str">
        <f t="shared" si="425"/>
        <v>Red</v>
      </c>
      <c r="X1328" t="str">
        <f t="shared" si="426"/>
        <v>Green</v>
      </c>
      <c r="Y1328" t="str">
        <f t="shared" si="427"/>
        <v>Green</v>
      </c>
      <c r="Z1328" t="str">
        <f t="shared" si="428"/>
        <v>Green</v>
      </c>
      <c r="AA1328" t="str">
        <f t="shared" si="429"/>
        <v>Red</v>
      </c>
      <c r="AB1328" t="str">
        <f t="shared" si="430"/>
        <v>Red</v>
      </c>
      <c r="AC1328" t="str">
        <f t="shared" si="431"/>
        <v>Green</v>
      </c>
      <c r="AD1328" t="str">
        <f t="shared" si="432"/>
        <v>Red</v>
      </c>
    </row>
    <row r="1329" spans="1:30" x14ac:dyDescent="0.2">
      <c r="A1329" t="str">
        <f>L1328&amp;F1329&amp;G1329</f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33"/>
        <v>25/07/2026</v>
      </c>
      <c r="M1329" s="23">
        <f t="shared" si="434"/>
        <v>0.45833333333333337</v>
      </c>
      <c r="N1329" t="str">
        <f t="shared" si="435"/>
        <v>0 - 2</v>
      </c>
      <c r="O1329" t="str">
        <f t="shared" si="417"/>
        <v>Red</v>
      </c>
      <c r="P1329" t="str">
        <f t="shared" si="418"/>
        <v>Red</v>
      </c>
      <c r="Q1329" t="str">
        <f t="shared" si="419"/>
        <v>Green</v>
      </c>
      <c r="R1329" t="str">
        <f t="shared" si="420"/>
        <v>Red</v>
      </c>
      <c r="S1329" t="str">
        <f t="shared" si="421"/>
        <v>Green</v>
      </c>
      <c r="T1329" t="str">
        <f t="shared" si="422"/>
        <v>Green</v>
      </c>
      <c r="U1329" t="str">
        <f t="shared" si="423"/>
        <v>Red</v>
      </c>
      <c r="V1329" t="str">
        <f t="shared" si="424"/>
        <v>Red</v>
      </c>
      <c r="W1329" t="str">
        <f t="shared" si="425"/>
        <v>Green</v>
      </c>
      <c r="X1329" t="str">
        <f t="shared" si="426"/>
        <v>Green</v>
      </c>
      <c r="Y1329" t="str">
        <f t="shared" si="427"/>
        <v>Green</v>
      </c>
      <c r="Z1329" t="str">
        <f t="shared" si="428"/>
        <v>Red</v>
      </c>
      <c r="AA1329" t="str">
        <f t="shared" si="429"/>
        <v>Green</v>
      </c>
      <c r="AB1329" t="str">
        <f t="shared" si="430"/>
        <v>Green</v>
      </c>
      <c r="AC1329" t="str">
        <f t="shared" si="431"/>
        <v>Red</v>
      </c>
      <c r="AD1329" t="str">
        <f t="shared" si="432"/>
        <v>Green</v>
      </c>
    </row>
    <row r="1330" spans="1:30" x14ac:dyDescent="0.2">
      <c r="A1330" t="str">
        <f>L1329&amp;F1330&amp;G1330</f>
        <v>25/07/2026Royston TownBillericay Town</v>
      </c>
      <c r="D1330" s="2">
        <v>46228</v>
      </c>
      <c r="E1330" s="3">
        <v>0.58333333333333337</v>
      </c>
      <c r="F1330" t="s">
        <v>3910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33"/>
        <v>25/07/2026</v>
      </c>
      <c r="M1330" s="23">
        <f t="shared" si="434"/>
        <v>0.45833333333333337</v>
      </c>
      <c r="N1330" t="str">
        <f t="shared" si="435"/>
        <v>0 - 3</v>
      </c>
      <c r="O1330" t="str">
        <f t="shared" si="417"/>
        <v>Red</v>
      </c>
      <c r="P1330" t="str">
        <f t="shared" si="418"/>
        <v>Red</v>
      </c>
      <c r="Q1330" t="str">
        <f t="shared" si="419"/>
        <v>Green</v>
      </c>
      <c r="R1330" t="str">
        <f t="shared" si="420"/>
        <v>Red</v>
      </c>
      <c r="S1330" t="str">
        <f t="shared" si="421"/>
        <v>Green</v>
      </c>
      <c r="T1330" t="str">
        <f t="shared" si="422"/>
        <v>Green</v>
      </c>
      <c r="U1330" t="str">
        <f t="shared" si="423"/>
        <v>Red</v>
      </c>
      <c r="V1330" t="str">
        <f t="shared" si="424"/>
        <v>Red</v>
      </c>
      <c r="W1330" t="str">
        <f t="shared" si="425"/>
        <v>Green</v>
      </c>
      <c r="X1330" t="str">
        <f t="shared" si="426"/>
        <v>Green</v>
      </c>
      <c r="Y1330" t="str">
        <f t="shared" si="427"/>
        <v>Green</v>
      </c>
      <c r="Z1330" t="str">
        <f t="shared" si="428"/>
        <v>Green</v>
      </c>
      <c r="AA1330" t="str">
        <f t="shared" si="429"/>
        <v>Red</v>
      </c>
      <c r="AB1330" t="str">
        <f t="shared" si="430"/>
        <v>Green</v>
      </c>
      <c r="AC1330" t="str">
        <f t="shared" si="431"/>
        <v>Red</v>
      </c>
      <c r="AD1330" t="str">
        <f t="shared" si="432"/>
        <v>Green</v>
      </c>
    </row>
    <row r="1331" spans="1:30" x14ac:dyDescent="0.2">
      <c r="A1331" t="str">
        <f>L1330&amp;F1331&amp;G1331</f>
        <v>25/07/2026Runcorn LinnetsAshton United</v>
      </c>
      <c r="D1331" s="2">
        <v>46228</v>
      </c>
      <c r="E1331" s="3">
        <v>0.58333333333333337</v>
      </c>
      <c r="F1331" t="s">
        <v>3911</v>
      </c>
      <c r="G1331" t="s">
        <v>3912</v>
      </c>
      <c r="H1331">
        <v>2</v>
      </c>
      <c r="I1331">
        <v>2</v>
      </c>
      <c r="J1331">
        <v>2</v>
      </c>
      <c r="K1331">
        <v>4</v>
      </c>
      <c r="L1331" s="22" t="str">
        <f t="shared" si="433"/>
        <v>25/07/2026</v>
      </c>
      <c r="M1331" s="23">
        <f t="shared" si="434"/>
        <v>0.45833333333333337</v>
      </c>
      <c r="N1331" t="str">
        <f t="shared" si="435"/>
        <v>2 - 4</v>
      </c>
      <c r="O1331" t="str">
        <f t="shared" si="417"/>
        <v>Red</v>
      </c>
      <c r="P1331" t="str">
        <f t="shared" si="418"/>
        <v>Red</v>
      </c>
      <c r="Q1331" t="str">
        <f t="shared" si="419"/>
        <v>Green</v>
      </c>
      <c r="R1331" t="str">
        <f t="shared" si="420"/>
        <v>Red</v>
      </c>
      <c r="S1331" t="str">
        <f t="shared" si="421"/>
        <v>Green</v>
      </c>
      <c r="T1331" t="str">
        <f t="shared" si="422"/>
        <v>Green</v>
      </c>
      <c r="U1331" t="str">
        <f t="shared" si="423"/>
        <v>Red</v>
      </c>
      <c r="V1331" t="str">
        <f t="shared" si="424"/>
        <v>Green</v>
      </c>
      <c r="W1331" t="str">
        <f t="shared" si="425"/>
        <v>Red</v>
      </c>
      <c r="X1331" t="str">
        <f t="shared" si="426"/>
        <v>Green</v>
      </c>
      <c r="Y1331" t="str">
        <f t="shared" si="427"/>
        <v>Green</v>
      </c>
      <c r="Z1331" t="str">
        <f t="shared" si="428"/>
        <v>Green</v>
      </c>
      <c r="AA1331" t="str">
        <f t="shared" si="429"/>
        <v>Red</v>
      </c>
      <c r="AB1331" t="str">
        <f t="shared" si="430"/>
        <v>Red</v>
      </c>
      <c r="AC1331" t="str">
        <f t="shared" si="431"/>
        <v>Green</v>
      </c>
      <c r="AD1331" t="str">
        <f t="shared" si="432"/>
        <v>Red</v>
      </c>
    </row>
    <row r="1332" spans="1:30" x14ac:dyDescent="0.2">
      <c r="A1332" t="str">
        <f>L1331&amp;F1332&amp;G1332</f>
        <v>25/07/2026Salford CityDundee United</v>
      </c>
      <c r="D1332" s="2">
        <v>46228</v>
      </c>
      <c r="E1332" s="3">
        <v>0.58333333333333337</v>
      </c>
      <c r="F1332" t="s">
        <v>3913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33"/>
        <v>25/07/2026</v>
      </c>
      <c r="M1332" s="23">
        <f t="shared" si="434"/>
        <v>0.45833333333333337</v>
      </c>
      <c r="N1332" t="str">
        <f t="shared" si="435"/>
        <v>3 - 2</v>
      </c>
      <c r="O1332" t="str">
        <f t="shared" si="417"/>
        <v>Green</v>
      </c>
      <c r="P1332" t="str">
        <f t="shared" si="418"/>
        <v>Red</v>
      </c>
      <c r="Q1332" t="str">
        <f t="shared" si="419"/>
        <v>Red</v>
      </c>
      <c r="R1332" t="str">
        <f t="shared" si="420"/>
        <v>Green</v>
      </c>
      <c r="S1332" t="str">
        <f t="shared" si="421"/>
        <v>Red</v>
      </c>
      <c r="T1332" t="str">
        <f t="shared" si="422"/>
        <v>Green</v>
      </c>
      <c r="U1332" t="str">
        <f t="shared" si="423"/>
        <v>Green</v>
      </c>
      <c r="V1332" t="str">
        <f t="shared" si="424"/>
        <v>Red</v>
      </c>
      <c r="W1332" t="str">
        <f t="shared" si="425"/>
        <v>Red</v>
      </c>
      <c r="X1332" t="str">
        <f t="shared" si="426"/>
        <v>Green</v>
      </c>
      <c r="Y1332" t="str">
        <f t="shared" si="427"/>
        <v>Green</v>
      </c>
      <c r="Z1332" t="str">
        <f t="shared" si="428"/>
        <v>Green</v>
      </c>
      <c r="AA1332" t="str">
        <f t="shared" si="429"/>
        <v>Red</v>
      </c>
      <c r="AB1332" t="str">
        <f t="shared" si="430"/>
        <v>Red</v>
      </c>
      <c r="AC1332" t="str">
        <f t="shared" si="431"/>
        <v>Green</v>
      </c>
      <c r="AD1332" t="str">
        <f t="shared" si="432"/>
        <v>Red</v>
      </c>
    </row>
    <row r="1333" spans="1:30" x14ac:dyDescent="0.2">
      <c r="A1333" t="str">
        <f>L1332&amp;F1333&amp;G1333</f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33"/>
        <v>25/07/2026</v>
      </c>
      <c r="M1333" s="23">
        <f t="shared" si="434"/>
        <v>0.45833333333333337</v>
      </c>
      <c r="N1333" t="str">
        <f t="shared" si="435"/>
        <v>3 - 1</v>
      </c>
      <c r="O1333" t="str">
        <f t="shared" si="417"/>
        <v>Green</v>
      </c>
      <c r="P1333" t="str">
        <f t="shared" si="418"/>
        <v>Red</v>
      </c>
      <c r="Q1333" t="str">
        <f t="shared" si="419"/>
        <v>Red</v>
      </c>
      <c r="R1333" t="str">
        <f t="shared" si="420"/>
        <v>Green</v>
      </c>
      <c r="S1333" t="str">
        <f t="shared" si="421"/>
        <v>Red</v>
      </c>
      <c r="T1333" t="str">
        <f t="shared" si="422"/>
        <v>Green</v>
      </c>
      <c r="U1333" t="str">
        <f t="shared" si="423"/>
        <v>Green</v>
      </c>
      <c r="V1333" t="str">
        <f t="shared" si="424"/>
        <v>Red</v>
      </c>
      <c r="W1333" t="str">
        <f t="shared" si="425"/>
        <v>Red</v>
      </c>
      <c r="X1333" t="str">
        <f t="shared" si="426"/>
        <v>Green</v>
      </c>
      <c r="Y1333" t="str">
        <f t="shared" si="427"/>
        <v>Green</v>
      </c>
      <c r="Z1333" t="str">
        <f t="shared" si="428"/>
        <v>Green</v>
      </c>
      <c r="AA1333" t="str">
        <f t="shared" si="429"/>
        <v>Red</v>
      </c>
      <c r="AB1333" t="str">
        <f t="shared" si="430"/>
        <v>Red</v>
      </c>
      <c r="AC1333" t="str">
        <f t="shared" si="431"/>
        <v>Green</v>
      </c>
      <c r="AD1333" t="str">
        <f t="shared" si="432"/>
        <v>Red</v>
      </c>
    </row>
    <row r="1334" spans="1:30" x14ac:dyDescent="0.2">
      <c r="A1334" t="str">
        <f>L1333&amp;F1334&amp;G1334</f>
        <v>25/07/2026Shifnal TownRushall Olympic</v>
      </c>
      <c r="D1334" s="2">
        <v>46228</v>
      </c>
      <c r="E1334" s="3">
        <v>0.58333333333333337</v>
      </c>
      <c r="F1334" t="s">
        <v>3914</v>
      </c>
      <c r="G1334" t="s">
        <v>3915</v>
      </c>
      <c r="H1334">
        <v>1</v>
      </c>
      <c r="I1334">
        <v>0</v>
      </c>
      <c r="J1334">
        <v>1</v>
      </c>
      <c r="K1334">
        <v>2</v>
      </c>
      <c r="L1334" s="22" t="str">
        <f t="shared" si="433"/>
        <v>25/07/2026</v>
      </c>
      <c r="M1334" s="23">
        <f t="shared" si="434"/>
        <v>0.45833333333333337</v>
      </c>
      <c r="N1334" t="str">
        <f t="shared" si="435"/>
        <v>1 - 2</v>
      </c>
      <c r="O1334" t="str">
        <f t="shared" si="417"/>
        <v>Red</v>
      </c>
      <c r="P1334" t="str">
        <f t="shared" si="418"/>
        <v>Red</v>
      </c>
      <c r="Q1334" t="str">
        <f t="shared" si="419"/>
        <v>Green</v>
      </c>
      <c r="R1334" t="str">
        <f t="shared" si="420"/>
        <v>Red</v>
      </c>
      <c r="S1334" t="str">
        <f t="shared" si="421"/>
        <v>Green</v>
      </c>
      <c r="T1334" t="str">
        <f t="shared" si="422"/>
        <v>Green</v>
      </c>
      <c r="U1334" t="str">
        <f t="shared" si="423"/>
        <v>Green</v>
      </c>
      <c r="V1334" t="str">
        <f t="shared" si="424"/>
        <v>Red</v>
      </c>
      <c r="W1334" t="str">
        <f t="shared" si="425"/>
        <v>Red</v>
      </c>
      <c r="X1334" t="str">
        <f t="shared" si="426"/>
        <v>Green</v>
      </c>
      <c r="Y1334" t="str">
        <f t="shared" si="427"/>
        <v>Green</v>
      </c>
      <c r="Z1334" t="str">
        <f t="shared" si="428"/>
        <v>Green</v>
      </c>
      <c r="AA1334" t="str">
        <f t="shared" si="429"/>
        <v>Red</v>
      </c>
      <c r="AB1334" t="str">
        <f t="shared" si="430"/>
        <v>Green</v>
      </c>
      <c r="AC1334" t="str">
        <f t="shared" si="431"/>
        <v>Green</v>
      </c>
      <c r="AD1334" t="str">
        <f t="shared" si="432"/>
        <v>Red</v>
      </c>
    </row>
    <row r="1335" spans="1:30" x14ac:dyDescent="0.2">
      <c r="A1335" t="str">
        <f>L1334&amp;F1335&amp;G1335</f>
        <v>25/07/2026SholingFolkestone Invicta</v>
      </c>
      <c r="D1335" s="2">
        <v>46228</v>
      </c>
      <c r="E1335" s="3">
        <v>0.58333333333333337</v>
      </c>
      <c r="F1335" t="s">
        <v>3916</v>
      </c>
      <c r="G1335" t="s">
        <v>3917</v>
      </c>
      <c r="H1335">
        <v>1</v>
      </c>
      <c r="I1335">
        <v>0</v>
      </c>
      <c r="J1335">
        <v>1</v>
      </c>
      <c r="K1335">
        <v>0</v>
      </c>
      <c r="L1335" s="22" t="str">
        <f t="shared" si="433"/>
        <v>25/07/2026</v>
      </c>
      <c r="M1335" s="23">
        <f t="shared" si="434"/>
        <v>0.45833333333333337</v>
      </c>
      <c r="N1335" t="str">
        <f t="shared" si="435"/>
        <v>1 - 0</v>
      </c>
      <c r="O1335" t="str">
        <f t="shared" si="417"/>
        <v>Green</v>
      </c>
      <c r="P1335" t="str">
        <f t="shared" si="418"/>
        <v>Red</v>
      </c>
      <c r="Q1335" t="str">
        <f t="shared" si="419"/>
        <v>Red</v>
      </c>
      <c r="R1335" t="str">
        <f t="shared" si="420"/>
        <v>Green</v>
      </c>
      <c r="S1335" t="str">
        <f t="shared" si="421"/>
        <v>Red</v>
      </c>
      <c r="T1335" t="str">
        <f t="shared" si="422"/>
        <v>Green</v>
      </c>
      <c r="U1335" t="str">
        <f t="shared" si="423"/>
        <v>Green</v>
      </c>
      <c r="V1335" t="str">
        <f t="shared" si="424"/>
        <v>Red</v>
      </c>
      <c r="W1335" t="str">
        <f t="shared" si="425"/>
        <v>Red</v>
      </c>
      <c r="X1335" t="str">
        <f t="shared" si="426"/>
        <v>Green</v>
      </c>
      <c r="Y1335" t="str">
        <f t="shared" si="427"/>
        <v>Red</v>
      </c>
      <c r="Z1335" t="str">
        <f t="shared" si="428"/>
        <v>Red</v>
      </c>
      <c r="AA1335" t="str">
        <f t="shared" si="429"/>
        <v>Green</v>
      </c>
      <c r="AB1335" t="str">
        <f t="shared" si="430"/>
        <v>Green</v>
      </c>
      <c r="AC1335" t="str">
        <f t="shared" si="431"/>
        <v>Red</v>
      </c>
      <c r="AD1335" t="str">
        <f t="shared" si="432"/>
        <v>Green</v>
      </c>
    </row>
    <row r="1336" spans="1:30" x14ac:dyDescent="0.2">
      <c r="A1336" t="str">
        <f>L1335&amp;F1336&amp;G1336</f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3918</v>
      </c>
      <c r="H1336">
        <v>1</v>
      </c>
      <c r="I1336">
        <v>3</v>
      </c>
      <c r="J1336">
        <v>1</v>
      </c>
      <c r="K1336">
        <v>4</v>
      </c>
      <c r="L1336" s="22" t="str">
        <f t="shared" si="433"/>
        <v>25/07/2026</v>
      </c>
      <c r="M1336" s="23">
        <f t="shared" si="434"/>
        <v>0.45833333333333337</v>
      </c>
      <c r="N1336" t="str">
        <f t="shared" si="435"/>
        <v>1 - 4</v>
      </c>
      <c r="O1336" t="str">
        <f t="shared" si="417"/>
        <v>Red</v>
      </c>
      <c r="P1336" t="str">
        <f t="shared" si="418"/>
        <v>Red</v>
      </c>
      <c r="Q1336" t="str">
        <f t="shared" si="419"/>
        <v>Green</v>
      </c>
      <c r="R1336" t="str">
        <f t="shared" si="420"/>
        <v>Red</v>
      </c>
      <c r="S1336" t="str">
        <f t="shared" si="421"/>
        <v>Green</v>
      </c>
      <c r="T1336" t="str">
        <f t="shared" si="422"/>
        <v>Green</v>
      </c>
      <c r="U1336" t="str">
        <f t="shared" si="423"/>
        <v>Red</v>
      </c>
      <c r="V1336" t="str">
        <f t="shared" si="424"/>
        <v>Red</v>
      </c>
      <c r="W1336" t="str">
        <f t="shared" si="425"/>
        <v>Green</v>
      </c>
      <c r="X1336" t="str">
        <f t="shared" si="426"/>
        <v>Green</v>
      </c>
      <c r="Y1336" t="str">
        <f t="shared" si="427"/>
        <v>Green</v>
      </c>
      <c r="Z1336" t="str">
        <f t="shared" si="428"/>
        <v>Green</v>
      </c>
      <c r="AA1336" t="str">
        <f t="shared" si="429"/>
        <v>Red</v>
      </c>
      <c r="AB1336" t="str">
        <f t="shared" si="430"/>
        <v>Red</v>
      </c>
      <c r="AC1336" t="str">
        <f t="shared" si="431"/>
        <v>Green</v>
      </c>
      <c r="AD1336" t="str">
        <f t="shared" si="432"/>
        <v>Red</v>
      </c>
    </row>
    <row r="1337" spans="1:30" x14ac:dyDescent="0.2">
      <c r="A1337" t="str">
        <f>L1336&amp;F1337&amp;G1337</f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3919</v>
      </c>
      <c r="H1337">
        <v>0</v>
      </c>
      <c r="I1337">
        <v>0</v>
      </c>
      <c r="J1337">
        <v>1</v>
      </c>
      <c r="K1337">
        <v>1</v>
      </c>
      <c r="L1337" s="22" t="str">
        <f t="shared" si="433"/>
        <v>25/07/2026</v>
      </c>
      <c r="M1337" s="23">
        <f t="shared" si="434"/>
        <v>0.45833333333333337</v>
      </c>
      <c r="N1337" t="str">
        <f t="shared" si="435"/>
        <v>1 - 1</v>
      </c>
      <c r="O1337" t="str">
        <f t="shared" si="417"/>
        <v>Red</v>
      </c>
      <c r="P1337" t="str">
        <f t="shared" si="418"/>
        <v>Green</v>
      </c>
      <c r="Q1337" t="str">
        <f t="shared" si="419"/>
        <v>Red</v>
      </c>
      <c r="R1337" t="str">
        <f t="shared" si="420"/>
        <v>Green</v>
      </c>
      <c r="S1337" t="str">
        <f t="shared" si="421"/>
        <v>Green</v>
      </c>
      <c r="T1337" t="str">
        <f t="shared" si="422"/>
        <v>Red</v>
      </c>
      <c r="U1337" t="str">
        <f t="shared" si="423"/>
        <v>Red</v>
      </c>
      <c r="V1337" t="str">
        <f t="shared" si="424"/>
        <v>Green</v>
      </c>
      <c r="W1337" t="str">
        <f t="shared" si="425"/>
        <v>Red</v>
      </c>
      <c r="X1337" t="str">
        <f t="shared" si="426"/>
        <v>Red</v>
      </c>
      <c r="Y1337" t="str">
        <f t="shared" si="427"/>
        <v>Green</v>
      </c>
      <c r="Z1337" t="str">
        <f t="shared" si="428"/>
        <v>Red</v>
      </c>
      <c r="AA1337" t="str">
        <f t="shared" si="429"/>
        <v>Green</v>
      </c>
      <c r="AB1337" t="str">
        <f t="shared" si="430"/>
        <v>Green</v>
      </c>
      <c r="AC1337" t="str">
        <f t="shared" si="431"/>
        <v>Green</v>
      </c>
      <c r="AD1337" t="str">
        <f t="shared" si="432"/>
        <v>Red</v>
      </c>
    </row>
    <row r="1338" spans="1:30" x14ac:dyDescent="0.2">
      <c r="A1338" t="str">
        <f>L1337&amp;F1338&amp;G1338</f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33"/>
        <v>25/07/2026</v>
      </c>
      <c r="M1338" s="23">
        <f t="shared" si="434"/>
        <v>0.45833333333333337</v>
      </c>
      <c r="N1338" t="str">
        <f t="shared" si="435"/>
        <v>1 - 1</v>
      </c>
      <c r="O1338" t="str">
        <f t="shared" si="417"/>
        <v>Red</v>
      </c>
      <c r="P1338" t="str">
        <f t="shared" si="418"/>
        <v>Green</v>
      </c>
      <c r="Q1338" t="str">
        <f t="shared" si="419"/>
        <v>Red</v>
      </c>
      <c r="R1338" t="str">
        <f t="shared" si="420"/>
        <v>Green</v>
      </c>
      <c r="S1338" t="str">
        <f t="shared" si="421"/>
        <v>Green</v>
      </c>
      <c r="T1338" t="str">
        <f t="shared" si="422"/>
        <v>Red</v>
      </c>
      <c r="U1338" t="str">
        <f t="shared" si="423"/>
        <v>Red</v>
      </c>
      <c r="V1338" t="str">
        <f t="shared" si="424"/>
        <v>Green</v>
      </c>
      <c r="W1338" t="str">
        <f t="shared" si="425"/>
        <v>Red</v>
      </c>
      <c r="X1338" t="str">
        <f t="shared" si="426"/>
        <v>Red</v>
      </c>
      <c r="Y1338" t="str">
        <f t="shared" si="427"/>
        <v>Green</v>
      </c>
      <c r="Z1338" t="str">
        <f t="shared" si="428"/>
        <v>Red</v>
      </c>
      <c r="AA1338" t="str">
        <f t="shared" si="429"/>
        <v>Green</v>
      </c>
      <c r="AB1338" t="str">
        <f t="shared" si="430"/>
        <v>Green</v>
      </c>
      <c r="AC1338" t="str">
        <f t="shared" si="431"/>
        <v>Green</v>
      </c>
      <c r="AD1338" t="str">
        <f t="shared" si="432"/>
        <v>Red</v>
      </c>
    </row>
    <row r="1339" spans="1:30" x14ac:dyDescent="0.2">
      <c r="A1339" t="str">
        <f>L1338&amp;F1339&amp;G1339</f>
        <v>25/07/2026Spalding UnitedBishop's Stortford</v>
      </c>
      <c r="D1339" s="2">
        <v>46228</v>
      </c>
      <c r="E1339" s="3">
        <v>0.58333333333333337</v>
      </c>
      <c r="F1339" t="s">
        <v>3920</v>
      </c>
      <c r="G1339" t="s">
        <v>3921</v>
      </c>
      <c r="H1339">
        <v>5</v>
      </c>
      <c r="I1339">
        <v>0</v>
      </c>
      <c r="J1339">
        <v>5</v>
      </c>
      <c r="K1339">
        <v>0</v>
      </c>
      <c r="L1339" s="22" t="str">
        <f t="shared" si="433"/>
        <v>25/07/2026</v>
      </c>
      <c r="M1339" s="23">
        <f t="shared" si="434"/>
        <v>0.45833333333333337</v>
      </c>
      <c r="N1339" t="str">
        <f t="shared" si="435"/>
        <v>5 - 0</v>
      </c>
      <c r="O1339" t="str">
        <f t="shared" si="417"/>
        <v>Green</v>
      </c>
      <c r="P1339" t="str">
        <f t="shared" si="418"/>
        <v>Red</v>
      </c>
      <c r="Q1339" t="str">
        <f t="shared" si="419"/>
        <v>Red</v>
      </c>
      <c r="R1339" t="str">
        <f t="shared" si="420"/>
        <v>Green</v>
      </c>
      <c r="S1339" t="str">
        <f t="shared" si="421"/>
        <v>Red</v>
      </c>
      <c r="T1339" t="str">
        <f t="shared" si="422"/>
        <v>Green</v>
      </c>
      <c r="U1339" t="str">
        <f t="shared" si="423"/>
        <v>Green</v>
      </c>
      <c r="V1339" t="str">
        <f t="shared" si="424"/>
        <v>Red</v>
      </c>
      <c r="W1339" t="str">
        <f t="shared" si="425"/>
        <v>Red</v>
      </c>
      <c r="X1339" t="str">
        <f t="shared" si="426"/>
        <v>Green</v>
      </c>
      <c r="Y1339" t="str">
        <f t="shared" si="427"/>
        <v>Green</v>
      </c>
      <c r="Z1339" t="str">
        <f t="shared" si="428"/>
        <v>Green</v>
      </c>
      <c r="AA1339" t="str">
        <f t="shared" si="429"/>
        <v>Red</v>
      </c>
      <c r="AB1339" t="str">
        <f t="shared" si="430"/>
        <v>Red</v>
      </c>
      <c r="AC1339" t="str">
        <f t="shared" si="431"/>
        <v>Red</v>
      </c>
      <c r="AD1339" t="str">
        <f t="shared" si="432"/>
        <v>Green</v>
      </c>
    </row>
    <row r="1340" spans="1:30" x14ac:dyDescent="0.2">
      <c r="A1340" t="str">
        <f>L1339&amp;F1340&amp;G1340</f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33"/>
        <v>25/07/2026</v>
      </c>
      <c r="M1340" s="23">
        <f t="shared" si="434"/>
        <v>0.45833333333333337</v>
      </c>
      <c r="N1340" t="str">
        <f t="shared" si="435"/>
        <v>1 - 3</v>
      </c>
      <c r="O1340" t="str">
        <f t="shared" si="417"/>
        <v>Red</v>
      </c>
      <c r="P1340" t="str">
        <f t="shared" si="418"/>
        <v>Red</v>
      </c>
      <c r="Q1340" t="str">
        <f t="shared" si="419"/>
        <v>Green</v>
      </c>
      <c r="R1340" t="str">
        <f t="shared" si="420"/>
        <v>Red</v>
      </c>
      <c r="S1340" t="str">
        <f t="shared" si="421"/>
        <v>Green</v>
      </c>
      <c r="T1340" t="str">
        <f t="shared" si="422"/>
        <v>Green</v>
      </c>
      <c r="U1340" t="str">
        <f t="shared" si="423"/>
        <v>Red</v>
      </c>
      <c r="V1340" t="str">
        <f t="shared" si="424"/>
        <v>Red</v>
      </c>
      <c r="W1340" t="str">
        <f t="shared" si="425"/>
        <v>Green</v>
      </c>
      <c r="X1340" t="str">
        <f t="shared" si="426"/>
        <v>Green</v>
      </c>
      <c r="Y1340" t="str">
        <f t="shared" si="427"/>
        <v>Green</v>
      </c>
      <c r="Z1340" t="str">
        <f t="shared" si="428"/>
        <v>Green</v>
      </c>
      <c r="AA1340" t="str">
        <f t="shared" si="429"/>
        <v>Red</v>
      </c>
      <c r="AB1340" t="str">
        <f t="shared" si="430"/>
        <v>Red</v>
      </c>
      <c r="AC1340" t="str">
        <f t="shared" si="431"/>
        <v>Green</v>
      </c>
      <c r="AD1340" t="str">
        <f t="shared" si="432"/>
        <v>Red</v>
      </c>
    </row>
    <row r="1341" spans="1:30" x14ac:dyDescent="0.2">
      <c r="A1341" t="str">
        <f>L1340&amp;F1341&amp;G1341</f>
        <v>25/07/2026Stalybridge CelticLeek Town</v>
      </c>
      <c r="D1341" s="2">
        <v>46228</v>
      </c>
      <c r="E1341" s="3">
        <v>0.58333333333333337</v>
      </c>
      <c r="F1341" t="s">
        <v>3922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33"/>
        <v>25/07/2026</v>
      </c>
      <c r="M1341" s="23">
        <f t="shared" si="434"/>
        <v>0.45833333333333337</v>
      </c>
      <c r="N1341" t="str">
        <f t="shared" si="435"/>
        <v>1 - 1</v>
      </c>
      <c r="O1341" t="str">
        <f t="shared" si="417"/>
        <v>Red</v>
      </c>
      <c r="P1341" t="str">
        <f t="shared" si="418"/>
        <v>Green</v>
      </c>
      <c r="Q1341" t="str">
        <f t="shared" si="419"/>
        <v>Red</v>
      </c>
      <c r="R1341" t="str">
        <f t="shared" si="420"/>
        <v>Green</v>
      </c>
      <c r="S1341" t="str">
        <f t="shared" si="421"/>
        <v>Green</v>
      </c>
      <c r="T1341" t="str">
        <f t="shared" si="422"/>
        <v>Red</v>
      </c>
      <c r="U1341" t="str">
        <f t="shared" si="423"/>
        <v>Red</v>
      </c>
      <c r="V1341" t="str">
        <f t="shared" si="424"/>
        <v>Red</v>
      </c>
      <c r="W1341" t="str">
        <f t="shared" si="425"/>
        <v>Green</v>
      </c>
      <c r="X1341" t="str">
        <f t="shared" si="426"/>
        <v>Green</v>
      </c>
      <c r="Y1341" t="str">
        <f t="shared" si="427"/>
        <v>Green</v>
      </c>
      <c r="Z1341" t="str">
        <f t="shared" si="428"/>
        <v>Red</v>
      </c>
      <c r="AA1341" t="str">
        <f t="shared" si="429"/>
        <v>Green</v>
      </c>
      <c r="AB1341" t="str">
        <f t="shared" si="430"/>
        <v>Green</v>
      </c>
      <c r="AC1341" t="str">
        <f t="shared" si="431"/>
        <v>Green</v>
      </c>
      <c r="AD1341" t="str">
        <f t="shared" si="432"/>
        <v>Red</v>
      </c>
    </row>
    <row r="1342" spans="1:30" x14ac:dyDescent="0.2">
      <c r="A1342" t="str">
        <f>L1341&amp;F1342&amp;G1342</f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3923</v>
      </c>
      <c r="H1342">
        <v>0</v>
      </c>
      <c r="I1342">
        <v>2</v>
      </c>
      <c r="J1342">
        <v>0</v>
      </c>
      <c r="K1342">
        <v>5</v>
      </c>
      <c r="L1342" s="22" t="str">
        <f t="shared" si="433"/>
        <v>25/07/2026</v>
      </c>
      <c r="M1342" s="23">
        <f t="shared" si="434"/>
        <v>0.45833333333333337</v>
      </c>
      <c r="N1342" t="str">
        <f t="shared" si="435"/>
        <v>0 - 5</v>
      </c>
      <c r="O1342" t="str">
        <f t="shared" si="417"/>
        <v>Red</v>
      </c>
      <c r="P1342" t="str">
        <f t="shared" si="418"/>
        <v>Red</v>
      </c>
      <c r="Q1342" t="str">
        <f t="shared" si="419"/>
        <v>Green</v>
      </c>
      <c r="R1342" t="str">
        <f t="shared" si="420"/>
        <v>Red</v>
      </c>
      <c r="S1342" t="str">
        <f t="shared" si="421"/>
        <v>Green</v>
      </c>
      <c r="T1342" t="str">
        <f t="shared" si="422"/>
        <v>Green</v>
      </c>
      <c r="U1342" t="str">
        <f t="shared" si="423"/>
        <v>Red</v>
      </c>
      <c r="V1342" t="str">
        <f t="shared" si="424"/>
        <v>Red</v>
      </c>
      <c r="W1342" t="str">
        <f t="shared" si="425"/>
        <v>Green</v>
      </c>
      <c r="X1342" t="str">
        <f t="shared" si="426"/>
        <v>Green</v>
      </c>
      <c r="Y1342" t="str">
        <f t="shared" si="427"/>
        <v>Green</v>
      </c>
      <c r="Z1342" t="str">
        <f t="shared" si="428"/>
        <v>Green</v>
      </c>
      <c r="AA1342" t="str">
        <f t="shared" si="429"/>
        <v>Red</v>
      </c>
      <c r="AB1342" t="str">
        <f t="shared" si="430"/>
        <v>Red</v>
      </c>
      <c r="AC1342" t="str">
        <f t="shared" si="431"/>
        <v>Red</v>
      </c>
      <c r="AD1342" t="str">
        <f t="shared" si="432"/>
        <v>Green</v>
      </c>
    </row>
    <row r="1343" spans="1:30" x14ac:dyDescent="0.2">
      <c r="A1343" t="str">
        <f>L1342&amp;F1343&amp;G1343</f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33"/>
        <v>25/07/2026</v>
      </c>
      <c r="M1343" s="23">
        <f t="shared" si="434"/>
        <v>0.45833333333333337</v>
      </c>
      <c r="N1343" t="str">
        <f t="shared" si="435"/>
        <v>1 - 0</v>
      </c>
      <c r="O1343" t="str">
        <f t="shared" si="417"/>
        <v>Green</v>
      </c>
      <c r="P1343" t="str">
        <f t="shared" si="418"/>
        <v>Red</v>
      </c>
      <c r="Q1343" t="str">
        <f t="shared" si="419"/>
        <v>Red</v>
      </c>
      <c r="R1343" t="str">
        <f t="shared" si="420"/>
        <v>Green</v>
      </c>
      <c r="S1343" t="str">
        <f t="shared" si="421"/>
        <v>Red</v>
      </c>
      <c r="T1343" t="str">
        <f t="shared" si="422"/>
        <v>Green</v>
      </c>
      <c r="U1343" t="str">
        <f t="shared" si="423"/>
        <v>Red</v>
      </c>
      <c r="V1343" t="str">
        <f t="shared" si="424"/>
        <v>Green</v>
      </c>
      <c r="W1343" t="str">
        <f t="shared" si="425"/>
        <v>Red</v>
      </c>
      <c r="X1343" t="str">
        <f t="shared" si="426"/>
        <v>Red</v>
      </c>
      <c r="Y1343" t="str">
        <f t="shared" si="427"/>
        <v>Red</v>
      </c>
      <c r="Z1343" t="str">
        <f t="shared" si="428"/>
        <v>Red</v>
      </c>
      <c r="AA1343" t="str">
        <f t="shared" si="429"/>
        <v>Green</v>
      </c>
      <c r="AB1343" t="str">
        <f t="shared" si="430"/>
        <v>Green</v>
      </c>
      <c r="AC1343" t="str">
        <f t="shared" si="431"/>
        <v>Red</v>
      </c>
      <c r="AD1343" t="str">
        <f t="shared" si="432"/>
        <v>Green</v>
      </c>
    </row>
    <row r="1344" spans="1:30" x14ac:dyDescent="0.2">
      <c r="A1344" t="str">
        <f>L1343&amp;F1344&amp;G1344</f>
        <v>25/07/2026Steyning TownWhitehawk</v>
      </c>
      <c r="D1344" s="2">
        <v>46228</v>
      </c>
      <c r="E1344" s="3">
        <v>0.58333333333333337</v>
      </c>
      <c r="F1344" t="s">
        <v>3924</v>
      </c>
      <c r="G1344" t="s">
        <v>3925</v>
      </c>
      <c r="H1344">
        <v>0</v>
      </c>
      <c r="I1344">
        <v>0</v>
      </c>
      <c r="J1344">
        <v>1</v>
      </c>
      <c r="K1344">
        <v>3</v>
      </c>
      <c r="L1344" s="22" t="str">
        <f t="shared" si="433"/>
        <v>25/07/2026</v>
      </c>
      <c r="M1344" s="23">
        <f t="shared" si="434"/>
        <v>0.45833333333333337</v>
      </c>
      <c r="N1344" t="str">
        <f t="shared" si="435"/>
        <v>1 - 3</v>
      </c>
      <c r="O1344" t="str">
        <f t="shared" si="417"/>
        <v>Red</v>
      </c>
      <c r="P1344" t="str">
        <f t="shared" si="418"/>
        <v>Red</v>
      </c>
      <c r="Q1344" t="str">
        <f t="shared" si="419"/>
        <v>Green</v>
      </c>
      <c r="R1344" t="str">
        <f t="shared" si="420"/>
        <v>Red</v>
      </c>
      <c r="S1344" t="str">
        <f t="shared" si="421"/>
        <v>Green</v>
      </c>
      <c r="T1344" t="str">
        <f t="shared" si="422"/>
        <v>Green</v>
      </c>
      <c r="U1344" t="str">
        <f t="shared" si="423"/>
        <v>Red</v>
      </c>
      <c r="V1344" t="str">
        <f t="shared" si="424"/>
        <v>Green</v>
      </c>
      <c r="W1344" t="str">
        <f t="shared" si="425"/>
        <v>Red</v>
      </c>
      <c r="X1344" t="str">
        <f t="shared" si="426"/>
        <v>Red</v>
      </c>
      <c r="Y1344" t="str">
        <f t="shared" si="427"/>
        <v>Green</v>
      </c>
      <c r="Z1344" t="str">
        <f t="shared" si="428"/>
        <v>Green</v>
      </c>
      <c r="AA1344" t="str">
        <f t="shared" si="429"/>
        <v>Red</v>
      </c>
      <c r="AB1344" t="str">
        <f t="shared" si="430"/>
        <v>Red</v>
      </c>
      <c r="AC1344" t="str">
        <f t="shared" si="431"/>
        <v>Green</v>
      </c>
      <c r="AD1344" t="str">
        <f t="shared" si="432"/>
        <v>Red</v>
      </c>
    </row>
    <row r="1345" spans="1:30" x14ac:dyDescent="0.2">
      <c r="A1345" t="str">
        <f>L1344&amp;F1345&amp;G1345</f>
        <v>25/07/2026StourbridgeMalvern Town</v>
      </c>
      <c r="D1345" s="2">
        <v>46228</v>
      </c>
      <c r="E1345" s="3">
        <v>0.58333333333333337</v>
      </c>
      <c r="F1345" t="s">
        <v>3926</v>
      </c>
      <c r="G1345" t="s">
        <v>3927</v>
      </c>
      <c r="H1345">
        <v>0</v>
      </c>
      <c r="I1345">
        <v>1</v>
      </c>
      <c r="J1345">
        <v>1</v>
      </c>
      <c r="K1345">
        <v>2</v>
      </c>
      <c r="L1345" s="22" t="str">
        <f t="shared" si="433"/>
        <v>25/07/2026</v>
      </c>
      <c r="M1345" s="23">
        <f t="shared" si="434"/>
        <v>0.45833333333333337</v>
      </c>
      <c r="N1345" t="str">
        <f t="shared" si="435"/>
        <v>1 - 2</v>
      </c>
      <c r="O1345" t="str">
        <f t="shared" si="417"/>
        <v>Red</v>
      </c>
      <c r="P1345" t="str">
        <f t="shared" si="418"/>
        <v>Red</v>
      </c>
      <c r="Q1345" t="str">
        <f t="shared" si="419"/>
        <v>Green</v>
      </c>
      <c r="R1345" t="str">
        <f t="shared" si="420"/>
        <v>Red</v>
      </c>
      <c r="S1345" t="str">
        <f t="shared" si="421"/>
        <v>Green</v>
      </c>
      <c r="T1345" t="str">
        <f t="shared" si="422"/>
        <v>Green</v>
      </c>
      <c r="U1345" t="str">
        <f t="shared" si="423"/>
        <v>Red</v>
      </c>
      <c r="V1345" t="str">
        <f t="shared" si="424"/>
        <v>Red</v>
      </c>
      <c r="W1345" t="str">
        <f t="shared" si="425"/>
        <v>Green</v>
      </c>
      <c r="X1345" t="str">
        <f t="shared" si="426"/>
        <v>Green</v>
      </c>
      <c r="Y1345" t="str">
        <f t="shared" si="427"/>
        <v>Green</v>
      </c>
      <c r="Z1345" t="str">
        <f t="shared" si="428"/>
        <v>Green</v>
      </c>
      <c r="AA1345" t="str">
        <f t="shared" si="429"/>
        <v>Red</v>
      </c>
      <c r="AB1345" t="str">
        <f t="shared" si="430"/>
        <v>Green</v>
      </c>
      <c r="AC1345" t="str">
        <f t="shared" si="431"/>
        <v>Green</v>
      </c>
      <c r="AD1345" t="str">
        <f t="shared" si="432"/>
        <v>Red</v>
      </c>
    </row>
    <row r="1346" spans="1:30" x14ac:dyDescent="0.2">
      <c r="A1346" t="str">
        <f>L1345&amp;F1346&amp;G1346</f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33"/>
        <v>25/07/2026</v>
      </c>
      <c r="M1346" s="23">
        <f t="shared" si="434"/>
        <v>0.45833333333333337</v>
      </c>
      <c r="N1346" t="str">
        <f t="shared" si="435"/>
        <v>2 - 0</v>
      </c>
      <c r="O1346" t="str">
        <f t="shared" ref="O1346:O1409" si="436">IF($J1346&gt;$K1346,"Green","Red")</f>
        <v>Green</v>
      </c>
      <c r="P1346" t="str">
        <f t="shared" ref="P1346:P1409" si="437">IF($J1346=$K1346,"Green","Red")</f>
        <v>Red</v>
      </c>
      <c r="Q1346" t="str">
        <f t="shared" ref="Q1346:Q1409" si="438">IF($J1346&lt;$K1346,"Green","Red")</f>
        <v>Red</v>
      </c>
      <c r="R1346" t="str">
        <f t="shared" ref="R1346:R1409" si="439">IF($J1346&gt;=$K1346,"Green","Red")</f>
        <v>Green</v>
      </c>
      <c r="S1346" t="str">
        <f t="shared" ref="S1346:S1409" si="440">IF($J1346&lt;=$K1346,"Green","Red")</f>
        <v>Red</v>
      </c>
      <c r="T1346" t="str">
        <f t="shared" ref="T1346:T1409" si="441">IF(OR($J1346&gt;$K1346,$J1346&lt;$K1346),"Green","Red")</f>
        <v>Green</v>
      </c>
      <c r="U1346" t="str">
        <f t="shared" ref="U1346:U1409" si="442">IF($H1346&gt;$I1346,"Green","Red")</f>
        <v>Green</v>
      </c>
      <c r="V1346" t="str">
        <f t="shared" ref="V1346:V1409" si="443">IF($H1346=$I1346,"Green","Red")</f>
        <v>Red</v>
      </c>
      <c r="W1346" t="str">
        <f t="shared" ref="W1346:W1409" si="444">IF($H1346&lt;$I1346,"Green","Red")</f>
        <v>Red</v>
      </c>
      <c r="X1346" t="str">
        <f t="shared" ref="X1346:X1409" si="445">IF($H1346+$I1346&gt;0,"Green","Red")</f>
        <v>Green</v>
      </c>
      <c r="Y1346" t="str">
        <f t="shared" ref="Y1346:Y1409" si="446">IF($J1346+$K1346&gt;1.5,"Green","Red")</f>
        <v>Green</v>
      </c>
      <c r="Z1346" t="str">
        <f t="shared" ref="Z1346:Z1409" si="447">IF($J1346+$K1346&gt;2.5,"Green","Red")</f>
        <v>Red</v>
      </c>
      <c r="AA1346" t="str">
        <f t="shared" ref="AA1346:AA1409" si="448">IF($J1346+$K1346&lt;2.5,"Green","Red")</f>
        <v>Green</v>
      </c>
      <c r="AB1346" t="str">
        <f t="shared" ref="AB1346:AB1409" si="449">IF($J1346+$K1346&lt;3.5,"Green","Red")</f>
        <v>Green</v>
      </c>
      <c r="AC1346" t="str">
        <f t="shared" ref="AC1346:AC1409" si="450">IF(AND($J1346&gt;0,$K1346&gt;0),"Green","Red")</f>
        <v>Red</v>
      </c>
      <c r="AD1346" t="str">
        <f t="shared" ref="AD1346:AD1409" si="451">IF(OR($J1346=0,$K1346=0),"Green","Red")</f>
        <v>Green</v>
      </c>
    </row>
    <row r="1347" spans="1:30" x14ac:dyDescent="0.2">
      <c r="A1347" t="str">
        <f>L1346&amp;F1347&amp;G1347</f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33"/>
        <v>25/07/2026</v>
      </c>
      <c r="M1347" s="23">
        <f t="shared" si="434"/>
        <v>0.45833333333333337</v>
      </c>
      <c r="N1347" t="str">
        <f t="shared" si="435"/>
        <v>1 - 0</v>
      </c>
      <c r="O1347" t="str">
        <f t="shared" si="436"/>
        <v>Green</v>
      </c>
      <c r="P1347" t="str">
        <f t="shared" si="437"/>
        <v>Red</v>
      </c>
      <c r="Q1347" t="str">
        <f t="shared" si="438"/>
        <v>Red</v>
      </c>
      <c r="R1347" t="str">
        <f t="shared" si="439"/>
        <v>Green</v>
      </c>
      <c r="S1347" t="str">
        <f t="shared" si="440"/>
        <v>Red</v>
      </c>
      <c r="T1347" t="str">
        <f t="shared" si="441"/>
        <v>Green</v>
      </c>
      <c r="U1347" t="str">
        <f t="shared" si="442"/>
        <v>Green</v>
      </c>
      <c r="V1347" t="str">
        <f t="shared" si="443"/>
        <v>Red</v>
      </c>
      <c r="W1347" t="str">
        <f t="shared" si="444"/>
        <v>Red</v>
      </c>
      <c r="X1347" t="str">
        <f t="shared" si="445"/>
        <v>Green</v>
      </c>
      <c r="Y1347" t="str">
        <f t="shared" si="446"/>
        <v>Red</v>
      </c>
      <c r="Z1347" t="str">
        <f t="shared" si="447"/>
        <v>Red</v>
      </c>
      <c r="AA1347" t="str">
        <f t="shared" si="448"/>
        <v>Green</v>
      </c>
      <c r="AB1347" t="str">
        <f t="shared" si="449"/>
        <v>Green</v>
      </c>
      <c r="AC1347" t="str">
        <f t="shared" si="450"/>
        <v>Red</v>
      </c>
      <c r="AD1347" t="str">
        <f t="shared" si="451"/>
        <v>Green</v>
      </c>
    </row>
    <row r="1348" spans="1:30" x14ac:dyDescent="0.2">
      <c r="A1348" t="str">
        <f>L1347&amp;F1348&amp;G1348</f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33"/>
        <v>25/07/2026</v>
      </c>
      <c r="M1348" s="23">
        <f t="shared" si="434"/>
        <v>0.45833333333333337</v>
      </c>
      <c r="N1348" t="str">
        <f t="shared" si="435"/>
        <v>3 - 1</v>
      </c>
      <c r="O1348" t="str">
        <f t="shared" si="436"/>
        <v>Green</v>
      </c>
      <c r="P1348" t="str">
        <f t="shared" si="437"/>
        <v>Red</v>
      </c>
      <c r="Q1348" t="str">
        <f t="shared" si="438"/>
        <v>Red</v>
      </c>
      <c r="R1348" t="str">
        <f t="shared" si="439"/>
        <v>Green</v>
      </c>
      <c r="S1348" t="str">
        <f t="shared" si="440"/>
        <v>Red</v>
      </c>
      <c r="T1348" t="str">
        <f t="shared" si="441"/>
        <v>Green</v>
      </c>
      <c r="U1348" t="str">
        <f t="shared" si="442"/>
        <v>Red</v>
      </c>
      <c r="V1348" t="str">
        <f t="shared" si="443"/>
        <v>Red</v>
      </c>
      <c r="W1348" t="str">
        <f t="shared" si="444"/>
        <v>Green</v>
      </c>
      <c r="X1348" t="str">
        <f t="shared" si="445"/>
        <v>Green</v>
      </c>
      <c r="Y1348" t="str">
        <f t="shared" si="446"/>
        <v>Green</v>
      </c>
      <c r="Z1348" t="str">
        <f t="shared" si="447"/>
        <v>Green</v>
      </c>
      <c r="AA1348" t="str">
        <f t="shared" si="448"/>
        <v>Red</v>
      </c>
      <c r="AB1348" t="str">
        <f t="shared" si="449"/>
        <v>Red</v>
      </c>
      <c r="AC1348" t="str">
        <f t="shared" si="450"/>
        <v>Green</v>
      </c>
      <c r="AD1348" t="str">
        <f t="shared" si="451"/>
        <v>Red</v>
      </c>
    </row>
    <row r="1349" spans="1:30" x14ac:dyDescent="0.2">
      <c r="A1349" t="str">
        <f>L1348&amp;F1349&amp;G1349</f>
        <v>25/07/2026TroyesGrenoble</v>
      </c>
      <c r="D1349" s="2">
        <v>46228</v>
      </c>
      <c r="E1349" s="3">
        <v>0.58333333333333337</v>
      </c>
      <c r="F1349" t="s">
        <v>3928</v>
      </c>
      <c r="G1349" t="s">
        <v>3929</v>
      </c>
      <c r="H1349">
        <v>3</v>
      </c>
      <c r="I1349">
        <v>0</v>
      </c>
      <c r="J1349">
        <v>3</v>
      </c>
      <c r="K1349">
        <v>0</v>
      </c>
      <c r="L1349" s="22" t="str">
        <f t="shared" si="433"/>
        <v>25/07/2026</v>
      </c>
      <c r="M1349" s="23">
        <f t="shared" si="434"/>
        <v>0.45833333333333337</v>
      </c>
      <c r="N1349" t="str">
        <f t="shared" si="435"/>
        <v>3 - 0</v>
      </c>
      <c r="O1349" t="str">
        <f t="shared" si="436"/>
        <v>Green</v>
      </c>
      <c r="P1349" t="str">
        <f t="shared" si="437"/>
        <v>Red</v>
      </c>
      <c r="Q1349" t="str">
        <f t="shared" si="438"/>
        <v>Red</v>
      </c>
      <c r="R1349" t="str">
        <f t="shared" si="439"/>
        <v>Green</v>
      </c>
      <c r="S1349" t="str">
        <f t="shared" si="440"/>
        <v>Red</v>
      </c>
      <c r="T1349" t="str">
        <f t="shared" si="441"/>
        <v>Green</v>
      </c>
      <c r="U1349" t="str">
        <f t="shared" si="442"/>
        <v>Green</v>
      </c>
      <c r="V1349" t="str">
        <f t="shared" si="443"/>
        <v>Red</v>
      </c>
      <c r="W1349" t="str">
        <f t="shared" si="444"/>
        <v>Red</v>
      </c>
      <c r="X1349" t="str">
        <f t="shared" si="445"/>
        <v>Green</v>
      </c>
      <c r="Y1349" t="str">
        <f t="shared" si="446"/>
        <v>Green</v>
      </c>
      <c r="Z1349" t="str">
        <f t="shared" si="447"/>
        <v>Green</v>
      </c>
      <c r="AA1349" t="str">
        <f t="shared" si="448"/>
        <v>Red</v>
      </c>
      <c r="AB1349" t="str">
        <f t="shared" si="449"/>
        <v>Green</v>
      </c>
      <c r="AC1349" t="str">
        <f t="shared" si="450"/>
        <v>Red</v>
      </c>
      <c r="AD1349" t="str">
        <f t="shared" si="451"/>
        <v>Green</v>
      </c>
    </row>
    <row r="1350" spans="1:30" x14ac:dyDescent="0.2">
      <c r="A1350" t="str">
        <f>L1349&amp;F1350&amp;G1350</f>
        <v>25/07/2026Truro CityPlymouth Argyle</v>
      </c>
      <c r="D1350" s="2">
        <v>46228</v>
      </c>
      <c r="E1350" s="3">
        <v>0.58333333333333337</v>
      </c>
      <c r="F1350" t="s">
        <v>3930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33"/>
        <v>25/07/2026</v>
      </c>
      <c r="M1350" s="23">
        <f t="shared" si="434"/>
        <v>0.45833333333333337</v>
      </c>
      <c r="N1350" t="str">
        <f t="shared" si="435"/>
        <v>0 - 1</v>
      </c>
      <c r="O1350" t="str">
        <f t="shared" si="436"/>
        <v>Red</v>
      </c>
      <c r="P1350" t="str">
        <f t="shared" si="437"/>
        <v>Red</v>
      </c>
      <c r="Q1350" t="str">
        <f t="shared" si="438"/>
        <v>Green</v>
      </c>
      <c r="R1350" t="str">
        <f t="shared" si="439"/>
        <v>Red</v>
      </c>
      <c r="S1350" t="str">
        <f t="shared" si="440"/>
        <v>Green</v>
      </c>
      <c r="T1350" t="str">
        <f t="shared" si="441"/>
        <v>Green</v>
      </c>
      <c r="U1350" t="str">
        <f t="shared" si="442"/>
        <v>Red</v>
      </c>
      <c r="V1350" t="str">
        <f t="shared" si="443"/>
        <v>Green</v>
      </c>
      <c r="W1350" t="str">
        <f t="shared" si="444"/>
        <v>Red</v>
      </c>
      <c r="X1350" t="str">
        <f t="shared" si="445"/>
        <v>Red</v>
      </c>
      <c r="Y1350" t="str">
        <f t="shared" si="446"/>
        <v>Red</v>
      </c>
      <c r="Z1350" t="str">
        <f t="shared" si="447"/>
        <v>Red</v>
      </c>
      <c r="AA1350" t="str">
        <f t="shared" si="448"/>
        <v>Green</v>
      </c>
      <c r="AB1350" t="str">
        <f t="shared" si="449"/>
        <v>Green</v>
      </c>
      <c r="AC1350" t="str">
        <f t="shared" si="450"/>
        <v>Red</v>
      </c>
      <c r="AD1350" t="str">
        <f t="shared" si="451"/>
        <v>Green</v>
      </c>
    </row>
    <row r="1351" spans="1:30" x14ac:dyDescent="0.2">
      <c r="A1351" t="str">
        <f>L1350&amp;F1351&amp;G1351</f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2720</v>
      </c>
      <c r="H1351">
        <v>1</v>
      </c>
      <c r="I1351">
        <v>3</v>
      </c>
      <c r="J1351">
        <v>2</v>
      </c>
      <c r="K1351">
        <v>3</v>
      </c>
      <c r="L1351" s="22" t="str">
        <f t="shared" si="433"/>
        <v>25/07/2026</v>
      </c>
      <c r="M1351" s="23">
        <f t="shared" si="434"/>
        <v>0.45833333333333337</v>
      </c>
      <c r="N1351" t="str">
        <f t="shared" si="435"/>
        <v>2 - 3</v>
      </c>
      <c r="O1351" t="str">
        <f t="shared" si="436"/>
        <v>Red</v>
      </c>
      <c r="P1351" t="str">
        <f t="shared" si="437"/>
        <v>Red</v>
      </c>
      <c r="Q1351" t="str">
        <f t="shared" si="438"/>
        <v>Green</v>
      </c>
      <c r="R1351" t="str">
        <f t="shared" si="439"/>
        <v>Red</v>
      </c>
      <c r="S1351" t="str">
        <f t="shared" si="440"/>
        <v>Green</v>
      </c>
      <c r="T1351" t="str">
        <f t="shared" si="441"/>
        <v>Green</v>
      </c>
      <c r="U1351" t="str">
        <f t="shared" si="442"/>
        <v>Red</v>
      </c>
      <c r="V1351" t="str">
        <f t="shared" si="443"/>
        <v>Red</v>
      </c>
      <c r="W1351" t="str">
        <f t="shared" si="444"/>
        <v>Green</v>
      </c>
      <c r="X1351" t="str">
        <f t="shared" si="445"/>
        <v>Green</v>
      </c>
      <c r="Y1351" t="str">
        <f t="shared" si="446"/>
        <v>Green</v>
      </c>
      <c r="Z1351" t="str">
        <f t="shared" si="447"/>
        <v>Green</v>
      </c>
      <c r="AA1351" t="str">
        <f t="shared" si="448"/>
        <v>Red</v>
      </c>
      <c r="AB1351" t="str">
        <f t="shared" si="449"/>
        <v>Red</v>
      </c>
      <c r="AC1351" t="str">
        <f t="shared" si="450"/>
        <v>Green</v>
      </c>
      <c r="AD1351" t="str">
        <f t="shared" si="451"/>
        <v>Red</v>
      </c>
    </row>
    <row r="1352" spans="1:30" x14ac:dyDescent="0.2">
      <c r="A1352" t="str">
        <f>L1351&amp;F1352&amp;G1352</f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33"/>
        <v>25/07/2026</v>
      </c>
      <c r="M1352" s="23">
        <f t="shared" si="434"/>
        <v>0.45833333333333337</v>
      </c>
      <c r="N1352" t="str">
        <f t="shared" si="435"/>
        <v>2 - 0</v>
      </c>
      <c r="O1352" t="str">
        <f t="shared" si="436"/>
        <v>Green</v>
      </c>
      <c r="P1352" t="str">
        <f t="shared" si="437"/>
        <v>Red</v>
      </c>
      <c r="Q1352" t="str">
        <f t="shared" si="438"/>
        <v>Red</v>
      </c>
      <c r="R1352" t="str">
        <f t="shared" si="439"/>
        <v>Green</v>
      </c>
      <c r="S1352" t="str">
        <f t="shared" si="440"/>
        <v>Red</v>
      </c>
      <c r="T1352" t="str">
        <f t="shared" si="441"/>
        <v>Green</v>
      </c>
      <c r="U1352" t="str">
        <f t="shared" si="442"/>
        <v>Green</v>
      </c>
      <c r="V1352" t="str">
        <f t="shared" si="443"/>
        <v>Red</v>
      </c>
      <c r="W1352" t="str">
        <f t="shared" si="444"/>
        <v>Red</v>
      </c>
      <c r="X1352" t="str">
        <f t="shared" si="445"/>
        <v>Green</v>
      </c>
      <c r="Y1352" t="str">
        <f t="shared" si="446"/>
        <v>Green</v>
      </c>
      <c r="Z1352" t="str">
        <f t="shared" si="447"/>
        <v>Red</v>
      </c>
      <c r="AA1352" t="str">
        <f t="shared" si="448"/>
        <v>Green</v>
      </c>
      <c r="AB1352" t="str">
        <f t="shared" si="449"/>
        <v>Green</v>
      </c>
      <c r="AC1352" t="str">
        <f t="shared" si="450"/>
        <v>Red</v>
      </c>
      <c r="AD1352" t="str">
        <f t="shared" si="451"/>
        <v>Green</v>
      </c>
    </row>
    <row r="1353" spans="1:30" x14ac:dyDescent="0.2">
      <c r="A1353" t="str">
        <f>L1352&amp;F1353&amp;G1353</f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3931</v>
      </c>
      <c r="H1353">
        <v>0</v>
      </c>
      <c r="I1353">
        <v>1</v>
      </c>
      <c r="J1353">
        <v>0</v>
      </c>
      <c r="K1353">
        <v>2</v>
      </c>
      <c r="L1353" s="22" t="str">
        <f t="shared" si="433"/>
        <v>25/07/2026</v>
      </c>
      <c r="M1353" s="23">
        <f t="shared" si="434"/>
        <v>0.45833333333333337</v>
      </c>
      <c r="N1353" t="str">
        <f t="shared" si="435"/>
        <v>0 - 2</v>
      </c>
      <c r="O1353" t="str">
        <f t="shared" si="436"/>
        <v>Red</v>
      </c>
      <c r="P1353" t="str">
        <f t="shared" si="437"/>
        <v>Red</v>
      </c>
      <c r="Q1353" t="str">
        <f t="shared" si="438"/>
        <v>Green</v>
      </c>
      <c r="R1353" t="str">
        <f t="shared" si="439"/>
        <v>Red</v>
      </c>
      <c r="S1353" t="str">
        <f t="shared" si="440"/>
        <v>Green</v>
      </c>
      <c r="T1353" t="str">
        <f t="shared" si="441"/>
        <v>Green</v>
      </c>
      <c r="U1353" t="str">
        <f t="shared" si="442"/>
        <v>Red</v>
      </c>
      <c r="V1353" t="str">
        <f t="shared" si="443"/>
        <v>Red</v>
      </c>
      <c r="W1353" t="str">
        <f t="shared" si="444"/>
        <v>Green</v>
      </c>
      <c r="X1353" t="str">
        <f t="shared" si="445"/>
        <v>Green</v>
      </c>
      <c r="Y1353" t="str">
        <f t="shared" si="446"/>
        <v>Green</v>
      </c>
      <c r="Z1353" t="str">
        <f t="shared" si="447"/>
        <v>Red</v>
      </c>
      <c r="AA1353" t="str">
        <f t="shared" si="448"/>
        <v>Green</v>
      </c>
      <c r="AB1353" t="str">
        <f t="shared" si="449"/>
        <v>Green</v>
      </c>
      <c r="AC1353" t="str">
        <f t="shared" si="450"/>
        <v>Red</v>
      </c>
      <c r="AD1353" t="str">
        <f t="shared" si="451"/>
        <v>Green</v>
      </c>
    </row>
    <row r="1354" spans="1:30" x14ac:dyDescent="0.2">
      <c r="A1354" t="str">
        <f>L1353&amp;F1354&amp;G1354</f>
        <v>25/07/2026Wimborne TownMaidenhead United</v>
      </c>
      <c r="D1354" s="2">
        <v>46228</v>
      </c>
      <c r="E1354" s="3">
        <v>0.58333333333333337</v>
      </c>
      <c r="F1354" t="s">
        <v>3932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33"/>
        <v>25/07/2026</v>
      </c>
      <c r="M1354" s="23">
        <f t="shared" si="434"/>
        <v>0.45833333333333337</v>
      </c>
      <c r="N1354" t="str">
        <f t="shared" si="435"/>
        <v>1 - 1</v>
      </c>
      <c r="O1354" t="str">
        <f t="shared" si="436"/>
        <v>Red</v>
      </c>
      <c r="P1354" t="str">
        <f t="shared" si="437"/>
        <v>Green</v>
      </c>
      <c r="Q1354" t="str">
        <f t="shared" si="438"/>
        <v>Red</v>
      </c>
      <c r="R1354" t="str">
        <f t="shared" si="439"/>
        <v>Green</v>
      </c>
      <c r="S1354" t="str">
        <f t="shared" si="440"/>
        <v>Green</v>
      </c>
      <c r="T1354" t="str">
        <f t="shared" si="441"/>
        <v>Red</v>
      </c>
      <c r="U1354" t="str">
        <f t="shared" si="442"/>
        <v>Red</v>
      </c>
      <c r="V1354" t="str">
        <f t="shared" si="443"/>
        <v>Green</v>
      </c>
      <c r="W1354" t="str">
        <f t="shared" si="444"/>
        <v>Red</v>
      </c>
      <c r="X1354" t="str">
        <f t="shared" si="445"/>
        <v>Green</v>
      </c>
      <c r="Y1354" t="str">
        <f t="shared" si="446"/>
        <v>Green</v>
      </c>
      <c r="Z1354" t="str">
        <f t="shared" si="447"/>
        <v>Red</v>
      </c>
      <c r="AA1354" t="str">
        <f t="shared" si="448"/>
        <v>Green</v>
      </c>
      <c r="AB1354" t="str">
        <f t="shared" si="449"/>
        <v>Green</v>
      </c>
      <c r="AC1354" t="str">
        <f t="shared" si="450"/>
        <v>Green</v>
      </c>
      <c r="AD1354" t="str">
        <f t="shared" si="451"/>
        <v>Red</v>
      </c>
    </row>
    <row r="1355" spans="1:30" x14ac:dyDescent="0.2">
      <c r="A1355" t="str">
        <f>L1354&amp;F1355&amp;G1355</f>
        <v>25/07/2026Wingate &amp; FinchleyChesham United</v>
      </c>
      <c r="D1355" s="2">
        <v>46228</v>
      </c>
      <c r="E1355" s="3">
        <v>0.58333333333333337</v>
      </c>
      <c r="F1355" t="s">
        <v>3933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33"/>
        <v>25/07/2026</v>
      </c>
      <c r="M1355" s="23">
        <f t="shared" si="434"/>
        <v>0.45833333333333337</v>
      </c>
      <c r="N1355" t="str">
        <f t="shared" si="435"/>
        <v>1 - 2</v>
      </c>
      <c r="O1355" t="str">
        <f t="shared" si="436"/>
        <v>Red</v>
      </c>
      <c r="P1355" t="str">
        <f t="shared" si="437"/>
        <v>Red</v>
      </c>
      <c r="Q1355" t="str">
        <f t="shared" si="438"/>
        <v>Green</v>
      </c>
      <c r="R1355" t="str">
        <f t="shared" si="439"/>
        <v>Red</v>
      </c>
      <c r="S1355" t="str">
        <f t="shared" si="440"/>
        <v>Green</v>
      </c>
      <c r="T1355" t="str">
        <f t="shared" si="441"/>
        <v>Green</v>
      </c>
      <c r="U1355" t="str">
        <f t="shared" si="442"/>
        <v>Red</v>
      </c>
      <c r="V1355" t="str">
        <f t="shared" si="443"/>
        <v>Red</v>
      </c>
      <c r="W1355" t="str">
        <f t="shared" si="444"/>
        <v>Green</v>
      </c>
      <c r="X1355" t="str">
        <f t="shared" si="445"/>
        <v>Green</v>
      </c>
      <c r="Y1355" t="str">
        <f t="shared" si="446"/>
        <v>Green</v>
      </c>
      <c r="Z1355" t="str">
        <f t="shared" si="447"/>
        <v>Green</v>
      </c>
      <c r="AA1355" t="str">
        <f t="shared" si="448"/>
        <v>Red</v>
      </c>
      <c r="AB1355" t="str">
        <f t="shared" si="449"/>
        <v>Green</v>
      </c>
      <c r="AC1355" t="str">
        <f t="shared" si="450"/>
        <v>Green</v>
      </c>
      <c r="AD1355" t="str">
        <f t="shared" si="451"/>
        <v>Red</v>
      </c>
    </row>
    <row r="1356" spans="1:30" x14ac:dyDescent="0.2">
      <c r="A1356" t="str">
        <f>L1355&amp;F1356&amp;G1356</f>
        <v>25/07/2026WokingReading</v>
      </c>
      <c r="D1356" s="2">
        <v>46228</v>
      </c>
      <c r="E1356" s="3">
        <v>0.58333333333333337</v>
      </c>
      <c r="F1356" t="s">
        <v>1485</v>
      </c>
      <c r="G1356" t="s">
        <v>3934</v>
      </c>
      <c r="H1356">
        <v>0</v>
      </c>
      <c r="I1356">
        <v>0</v>
      </c>
      <c r="J1356">
        <v>0</v>
      </c>
      <c r="K1356">
        <v>2</v>
      </c>
      <c r="L1356" s="22" t="str">
        <f t="shared" si="433"/>
        <v>25/07/2026</v>
      </c>
      <c r="M1356" s="23">
        <f t="shared" si="434"/>
        <v>0.45833333333333337</v>
      </c>
      <c r="N1356" t="str">
        <f t="shared" si="435"/>
        <v>0 - 2</v>
      </c>
      <c r="O1356" t="str">
        <f t="shared" si="436"/>
        <v>Red</v>
      </c>
      <c r="P1356" t="str">
        <f t="shared" si="437"/>
        <v>Red</v>
      </c>
      <c r="Q1356" t="str">
        <f t="shared" si="438"/>
        <v>Green</v>
      </c>
      <c r="R1356" t="str">
        <f t="shared" si="439"/>
        <v>Red</v>
      </c>
      <c r="S1356" t="str">
        <f t="shared" si="440"/>
        <v>Green</v>
      </c>
      <c r="T1356" t="str">
        <f t="shared" si="441"/>
        <v>Green</v>
      </c>
      <c r="U1356" t="str">
        <f t="shared" si="442"/>
        <v>Red</v>
      </c>
      <c r="V1356" t="str">
        <f t="shared" si="443"/>
        <v>Green</v>
      </c>
      <c r="W1356" t="str">
        <f t="shared" si="444"/>
        <v>Red</v>
      </c>
      <c r="X1356" t="str">
        <f t="shared" si="445"/>
        <v>Red</v>
      </c>
      <c r="Y1356" t="str">
        <f t="shared" si="446"/>
        <v>Green</v>
      </c>
      <c r="Z1356" t="str">
        <f t="shared" si="447"/>
        <v>Red</v>
      </c>
      <c r="AA1356" t="str">
        <f t="shared" si="448"/>
        <v>Green</v>
      </c>
      <c r="AB1356" t="str">
        <f t="shared" si="449"/>
        <v>Green</v>
      </c>
      <c r="AC1356" t="str">
        <f t="shared" si="450"/>
        <v>Red</v>
      </c>
      <c r="AD1356" t="str">
        <f t="shared" si="451"/>
        <v>Green</v>
      </c>
    </row>
    <row r="1357" spans="1:30" x14ac:dyDescent="0.2">
      <c r="A1357" t="str">
        <f>L1356&amp;F1357&amp;G1357</f>
        <v>25/07/2026Worksop TownGarforth Town AFC</v>
      </c>
      <c r="D1357" s="2">
        <v>46228</v>
      </c>
      <c r="E1357" s="3">
        <v>0.58333333333333337</v>
      </c>
      <c r="F1357" t="s">
        <v>3935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33"/>
        <v>25/07/2026</v>
      </c>
      <c r="M1357" s="23">
        <f t="shared" si="434"/>
        <v>0.45833333333333337</v>
      </c>
      <c r="N1357" t="str">
        <f t="shared" si="435"/>
        <v>4 - 0</v>
      </c>
      <c r="O1357" t="str">
        <f t="shared" si="436"/>
        <v>Green</v>
      </c>
      <c r="P1357" t="str">
        <f t="shared" si="437"/>
        <v>Red</v>
      </c>
      <c r="Q1357" t="str">
        <f t="shared" si="438"/>
        <v>Red</v>
      </c>
      <c r="R1357" t="str">
        <f t="shared" si="439"/>
        <v>Green</v>
      </c>
      <c r="S1357" t="str">
        <f t="shared" si="440"/>
        <v>Red</v>
      </c>
      <c r="T1357" t="str">
        <f t="shared" si="441"/>
        <v>Green</v>
      </c>
      <c r="U1357" t="str">
        <f t="shared" si="442"/>
        <v>Green</v>
      </c>
      <c r="V1357" t="str">
        <f t="shared" si="443"/>
        <v>Red</v>
      </c>
      <c r="W1357" t="str">
        <f t="shared" si="444"/>
        <v>Red</v>
      </c>
      <c r="X1357" t="str">
        <f t="shared" si="445"/>
        <v>Green</v>
      </c>
      <c r="Y1357" t="str">
        <f t="shared" si="446"/>
        <v>Green</v>
      </c>
      <c r="Z1357" t="str">
        <f t="shared" si="447"/>
        <v>Green</v>
      </c>
      <c r="AA1357" t="str">
        <f t="shared" si="448"/>
        <v>Red</v>
      </c>
      <c r="AB1357" t="str">
        <f t="shared" si="449"/>
        <v>Red</v>
      </c>
      <c r="AC1357" t="str">
        <f t="shared" si="450"/>
        <v>Red</v>
      </c>
      <c r="AD1357" t="str">
        <f t="shared" si="451"/>
        <v>Green</v>
      </c>
    </row>
    <row r="1358" spans="1:30" x14ac:dyDescent="0.2">
      <c r="A1358" t="str">
        <f>L1357&amp;F1358&amp;G1358</f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33"/>
        <v>25/07/2026</v>
      </c>
      <c r="M1358" s="23">
        <f t="shared" si="434"/>
        <v>0.47916666666666663</v>
      </c>
      <c r="N1358" t="str">
        <f t="shared" si="435"/>
        <v>4 - 1</v>
      </c>
      <c r="O1358" t="str">
        <f t="shared" si="436"/>
        <v>Green</v>
      </c>
      <c r="P1358" t="str">
        <f t="shared" si="437"/>
        <v>Red</v>
      </c>
      <c r="Q1358" t="str">
        <f t="shared" si="438"/>
        <v>Red</v>
      </c>
      <c r="R1358" t="str">
        <f t="shared" si="439"/>
        <v>Green</v>
      </c>
      <c r="S1358" t="str">
        <f t="shared" si="440"/>
        <v>Red</v>
      </c>
      <c r="T1358" t="str">
        <f t="shared" si="441"/>
        <v>Green</v>
      </c>
      <c r="U1358" t="str">
        <f t="shared" si="442"/>
        <v>Red</v>
      </c>
      <c r="V1358" t="str">
        <f t="shared" si="443"/>
        <v>Red</v>
      </c>
      <c r="W1358" t="str">
        <f t="shared" si="444"/>
        <v>Green</v>
      </c>
      <c r="X1358" t="str">
        <f t="shared" si="445"/>
        <v>Green</v>
      </c>
      <c r="Y1358" t="str">
        <f t="shared" si="446"/>
        <v>Green</v>
      </c>
      <c r="Z1358" t="str">
        <f t="shared" si="447"/>
        <v>Green</v>
      </c>
      <c r="AA1358" t="str">
        <f t="shared" si="448"/>
        <v>Red</v>
      </c>
      <c r="AB1358" t="str">
        <f t="shared" si="449"/>
        <v>Red</v>
      </c>
      <c r="AC1358" t="str">
        <f t="shared" si="450"/>
        <v>Green</v>
      </c>
      <c r="AD1358" t="str">
        <f t="shared" si="451"/>
        <v>Red</v>
      </c>
    </row>
    <row r="1359" spans="1:30" x14ac:dyDescent="0.2">
      <c r="A1359" t="str">
        <f>L1358&amp;F1359&amp;G1359</f>
        <v>25/07/2026FloyaLillestrom II</v>
      </c>
      <c r="D1359" s="2">
        <v>46228</v>
      </c>
      <c r="E1359" s="3">
        <v>0.60416666666666663</v>
      </c>
      <c r="F1359" t="s">
        <v>3508</v>
      </c>
      <c r="G1359" t="s">
        <v>3509</v>
      </c>
      <c r="H1359">
        <v>0</v>
      </c>
      <c r="I1359">
        <v>1</v>
      </c>
      <c r="J1359">
        <v>3</v>
      </c>
      <c r="K1359">
        <v>2</v>
      </c>
      <c r="L1359" s="22" t="str">
        <f t="shared" si="433"/>
        <v>25/07/2026</v>
      </c>
      <c r="M1359" s="23">
        <f t="shared" si="434"/>
        <v>0.47916666666666663</v>
      </c>
      <c r="N1359" t="str">
        <f t="shared" si="435"/>
        <v>3 - 2</v>
      </c>
      <c r="O1359" t="str">
        <f t="shared" si="436"/>
        <v>Green</v>
      </c>
      <c r="P1359" t="str">
        <f t="shared" si="437"/>
        <v>Red</v>
      </c>
      <c r="Q1359" t="str">
        <f t="shared" si="438"/>
        <v>Red</v>
      </c>
      <c r="R1359" t="str">
        <f t="shared" si="439"/>
        <v>Green</v>
      </c>
      <c r="S1359" t="str">
        <f t="shared" si="440"/>
        <v>Red</v>
      </c>
      <c r="T1359" t="str">
        <f t="shared" si="441"/>
        <v>Green</v>
      </c>
      <c r="U1359" t="str">
        <f t="shared" si="442"/>
        <v>Red</v>
      </c>
      <c r="V1359" t="str">
        <f t="shared" si="443"/>
        <v>Red</v>
      </c>
      <c r="W1359" t="str">
        <f t="shared" si="444"/>
        <v>Green</v>
      </c>
      <c r="X1359" t="str">
        <f t="shared" si="445"/>
        <v>Green</v>
      </c>
      <c r="Y1359" t="str">
        <f t="shared" si="446"/>
        <v>Green</v>
      </c>
      <c r="Z1359" t="str">
        <f t="shared" si="447"/>
        <v>Green</v>
      </c>
      <c r="AA1359" t="str">
        <f t="shared" si="448"/>
        <v>Red</v>
      </c>
      <c r="AB1359" t="str">
        <f t="shared" si="449"/>
        <v>Red</v>
      </c>
      <c r="AC1359" t="str">
        <f t="shared" si="450"/>
        <v>Green</v>
      </c>
      <c r="AD1359" t="str">
        <f t="shared" si="451"/>
        <v>Red</v>
      </c>
    </row>
    <row r="1360" spans="1:30" x14ac:dyDescent="0.2">
      <c r="A1360" t="str">
        <f>L1359&amp;F1360&amp;G1360</f>
        <v>25/07/2026Farul ConstantaHunedoara</v>
      </c>
      <c r="D1360" s="2">
        <v>46228</v>
      </c>
      <c r="E1360" s="3">
        <v>0.60416666666666663</v>
      </c>
      <c r="F1360" t="s">
        <v>3559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33"/>
        <v>25/07/2026</v>
      </c>
      <c r="M1360" s="23">
        <f t="shared" si="434"/>
        <v>0.47916666666666663</v>
      </c>
      <c r="N1360" t="str">
        <f t="shared" si="435"/>
        <v>2 - 0</v>
      </c>
      <c r="O1360" t="str">
        <f t="shared" si="436"/>
        <v>Green</v>
      </c>
      <c r="P1360" t="str">
        <f t="shared" si="437"/>
        <v>Red</v>
      </c>
      <c r="Q1360" t="str">
        <f t="shared" si="438"/>
        <v>Red</v>
      </c>
      <c r="R1360" t="str">
        <f t="shared" si="439"/>
        <v>Green</v>
      </c>
      <c r="S1360" t="str">
        <f t="shared" si="440"/>
        <v>Red</v>
      </c>
      <c r="T1360" t="str">
        <f t="shared" si="441"/>
        <v>Green</v>
      </c>
      <c r="U1360" t="str">
        <f t="shared" si="442"/>
        <v>Red</v>
      </c>
      <c r="V1360" t="str">
        <f t="shared" si="443"/>
        <v>Green</v>
      </c>
      <c r="W1360" t="str">
        <f t="shared" si="444"/>
        <v>Red</v>
      </c>
      <c r="X1360" t="str">
        <f t="shared" si="445"/>
        <v>Red</v>
      </c>
      <c r="Y1360" t="str">
        <f t="shared" si="446"/>
        <v>Green</v>
      </c>
      <c r="Z1360" t="str">
        <f t="shared" si="447"/>
        <v>Red</v>
      </c>
      <c r="AA1360" t="str">
        <f t="shared" si="448"/>
        <v>Green</v>
      </c>
      <c r="AB1360" t="str">
        <f t="shared" si="449"/>
        <v>Green</v>
      </c>
      <c r="AC1360" t="str">
        <f t="shared" si="450"/>
        <v>Red</v>
      </c>
      <c r="AD1360" t="str">
        <f t="shared" si="451"/>
        <v>Green</v>
      </c>
    </row>
    <row r="1361" spans="1:30" x14ac:dyDescent="0.2">
      <c r="A1361" t="str">
        <f>L1360&amp;F1361&amp;G1361</f>
        <v>25/07/2026FC LustenauFC Kitzbuhel</v>
      </c>
      <c r="D1361" s="2">
        <v>46228</v>
      </c>
      <c r="E1361" s="3">
        <v>0.625</v>
      </c>
      <c r="F1361" t="s">
        <v>3011</v>
      </c>
      <c r="G1361" t="s">
        <v>3012</v>
      </c>
      <c r="H1361">
        <v>0</v>
      </c>
      <c r="I1361">
        <v>3</v>
      </c>
      <c r="J1361">
        <v>1</v>
      </c>
      <c r="K1361">
        <v>4</v>
      </c>
      <c r="L1361" s="22" t="str">
        <f t="shared" si="433"/>
        <v>25/07/2026</v>
      </c>
      <c r="M1361" s="23">
        <f t="shared" si="434"/>
        <v>0.5</v>
      </c>
      <c r="N1361" t="str">
        <f t="shared" si="435"/>
        <v>1 - 4</v>
      </c>
      <c r="O1361" t="str">
        <f t="shared" si="436"/>
        <v>Red</v>
      </c>
      <c r="P1361" t="str">
        <f t="shared" si="437"/>
        <v>Red</v>
      </c>
      <c r="Q1361" t="str">
        <f t="shared" si="438"/>
        <v>Green</v>
      </c>
      <c r="R1361" t="str">
        <f t="shared" si="439"/>
        <v>Red</v>
      </c>
      <c r="S1361" t="str">
        <f t="shared" si="440"/>
        <v>Green</v>
      </c>
      <c r="T1361" t="str">
        <f t="shared" si="441"/>
        <v>Green</v>
      </c>
      <c r="U1361" t="str">
        <f t="shared" si="442"/>
        <v>Red</v>
      </c>
      <c r="V1361" t="str">
        <f t="shared" si="443"/>
        <v>Red</v>
      </c>
      <c r="W1361" t="str">
        <f t="shared" si="444"/>
        <v>Green</v>
      </c>
      <c r="X1361" t="str">
        <f t="shared" si="445"/>
        <v>Green</v>
      </c>
      <c r="Y1361" t="str">
        <f t="shared" si="446"/>
        <v>Green</v>
      </c>
      <c r="Z1361" t="str">
        <f t="shared" si="447"/>
        <v>Green</v>
      </c>
      <c r="AA1361" t="str">
        <f t="shared" si="448"/>
        <v>Red</v>
      </c>
      <c r="AB1361" t="str">
        <f t="shared" si="449"/>
        <v>Red</v>
      </c>
      <c r="AC1361" t="str">
        <f t="shared" si="450"/>
        <v>Green</v>
      </c>
      <c r="AD1361" t="str">
        <f t="shared" si="451"/>
        <v>Red</v>
      </c>
    </row>
    <row r="1362" spans="1:30" x14ac:dyDescent="0.2">
      <c r="A1362" t="str">
        <f>L1361&amp;F1362&amp;G1362</f>
        <v>25/07/2026SR DonaufeldGrazer AK</v>
      </c>
      <c r="D1362" s="2">
        <v>46228</v>
      </c>
      <c r="E1362" s="3">
        <v>0.625</v>
      </c>
      <c r="F1362" t="s">
        <v>3013</v>
      </c>
      <c r="G1362" t="s">
        <v>3014</v>
      </c>
      <c r="H1362">
        <v>0</v>
      </c>
      <c r="I1362">
        <v>1</v>
      </c>
      <c r="J1362">
        <v>0</v>
      </c>
      <c r="K1362">
        <v>4</v>
      </c>
      <c r="L1362" s="22" t="str">
        <f t="shared" si="433"/>
        <v>25/07/2026</v>
      </c>
      <c r="M1362" s="23">
        <f t="shared" si="434"/>
        <v>0.5</v>
      </c>
      <c r="N1362" t="str">
        <f t="shared" si="435"/>
        <v>0 - 4</v>
      </c>
      <c r="O1362" t="str">
        <f t="shared" si="436"/>
        <v>Red</v>
      </c>
      <c r="P1362" t="str">
        <f t="shared" si="437"/>
        <v>Red</v>
      </c>
      <c r="Q1362" t="str">
        <f t="shared" si="438"/>
        <v>Green</v>
      </c>
      <c r="R1362" t="str">
        <f t="shared" si="439"/>
        <v>Red</v>
      </c>
      <c r="S1362" t="str">
        <f t="shared" si="440"/>
        <v>Green</v>
      </c>
      <c r="T1362" t="str">
        <f t="shared" si="441"/>
        <v>Green</v>
      </c>
      <c r="U1362" t="str">
        <f t="shared" si="442"/>
        <v>Red</v>
      </c>
      <c r="V1362" t="str">
        <f t="shared" si="443"/>
        <v>Red</v>
      </c>
      <c r="W1362" t="str">
        <f t="shared" si="444"/>
        <v>Green</v>
      </c>
      <c r="X1362" t="str">
        <f t="shared" si="445"/>
        <v>Green</v>
      </c>
      <c r="Y1362" t="str">
        <f t="shared" si="446"/>
        <v>Green</v>
      </c>
      <c r="Z1362" t="str">
        <f t="shared" si="447"/>
        <v>Green</v>
      </c>
      <c r="AA1362" t="str">
        <f t="shared" si="448"/>
        <v>Red</v>
      </c>
      <c r="AB1362" t="str">
        <f t="shared" si="449"/>
        <v>Red</v>
      </c>
      <c r="AC1362" t="str">
        <f t="shared" si="450"/>
        <v>Red</v>
      </c>
      <c r="AD1362" t="str">
        <f t="shared" si="451"/>
        <v>Green</v>
      </c>
    </row>
    <row r="1363" spans="1:30" x14ac:dyDescent="0.2">
      <c r="A1363" t="str">
        <f>L1362&amp;F1363&amp;G1363</f>
        <v>25/07/2026FC GomelFC Vitebsk</v>
      </c>
      <c r="D1363" s="2">
        <v>46228</v>
      </c>
      <c r="E1363" s="3">
        <v>0.625</v>
      </c>
      <c r="F1363" t="s">
        <v>3045</v>
      </c>
      <c r="G1363" t="s">
        <v>3046</v>
      </c>
      <c r="H1363">
        <v>0</v>
      </c>
      <c r="I1363">
        <v>1</v>
      </c>
      <c r="J1363">
        <v>1</v>
      </c>
      <c r="K1363">
        <v>2</v>
      </c>
      <c r="L1363" s="22" t="str">
        <f t="shared" si="433"/>
        <v>25/07/2026</v>
      </c>
      <c r="M1363" s="23">
        <f t="shared" si="434"/>
        <v>0.5</v>
      </c>
      <c r="N1363" t="str">
        <f t="shared" si="435"/>
        <v>1 - 2</v>
      </c>
      <c r="O1363" t="str">
        <f t="shared" si="436"/>
        <v>Red</v>
      </c>
      <c r="P1363" t="str">
        <f t="shared" si="437"/>
        <v>Red</v>
      </c>
      <c r="Q1363" t="str">
        <f t="shared" si="438"/>
        <v>Green</v>
      </c>
      <c r="R1363" t="str">
        <f t="shared" si="439"/>
        <v>Red</v>
      </c>
      <c r="S1363" t="str">
        <f t="shared" si="440"/>
        <v>Green</v>
      </c>
      <c r="T1363" t="str">
        <f t="shared" si="441"/>
        <v>Green</v>
      </c>
      <c r="U1363" t="str">
        <f t="shared" si="442"/>
        <v>Red</v>
      </c>
      <c r="V1363" t="str">
        <f t="shared" si="443"/>
        <v>Red</v>
      </c>
      <c r="W1363" t="str">
        <f t="shared" si="444"/>
        <v>Green</v>
      </c>
      <c r="X1363" t="str">
        <f t="shared" si="445"/>
        <v>Green</v>
      </c>
      <c r="Y1363" t="str">
        <f t="shared" si="446"/>
        <v>Green</v>
      </c>
      <c r="Z1363" t="str">
        <f t="shared" si="447"/>
        <v>Green</v>
      </c>
      <c r="AA1363" t="str">
        <f t="shared" si="448"/>
        <v>Red</v>
      </c>
      <c r="AB1363" t="str">
        <f t="shared" si="449"/>
        <v>Green</v>
      </c>
      <c r="AC1363" t="str">
        <f t="shared" si="450"/>
        <v>Green</v>
      </c>
      <c r="AD1363" t="str">
        <f t="shared" si="451"/>
        <v>Red</v>
      </c>
    </row>
    <row r="1364" spans="1:30" x14ac:dyDescent="0.2">
      <c r="A1364" t="str">
        <f>L1363&amp;F1364&amp;G1364</f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33"/>
        <v>25/07/2026</v>
      </c>
      <c r="M1364" s="23">
        <f t="shared" si="434"/>
        <v>0.5</v>
      </c>
      <c r="N1364" t="str">
        <f t="shared" si="435"/>
        <v xml:space="preserve"> - </v>
      </c>
      <c r="O1364" t="str">
        <f t="shared" si="436"/>
        <v>Red</v>
      </c>
      <c r="P1364" t="str">
        <f t="shared" si="437"/>
        <v>Green</v>
      </c>
      <c r="Q1364" t="str">
        <f t="shared" si="438"/>
        <v>Red</v>
      </c>
      <c r="R1364" t="str">
        <f t="shared" si="439"/>
        <v>Green</v>
      </c>
      <c r="S1364" t="str">
        <f t="shared" si="440"/>
        <v>Green</v>
      </c>
      <c r="T1364" t="str">
        <f t="shared" si="441"/>
        <v>Red</v>
      </c>
      <c r="U1364" t="str">
        <f t="shared" si="442"/>
        <v>Red</v>
      </c>
      <c r="V1364" t="str">
        <f t="shared" si="443"/>
        <v>Green</v>
      </c>
      <c r="W1364" t="str">
        <f t="shared" si="444"/>
        <v>Red</v>
      </c>
      <c r="X1364" t="str">
        <f t="shared" si="445"/>
        <v>Red</v>
      </c>
      <c r="Y1364" t="str">
        <f t="shared" si="446"/>
        <v>Red</v>
      </c>
      <c r="Z1364" t="str">
        <f t="shared" si="447"/>
        <v>Red</v>
      </c>
      <c r="AA1364" t="str">
        <f t="shared" si="448"/>
        <v>Green</v>
      </c>
      <c r="AB1364" t="str">
        <f t="shared" si="449"/>
        <v>Green</v>
      </c>
      <c r="AC1364" t="str">
        <f t="shared" si="450"/>
        <v>Red</v>
      </c>
      <c r="AD1364" t="str">
        <f t="shared" si="451"/>
        <v>Green</v>
      </c>
    </row>
    <row r="1365" spans="1:30" x14ac:dyDescent="0.2">
      <c r="A1365" t="str">
        <f>L1364&amp;F1365&amp;G1365</f>
        <v>25/07/2026Fastav ZlinBanik Ostrava</v>
      </c>
      <c r="D1365" s="2">
        <v>46228</v>
      </c>
      <c r="E1365" s="3">
        <v>0.625</v>
      </c>
      <c r="F1365" t="s">
        <v>3155</v>
      </c>
      <c r="G1365" t="s">
        <v>3156</v>
      </c>
      <c r="H1365">
        <v>0</v>
      </c>
      <c r="I1365">
        <v>0</v>
      </c>
      <c r="J1365">
        <v>0</v>
      </c>
      <c r="K1365">
        <v>1</v>
      </c>
      <c r="L1365" s="22" t="str">
        <f t="shared" si="433"/>
        <v>25/07/2026</v>
      </c>
      <c r="M1365" s="23">
        <f t="shared" si="434"/>
        <v>0.5</v>
      </c>
      <c r="N1365" t="str">
        <f t="shared" si="435"/>
        <v>0 - 1</v>
      </c>
      <c r="O1365" t="str">
        <f t="shared" si="436"/>
        <v>Red</v>
      </c>
      <c r="P1365" t="str">
        <f t="shared" si="437"/>
        <v>Red</v>
      </c>
      <c r="Q1365" t="str">
        <f t="shared" si="438"/>
        <v>Green</v>
      </c>
      <c r="R1365" t="str">
        <f t="shared" si="439"/>
        <v>Red</v>
      </c>
      <c r="S1365" t="str">
        <f t="shared" si="440"/>
        <v>Green</v>
      </c>
      <c r="T1365" t="str">
        <f t="shared" si="441"/>
        <v>Green</v>
      </c>
      <c r="U1365" t="str">
        <f t="shared" si="442"/>
        <v>Red</v>
      </c>
      <c r="V1365" t="str">
        <f t="shared" si="443"/>
        <v>Green</v>
      </c>
      <c r="W1365" t="str">
        <f t="shared" si="444"/>
        <v>Red</v>
      </c>
      <c r="X1365" t="str">
        <f t="shared" si="445"/>
        <v>Red</v>
      </c>
      <c r="Y1365" t="str">
        <f t="shared" si="446"/>
        <v>Red</v>
      </c>
      <c r="Z1365" t="str">
        <f t="shared" si="447"/>
        <v>Red</v>
      </c>
      <c r="AA1365" t="str">
        <f t="shared" si="448"/>
        <v>Green</v>
      </c>
      <c r="AB1365" t="str">
        <f t="shared" si="449"/>
        <v>Green</v>
      </c>
      <c r="AC1365" t="str">
        <f t="shared" si="450"/>
        <v>Red</v>
      </c>
      <c r="AD1365" t="str">
        <f t="shared" si="451"/>
        <v>Green</v>
      </c>
    </row>
    <row r="1366" spans="1:30" x14ac:dyDescent="0.2">
      <c r="A1366" t="str">
        <f>L1365&amp;F1366&amp;G1366</f>
        <v>25/07/2026TepliceBohemians 1905</v>
      </c>
      <c r="D1366" s="2">
        <v>46228</v>
      </c>
      <c r="E1366" s="3">
        <v>0.625</v>
      </c>
      <c r="F1366" t="s">
        <v>3157</v>
      </c>
      <c r="G1366" t="s">
        <v>3158</v>
      </c>
      <c r="H1366">
        <v>1</v>
      </c>
      <c r="I1366">
        <v>0</v>
      </c>
      <c r="J1366">
        <v>3</v>
      </c>
      <c r="K1366">
        <v>1</v>
      </c>
      <c r="L1366" s="22" t="str">
        <f t="shared" si="433"/>
        <v>25/07/2026</v>
      </c>
      <c r="M1366" s="23">
        <f t="shared" si="434"/>
        <v>0.5</v>
      </c>
      <c r="N1366" t="str">
        <f t="shared" si="435"/>
        <v>3 - 1</v>
      </c>
      <c r="O1366" t="str">
        <f t="shared" si="436"/>
        <v>Green</v>
      </c>
      <c r="P1366" t="str">
        <f t="shared" si="437"/>
        <v>Red</v>
      </c>
      <c r="Q1366" t="str">
        <f t="shared" si="438"/>
        <v>Red</v>
      </c>
      <c r="R1366" t="str">
        <f t="shared" si="439"/>
        <v>Green</v>
      </c>
      <c r="S1366" t="str">
        <f t="shared" si="440"/>
        <v>Red</v>
      </c>
      <c r="T1366" t="str">
        <f t="shared" si="441"/>
        <v>Green</v>
      </c>
      <c r="U1366" t="str">
        <f t="shared" si="442"/>
        <v>Green</v>
      </c>
      <c r="V1366" t="str">
        <f t="shared" si="443"/>
        <v>Red</v>
      </c>
      <c r="W1366" t="str">
        <f t="shared" si="444"/>
        <v>Red</v>
      </c>
      <c r="X1366" t="str">
        <f t="shared" si="445"/>
        <v>Green</v>
      </c>
      <c r="Y1366" t="str">
        <f t="shared" si="446"/>
        <v>Green</v>
      </c>
      <c r="Z1366" t="str">
        <f t="shared" si="447"/>
        <v>Green</v>
      </c>
      <c r="AA1366" t="str">
        <f t="shared" si="448"/>
        <v>Red</v>
      </c>
      <c r="AB1366" t="str">
        <f t="shared" si="449"/>
        <v>Red</v>
      </c>
      <c r="AC1366" t="str">
        <f t="shared" si="450"/>
        <v>Green</v>
      </c>
      <c r="AD1366" t="str">
        <f t="shared" si="451"/>
        <v>Red</v>
      </c>
    </row>
    <row r="1367" spans="1:30" x14ac:dyDescent="0.2">
      <c r="A1367" t="str">
        <f>L1366&amp;F1367&amp;G1367</f>
        <v>25/07/2026Viktoria PlzenSlovan Liberec</v>
      </c>
      <c r="D1367" s="2">
        <v>46228</v>
      </c>
      <c r="E1367" s="3">
        <v>0.625</v>
      </c>
      <c r="F1367" t="s">
        <v>1891</v>
      </c>
      <c r="G1367" t="s">
        <v>3159</v>
      </c>
      <c r="H1367">
        <v>0</v>
      </c>
      <c r="I1367">
        <v>1</v>
      </c>
      <c r="J1367">
        <v>1</v>
      </c>
      <c r="K1367">
        <v>3</v>
      </c>
      <c r="L1367" s="22" t="str">
        <f t="shared" si="433"/>
        <v>25/07/2026</v>
      </c>
      <c r="M1367" s="23">
        <f t="shared" si="434"/>
        <v>0.5</v>
      </c>
      <c r="N1367" t="str">
        <f t="shared" si="435"/>
        <v>1 - 3</v>
      </c>
      <c r="O1367" t="str">
        <f t="shared" si="436"/>
        <v>Red</v>
      </c>
      <c r="P1367" t="str">
        <f t="shared" si="437"/>
        <v>Red</v>
      </c>
      <c r="Q1367" t="str">
        <f t="shared" si="438"/>
        <v>Green</v>
      </c>
      <c r="R1367" t="str">
        <f t="shared" si="439"/>
        <v>Red</v>
      </c>
      <c r="S1367" t="str">
        <f t="shared" si="440"/>
        <v>Green</v>
      </c>
      <c r="T1367" t="str">
        <f t="shared" si="441"/>
        <v>Green</v>
      </c>
      <c r="U1367" t="str">
        <f t="shared" si="442"/>
        <v>Red</v>
      </c>
      <c r="V1367" t="str">
        <f t="shared" si="443"/>
        <v>Red</v>
      </c>
      <c r="W1367" t="str">
        <f t="shared" si="444"/>
        <v>Green</v>
      </c>
      <c r="X1367" t="str">
        <f t="shared" si="445"/>
        <v>Green</v>
      </c>
      <c r="Y1367" t="str">
        <f t="shared" si="446"/>
        <v>Green</v>
      </c>
      <c r="Z1367" t="str">
        <f t="shared" si="447"/>
        <v>Green</v>
      </c>
      <c r="AA1367" t="str">
        <f t="shared" si="448"/>
        <v>Red</v>
      </c>
      <c r="AB1367" t="str">
        <f t="shared" si="449"/>
        <v>Red</v>
      </c>
      <c r="AC1367" t="str">
        <f t="shared" si="450"/>
        <v>Green</v>
      </c>
      <c r="AD1367" t="str">
        <f t="shared" si="451"/>
        <v>Red</v>
      </c>
    </row>
    <row r="1368" spans="1:30" x14ac:dyDescent="0.2">
      <c r="A1368" t="str">
        <f>L1367&amp;F1368&amp;G1368</f>
        <v>25/07/2026OpavaSK Lisen</v>
      </c>
      <c r="D1368" s="2">
        <v>46228</v>
      </c>
      <c r="E1368" s="3">
        <v>0.625</v>
      </c>
      <c r="F1368" t="s">
        <v>3164</v>
      </c>
      <c r="G1368" t="s">
        <v>3165</v>
      </c>
      <c r="L1368" s="22" t="str">
        <f t="shared" si="433"/>
        <v>25/07/2026</v>
      </c>
      <c r="M1368" s="23">
        <f t="shared" si="434"/>
        <v>0.5</v>
      </c>
      <c r="N1368" t="str">
        <f t="shared" si="435"/>
        <v xml:space="preserve"> - </v>
      </c>
      <c r="O1368" t="str">
        <f t="shared" si="436"/>
        <v>Red</v>
      </c>
      <c r="P1368" t="str">
        <f t="shared" si="437"/>
        <v>Green</v>
      </c>
      <c r="Q1368" t="str">
        <f t="shared" si="438"/>
        <v>Red</v>
      </c>
      <c r="R1368" t="str">
        <f t="shared" si="439"/>
        <v>Green</v>
      </c>
      <c r="S1368" t="str">
        <f t="shared" si="440"/>
        <v>Green</v>
      </c>
      <c r="T1368" t="str">
        <f t="shared" si="441"/>
        <v>Red</v>
      </c>
      <c r="U1368" t="str">
        <f t="shared" si="442"/>
        <v>Red</v>
      </c>
      <c r="V1368" t="str">
        <f t="shared" si="443"/>
        <v>Green</v>
      </c>
      <c r="W1368" t="str">
        <f t="shared" si="444"/>
        <v>Red</v>
      </c>
      <c r="X1368" t="str">
        <f t="shared" si="445"/>
        <v>Red</v>
      </c>
      <c r="Y1368" t="str">
        <f t="shared" si="446"/>
        <v>Red</v>
      </c>
      <c r="Z1368" t="str">
        <f t="shared" si="447"/>
        <v>Red</v>
      </c>
      <c r="AA1368" t="str">
        <f t="shared" si="448"/>
        <v>Green</v>
      </c>
      <c r="AB1368" t="str">
        <f t="shared" si="449"/>
        <v>Green</v>
      </c>
      <c r="AC1368" t="str">
        <f t="shared" si="450"/>
        <v>Red</v>
      </c>
      <c r="AD1368" t="str">
        <f t="shared" si="451"/>
        <v>Green</v>
      </c>
    </row>
    <row r="1369" spans="1:30" x14ac:dyDescent="0.2">
      <c r="A1369" t="str">
        <f>L1368&amp;F1369&amp;G1369</f>
        <v>25/07/2026HlukBrumov</v>
      </c>
      <c r="D1369" s="2">
        <v>46228</v>
      </c>
      <c r="E1369" s="3">
        <v>0.625</v>
      </c>
      <c r="F1369" t="s">
        <v>3175</v>
      </c>
      <c r="G1369" t="s">
        <v>3176</v>
      </c>
      <c r="H1369">
        <v>0</v>
      </c>
      <c r="I1369">
        <v>0</v>
      </c>
      <c r="J1369">
        <v>2</v>
      </c>
      <c r="K1369">
        <v>3</v>
      </c>
      <c r="L1369" s="22" t="str">
        <f t="shared" si="433"/>
        <v>25/07/2026</v>
      </c>
      <c r="M1369" s="23">
        <f t="shared" si="434"/>
        <v>0.5</v>
      </c>
      <c r="N1369" t="str">
        <f t="shared" si="435"/>
        <v>2 - 3</v>
      </c>
      <c r="O1369" t="str">
        <f t="shared" si="436"/>
        <v>Red</v>
      </c>
      <c r="P1369" t="str">
        <f t="shared" si="437"/>
        <v>Red</v>
      </c>
      <c r="Q1369" t="str">
        <f t="shared" si="438"/>
        <v>Green</v>
      </c>
      <c r="R1369" t="str">
        <f t="shared" si="439"/>
        <v>Red</v>
      </c>
      <c r="S1369" t="str">
        <f t="shared" si="440"/>
        <v>Green</v>
      </c>
      <c r="T1369" t="str">
        <f t="shared" si="441"/>
        <v>Green</v>
      </c>
      <c r="U1369" t="str">
        <f t="shared" si="442"/>
        <v>Red</v>
      </c>
      <c r="V1369" t="str">
        <f t="shared" si="443"/>
        <v>Green</v>
      </c>
      <c r="W1369" t="str">
        <f t="shared" si="444"/>
        <v>Red</v>
      </c>
      <c r="X1369" t="str">
        <f t="shared" si="445"/>
        <v>Red</v>
      </c>
      <c r="Y1369" t="str">
        <f t="shared" si="446"/>
        <v>Green</v>
      </c>
      <c r="Z1369" t="str">
        <f t="shared" si="447"/>
        <v>Green</v>
      </c>
      <c r="AA1369" t="str">
        <f t="shared" si="448"/>
        <v>Red</v>
      </c>
      <c r="AB1369" t="str">
        <f t="shared" si="449"/>
        <v>Red</v>
      </c>
      <c r="AC1369" t="str">
        <f t="shared" si="450"/>
        <v>Green</v>
      </c>
      <c r="AD1369" t="str">
        <f t="shared" si="451"/>
        <v>Red</v>
      </c>
    </row>
    <row r="1370" spans="1:30" x14ac:dyDescent="0.2">
      <c r="A1370" t="str">
        <f>L1369&amp;F1370&amp;G1370</f>
        <v>25/07/2026HolesovSlavicin</v>
      </c>
      <c r="D1370" s="2">
        <v>46228</v>
      </c>
      <c r="E1370" s="3">
        <v>0.625</v>
      </c>
      <c r="F1370" t="s">
        <v>3177</v>
      </c>
      <c r="G1370" t="s">
        <v>3178</v>
      </c>
      <c r="H1370">
        <v>0</v>
      </c>
      <c r="I1370">
        <v>0</v>
      </c>
      <c r="J1370">
        <v>1</v>
      </c>
      <c r="K1370">
        <v>3</v>
      </c>
      <c r="L1370" s="22" t="str">
        <f t="shared" si="433"/>
        <v>25/07/2026</v>
      </c>
      <c r="M1370" s="23">
        <f t="shared" si="434"/>
        <v>0.5</v>
      </c>
      <c r="N1370" t="str">
        <f t="shared" si="435"/>
        <v>1 - 3</v>
      </c>
      <c r="O1370" t="str">
        <f t="shared" si="436"/>
        <v>Red</v>
      </c>
      <c r="P1370" t="str">
        <f t="shared" si="437"/>
        <v>Red</v>
      </c>
      <c r="Q1370" t="str">
        <f t="shared" si="438"/>
        <v>Green</v>
      </c>
      <c r="R1370" t="str">
        <f t="shared" si="439"/>
        <v>Red</v>
      </c>
      <c r="S1370" t="str">
        <f t="shared" si="440"/>
        <v>Green</v>
      </c>
      <c r="T1370" t="str">
        <f t="shared" si="441"/>
        <v>Green</v>
      </c>
      <c r="U1370" t="str">
        <f t="shared" si="442"/>
        <v>Red</v>
      </c>
      <c r="V1370" t="str">
        <f t="shared" si="443"/>
        <v>Green</v>
      </c>
      <c r="W1370" t="str">
        <f t="shared" si="444"/>
        <v>Red</v>
      </c>
      <c r="X1370" t="str">
        <f t="shared" si="445"/>
        <v>Red</v>
      </c>
      <c r="Y1370" t="str">
        <f t="shared" si="446"/>
        <v>Green</v>
      </c>
      <c r="Z1370" t="str">
        <f t="shared" si="447"/>
        <v>Green</v>
      </c>
      <c r="AA1370" t="str">
        <f t="shared" si="448"/>
        <v>Red</v>
      </c>
      <c r="AB1370" t="str">
        <f t="shared" si="449"/>
        <v>Red</v>
      </c>
      <c r="AC1370" t="str">
        <f t="shared" si="450"/>
        <v>Green</v>
      </c>
      <c r="AD1370" t="str">
        <f t="shared" si="451"/>
        <v>Red</v>
      </c>
    </row>
    <row r="1371" spans="1:30" x14ac:dyDescent="0.2">
      <c r="A1371" t="str">
        <f>L1370&amp;F1371&amp;G1371</f>
        <v>25/07/2026SK StonavaPolanka</v>
      </c>
      <c r="D1371" s="2">
        <v>46228</v>
      </c>
      <c r="E1371" s="3">
        <v>0.625</v>
      </c>
      <c r="F1371" t="s">
        <v>3179</v>
      </c>
      <c r="G1371" t="s">
        <v>3180</v>
      </c>
      <c r="H1371">
        <v>0</v>
      </c>
      <c r="I1371">
        <v>0</v>
      </c>
      <c r="J1371">
        <v>1</v>
      </c>
      <c r="K1371">
        <v>1</v>
      </c>
      <c r="L1371" s="22" t="str">
        <f t="shared" si="433"/>
        <v>25/07/2026</v>
      </c>
      <c r="M1371" s="23">
        <f t="shared" si="434"/>
        <v>0.5</v>
      </c>
      <c r="N1371" t="str">
        <f t="shared" si="435"/>
        <v>1 - 1</v>
      </c>
      <c r="O1371" t="str">
        <f t="shared" si="436"/>
        <v>Red</v>
      </c>
      <c r="P1371" t="str">
        <f t="shared" si="437"/>
        <v>Green</v>
      </c>
      <c r="Q1371" t="str">
        <f t="shared" si="438"/>
        <v>Red</v>
      </c>
      <c r="R1371" t="str">
        <f t="shared" si="439"/>
        <v>Green</v>
      </c>
      <c r="S1371" t="str">
        <f t="shared" si="440"/>
        <v>Green</v>
      </c>
      <c r="T1371" t="str">
        <f t="shared" si="441"/>
        <v>Red</v>
      </c>
      <c r="U1371" t="str">
        <f t="shared" si="442"/>
        <v>Red</v>
      </c>
      <c r="V1371" t="str">
        <f t="shared" si="443"/>
        <v>Green</v>
      </c>
      <c r="W1371" t="str">
        <f t="shared" si="444"/>
        <v>Red</v>
      </c>
      <c r="X1371" t="str">
        <f t="shared" si="445"/>
        <v>Red</v>
      </c>
      <c r="Y1371" t="str">
        <f t="shared" si="446"/>
        <v>Green</v>
      </c>
      <c r="Z1371" t="str">
        <f t="shared" si="447"/>
        <v>Red</v>
      </c>
      <c r="AA1371" t="str">
        <f t="shared" si="448"/>
        <v>Green</v>
      </c>
      <c r="AB1371" t="str">
        <f t="shared" si="449"/>
        <v>Green</v>
      </c>
      <c r="AC1371" t="str">
        <f t="shared" si="450"/>
        <v>Green</v>
      </c>
      <c r="AD1371" t="str">
        <f t="shared" si="451"/>
        <v>Red</v>
      </c>
    </row>
    <row r="1372" spans="1:30" x14ac:dyDescent="0.2">
      <c r="A1372" t="str">
        <f>L1371&amp;F1372&amp;G1372</f>
        <v>25/07/2026Sokol LanzhotDosta Bystrc</v>
      </c>
      <c r="D1372" s="2">
        <v>46228</v>
      </c>
      <c r="E1372" s="3">
        <v>0.625</v>
      </c>
      <c r="F1372" t="s">
        <v>3181</v>
      </c>
      <c r="G1372" t="s">
        <v>3182</v>
      </c>
      <c r="H1372">
        <v>0</v>
      </c>
      <c r="I1372">
        <v>0</v>
      </c>
      <c r="J1372">
        <v>1</v>
      </c>
      <c r="K1372">
        <v>0</v>
      </c>
      <c r="L1372" s="22" t="str">
        <f t="shared" si="433"/>
        <v>25/07/2026</v>
      </c>
      <c r="M1372" s="23">
        <f t="shared" si="434"/>
        <v>0.5</v>
      </c>
      <c r="N1372" t="str">
        <f t="shared" si="435"/>
        <v>1 - 0</v>
      </c>
      <c r="O1372" t="str">
        <f t="shared" si="436"/>
        <v>Green</v>
      </c>
      <c r="P1372" t="str">
        <f t="shared" si="437"/>
        <v>Red</v>
      </c>
      <c r="Q1372" t="str">
        <f t="shared" si="438"/>
        <v>Red</v>
      </c>
      <c r="R1372" t="str">
        <f t="shared" si="439"/>
        <v>Green</v>
      </c>
      <c r="S1372" t="str">
        <f t="shared" si="440"/>
        <v>Red</v>
      </c>
      <c r="T1372" t="str">
        <f t="shared" si="441"/>
        <v>Green</v>
      </c>
      <c r="U1372" t="str">
        <f t="shared" si="442"/>
        <v>Red</v>
      </c>
      <c r="V1372" t="str">
        <f t="shared" si="443"/>
        <v>Green</v>
      </c>
      <c r="W1372" t="str">
        <f t="shared" si="444"/>
        <v>Red</v>
      </c>
      <c r="X1372" t="str">
        <f t="shared" si="445"/>
        <v>Red</v>
      </c>
      <c r="Y1372" t="str">
        <f t="shared" si="446"/>
        <v>Red</v>
      </c>
      <c r="Z1372" t="str">
        <f t="shared" si="447"/>
        <v>Red</v>
      </c>
      <c r="AA1372" t="str">
        <f t="shared" si="448"/>
        <v>Green</v>
      </c>
      <c r="AB1372" t="str">
        <f t="shared" si="449"/>
        <v>Green</v>
      </c>
      <c r="AC1372" t="str">
        <f t="shared" si="450"/>
        <v>Red</v>
      </c>
      <c r="AD1372" t="str">
        <f t="shared" si="451"/>
        <v>Green</v>
      </c>
    </row>
    <row r="1373" spans="1:30" x14ac:dyDescent="0.2">
      <c r="A1373" t="str">
        <f>L1372&amp;F1373&amp;G1373</f>
        <v>25/07/2026SternberkJiskra Rymarov</v>
      </c>
      <c r="D1373" s="2">
        <v>46228</v>
      </c>
      <c r="E1373" s="3">
        <v>0.625</v>
      </c>
      <c r="F1373" t="s">
        <v>3183</v>
      </c>
      <c r="G1373" t="s">
        <v>3184</v>
      </c>
      <c r="H1373">
        <v>0</v>
      </c>
      <c r="I1373">
        <v>0</v>
      </c>
      <c r="J1373">
        <v>1</v>
      </c>
      <c r="K1373">
        <v>1</v>
      </c>
      <c r="L1373" s="22" t="str">
        <f t="shared" si="433"/>
        <v>25/07/2026</v>
      </c>
      <c r="M1373" s="23">
        <f t="shared" si="434"/>
        <v>0.5</v>
      </c>
      <c r="N1373" t="str">
        <f t="shared" si="435"/>
        <v>1 - 1</v>
      </c>
      <c r="O1373" t="str">
        <f t="shared" si="436"/>
        <v>Red</v>
      </c>
      <c r="P1373" t="str">
        <f t="shared" si="437"/>
        <v>Green</v>
      </c>
      <c r="Q1373" t="str">
        <f t="shared" si="438"/>
        <v>Red</v>
      </c>
      <c r="R1373" t="str">
        <f t="shared" si="439"/>
        <v>Green</v>
      </c>
      <c r="S1373" t="str">
        <f t="shared" si="440"/>
        <v>Green</v>
      </c>
      <c r="T1373" t="str">
        <f t="shared" si="441"/>
        <v>Red</v>
      </c>
      <c r="U1373" t="str">
        <f t="shared" si="442"/>
        <v>Red</v>
      </c>
      <c r="V1373" t="str">
        <f t="shared" si="443"/>
        <v>Green</v>
      </c>
      <c r="W1373" t="str">
        <f t="shared" si="444"/>
        <v>Red</v>
      </c>
      <c r="X1373" t="str">
        <f t="shared" si="445"/>
        <v>Red</v>
      </c>
      <c r="Y1373" t="str">
        <f t="shared" si="446"/>
        <v>Green</v>
      </c>
      <c r="Z1373" t="str">
        <f t="shared" si="447"/>
        <v>Red</v>
      </c>
      <c r="AA1373" t="str">
        <f t="shared" si="448"/>
        <v>Green</v>
      </c>
      <c r="AB1373" t="str">
        <f t="shared" si="449"/>
        <v>Green</v>
      </c>
      <c r="AC1373" t="str">
        <f t="shared" si="450"/>
        <v>Green</v>
      </c>
      <c r="AD1373" t="str">
        <f t="shared" si="451"/>
        <v>Red</v>
      </c>
    </row>
    <row r="1374" spans="1:30" x14ac:dyDescent="0.2">
      <c r="A1374" t="str">
        <f>L1373&amp;F1374&amp;G1374</f>
        <v>25/07/2026Deportivo Ibarra WomenCSD Macara Women</v>
      </c>
      <c r="D1374" s="2">
        <v>46228</v>
      </c>
      <c r="E1374" s="3">
        <v>0.625</v>
      </c>
      <c r="F1374" t="s">
        <v>3197</v>
      </c>
      <c r="G1374" t="s">
        <v>3198</v>
      </c>
      <c r="H1374">
        <v>0</v>
      </c>
      <c r="I1374">
        <v>0</v>
      </c>
      <c r="J1374">
        <v>2</v>
      </c>
      <c r="K1374">
        <v>3</v>
      </c>
      <c r="L1374" s="22" t="str">
        <f t="shared" si="433"/>
        <v>25/07/2026</v>
      </c>
      <c r="M1374" s="23">
        <f t="shared" si="434"/>
        <v>0.5</v>
      </c>
      <c r="N1374" t="str">
        <f t="shared" si="435"/>
        <v>2 - 3</v>
      </c>
      <c r="O1374" t="str">
        <f t="shared" si="436"/>
        <v>Red</v>
      </c>
      <c r="P1374" t="str">
        <f t="shared" si="437"/>
        <v>Red</v>
      </c>
      <c r="Q1374" t="str">
        <f t="shared" si="438"/>
        <v>Green</v>
      </c>
      <c r="R1374" t="str">
        <f t="shared" si="439"/>
        <v>Red</v>
      </c>
      <c r="S1374" t="str">
        <f t="shared" si="440"/>
        <v>Green</v>
      </c>
      <c r="T1374" t="str">
        <f t="shared" si="441"/>
        <v>Green</v>
      </c>
      <c r="U1374" t="str">
        <f t="shared" si="442"/>
        <v>Red</v>
      </c>
      <c r="V1374" t="str">
        <f t="shared" si="443"/>
        <v>Green</v>
      </c>
      <c r="W1374" t="str">
        <f t="shared" si="444"/>
        <v>Red</v>
      </c>
      <c r="X1374" t="str">
        <f t="shared" si="445"/>
        <v>Red</v>
      </c>
      <c r="Y1374" t="str">
        <f t="shared" si="446"/>
        <v>Green</v>
      </c>
      <c r="Z1374" t="str">
        <f t="shared" si="447"/>
        <v>Green</v>
      </c>
      <c r="AA1374" t="str">
        <f t="shared" si="448"/>
        <v>Red</v>
      </c>
      <c r="AB1374" t="str">
        <f t="shared" si="449"/>
        <v>Red</v>
      </c>
      <c r="AC1374" t="str">
        <f t="shared" si="450"/>
        <v>Green</v>
      </c>
      <c r="AD1374" t="str">
        <f t="shared" si="451"/>
        <v>Red</v>
      </c>
    </row>
    <row r="1375" spans="1:30" x14ac:dyDescent="0.2">
      <c r="A1375" t="str">
        <f>L1374&amp;F1375&amp;G1375</f>
        <v>25/07/2026PK-35 VJSJippo</v>
      </c>
      <c r="D1375" s="2">
        <v>46228</v>
      </c>
      <c r="E1375" s="3">
        <v>0.625</v>
      </c>
      <c r="F1375" t="s">
        <v>3222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33"/>
        <v>25/07/2026</v>
      </c>
      <c r="M1375" s="23">
        <f t="shared" si="434"/>
        <v>0.5</v>
      </c>
      <c r="N1375" t="str">
        <f t="shared" si="435"/>
        <v>1 - 1</v>
      </c>
      <c r="O1375" t="str">
        <f t="shared" si="436"/>
        <v>Red</v>
      </c>
      <c r="P1375" t="str">
        <f t="shared" si="437"/>
        <v>Green</v>
      </c>
      <c r="Q1375" t="str">
        <f t="shared" si="438"/>
        <v>Red</v>
      </c>
      <c r="R1375" t="str">
        <f t="shared" si="439"/>
        <v>Green</v>
      </c>
      <c r="S1375" t="str">
        <f t="shared" si="440"/>
        <v>Green</v>
      </c>
      <c r="T1375" t="str">
        <f t="shared" si="441"/>
        <v>Red</v>
      </c>
      <c r="U1375" t="str">
        <f t="shared" si="442"/>
        <v>Red</v>
      </c>
      <c r="V1375" t="str">
        <f t="shared" si="443"/>
        <v>Red</v>
      </c>
      <c r="W1375" t="str">
        <f t="shared" si="444"/>
        <v>Green</v>
      </c>
      <c r="X1375" t="str">
        <f t="shared" si="445"/>
        <v>Green</v>
      </c>
      <c r="Y1375" t="str">
        <f t="shared" si="446"/>
        <v>Green</v>
      </c>
      <c r="Z1375" t="str">
        <f t="shared" si="447"/>
        <v>Red</v>
      </c>
      <c r="AA1375" t="str">
        <f t="shared" si="448"/>
        <v>Green</v>
      </c>
      <c r="AB1375" t="str">
        <f t="shared" si="449"/>
        <v>Green</v>
      </c>
      <c r="AC1375" t="str">
        <f t="shared" si="450"/>
        <v>Green</v>
      </c>
      <c r="AD1375" t="str">
        <f t="shared" si="451"/>
        <v>Red</v>
      </c>
    </row>
    <row r="1376" spans="1:30" x14ac:dyDescent="0.2">
      <c r="A1376" t="str">
        <f>L1375&amp;F1376&amp;G1376</f>
        <v>25/07/2026FC IraoDinamo Batumi</v>
      </c>
      <c r="D1376" s="2">
        <v>46228</v>
      </c>
      <c r="E1376" s="3">
        <v>0.625</v>
      </c>
      <c r="F1376" t="s">
        <v>3272</v>
      </c>
      <c r="G1376" t="s">
        <v>3273</v>
      </c>
      <c r="H1376">
        <v>0</v>
      </c>
      <c r="I1376">
        <v>0</v>
      </c>
      <c r="J1376">
        <v>1</v>
      </c>
      <c r="K1376">
        <v>4</v>
      </c>
      <c r="L1376" s="22" t="str">
        <f t="shared" si="433"/>
        <v>25/07/2026</v>
      </c>
      <c r="M1376" s="23">
        <f t="shared" si="434"/>
        <v>0.5</v>
      </c>
      <c r="N1376" t="str">
        <f t="shared" si="435"/>
        <v>1 - 4</v>
      </c>
      <c r="O1376" t="str">
        <f t="shared" si="436"/>
        <v>Red</v>
      </c>
      <c r="P1376" t="str">
        <f t="shared" si="437"/>
        <v>Red</v>
      </c>
      <c r="Q1376" t="str">
        <f t="shared" si="438"/>
        <v>Green</v>
      </c>
      <c r="R1376" t="str">
        <f t="shared" si="439"/>
        <v>Red</v>
      </c>
      <c r="S1376" t="str">
        <f t="shared" si="440"/>
        <v>Green</v>
      </c>
      <c r="T1376" t="str">
        <f t="shared" si="441"/>
        <v>Green</v>
      </c>
      <c r="U1376" t="str">
        <f t="shared" si="442"/>
        <v>Red</v>
      </c>
      <c r="V1376" t="str">
        <f t="shared" si="443"/>
        <v>Green</v>
      </c>
      <c r="W1376" t="str">
        <f t="shared" si="444"/>
        <v>Red</v>
      </c>
      <c r="X1376" t="str">
        <f t="shared" si="445"/>
        <v>Red</v>
      </c>
      <c r="Y1376" t="str">
        <f t="shared" si="446"/>
        <v>Green</v>
      </c>
      <c r="Z1376" t="str">
        <f t="shared" si="447"/>
        <v>Green</v>
      </c>
      <c r="AA1376" t="str">
        <f t="shared" si="448"/>
        <v>Red</v>
      </c>
      <c r="AB1376" t="str">
        <f t="shared" si="449"/>
        <v>Red</v>
      </c>
      <c r="AC1376" t="str">
        <f t="shared" si="450"/>
        <v>Green</v>
      </c>
      <c r="AD1376" t="str">
        <f t="shared" si="451"/>
        <v>Red</v>
      </c>
    </row>
    <row r="1377" spans="1:30" x14ac:dyDescent="0.2">
      <c r="A1377" t="str">
        <f>L1376&amp;F1377&amp;G1377</f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33"/>
        <v>25/07/2026</v>
      </c>
      <c r="M1377" s="23">
        <f t="shared" si="434"/>
        <v>0.5</v>
      </c>
      <c r="N1377" t="str">
        <f t="shared" si="435"/>
        <v>4 - 2</v>
      </c>
      <c r="O1377" t="str">
        <f t="shared" si="436"/>
        <v>Green</v>
      </c>
      <c r="P1377" t="str">
        <f t="shared" si="437"/>
        <v>Red</v>
      </c>
      <c r="Q1377" t="str">
        <f t="shared" si="438"/>
        <v>Red</v>
      </c>
      <c r="R1377" t="str">
        <f t="shared" si="439"/>
        <v>Green</v>
      </c>
      <c r="S1377" t="str">
        <f t="shared" si="440"/>
        <v>Red</v>
      </c>
      <c r="T1377" t="str">
        <f t="shared" si="441"/>
        <v>Green</v>
      </c>
      <c r="U1377" t="str">
        <f t="shared" si="442"/>
        <v>Red</v>
      </c>
      <c r="V1377" t="str">
        <f t="shared" si="443"/>
        <v>Red</v>
      </c>
      <c r="W1377" t="str">
        <f t="shared" si="444"/>
        <v>Green</v>
      </c>
      <c r="X1377" t="str">
        <f t="shared" si="445"/>
        <v>Green</v>
      </c>
      <c r="Y1377" t="str">
        <f t="shared" si="446"/>
        <v>Green</v>
      </c>
      <c r="Z1377" t="str">
        <f t="shared" si="447"/>
        <v>Green</v>
      </c>
      <c r="AA1377" t="str">
        <f t="shared" si="448"/>
        <v>Red</v>
      </c>
      <c r="AB1377" t="str">
        <f t="shared" si="449"/>
        <v>Red</v>
      </c>
      <c r="AC1377" t="str">
        <f t="shared" si="450"/>
        <v>Green</v>
      </c>
      <c r="AD1377" t="str">
        <f t="shared" si="451"/>
        <v>Red</v>
      </c>
    </row>
    <row r="1378" spans="1:30" x14ac:dyDescent="0.2">
      <c r="A1378" t="str">
        <f>L1377&amp;F1378&amp;G1378</f>
        <v>25/07/2026KFA AustfjardaThrottur Vogar</v>
      </c>
      <c r="D1378" s="2">
        <v>46228</v>
      </c>
      <c r="E1378" s="3">
        <v>0.625</v>
      </c>
      <c r="F1378" t="s">
        <v>3354</v>
      </c>
      <c r="G1378" t="s">
        <v>3355</v>
      </c>
      <c r="H1378">
        <v>1</v>
      </c>
      <c r="I1378">
        <v>2</v>
      </c>
      <c r="J1378">
        <v>4</v>
      </c>
      <c r="K1378">
        <v>2</v>
      </c>
      <c r="L1378" s="22" t="str">
        <f t="shared" si="433"/>
        <v>25/07/2026</v>
      </c>
      <c r="M1378" s="23">
        <f t="shared" si="434"/>
        <v>0.5</v>
      </c>
      <c r="N1378" t="str">
        <f t="shared" si="435"/>
        <v>4 - 2</v>
      </c>
      <c r="O1378" t="str">
        <f t="shared" si="436"/>
        <v>Green</v>
      </c>
      <c r="P1378" t="str">
        <f t="shared" si="437"/>
        <v>Red</v>
      </c>
      <c r="Q1378" t="str">
        <f t="shared" si="438"/>
        <v>Red</v>
      </c>
      <c r="R1378" t="str">
        <f t="shared" si="439"/>
        <v>Green</v>
      </c>
      <c r="S1378" t="str">
        <f t="shared" si="440"/>
        <v>Red</v>
      </c>
      <c r="T1378" t="str">
        <f t="shared" si="441"/>
        <v>Green</v>
      </c>
      <c r="U1378" t="str">
        <f t="shared" si="442"/>
        <v>Red</v>
      </c>
      <c r="V1378" t="str">
        <f t="shared" si="443"/>
        <v>Red</v>
      </c>
      <c r="W1378" t="str">
        <f t="shared" si="444"/>
        <v>Green</v>
      </c>
      <c r="X1378" t="str">
        <f t="shared" si="445"/>
        <v>Green</v>
      </c>
      <c r="Y1378" t="str">
        <f t="shared" si="446"/>
        <v>Green</v>
      </c>
      <c r="Z1378" t="str">
        <f t="shared" si="447"/>
        <v>Green</v>
      </c>
      <c r="AA1378" t="str">
        <f t="shared" si="448"/>
        <v>Red</v>
      </c>
      <c r="AB1378" t="str">
        <f t="shared" si="449"/>
        <v>Red</v>
      </c>
      <c r="AC1378" t="str">
        <f t="shared" si="450"/>
        <v>Green</v>
      </c>
      <c r="AD1378" t="str">
        <f t="shared" si="451"/>
        <v>Red</v>
      </c>
    </row>
    <row r="1379" spans="1:30" x14ac:dyDescent="0.2">
      <c r="A1379" t="str">
        <f>L1378&amp;F1379&amp;G1379</f>
        <v>25/07/2026AktobeOkzhetpes</v>
      </c>
      <c r="D1379" s="2">
        <v>46228</v>
      </c>
      <c r="E1379" s="3">
        <v>0.625</v>
      </c>
      <c r="F1379" t="s">
        <v>3391</v>
      </c>
      <c r="G1379" t="s">
        <v>3392</v>
      </c>
      <c r="H1379">
        <v>2</v>
      </c>
      <c r="I1379">
        <v>1</v>
      </c>
      <c r="J1379">
        <v>2</v>
      </c>
      <c r="K1379">
        <v>1</v>
      </c>
      <c r="L1379" s="22" t="str">
        <f t="shared" si="433"/>
        <v>25/07/2026</v>
      </c>
      <c r="M1379" s="23">
        <f t="shared" si="434"/>
        <v>0.5</v>
      </c>
      <c r="N1379" t="str">
        <f t="shared" si="435"/>
        <v>2 - 1</v>
      </c>
      <c r="O1379" t="str">
        <f t="shared" si="436"/>
        <v>Green</v>
      </c>
      <c r="P1379" t="str">
        <f t="shared" si="437"/>
        <v>Red</v>
      </c>
      <c r="Q1379" t="str">
        <f t="shared" si="438"/>
        <v>Red</v>
      </c>
      <c r="R1379" t="str">
        <f t="shared" si="439"/>
        <v>Green</v>
      </c>
      <c r="S1379" t="str">
        <f t="shared" si="440"/>
        <v>Red</v>
      </c>
      <c r="T1379" t="str">
        <f t="shared" si="441"/>
        <v>Green</v>
      </c>
      <c r="U1379" t="str">
        <f t="shared" si="442"/>
        <v>Green</v>
      </c>
      <c r="V1379" t="str">
        <f t="shared" si="443"/>
        <v>Red</v>
      </c>
      <c r="W1379" t="str">
        <f t="shared" si="444"/>
        <v>Red</v>
      </c>
      <c r="X1379" t="str">
        <f t="shared" si="445"/>
        <v>Green</v>
      </c>
      <c r="Y1379" t="str">
        <f t="shared" si="446"/>
        <v>Green</v>
      </c>
      <c r="Z1379" t="str">
        <f t="shared" si="447"/>
        <v>Green</v>
      </c>
      <c r="AA1379" t="str">
        <f t="shared" si="448"/>
        <v>Red</v>
      </c>
      <c r="AB1379" t="str">
        <f t="shared" si="449"/>
        <v>Green</v>
      </c>
      <c r="AC1379" t="str">
        <f t="shared" si="450"/>
        <v>Green</v>
      </c>
      <c r="AD1379" t="str">
        <f t="shared" si="451"/>
        <v>Red</v>
      </c>
    </row>
    <row r="1380" spans="1:30" x14ac:dyDescent="0.2">
      <c r="A1380" t="str">
        <f>L1379&amp;F1380&amp;G1380</f>
        <v>25/07/2026Rezeknes BJSSMarupes SC</v>
      </c>
      <c r="D1380" s="2">
        <v>46228</v>
      </c>
      <c r="E1380" s="3">
        <v>0.625</v>
      </c>
      <c r="F1380" t="s">
        <v>3397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33"/>
        <v>25/07/2026</v>
      </c>
      <c r="M1380" s="23">
        <f t="shared" si="434"/>
        <v>0.5</v>
      </c>
      <c r="N1380" t="str">
        <f t="shared" si="435"/>
        <v>1 - 2</v>
      </c>
      <c r="O1380" t="str">
        <f t="shared" si="436"/>
        <v>Red</v>
      </c>
      <c r="P1380" t="str">
        <f t="shared" si="437"/>
        <v>Red</v>
      </c>
      <c r="Q1380" t="str">
        <f t="shared" si="438"/>
        <v>Green</v>
      </c>
      <c r="R1380" t="str">
        <f t="shared" si="439"/>
        <v>Red</v>
      </c>
      <c r="S1380" t="str">
        <f t="shared" si="440"/>
        <v>Green</v>
      </c>
      <c r="T1380" t="str">
        <f t="shared" si="441"/>
        <v>Green</v>
      </c>
      <c r="U1380" t="str">
        <f t="shared" si="442"/>
        <v>Red</v>
      </c>
      <c r="V1380" t="str">
        <f t="shared" si="443"/>
        <v>Green</v>
      </c>
      <c r="W1380" t="str">
        <f t="shared" si="444"/>
        <v>Red</v>
      </c>
      <c r="X1380" t="str">
        <f t="shared" si="445"/>
        <v>Red</v>
      </c>
      <c r="Y1380" t="str">
        <f t="shared" si="446"/>
        <v>Green</v>
      </c>
      <c r="Z1380" t="str">
        <f t="shared" si="447"/>
        <v>Green</v>
      </c>
      <c r="AA1380" t="str">
        <f t="shared" si="448"/>
        <v>Red</v>
      </c>
      <c r="AB1380" t="str">
        <f t="shared" si="449"/>
        <v>Green</v>
      </c>
      <c r="AC1380" t="str">
        <f t="shared" si="450"/>
        <v>Green</v>
      </c>
      <c r="AD1380" t="str">
        <f t="shared" si="451"/>
        <v>Red</v>
      </c>
    </row>
    <row r="1381" spans="1:30" x14ac:dyDescent="0.2">
      <c r="A1381" t="str">
        <f>L1380&amp;F1381&amp;G1381</f>
        <v>25/07/2026FK BabrungasEkranas</v>
      </c>
      <c r="D1381" s="2">
        <v>46228</v>
      </c>
      <c r="E1381" s="3">
        <v>0.625</v>
      </c>
      <c r="F1381" t="s">
        <v>621</v>
      </c>
      <c r="G1381" t="s">
        <v>3402</v>
      </c>
      <c r="H1381">
        <v>1</v>
      </c>
      <c r="I1381">
        <v>0</v>
      </c>
      <c r="J1381">
        <v>2</v>
      </c>
      <c r="K1381">
        <v>0</v>
      </c>
      <c r="L1381" s="22" t="str">
        <f t="shared" si="433"/>
        <v>25/07/2026</v>
      </c>
      <c r="M1381" s="23">
        <f t="shared" si="434"/>
        <v>0.5</v>
      </c>
      <c r="N1381" t="str">
        <f t="shared" si="435"/>
        <v>2 - 0</v>
      </c>
      <c r="O1381" t="str">
        <f t="shared" si="436"/>
        <v>Green</v>
      </c>
      <c r="P1381" t="str">
        <f t="shared" si="437"/>
        <v>Red</v>
      </c>
      <c r="Q1381" t="str">
        <f t="shared" si="438"/>
        <v>Red</v>
      </c>
      <c r="R1381" t="str">
        <f t="shared" si="439"/>
        <v>Green</v>
      </c>
      <c r="S1381" t="str">
        <f t="shared" si="440"/>
        <v>Red</v>
      </c>
      <c r="T1381" t="str">
        <f t="shared" si="441"/>
        <v>Green</v>
      </c>
      <c r="U1381" t="str">
        <f t="shared" si="442"/>
        <v>Green</v>
      </c>
      <c r="V1381" t="str">
        <f t="shared" si="443"/>
        <v>Red</v>
      </c>
      <c r="W1381" t="str">
        <f t="shared" si="444"/>
        <v>Red</v>
      </c>
      <c r="X1381" t="str">
        <f t="shared" si="445"/>
        <v>Green</v>
      </c>
      <c r="Y1381" t="str">
        <f t="shared" si="446"/>
        <v>Green</v>
      </c>
      <c r="Z1381" t="str">
        <f t="shared" si="447"/>
        <v>Red</v>
      </c>
      <c r="AA1381" t="str">
        <f t="shared" si="448"/>
        <v>Green</v>
      </c>
      <c r="AB1381" t="str">
        <f t="shared" si="449"/>
        <v>Green</v>
      </c>
      <c r="AC1381" t="str">
        <f t="shared" si="450"/>
        <v>Red</v>
      </c>
      <c r="AD1381" t="str">
        <f t="shared" si="451"/>
        <v>Green</v>
      </c>
    </row>
    <row r="1382" spans="1:30" x14ac:dyDescent="0.2">
      <c r="A1382" t="str">
        <f>L1381&amp;F1382&amp;G1382</f>
        <v>25/07/2026Guadalajara U21FC Juarez U21</v>
      </c>
      <c r="D1382" s="2">
        <v>46228</v>
      </c>
      <c r="E1382" s="3">
        <v>0.625</v>
      </c>
      <c r="F1382" t="s">
        <v>3426</v>
      </c>
      <c r="G1382" t="s">
        <v>3427</v>
      </c>
      <c r="L1382" s="22" t="str">
        <f t="shared" si="433"/>
        <v>25/07/2026</v>
      </c>
      <c r="M1382" s="23">
        <f t="shared" si="434"/>
        <v>0.5</v>
      </c>
      <c r="N1382" t="str">
        <f t="shared" si="435"/>
        <v xml:space="preserve"> - </v>
      </c>
      <c r="O1382" t="str">
        <f t="shared" si="436"/>
        <v>Red</v>
      </c>
      <c r="P1382" t="str">
        <f t="shared" si="437"/>
        <v>Green</v>
      </c>
      <c r="Q1382" t="str">
        <f t="shared" si="438"/>
        <v>Red</v>
      </c>
      <c r="R1382" t="str">
        <f t="shared" si="439"/>
        <v>Green</v>
      </c>
      <c r="S1382" t="str">
        <f t="shared" si="440"/>
        <v>Green</v>
      </c>
      <c r="T1382" t="str">
        <f t="shared" si="441"/>
        <v>Red</v>
      </c>
      <c r="U1382" t="str">
        <f t="shared" si="442"/>
        <v>Red</v>
      </c>
      <c r="V1382" t="str">
        <f t="shared" si="443"/>
        <v>Green</v>
      </c>
      <c r="W1382" t="str">
        <f t="shared" si="444"/>
        <v>Red</v>
      </c>
      <c r="X1382" t="str">
        <f t="shared" si="445"/>
        <v>Red</v>
      </c>
      <c r="Y1382" t="str">
        <f t="shared" si="446"/>
        <v>Red</v>
      </c>
      <c r="Z1382" t="str">
        <f t="shared" si="447"/>
        <v>Red</v>
      </c>
      <c r="AA1382" t="str">
        <f t="shared" si="448"/>
        <v>Green</v>
      </c>
      <c r="AB1382" t="str">
        <f t="shared" si="449"/>
        <v>Green</v>
      </c>
      <c r="AC1382" t="str">
        <f t="shared" si="450"/>
        <v>Red</v>
      </c>
      <c r="AD1382" t="str">
        <f t="shared" si="451"/>
        <v>Green</v>
      </c>
    </row>
    <row r="1383" spans="1:30" x14ac:dyDescent="0.2">
      <c r="A1383" t="str">
        <f>L1382&amp;F1383&amp;G1383</f>
        <v>25/07/2026Tigres UANL U21Atletico San Luis U21</v>
      </c>
      <c r="D1383" s="2">
        <v>46228</v>
      </c>
      <c r="E1383" s="3">
        <v>0.625</v>
      </c>
      <c r="F1383" t="s">
        <v>3428</v>
      </c>
      <c r="G1383" t="s">
        <v>3429</v>
      </c>
      <c r="H1383">
        <v>0</v>
      </c>
      <c r="I1383">
        <v>0</v>
      </c>
      <c r="J1383">
        <v>3</v>
      </c>
      <c r="K1383">
        <v>2</v>
      </c>
      <c r="L1383" s="22" t="str">
        <f t="shared" si="433"/>
        <v>25/07/2026</v>
      </c>
      <c r="M1383" s="23">
        <f t="shared" si="434"/>
        <v>0.5</v>
      </c>
      <c r="N1383" t="str">
        <f t="shared" si="435"/>
        <v>3 - 2</v>
      </c>
      <c r="O1383" t="str">
        <f t="shared" si="436"/>
        <v>Green</v>
      </c>
      <c r="P1383" t="str">
        <f t="shared" si="437"/>
        <v>Red</v>
      </c>
      <c r="Q1383" t="str">
        <f t="shared" si="438"/>
        <v>Red</v>
      </c>
      <c r="R1383" t="str">
        <f t="shared" si="439"/>
        <v>Green</v>
      </c>
      <c r="S1383" t="str">
        <f t="shared" si="440"/>
        <v>Red</v>
      </c>
      <c r="T1383" t="str">
        <f t="shared" si="441"/>
        <v>Green</v>
      </c>
      <c r="U1383" t="str">
        <f t="shared" si="442"/>
        <v>Red</v>
      </c>
      <c r="V1383" t="str">
        <f t="shared" si="443"/>
        <v>Green</v>
      </c>
      <c r="W1383" t="str">
        <f t="shared" si="444"/>
        <v>Red</v>
      </c>
      <c r="X1383" t="str">
        <f t="shared" si="445"/>
        <v>Red</v>
      </c>
      <c r="Y1383" t="str">
        <f t="shared" si="446"/>
        <v>Green</v>
      </c>
      <c r="Z1383" t="str">
        <f t="shared" si="447"/>
        <v>Green</v>
      </c>
      <c r="AA1383" t="str">
        <f t="shared" si="448"/>
        <v>Red</v>
      </c>
      <c r="AB1383" t="str">
        <f t="shared" si="449"/>
        <v>Red</v>
      </c>
      <c r="AC1383" t="str">
        <f t="shared" si="450"/>
        <v>Green</v>
      </c>
      <c r="AD1383" t="str">
        <f t="shared" si="451"/>
        <v>Red</v>
      </c>
    </row>
    <row r="1384" spans="1:30" x14ac:dyDescent="0.2">
      <c r="A1384" t="str">
        <f>L1383&amp;F1384&amp;G1384</f>
        <v>25/07/2026FC Struga Trim LumShkendija Haracine</v>
      </c>
      <c r="D1384" s="2">
        <v>46228</v>
      </c>
      <c r="E1384" s="3">
        <v>0.625</v>
      </c>
      <c r="F1384" t="s">
        <v>3446</v>
      </c>
      <c r="G1384" t="s">
        <v>3447</v>
      </c>
      <c r="H1384">
        <v>2</v>
      </c>
      <c r="I1384">
        <v>0</v>
      </c>
      <c r="J1384">
        <v>3</v>
      </c>
      <c r="K1384">
        <v>0</v>
      </c>
      <c r="L1384" s="22" t="str">
        <f t="shared" si="433"/>
        <v>25/07/2026</v>
      </c>
      <c r="M1384" s="23">
        <f t="shared" si="434"/>
        <v>0.5</v>
      </c>
      <c r="N1384" t="str">
        <f t="shared" si="435"/>
        <v>3 - 0</v>
      </c>
      <c r="O1384" t="str">
        <f t="shared" si="436"/>
        <v>Green</v>
      </c>
      <c r="P1384" t="str">
        <f t="shared" si="437"/>
        <v>Red</v>
      </c>
      <c r="Q1384" t="str">
        <f t="shared" si="438"/>
        <v>Red</v>
      </c>
      <c r="R1384" t="str">
        <f t="shared" si="439"/>
        <v>Green</v>
      </c>
      <c r="S1384" t="str">
        <f t="shared" si="440"/>
        <v>Red</v>
      </c>
      <c r="T1384" t="str">
        <f t="shared" si="441"/>
        <v>Green</v>
      </c>
      <c r="U1384" t="str">
        <f t="shared" si="442"/>
        <v>Green</v>
      </c>
      <c r="V1384" t="str">
        <f t="shared" si="443"/>
        <v>Red</v>
      </c>
      <c r="W1384" t="str">
        <f t="shared" si="444"/>
        <v>Red</v>
      </c>
      <c r="X1384" t="str">
        <f t="shared" si="445"/>
        <v>Green</v>
      </c>
      <c r="Y1384" t="str">
        <f t="shared" si="446"/>
        <v>Green</v>
      </c>
      <c r="Z1384" t="str">
        <f t="shared" si="447"/>
        <v>Green</v>
      </c>
      <c r="AA1384" t="str">
        <f t="shared" si="448"/>
        <v>Red</v>
      </c>
      <c r="AB1384" t="str">
        <f t="shared" si="449"/>
        <v>Green</v>
      </c>
      <c r="AC1384" t="str">
        <f t="shared" si="450"/>
        <v>Red</v>
      </c>
      <c r="AD1384" t="str">
        <f t="shared" si="451"/>
        <v>Green</v>
      </c>
    </row>
    <row r="1385" spans="1:30" x14ac:dyDescent="0.2">
      <c r="A1385" t="str">
        <f>L1384&amp;F1385&amp;G1385</f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3448</v>
      </c>
      <c r="H1385">
        <v>1</v>
      </c>
      <c r="I1385">
        <v>0</v>
      </c>
      <c r="J1385">
        <v>2</v>
      </c>
      <c r="K1385">
        <v>0</v>
      </c>
      <c r="L1385" s="22" t="str">
        <f t="shared" si="433"/>
        <v>25/07/2026</v>
      </c>
      <c r="M1385" s="23">
        <f t="shared" si="434"/>
        <v>0.5</v>
      </c>
      <c r="N1385" t="str">
        <f t="shared" si="435"/>
        <v>2 - 0</v>
      </c>
      <c r="O1385" t="str">
        <f t="shared" si="436"/>
        <v>Green</v>
      </c>
      <c r="P1385" t="str">
        <f t="shared" si="437"/>
        <v>Red</v>
      </c>
      <c r="Q1385" t="str">
        <f t="shared" si="438"/>
        <v>Red</v>
      </c>
      <c r="R1385" t="str">
        <f t="shared" si="439"/>
        <v>Green</v>
      </c>
      <c r="S1385" t="str">
        <f t="shared" si="440"/>
        <v>Red</v>
      </c>
      <c r="T1385" t="str">
        <f t="shared" si="441"/>
        <v>Green</v>
      </c>
      <c r="U1385" t="str">
        <f t="shared" si="442"/>
        <v>Green</v>
      </c>
      <c r="V1385" t="str">
        <f t="shared" si="443"/>
        <v>Red</v>
      </c>
      <c r="W1385" t="str">
        <f t="shared" si="444"/>
        <v>Red</v>
      </c>
      <c r="X1385" t="str">
        <f t="shared" si="445"/>
        <v>Green</v>
      </c>
      <c r="Y1385" t="str">
        <f t="shared" si="446"/>
        <v>Green</v>
      </c>
      <c r="Z1385" t="str">
        <f t="shared" si="447"/>
        <v>Red</v>
      </c>
      <c r="AA1385" t="str">
        <f t="shared" si="448"/>
        <v>Green</v>
      </c>
      <c r="AB1385" t="str">
        <f t="shared" si="449"/>
        <v>Green</v>
      </c>
      <c r="AC1385" t="str">
        <f t="shared" si="450"/>
        <v>Red</v>
      </c>
      <c r="AD1385" t="str">
        <f t="shared" si="451"/>
        <v>Green</v>
      </c>
    </row>
    <row r="1386" spans="1:30" x14ac:dyDescent="0.2">
      <c r="A1386" t="str">
        <f>L1385&amp;F1386&amp;G1386</f>
        <v>25/07/2026TromsdalenFollo</v>
      </c>
      <c r="D1386" s="2">
        <v>46228</v>
      </c>
      <c r="E1386" s="3">
        <v>0.625</v>
      </c>
      <c r="F1386" t="s">
        <v>3468</v>
      </c>
      <c r="G1386" t="s">
        <v>3469</v>
      </c>
      <c r="H1386">
        <v>0</v>
      </c>
      <c r="I1386">
        <v>0</v>
      </c>
      <c r="J1386">
        <v>0</v>
      </c>
      <c r="K1386">
        <v>0</v>
      </c>
      <c r="L1386" s="22" t="str">
        <f t="shared" si="433"/>
        <v>25/07/2026</v>
      </c>
      <c r="M1386" s="23">
        <f t="shared" si="434"/>
        <v>0.5</v>
      </c>
      <c r="N1386" t="str">
        <f t="shared" si="435"/>
        <v>0 - 0</v>
      </c>
      <c r="O1386" t="str">
        <f t="shared" si="436"/>
        <v>Red</v>
      </c>
      <c r="P1386" t="str">
        <f t="shared" si="437"/>
        <v>Green</v>
      </c>
      <c r="Q1386" t="str">
        <f t="shared" si="438"/>
        <v>Red</v>
      </c>
      <c r="R1386" t="str">
        <f t="shared" si="439"/>
        <v>Green</v>
      </c>
      <c r="S1386" t="str">
        <f t="shared" si="440"/>
        <v>Green</v>
      </c>
      <c r="T1386" t="str">
        <f t="shared" si="441"/>
        <v>Red</v>
      </c>
      <c r="U1386" t="str">
        <f t="shared" si="442"/>
        <v>Red</v>
      </c>
      <c r="V1386" t="str">
        <f t="shared" si="443"/>
        <v>Green</v>
      </c>
      <c r="W1386" t="str">
        <f t="shared" si="444"/>
        <v>Red</v>
      </c>
      <c r="X1386" t="str">
        <f t="shared" si="445"/>
        <v>Red</v>
      </c>
      <c r="Y1386" t="str">
        <f t="shared" si="446"/>
        <v>Red</v>
      </c>
      <c r="Z1386" t="str">
        <f t="shared" si="447"/>
        <v>Red</v>
      </c>
      <c r="AA1386" t="str">
        <f t="shared" si="448"/>
        <v>Green</v>
      </c>
      <c r="AB1386" t="str">
        <f t="shared" si="449"/>
        <v>Green</v>
      </c>
      <c r="AC1386" t="str">
        <f t="shared" si="450"/>
        <v>Red</v>
      </c>
      <c r="AD1386" t="str">
        <f t="shared" si="451"/>
        <v>Green</v>
      </c>
    </row>
    <row r="1387" spans="1:30" x14ac:dyDescent="0.2">
      <c r="A1387" t="str">
        <f>L1386&amp;F1387&amp;G1387</f>
        <v>25/07/2026Killas WomenAlianza Lima Women</v>
      </c>
      <c r="D1387" s="2">
        <v>46228</v>
      </c>
      <c r="E1387" s="3">
        <v>0.625</v>
      </c>
      <c r="F1387" t="s">
        <v>3533</v>
      </c>
      <c r="G1387" t="s">
        <v>3534</v>
      </c>
      <c r="H1387">
        <v>0</v>
      </c>
      <c r="I1387">
        <v>0</v>
      </c>
      <c r="J1387">
        <v>0</v>
      </c>
      <c r="K1387">
        <v>3</v>
      </c>
      <c r="L1387" s="22" t="str">
        <f t="shared" si="433"/>
        <v>25/07/2026</v>
      </c>
      <c r="M1387" s="23">
        <f t="shared" si="434"/>
        <v>0.5</v>
      </c>
      <c r="N1387" t="str">
        <f t="shared" si="435"/>
        <v>0 - 3</v>
      </c>
      <c r="O1387" t="str">
        <f t="shared" si="436"/>
        <v>Red</v>
      </c>
      <c r="P1387" t="str">
        <f t="shared" si="437"/>
        <v>Red</v>
      </c>
      <c r="Q1387" t="str">
        <f t="shared" si="438"/>
        <v>Green</v>
      </c>
      <c r="R1387" t="str">
        <f t="shared" si="439"/>
        <v>Red</v>
      </c>
      <c r="S1387" t="str">
        <f t="shared" si="440"/>
        <v>Green</v>
      </c>
      <c r="T1387" t="str">
        <f t="shared" si="441"/>
        <v>Green</v>
      </c>
      <c r="U1387" t="str">
        <f t="shared" si="442"/>
        <v>Red</v>
      </c>
      <c r="V1387" t="str">
        <f t="shared" si="443"/>
        <v>Green</v>
      </c>
      <c r="W1387" t="str">
        <f t="shared" si="444"/>
        <v>Red</v>
      </c>
      <c r="X1387" t="str">
        <f t="shared" si="445"/>
        <v>Red</v>
      </c>
      <c r="Y1387" t="str">
        <f t="shared" si="446"/>
        <v>Green</v>
      </c>
      <c r="Z1387" t="str">
        <f t="shared" si="447"/>
        <v>Green</v>
      </c>
      <c r="AA1387" t="str">
        <f t="shared" si="448"/>
        <v>Red</v>
      </c>
      <c r="AB1387" t="str">
        <f t="shared" si="449"/>
        <v>Green</v>
      </c>
      <c r="AC1387" t="str">
        <f t="shared" si="450"/>
        <v>Red</v>
      </c>
      <c r="AD1387" t="str">
        <f t="shared" si="451"/>
        <v>Green</v>
      </c>
    </row>
    <row r="1388" spans="1:30" x14ac:dyDescent="0.2">
      <c r="A1388" t="str">
        <f>L1387&amp;F1388&amp;G1388</f>
        <v>25/07/2026Druzhba MaikopFC Sevastopol</v>
      </c>
      <c r="D1388" s="2">
        <v>46228</v>
      </c>
      <c r="E1388" s="3">
        <v>0.625</v>
      </c>
      <c r="F1388" t="s">
        <v>3583</v>
      </c>
      <c r="G1388" t="s">
        <v>3584</v>
      </c>
      <c r="H1388">
        <v>0</v>
      </c>
      <c r="I1388">
        <v>0</v>
      </c>
      <c r="J1388">
        <v>1</v>
      </c>
      <c r="K1388">
        <v>3</v>
      </c>
      <c r="L1388" s="22" t="str">
        <f t="shared" si="433"/>
        <v>25/07/2026</v>
      </c>
      <c r="M1388" s="23">
        <f t="shared" si="434"/>
        <v>0.5</v>
      </c>
      <c r="N1388" t="str">
        <f t="shared" si="435"/>
        <v>1 - 3</v>
      </c>
      <c r="O1388" t="str">
        <f t="shared" si="436"/>
        <v>Red</v>
      </c>
      <c r="P1388" t="str">
        <f t="shared" si="437"/>
        <v>Red</v>
      </c>
      <c r="Q1388" t="str">
        <f t="shared" si="438"/>
        <v>Green</v>
      </c>
      <c r="R1388" t="str">
        <f t="shared" si="439"/>
        <v>Red</v>
      </c>
      <c r="S1388" t="str">
        <f t="shared" si="440"/>
        <v>Green</v>
      </c>
      <c r="T1388" t="str">
        <f t="shared" si="441"/>
        <v>Green</v>
      </c>
      <c r="U1388" t="str">
        <f t="shared" si="442"/>
        <v>Red</v>
      </c>
      <c r="V1388" t="str">
        <f t="shared" si="443"/>
        <v>Green</v>
      </c>
      <c r="W1388" t="str">
        <f t="shared" si="444"/>
        <v>Red</v>
      </c>
      <c r="X1388" t="str">
        <f t="shared" si="445"/>
        <v>Red</v>
      </c>
      <c r="Y1388" t="str">
        <f t="shared" si="446"/>
        <v>Green</v>
      </c>
      <c r="Z1388" t="str">
        <f t="shared" si="447"/>
        <v>Green</v>
      </c>
      <c r="AA1388" t="str">
        <f t="shared" si="448"/>
        <v>Red</v>
      </c>
      <c r="AB1388" t="str">
        <f t="shared" si="449"/>
        <v>Red</v>
      </c>
      <c r="AC1388" t="str">
        <f t="shared" si="450"/>
        <v>Green</v>
      </c>
      <c r="AD1388" t="str">
        <f t="shared" si="451"/>
        <v>Red</v>
      </c>
    </row>
    <row r="1389" spans="1:30" x14ac:dyDescent="0.2">
      <c r="A1389" t="str">
        <f>L1388&amp;F1389&amp;G1389</f>
        <v>25/07/2026FC Nart CherkesskPSK Dinskaya</v>
      </c>
      <c r="D1389" s="2">
        <v>46228</v>
      </c>
      <c r="E1389" s="3">
        <v>0.625</v>
      </c>
      <c r="F1389" t="s">
        <v>3585</v>
      </c>
      <c r="G1389" t="s">
        <v>3586</v>
      </c>
      <c r="L1389" s="22" t="str">
        <f t="shared" si="433"/>
        <v>25/07/2026</v>
      </c>
      <c r="M1389" s="23">
        <f t="shared" si="434"/>
        <v>0.5</v>
      </c>
      <c r="N1389" t="str">
        <f t="shared" si="435"/>
        <v xml:space="preserve"> - </v>
      </c>
      <c r="O1389" t="str">
        <f t="shared" si="436"/>
        <v>Red</v>
      </c>
      <c r="P1389" t="str">
        <f t="shared" si="437"/>
        <v>Green</v>
      </c>
      <c r="Q1389" t="str">
        <f t="shared" si="438"/>
        <v>Red</v>
      </c>
      <c r="R1389" t="str">
        <f t="shared" si="439"/>
        <v>Green</v>
      </c>
      <c r="S1389" t="str">
        <f t="shared" si="440"/>
        <v>Green</v>
      </c>
      <c r="T1389" t="str">
        <f t="shared" si="441"/>
        <v>Red</v>
      </c>
      <c r="U1389" t="str">
        <f t="shared" si="442"/>
        <v>Red</v>
      </c>
      <c r="V1389" t="str">
        <f t="shared" si="443"/>
        <v>Green</v>
      </c>
      <c r="W1389" t="str">
        <f t="shared" si="444"/>
        <v>Red</v>
      </c>
      <c r="X1389" t="str">
        <f t="shared" si="445"/>
        <v>Red</v>
      </c>
      <c r="Y1389" t="str">
        <f t="shared" si="446"/>
        <v>Red</v>
      </c>
      <c r="Z1389" t="str">
        <f t="shared" si="447"/>
        <v>Red</v>
      </c>
      <c r="AA1389" t="str">
        <f t="shared" si="448"/>
        <v>Green</v>
      </c>
      <c r="AB1389" t="str">
        <f t="shared" si="449"/>
        <v>Green</v>
      </c>
      <c r="AC1389" t="str">
        <f t="shared" si="450"/>
        <v>Red</v>
      </c>
      <c r="AD1389" t="str">
        <f t="shared" si="451"/>
        <v>Green</v>
      </c>
    </row>
    <row r="1390" spans="1:30" x14ac:dyDescent="0.2">
      <c r="A1390" t="str">
        <f>L1389&amp;F1390&amp;G1390</f>
        <v>25/07/2026OrelSaturn Ramenskoye</v>
      </c>
      <c r="D1390" s="2">
        <v>46228</v>
      </c>
      <c r="E1390" s="3">
        <v>0.625</v>
      </c>
      <c r="F1390" t="s">
        <v>3597</v>
      </c>
      <c r="G1390" t="s">
        <v>3598</v>
      </c>
      <c r="H1390">
        <v>0</v>
      </c>
      <c r="I1390">
        <v>0</v>
      </c>
      <c r="J1390">
        <v>0</v>
      </c>
      <c r="K1390">
        <v>4</v>
      </c>
      <c r="L1390" s="22" t="str">
        <f t="shared" si="433"/>
        <v>25/07/2026</v>
      </c>
      <c r="M1390" s="23">
        <f t="shared" si="434"/>
        <v>0.5</v>
      </c>
      <c r="N1390" t="str">
        <f t="shared" si="435"/>
        <v>0 - 4</v>
      </c>
      <c r="O1390" t="str">
        <f t="shared" si="436"/>
        <v>Red</v>
      </c>
      <c r="P1390" t="str">
        <f t="shared" si="437"/>
        <v>Red</v>
      </c>
      <c r="Q1390" t="str">
        <f t="shared" si="438"/>
        <v>Green</v>
      </c>
      <c r="R1390" t="str">
        <f t="shared" si="439"/>
        <v>Red</v>
      </c>
      <c r="S1390" t="str">
        <f t="shared" si="440"/>
        <v>Green</v>
      </c>
      <c r="T1390" t="str">
        <f t="shared" si="441"/>
        <v>Green</v>
      </c>
      <c r="U1390" t="str">
        <f t="shared" si="442"/>
        <v>Red</v>
      </c>
      <c r="V1390" t="str">
        <f t="shared" si="443"/>
        <v>Green</v>
      </c>
      <c r="W1390" t="str">
        <f t="shared" si="444"/>
        <v>Red</v>
      </c>
      <c r="X1390" t="str">
        <f t="shared" si="445"/>
        <v>Red</v>
      </c>
      <c r="Y1390" t="str">
        <f t="shared" si="446"/>
        <v>Green</v>
      </c>
      <c r="Z1390" t="str">
        <f t="shared" si="447"/>
        <v>Green</v>
      </c>
      <c r="AA1390" t="str">
        <f t="shared" si="448"/>
        <v>Red</v>
      </c>
      <c r="AB1390" t="str">
        <f t="shared" si="449"/>
        <v>Red</v>
      </c>
      <c r="AC1390" t="str">
        <f t="shared" si="450"/>
        <v>Red</v>
      </c>
      <c r="AD1390" t="str">
        <f t="shared" si="451"/>
        <v>Green</v>
      </c>
    </row>
    <row r="1391" spans="1:30" x14ac:dyDescent="0.2">
      <c r="A1391" t="str">
        <f>L1390&amp;F1391&amp;G1391</f>
        <v>25/07/2026StroginoVolna Kovernino</v>
      </c>
      <c r="D1391" s="2">
        <v>46228</v>
      </c>
      <c r="E1391" s="3">
        <v>0.625</v>
      </c>
      <c r="F1391" t="s">
        <v>3599</v>
      </c>
      <c r="G1391" t="s">
        <v>3600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52">DAY(D1391)&amp;"/"&amp;"07"&amp;"/"&amp;YEAR(D1391)</f>
        <v>25/07/2026</v>
      </c>
      <c r="M1391" s="23">
        <f t="shared" ref="M1391:M1454" si="453">E1391-TIME(3,0,0)</f>
        <v>0.5</v>
      </c>
      <c r="N1391" t="str">
        <f t="shared" ref="N1391:N1454" si="454">J1391&amp;" - "&amp;K1391</f>
        <v>2 - 0</v>
      </c>
      <c r="O1391" t="str">
        <f t="shared" si="436"/>
        <v>Green</v>
      </c>
      <c r="P1391" t="str">
        <f t="shared" si="437"/>
        <v>Red</v>
      </c>
      <c r="Q1391" t="str">
        <f t="shared" si="438"/>
        <v>Red</v>
      </c>
      <c r="R1391" t="str">
        <f t="shared" si="439"/>
        <v>Green</v>
      </c>
      <c r="S1391" t="str">
        <f t="shared" si="440"/>
        <v>Red</v>
      </c>
      <c r="T1391" t="str">
        <f t="shared" si="441"/>
        <v>Green</v>
      </c>
      <c r="U1391" t="str">
        <f t="shared" si="442"/>
        <v>Red</v>
      </c>
      <c r="V1391" t="str">
        <f t="shared" si="443"/>
        <v>Green</v>
      </c>
      <c r="W1391" t="str">
        <f t="shared" si="444"/>
        <v>Red</v>
      </c>
      <c r="X1391" t="str">
        <f t="shared" si="445"/>
        <v>Red</v>
      </c>
      <c r="Y1391" t="str">
        <f t="shared" si="446"/>
        <v>Green</v>
      </c>
      <c r="Z1391" t="str">
        <f t="shared" si="447"/>
        <v>Red</v>
      </c>
      <c r="AA1391" t="str">
        <f t="shared" si="448"/>
        <v>Green</v>
      </c>
      <c r="AB1391" t="str">
        <f t="shared" si="449"/>
        <v>Green</v>
      </c>
      <c r="AC1391" t="str">
        <f t="shared" si="450"/>
        <v>Red</v>
      </c>
      <c r="AD1391" t="str">
        <f t="shared" si="451"/>
        <v>Green</v>
      </c>
    </row>
    <row r="1392" spans="1:30" x14ac:dyDescent="0.2">
      <c r="A1392" t="str">
        <f>L1391&amp;F1392&amp;G1392</f>
        <v>25/07/2026Kubanochka Krasnodar WomenLokomotiv Moscow Women</v>
      </c>
      <c r="D1392" s="2">
        <v>46228</v>
      </c>
      <c r="E1392" s="3">
        <v>0.625</v>
      </c>
      <c r="F1392" t="s">
        <v>3607</v>
      </c>
      <c r="G1392" t="s">
        <v>3608</v>
      </c>
      <c r="H1392">
        <v>0</v>
      </c>
      <c r="I1392">
        <v>0</v>
      </c>
      <c r="J1392">
        <v>2</v>
      </c>
      <c r="K1392">
        <v>2</v>
      </c>
      <c r="L1392" s="22" t="str">
        <f t="shared" si="452"/>
        <v>25/07/2026</v>
      </c>
      <c r="M1392" s="23">
        <f t="shared" si="453"/>
        <v>0.5</v>
      </c>
      <c r="N1392" t="str">
        <f t="shared" si="454"/>
        <v>2 - 2</v>
      </c>
      <c r="O1392" t="str">
        <f t="shared" si="436"/>
        <v>Red</v>
      </c>
      <c r="P1392" t="str">
        <f t="shared" si="437"/>
        <v>Green</v>
      </c>
      <c r="Q1392" t="str">
        <f t="shared" si="438"/>
        <v>Red</v>
      </c>
      <c r="R1392" t="str">
        <f t="shared" si="439"/>
        <v>Green</v>
      </c>
      <c r="S1392" t="str">
        <f t="shared" si="440"/>
        <v>Green</v>
      </c>
      <c r="T1392" t="str">
        <f t="shared" si="441"/>
        <v>Red</v>
      </c>
      <c r="U1392" t="str">
        <f t="shared" si="442"/>
        <v>Red</v>
      </c>
      <c r="V1392" t="str">
        <f t="shared" si="443"/>
        <v>Green</v>
      </c>
      <c r="W1392" t="str">
        <f t="shared" si="444"/>
        <v>Red</v>
      </c>
      <c r="X1392" t="str">
        <f t="shared" si="445"/>
        <v>Red</v>
      </c>
      <c r="Y1392" t="str">
        <f t="shared" si="446"/>
        <v>Green</v>
      </c>
      <c r="Z1392" t="str">
        <f t="shared" si="447"/>
        <v>Green</v>
      </c>
      <c r="AA1392" t="str">
        <f t="shared" si="448"/>
        <v>Red</v>
      </c>
      <c r="AB1392" t="str">
        <f t="shared" si="449"/>
        <v>Red</v>
      </c>
      <c r="AC1392" t="str">
        <f t="shared" si="450"/>
        <v>Green</v>
      </c>
      <c r="AD1392" t="str">
        <f t="shared" si="451"/>
        <v>Red</v>
      </c>
    </row>
    <row r="1393" spans="1:30" x14ac:dyDescent="0.2">
      <c r="A1393" t="str">
        <f>L1392&amp;F1393&amp;G1393</f>
        <v>25/07/2026FO BytcaTatran Liptovsky Mikulas</v>
      </c>
      <c r="D1393" s="2">
        <v>46228</v>
      </c>
      <c r="E1393" s="3">
        <v>0.625</v>
      </c>
      <c r="F1393" t="s">
        <v>3630</v>
      </c>
      <c r="G1393" t="s">
        <v>3631</v>
      </c>
      <c r="H1393">
        <v>0</v>
      </c>
      <c r="I1393">
        <v>2</v>
      </c>
      <c r="J1393">
        <v>0</v>
      </c>
      <c r="K1393">
        <v>5</v>
      </c>
      <c r="L1393" s="22" t="str">
        <f t="shared" si="452"/>
        <v>25/07/2026</v>
      </c>
      <c r="M1393" s="23">
        <f t="shared" si="453"/>
        <v>0.5</v>
      </c>
      <c r="N1393" t="str">
        <f t="shared" si="454"/>
        <v>0 - 5</v>
      </c>
      <c r="O1393" t="str">
        <f t="shared" si="436"/>
        <v>Red</v>
      </c>
      <c r="P1393" t="str">
        <f t="shared" si="437"/>
        <v>Red</v>
      </c>
      <c r="Q1393" t="str">
        <f t="shared" si="438"/>
        <v>Green</v>
      </c>
      <c r="R1393" t="str">
        <f t="shared" si="439"/>
        <v>Red</v>
      </c>
      <c r="S1393" t="str">
        <f t="shared" si="440"/>
        <v>Green</v>
      </c>
      <c r="T1393" t="str">
        <f t="shared" si="441"/>
        <v>Green</v>
      </c>
      <c r="U1393" t="str">
        <f t="shared" si="442"/>
        <v>Red</v>
      </c>
      <c r="V1393" t="str">
        <f t="shared" si="443"/>
        <v>Red</v>
      </c>
      <c r="W1393" t="str">
        <f t="shared" si="444"/>
        <v>Green</v>
      </c>
      <c r="X1393" t="str">
        <f t="shared" si="445"/>
        <v>Green</v>
      </c>
      <c r="Y1393" t="str">
        <f t="shared" si="446"/>
        <v>Green</v>
      </c>
      <c r="Z1393" t="str">
        <f t="shared" si="447"/>
        <v>Green</v>
      </c>
      <c r="AA1393" t="str">
        <f t="shared" si="448"/>
        <v>Red</v>
      </c>
      <c r="AB1393" t="str">
        <f t="shared" si="449"/>
        <v>Red</v>
      </c>
      <c r="AC1393" t="str">
        <f t="shared" si="450"/>
        <v>Red</v>
      </c>
      <c r="AD1393" t="str">
        <f t="shared" si="451"/>
        <v>Green</v>
      </c>
    </row>
    <row r="1394" spans="1:30" x14ac:dyDescent="0.2">
      <c r="A1394" t="str">
        <f>L1393&amp;F1394&amp;G1394</f>
        <v>25/07/2026OFK Banik LehotaFK Pohronie</v>
      </c>
      <c r="D1394" s="2">
        <v>46228</v>
      </c>
      <c r="E1394" s="3">
        <v>0.625</v>
      </c>
      <c r="F1394" t="s">
        <v>3632</v>
      </c>
      <c r="G1394" t="s">
        <v>3633</v>
      </c>
      <c r="H1394">
        <v>1</v>
      </c>
      <c r="I1394">
        <v>1</v>
      </c>
      <c r="J1394">
        <v>3</v>
      </c>
      <c r="K1394">
        <v>3</v>
      </c>
      <c r="L1394" s="22" t="str">
        <f t="shared" si="452"/>
        <v>25/07/2026</v>
      </c>
      <c r="M1394" s="23">
        <f t="shared" si="453"/>
        <v>0.5</v>
      </c>
      <c r="N1394" t="str">
        <f t="shared" si="454"/>
        <v>3 - 3</v>
      </c>
      <c r="O1394" t="str">
        <f t="shared" si="436"/>
        <v>Red</v>
      </c>
      <c r="P1394" t="str">
        <f t="shared" si="437"/>
        <v>Green</v>
      </c>
      <c r="Q1394" t="str">
        <f t="shared" si="438"/>
        <v>Red</v>
      </c>
      <c r="R1394" t="str">
        <f t="shared" si="439"/>
        <v>Green</v>
      </c>
      <c r="S1394" t="str">
        <f t="shared" si="440"/>
        <v>Green</v>
      </c>
      <c r="T1394" t="str">
        <f t="shared" si="441"/>
        <v>Red</v>
      </c>
      <c r="U1394" t="str">
        <f t="shared" si="442"/>
        <v>Red</v>
      </c>
      <c r="V1394" t="str">
        <f t="shared" si="443"/>
        <v>Green</v>
      </c>
      <c r="W1394" t="str">
        <f t="shared" si="444"/>
        <v>Red</v>
      </c>
      <c r="X1394" t="str">
        <f t="shared" si="445"/>
        <v>Green</v>
      </c>
      <c r="Y1394" t="str">
        <f t="shared" si="446"/>
        <v>Green</v>
      </c>
      <c r="Z1394" t="str">
        <f t="shared" si="447"/>
        <v>Green</v>
      </c>
      <c r="AA1394" t="str">
        <f t="shared" si="448"/>
        <v>Red</v>
      </c>
      <c r="AB1394" t="str">
        <f t="shared" si="449"/>
        <v>Red</v>
      </c>
      <c r="AC1394" t="str">
        <f t="shared" si="450"/>
        <v>Green</v>
      </c>
      <c r="AD1394" t="str">
        <f t="shared" si="451"/>
        <v>Red</v>
      </c>
    </row>
    <row r="1395" spans="1:30" x14ac:dyDescent="0.2">
      <c r="A1395" t="str">
        <f>L1394&amp;F1395&amp;G1395</f>
        <v>25/07/2026Povazska BystricaInter Bratislava</v>
      </c>
      <c r="D1395" s="2">
        <v>46228</v>
      </c>
      <c r="E1395" s="3">
        <v>0.625</v>
      </c>
      <c r="F1395" t="s">
        <v>3634</v>
      </c>
      <c r="G1395" t="s">
        <v>3635</v>
      </c>
      <c r="H1395">
        <v>3</v>
      </c>
      <c r="I1395">
        <v>0</v>
      </c>
      <c r="J1395">
        <v>3</v>
      </c>
      <c r="K1395">
        <v>1</v>
      </c>
      <c r="L1395" s="22" t="str">
        <f t="shared" si="452"/>
        <v>25/07/2026</v>
      </c>
      <c r="M1395" s="23">
        <f t="shared" si="453"/>
        <v>0.5</v>
      </c>
      <c r="N1395" t="str">
        <f t="shared" si="454"/>
        <v>3 - 1</v>
      </c>
      <c r="O1395" t="str">
        <f t="shared" si="436"/>
        <v>Green</v>
      </c>
      <c r="P1395" t="str">
        <f t="shared" si="437"/>
        <v>Red</v>
      </c>
      <c r="Q1395" t="str">
        <f t="shared" si="438"/>
        <v>Red</v>
      </c>
      <c r="R1395" t="str">
        <f t="shared" si="439"/>
        <v>Green</v>
      </c>
      <c r="S1395" t="str">
        <f t="shared" si="440"/>
        <v>Red</v>
      </c>
      <c r="T1395" t="str">
        <f t="shared" si="441"/>
        <v>Green</v>
      </c>
      <c r="U1395" t="str">
        <f t="shared" si="442"/>
        <v>Green</v>
      </c>
      <c r="V1395" t="str">
        <f t="shared" si="443"/>
        <v>Red</v>
      </c>
      <c r="W1395" t="str">
        <f t="shared" si="444"/>
        <v>Red</v>
      </c>
      <c r="X1395" t="str">
        <f t="shared" si="445"/>
        <v>Green</v>
      </c>
      <c r="Y1395" t="str">
        <f t="shared" si="446"/>
        <v>Green</v>
      </c>
      <c r="Z1395" t="str">
        <f t="shared" si="447"/>
        <v>Green</v>
      </c>
      <c r="AA1395" t="str">
        <f t="shared" si="448"/>
        <v>Red</v>
      </c>
      <c r="AB1395" t="str">
        <f t="shared" si="449"/>
        <v>Red</v>
      </c>
      <c r="AC1395" t="str">
        <f t="shared" si="450"/>
        <v>Green</v>
      </c>
      <c r="AD1395" t="str">
        <f t="shared" si="451"/>
        <v>Red</v>
      </c>
    </row>
    <row r="1396" spans="1:30" x14ac:dyDescent="0.2">
      <c r="A1396" t="str">
        <f>L1395&amp;F1396&amp;G1396</f>
        <v>25/07/2026Slovan GalantaLokomotiva Zvolen</v>
      </c>
      <c r="D1396" s="2">
        <v>46228</v>
      </c>
      <c r="E1396" s="3">
        <v>0.625</v>
      </c>
      <c r="F1396" t="s">
        <v>3636</v>
      </c>
      <c r="G1396" t="s">
        <v>3637</v>
      </c>
      <c r="H1396">
        <v>0</v>
      </c>
      <c r="I1396">
        <v>1</v>
      </c>
      <c r="J1396">
        <v>1</v>
      </c>
      <c r="K1396">
        <v>1</v>
      </c>
      <c r="L1396" s="22" t="str">
        <f t="shared" si="452"/>
        <v>25/07/2026</v>
      </c>
      <c r="M1396" s="23">
        <f t="shared" si="453"/>
        <v>0.5</v>
      </c>
      <c r="N1396" t="str">
        <f t="shared" si="454"/>
        <v>1 - 1</v>
      </c>
      <c r="O1396" t="str">
        <f t="shared" si="436"/>
        <v>Red</v>
      </c>
      <c r="P1396" t="str">
        <f t="shared" si="437"/>
        <v>Green</v>
      </c>
      <c r="Q1396" t="str">
        <f t="shared" si="438"/>
        <v>Red</v>
      </c>
      <c r="R1396" t="str">
        <f t="shared" si="439"/>
        <v>Green</v>
      </c>
      <c r="S1396" t="str">
        <f t="shared" si="440"/>
        <v>Green</v>
      </c>
      <c r="T1396" t="str">
        <f t="shared" si="441"/>
        <v>Red</v>
      </c>
      <c r="U1396" t="str">
        <f t="shared" si="442"/>
        <v>Red</v>
      </c>
      <c r="V1396" t="str">
        <f t="shared" si="443"/>
        <v>Red</v>
      </c>
      <c r="W1396" t="str">
        <f t="shared" si="444"/>
        <v>Green</v>
      </c>
      <c r="X1396" t="str">
        <f t="shared" si="445"/>
        <v>Green</v>
      </c>
      <c r="Y1396" t="str">
        <f t="shared" si="446"/>
        <v>Green</v>
      </c>
      <c r="Z1396" t="str">
        <f t="shared" si="447"/>
        <v>Red</v>
      </c>
      <c r="AA1396" t="str">
        <f t="shared" si="448"/>
        <v>Green</v>
      </c>
      <c r="AB1396" t="str">
        <f t="shared" si="449"/>
        <v>Green</v>
      </c>
      <c r="AC1396" t="str">
        <f t="shared" si="450"/>
        <v>Green</v>
      </c>
      <c r="AD1396" t="str">
        <f t="shared" si="451"/>
        <v>Red</v>
      </c>
    </row>
    <row r="1397" spans="1:30" x14ac:dyDescent="0.2">
      <c r="A1397" t="str">
        <f>L1396&amp;F1397&amp;G1397</f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52"/>
        <v>25/07/2026</v>
      </c>
      <c r="M1397" s="23">
        <f t="shared" si="453"/>
        <v>0.5</v>
      </c>
      <c r="N1397" t="str">
        <f t="shared" si="454"/>
        <v xml:space="preserve"> - </v>
      </c>
      <c r="O1397" t="str">
        <f t="shared" si="436"/>
        <v>Red</v>
      </c>
      <c r="P1397" t="str">
        <f t="shared" si="437"/>
        <v>Green</v>
      </c>
      <c r="Q1397" t="str">
        <f t="shared" si="438"/>
        <v>Red</v>
      </c>
      <c r="R1397" t="str">
        <f t="shared" si="439"/>
        <v>Green</v>
      </c>
      <c r="S1397" t="str">
        <f t="shared" si="440"/>
        <v>Green</v>
      </c>
      <c r="T1397" t="str">
        <f t="shared" si="441"/>
        <v>Red</v>
      </c>
      <c r="U1397" t="str">
        <f t="shared" si="442"/>
        <v>Red</v>
      </c>
      <c r="V1397" t="str">
        <f t="shared" si="443"/>
        <v>Green</v>
      </c>
      <c r="W1397" t="str">
        <f t="shared" si="444"/>
        <v>Red</v>
      </c>
      <c r="X1397" t="str">
        <f t="shared" si="445"/>
        <v>Red</v>
      </c>
      <c r="Y1397" t="str">
        <f t="shared" si="446"/>
        <v>Red</v>
      </c>
      <c r="Z1397" t="str">
        <f t="shared" si="447"/>
        <v>Red</v>
      </c>
      <c r="AA1397" t="str">
        <f t="shared" si="448"/>
        <v>Green</v>
      </c>
      <c r="AB1397" t="str">
        <f t="shared" si="449"/>
        <v>Green</v>
      </c>
      <c r="AC1397" t="str">
        <f t="shared" si="450"/>
        <v>Red</v>
      </c>
      <c r="AD1397" t="str">
        <f t="shared" si="451"/>
        <v>Green</v>
      </c>
    </row>
    <row r="1398" spans="1:30" x14ac:dyDescent="0.2">
      <c r="A1398" t="str">
        <f>L1397&amp;F1398&amp;G1398</f>
        <v>25/07/2026La LuzCA Rentistas</v>
      </c>
      <c r="D1398" s="2">
        <v>46228</v>
      </c>
      <c r="E1398" s="3">
        <v>0.625</v>
      </c>
      <c r="F1398" t="s">
        <v>1205</v>
      </c>
      <c r="G1398" t="s">
        <v>3695</v>
      </c>
      <c r="L1398" s="22" t="str">
        <f t="shared" si="452"/>
        <v>25/07/2026</v>
      </c>
      <c r="M1398" s="23">
        <f t="shared" si="453"/>
        <v>0.5</v>
      </c>
      <c r="N1398" t="str">
        <f t="shared" si="454"/>
        <v xml:space="preserve"> - </v>
      </c>
      <c r="O1398" t="str">
        <f t="shared" si="436"/>
        <v>Red</v>
      </c>
      <c r="P1398" t="str">
        <f t="shared" si="437"/>
        <v>Green</v>
      </c>
      <c r="Q1398" t="str">
        <f t="shared" si="438"/>
        <v>Red</v>
      </c>
      <c r="R1398" t="str">
        <f t="shared" si="439"/>
        <v>Green</v>
      </c>
      <c r="S1398" t="str">
        <f t="shared" si="440"/>
        <v>Green</v>
      </c>
      <c r="T1398" t="str">
        <f t="shared" si="441"/>
        <v>Red</v>
      </c>
      <c r="U1398" t="str">
        <f t="shared" si="442"/>
        <v>Red</v>
      </c>
      <c r="V1398" t="str">
        <f t="shared" si="443"/>
        <v>Green</v>
      </c>
      <c r="W1398" t="str">
        <f t="shared" si="444"/>
        <v>Red</v>
      </c>
      <c r="X1398" t="str">
        <f t="shared" si="445"/>
        <v>Red</v>
      </c>
      <c r="Y1398" t="str">
        <f t="shared" si="446"/>
        <v>Red</v>
      </c>
      <c r="Z1398" t="str">
        <f t="shared" si="447"/>
        <v>Red</v>
      </c>
      <c r="AA1398" t="str">
        <f t="shared" si="448"/>
        <v>Green</v>
      </c>
      <c r="AB1398" t="str">
        <f t="shared" si="449"/>
        <v>Green</v>
      </c>
      <c r="AC1398" t="str">
        <f t="shared" si="450"/>
        <v>Red</v>
      </c>
      <c r="AD1398" t="str">
        <f t="shared" si="451"/>
        <v>Green</v>
      </c>
    </row>
    <row r="1399" spans="1:30" x14ac:dyDescent="0.2">
      <c r="A1399" t="str">
        <f>L1398&amp;F1399&amp;G1399</f>
        <v>25/07/2026KattaqorgonTuron Yaypan</v>
      </c>
      <c r="D1399" s="2">
        <v>46228</v>
      </c>
      <c r="E1399" s="3">
        <v>0.625</v>
      </c>
      <c r="F1399" t="s">
        <v>3732</v>
      </c>
      <c r="G1399" t="s">
        <v>3733</v>
      </c>
      <c r="H1399">
        <v>0</v>
      </c>
      <c r="I1399">
        <v>0</v>
      </c>
      <c r="J1399">
        <v>2</v>
      </c>
      <c r="K1399">
        <v>1</v>
      </c>
      <c r="L1399" s="22" t="str">
        <f t="shared" si="452"/>
        <v>25/07/2026</v>
      </c>
      <c r="M1399" s="23">
        <f t="shared" si="453"/>
        <v>0.5</v>
      </c>
      <c r="N1399" t="str">
        <f t="shared" si="454"/>
        <v>2 - 1</v>
      </c>
      <c r="O1399" t="str">
        <f t="shared" si="436"/>
        <v>Green</v>
      </c>
      <c r="P1399" t="str">
        <f t="shared" si="437"/>
        <v>Red</v>
      </c>
      <c r="Q1399" t="str">
        <f t="shared" si="438"/>
        <v>Red</v>
      </c>
      <c r="R1399" t="str">
        <f t="shared" si="439"/>
        <v>Green</v>
      </c>
      <c r="S1399" t="str">
        <f t="shared" si="440"/>
        <v>Red</v>
      </c>
      <c r="T1399" t="str">
        <f t="shared" si="441"/>
        <v>Green</v>
      </c>
      <c r="U1399" t="str">
        <f t="shared" si="442"/>
        <v>Red</v>
      </c>
      <c r="V1399" t="str">
        <f t="shared" si="443"/>
        <v>Green</v>
      </c>
      <c r="W1399" t="str">
        <f t="shared" si="444"/>
        <v>Red</v>
      </c>
      <c r="X1399" t="str">
        <f t="shared" si="445"/>
        <v>Red</v>
      </c>
      <c r="Y1399" t="str">
        <f t="shared" si="446"/>
        <v>Green</v>
      </c>
      <c r="Z1399" t="str">
        <f t="shared" si="447"/>
        <v>Green</v>
      </c>
      <c r="AA1399" t="str">
        <f t="shared" si="448"/>
        <v>Red</v>
      </c>
      <c r="AB1399" t="str">
        <f t="shared" si="449"/>
        <v>Green</v>
      </c>
      <c r="AC1399" t="str">
        <f t="shared" si="450"/>
        <v>Green</v>
      </c>
      <c r="AD1399" t="str">
        <f t="shared" si="451"/>
        <v>Red</v>
      </c>
    </row>
    <row r="1400" spans="1:30" x14ac:dyDescent="0.2">
      <c r="A1400" t="str">
        <f>L1399&amp;F1400&amp;G1400</f>
        <v>25/07/2026AC CesenaCarpi FC</v>
      </c>
      <c r="D1400" s="2">
        <v>46228</v>
      </c>
      <c r="E1400" s="3">
        <v>0.625</v>
      </c>
      <c r="F1400" t="s">
        <v>3936</v>
      </c>
      <c r="G1400" t="s">
        <v>3937</v>
      </c>
      <c r="H1400">
        <v>0</v>
      </c>
      <c r="I1400">
        <v>0</v>
      </c>
      <c r="J1400">
        <v>1</v>
      </c>
      <c r="K1400">
        <v>0</v>
      </c>
      <c r="L1400" s="22" t="str">
        <f t="shared" si="452"/>
        <v>25/07/2026</v>
      </c>
      <c r="M1400" s="23">
        <f t="shared" si="453"/>
        <v>0.5</v>
      </c>
      <c r="N1400" t="str">
        <f t="shared" si="454"/>
        <v>1 - 0</v>
      </c>
      <c r="O1400" t="str">
        <f t="shared" si="436"/>
        <v>Green</v>
      </c>
      <c r="P1400" t="str">
        <f t="shared" si="437"/>
        <v>Red</v>
      </c>
      <c r="Q1400" t="str">
        <f t="shared" si="438"/>
        <v>Red</v>
      </c>
      <c r="R1400" t="str">
        <f t="shared" si="439"/>
        <v>Green</v>
      </c>
      <c r="S1400" t="str">
        <f t="shared" si="440"/>
        <v>Red</v>
      </c>
      <c r="T1400" t="str">
        <f t="shared" si="441"/>
        <v>Green</v>
      </c>
      <c r="U1400" t="str">
        <f t="shared" si="442"/>
        <v>Red</v>
      </c>
      <c r="V1400" t="str">
        <f t="shared" si="443"/>
        <v>Green</v>
      </c>
      <c r="W1400" t="str">
        <f t="shared" si="444"/>
        <v>Red</v>
      </c>
      <c r="X1400" t="str">
        <f t="shared" si="445"/>
        <v>Red</v>
      </c>
      <c r="Y1400" t="str">
        <f t="shared" si="446"/>
        <v>Red</v>
      </c>
      <c r="Z1400" t="str">
        <f t="shared" si="447"/>
        <v>Red</v>
      </c>
      <c r="AA1400" t="str">
        <f t="shared" si="448"/>
        <v>Green</v>
      </c>
      <c r="AB1400" t="str">
        <f t="shared" si="449"/>
        <v>Green</v>
      </c>
      <c r="AC1400" t="str">
        <f t="shared" si="450"/>
        <v>Red</v>
      </c>
      <c r="AD1400" t="str">
        <f t="shared" si="451"/>
        <v>Green</v>
      </c>
    </row>
    <row r="1401" spans="1:30" x14ac:dyDescent="0.2">
      <c r="A1401" t="str">
        <f>L1400&amp;F1401&amp;G1401</f>
        <v>25/07/2026Borac CacakFK Graficar Beograd</v>
      </c>
      <c r="D1401" s="2">
        <v>46228</v>
      </c>
      <c r="E1401" s="3">
        <v>0.625</v>
      </c>
      <c r="F1401" t="s">
        <v>3938</v>
      </c>
      <c r="G1401" t="s">
        <v>3939</v>
      </c>
      <c r="H1401">
        <v>2</v>
      </c>
      <c r="I1401">
        <v>0</v>
      </c>
      <c r="J1401">
        <v>3</v>
      </c>
      <c r="K1401">
        <v>0</v>
      </c>
      <c r="L1401" s="22" t="str">
        <f t="shared" si="452"/>
        <v>25/07/2026</v>
      </c>
      <c r="M1401" s="23">
        <f t="shared" si="453"/>
        <v>0.5</v>
      </c>
      <c r="N1401" t="str">
        <f t="shared" si="454"/>
        <v>3 - 0</v>
      </c>
      <c r="O1401" t="str">
        <f t="shared" si="436"/>
        <v>Green</v>
      </c>
      <c r="P1401" t="str">
        <f t="shared" si="437"/>
        <v>Red</v>
      </c>
      <c r="Q1401" t="str">
        <f t="shared" si="438"/>
        <v>Red</v>
      </c>
      <c r="R1401" t="str">
        <f t="shared" si="439"/>
        <v>Green</v>
      </c>
      <c r="S1401" t="str">
        <f t="shared" si="440"/>
        <v>Red</v>
      </c>
      <c r="T1401" t="str">
        <f t="shared" si="441"/>
        <v>Green</v>
      </c>
      <c r="U1401" t="str">
        <f t="shared" si="442"/>
        <v>Green</v>
      </c>
      <c r="V1401" t="str">
        <f t="shared" si="443"/>
        <v>Red</v>
      </c>
      <c r="W1401" t="str">
        <f t="shared" si="444"/>
        <v>Red</v>
      </c>
      <c r="X1401" t="str">
        <f t="shared" si="445"/>
        <v>Green</v>
      </c>
      <c r="Y1401" t="str">
        <f t="shared" si="446"/>
        <v>Green</v>
      </c>
      <c r="Z1401" t="str">
        <f t="shared" si="447"/>
        <v>Green</v>
      </c>
      <c r="AA1401" t="str">
        <f t="shared" si="448"/>
        <v>Red</v>
      </c>
      <c r="AB1401" t="str">
        <f t="shared" si="449"/>
        <v>Green</v>
      </c>
      <c r="AC1401" t="str">
        <f t="shared" si="450"/>
        <v>Red</v>
      </c>
      <c r="AD1401" t="str">
        <f t="shared" si="451"/>
        <v>Green</v>
      </c>
    </row>
    <row r="1402" spans="1:30" x14ac:dyDescent="0.2">
      <c r="A1402" t="str">
        <f>L1401&amp;F1402&amp;G1402</f>
        <v>25/07/2026BoulogneFC Rouen 1899</v>
      </c>
      <c r="D1402" s="2">
        <v>46228</v>
      </c>
      <c r="E1402" s="3">
        <v>0.625</v>
      </c>
      <c r="F1402" t="s">
        <v>2644</v>
      </c>
      <c r="G1402" t="s">
        <v>3940</v>
      </c>
      <c r="H1402">
        <v>0</v>
      </c>
      <c r="I1402">
        <v>0</v>
      </c>
      <c r="J1402">
        <v>0</v>
      </c>
      <c r="K1402">
        <v>1</v>
      </c>
      <c r="L1402" s="22" t="str">
        <f t="shared" si="452"/>
        <v>25/07/2026</v>
      </c>
      <c r="M1402" s="23">
        <f t="shared" si="453"/>
        <v>0.5</v>
      </c>
      <c r="N1402" t="str">
        <f t="shared" si="454"/>
        <v>0 - 1</v>
      </c>
      <c r="O1402" t="str">
        <f t="shared" si="436"/>
        <v>Red</v>
      </c>
      <c r="P1402" t="str">
        <f t="shared" si="437"/>
        <v>Red</v>
      </c>
      <c r="Q1402" t="str">
        <f t="shared" si="438"/>
        <v>Green</v>
      </c>
      <c r="R1402" t="str">
        <f t="shared" si="439"/>
        <v>Red</v>
      </c>
      <c r="S1402" t="str">
        <f t="shared" si="440"/>
        <v>Green</v>
      </c>
      <c r="T1402" t="str">
        <f t="shared" si="441"/>
        <v>Green</v>
      </c>
      <c r="U1402" t="str">
        <f t="shared" si="442"/>
        <v>Red</v>
      </c>
      <c r="V1402" t="str">
        <f t="shared" si="443"/>
        <v>Green</v>
      </c>
      <c r="W1402" t="str">
        <f t="shared" si="444"/>
        <v>Red</v>
      </c>
      <c r="X1402" t="str">
        <f t="shared" si="445"/>
        <v>Red</v>
      </c>
      <c r="Y1402" t="str">
        <f t="shared" si="446"/>
        <v>Red</v>
      </c>
      <c r="Z1402" t="str">
        <f t="shared" si="447"/>
        <v>Red</v>
      </c>
      <c r="AA1402" t="str">
        <f t="shared" si="448"/>
        <v>Green</v>
      </c>
      <c r="AB1402" t="str">
        <f t="shared" si="449"/>
        <v>Green</v>
      </c>
      <c r="AC1402" t="str">
        <f t="shared" si="450"/>
        <v>Red</v>
      </c>
      <c r="AD1402" t="str">
        <f t="shared" si="451"/>
        <v>Green</v>
      </c>
    </row>
    <row r="1403" spans="1:30" x14ac:dyDescent="0.2">
      <c r="A1403" t="str">
        <f>L1402&amp;F1403&amp;G1403</f>
        <v>25/07/2026CaenAl Wakrah</v>
      </c>
      <c r="D1403" s="2">
        <v>46228</v>
      </c>
      <c r="E1403" s="3">
        <v>0.625</v>
      </c>
      <c r="F1403" t="s">
        <v>3941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52"/>
        <v>25/07/2026</v>
      </c>
      <c r="M1403" s="23">
        <f t="shared" si="453"/>
        <v>0.5</v>
      </c>
      <c r="N1403" t="str">
        <f t="shared" si="454"/>
        <v>4 - 1</v>
      </c>
      <c r="O1403" t="str">
        <f t="shared" si="436"/>
        <v>Green</v>
      </c>
      <c r="P1403" t="str">
        <f t="shared" si="437"/>
        <v>Red</v>
      </c>
      <c r="Q1403" t="str">
        <f t="shared" si="438"/>
        <v>Red</v>
      </c>
      <c r="R1403" t="str">
        <f t="shared" si="439"/>
        <v>Green</v>
      </c>
      <c r="S1403" t="str">
        <f t="shared" si="440"/>
        <v>Red</v>
      </c>
      <c r="T1403" t="str">
        <f t="shared" si="441"/>
        <v>Green</v>
      </c>
      <c r="U1403" t="str">
        <f t="shared" si="442"/>
        <v>Green</v>
      </c>
      <c r="V1403" t="str">
        <f t="shared" si="443"/>
        <v>Red</v>
      </c>
      <c r="W1403" t="str">
        <f t="shared" si="444"/>
        <v>Red</v>
      </c>
      <c r="X1403" t="str">
        <f t="shared" si="445"/>
        <v>Green</v>
      </c>
      <c r="Y1403" t="str">
        <f t="shared" si="446"/>
        <v>Green</v>
      </c>
      <c r="Z1403" t="str">
        <f t="shared" si="447"/>
        <v>Green</v>
      </c>
      <c r="AA1403" t="str">
        <f t="shared" si="448"/>
        <v>Red</v>
      </c>
      <c r="AB1403" t="str">
        <f t="shared" si="449"/>
        <v>Red</v>
      </c>
      <c r="AC1403" t="str">
        <f t="shared" si="450"/>
        <v>Green</v>
      </c>
      <c r="AD1403" t="str">
        <f t="shared" si="451"/>
        <v>Red</v>
      </c>
    </row>
    <row r="1404" spans="1:30" x14ac:dyDescent="0.2">
      <c r="A1404" t="str">
        <f>L1403&amp;F1404&amp;G1404</f>
        <v>25/07/2026FK Bor 1919OFK Brzi Brod</v>
      </c>
      <c r="D1404" s="2">
        <v>46228</v>
      </c>
      <c r="E1404" s="3">
        <v>0.625</v>
      </c>
      <c r="F1404" t="s">
        <v>3942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52"/>
        <v>25/07/2026</v>
      </c>
      <c r="M1404" s="23">
        <f t="shared" si="453"/>
        <v>0.5</v>
      </c>
      <c r="N1404" t="str">
        <f t="shared" si="454"/>
        <v>1 - 1</v>
      </c>
      <c r="O1404" t="str">
        <f t="shared" si="436"/>
        <v>Red</v>
      </c>
      <c r="P1404" t="str">
        <f t="shared" si="437"/>
        <v>Green</v>
      </c>
      <c r="Q1404" t="str">
        <f t="shared" si="438"/>
        <v>Red</v>
      </c>
      <c r="R1404" t="str">
        <f t="shared" si="439"/>
        <v>Green</v>
      </c>
      <c r="S1404" t="str">
        <f t="shared" si="440"/>
        <v>Green</v>
      </c>
      <c r="T1404" t="str">
        <f t="shared" si="441"/>
        <v>Red</v>
      </c>
      <c r="U1404" t="str">
        <f t="shared" si="442"/>
        <v>Green</v>
      </c>
      <c r="V1404" t="str">
        <f t="shared" si="443"/>
        <v>Red</v>
      </c>
      <c r="W1404" t="str">
        <f t="shared" si="444"/>
        <v>Red</v>
      </c>
      <c r="X1404" t="str">
        <f t="shared" si="445"/>
        <v>Green</v>
      </c>
      <c r="Y1404" t="str">
        <f t="shared" si="446"/>
        <v>Green</v>
      </c>
      <c r="Z1404" t="str">
        <f t="shared" si="447"/>
        <v>Red</v>
      </c>
      <c r="AA1404" t="str">
        <f t="shared" si="448"/>
        <v>Green</v>
      </c>
      <c r="AB1404" t="str">
        <f t="shared" si="449"/>
        <v>Green</v>
      </c>
      <c r="AC1404" t="str">
        <f t="shared" si="450"/>
        <v>Green</v>
      </c>
      <c r="AD1404" t="str">
        <f t="shared" si="451"/>
        <v>Red</v>
      </c>
    </row>
    <row r="1405" spans="1:30" x14ac:dyDescent="0.2">
      <c r="A1405" t="str">
        <f>L1404&amp;F1405&amp;G1405</f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3782</v>
      </c>
      <c r="H1405">
        <v>0</v>
      </c>
      <c r="I1405">
        <v>0</v>
      </c>
      <c r="J1405">
        <v>0</v>
      </c>
      <c r="K1405">
        <v>0</v>
      </c>
      <c r="L1405" s="22" t="str">
        <f t="shared" si="452"/>
        <v>25/07/2026</v>
      </c>
      <c r="M1405" s="23">
        <f t="shared" si="453"/>
        <v>0.5</v>
      </c>
      <c r="N1405" t="str">
        <f t="shared" si="454"/>
        <v>0 - 0</v>
      </c>
      <c r="O1405" t="str">
        <f t="shared" si="436"/>
        <v>Red</v>
      </c>
      <c r="P1405" t="str">
        <f t="shared" si="437"/>
        <v>Green</v>
      </c>
      <c r="Q1405" t="str">
        <f t="shared" si="438"/>
        <v>Red</v>
      </c>
      <c r="R1405" t="str">
        <f t="shared" si="439"/>
        <v>Green</v>
      </c>
      <c r="S1405" t="str">
        <f t="shared" si="440"/>
        <v>Green</v>
      </c>
      <c r="T1405" t="str">
        <f t="shared" si="441"/>
        <v>Red</v>
      </c>
      <c r="U1405" t="str">
        <f t="shared" si="442"/>
        <v>Red</v>
      </c>
      <c r="V1405" t="str">
        <f t="shared" si="443"/>
        <v>Green</v>
      </c>
      <c r="W1405" t="str">
        <f t="shared" si="444"/>
        <v>Red</v>
      </c>
      <c r="X1405" t="str">
        <f t="shared" si="445"/>
        <v>Red</v>
      </c>
      <c r="Y1405" t="str">
        <f t="shared" si="446"/>
        <v>Red</v>
      </c>
      <c r="Z1405" t="str">
        <f t="shared" si="447"/>
        <v>Red</v>
      </c>
      <c r="AA1405" t="str">
        <f t="shared" si="448"/>
        <v>Green</v>
      </c>
      <c r="AB1405" t="str">
        <f t="shared" si="449"/>
        <v>Green</v>
      </c>
      <c r="AC1405" t="str">
        <f t="shared" si="450"/>
        <v>Red</v>
      </c>
      <c r="AD1405" t="str">
        <f t="shared" si="451"/>
        <v>Green</v>
      </c>
    </row>
    <row r="1406" spans="1:30" x14ac:dyDescent="0.2">
      <c r="A1406" t="str">
        <f>L1405&amp;F1406&amp;G1406</f>
        <v>25/07/2026GenoaVicenza Calcio</v>
      </c>
      <c r="D1406" s="2">
        <v>46228</v>
      </c>
      <c r="E1406" s="3">
        <v>0.625</v>
      </c>
      <c r="F1406" t="s">
        <v>3943</v>
      </c>
      <c r="G1406" t="s">
        <v>3944</v>
      </c>
      <c r="H1406">
        <v>1</v>
      </c>
      <c r="I1406">
        <v>0</v>
      </c>
      <c r="J1406">
        <v>2</v>
      </c>
      <c r="K1406">
        <v>2</v>
      </c>
      <c r="L1406" s="22" t="str">
        <f t="shared" si="452"/>
        <v>25/07/2026</v>
      </c>
      <c r="M1406" s="23">
        <f t="shared" si="453"/>
        <v>0.5</v>
      </c>
      <c r="N1406" t="str">
        <f t="shared" si="454"/>
        <v>2 - 2</v>
      </c>
      <c r="O1406" t="str">
        <f t="shared" si="436"/>
        <v>Red</v>
      </c>
      <c r="P1406" t="str">
        <f t="shared" si="437"/>
        <v>Green</v>
      </c>
      <c r="Q1406" t="str">
        <f t="shared" si="438"/>
        <v>Red</v>
      </c>
      <c r="R1406" t="str">
        <f t="shared" si="439"/>
        <v>Green</v>
      </c>
      <c r="S1406" t="str">
        <f t="shared" si="440"/>
        <v>Green</v>
      </c>
      <c r="T1406" t="str">
        <f t="shared" si="441"/>
        <v>Red</v>
      </c>
      <c r="U1406" t="str">
        <f t="shared" si="442"/>
        <v>Green</v>
      </c>
      <c r="V1406" t="str">
        <f t="shared" si="443"/>
        <v>Red</v>
      </c>
      <c r="W1406" t="str">
        <f t="shared" si="444"/>
        <v>Red</v>
      </c>
      <c r="X1406" t="str">
        <f t="shared" si="445"/>
        <v>Green</v>
      </c>
      <c r="Y1406" t="str">
        <f t="shared" si="446"/>
        <v>Green</v>
      </c>
      <c r="Z1406" t="str">
        <f t="shared" si="447"/>
        <v>Green</v>
      </c>
      <c r="AA1406" t="str">
        <f t="shared" si="448"/>
        <v>Red</v>
      </c>
      <c r="AB1406" t="str">
        <f t="shared" si="449"/>
        <v>Red</v>
      </c>
      <c r="AC1406" t="str">
        <f t="shared" si="450"/>
        <v>Green</v>
      </c>
      <c r="AD1406" t="str">
        <f t="shared" si="451"/>
        <v>Red</v>
      </c>
    </row>
    <row r="1407" spans="1:30" x14ac:dyDescent="0.2">
      <c r="A1407" t="str">
        <f>L1406&amp;F1407&amp;G1407</f>
        <v>25/07/2026GuingampLorient</v>
      </c>
      <c r="D1407" s="2">
        <v>46228</v>
      </c>
      <c r="E1407" s="3">
        <v>0.625</v>
      </c>
      <c r="F1407" t="s">
        <v>1651</v>
      </c>
      <c r="G1407" t="s">
        <v>3945</v>
      </c>
      <c r="H1407">
        <v>0</v>
      </c>
      <c r="I1407">
        <v>1</v>
      </c>
      <c r="J1407">
        <v>0</v>
      </c>
      <c r="K1407">
        <v>2</v>
      </c>
      <c r="L1407" s="22" t="str">
        <f t="shared" si="452"/>
        <v>25/07/2026</v>
      </c>
      <c r="M1407" s="23">
        <f t="shared" si="453"/>
        <v>0.5</v>
      </c>
      <c r="N1407" t="str">
        <f t="shared" si="454"/>
        <v>0 - 2</v>
      </c>
      <c r="O1407" t="str">
        <f t="shared" si="436"/>
        <v>Red</v>
      </c>
      <c r="P1407" t="str">
        <f t="shared" si="437"/>
        <v>Red</v>
      </c>
      <c r="Q1407" t="str">
        <f t="shared" si="438"/>
        <v>Green</v>
      </c>
      <c r="R1407" t="str">
        <f t="shared" si="439"/>
        <v>Red</v>
      </c>
      <c r="S1407" t="str">
        <f t="shared" si="440"/>
        <v>Green</v>
      </c>
      <c r="T1407" t="str">
        <f t="shared" si="441"/>
        <v>Green</v>
      </c>
      <c r="U1407" t="str">
        <f t="shared" si="442"/>
        <v>Red</v>
      </c>
      <c r="V1407" t="str">
        <f t="shared" si="443"/>
        <v>Red</v>
      </c>
      <c r="W1407" t="str">
        <f t="shared" si="444"/>
        <v>Green</v>
      </c>
      <c r="X1407" t="str">
        <f t="shared" si="445"/>
        <v>Green</v>
      </c>
      <c r="Y1407" t="str">
        <f t="shared" si="446"/>
        <v>Green</v>
      </c>
      <c r="Z1407" t="str">
        <f t="shared" si="447"/>
        <v>Red</v>
      </c>
      <c r="AA1407" t="str">
        <f t="shared" si="448"/>
        <v>Green</v>
      </c>
      <c r="AB1407" t="str">
        <f t="shared" si="449"/>
        <v>Green</v>
      </c>
      <c r="AC1407" t="str">
        <f t="shared" si="450"/>
        <v>Red</v>
      </c>
      <c r="AD1407" t="str">
        <f t="shared" si="451"/>
        <v>Green</v>
      </c>
    </row>
    <row r="1408" spans="1:30" x14ac:dyDescent="0.2">
      <c r="A1408" t="str">
        <f>L1407&amp;F1408&amp;G1408</f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52"/>
        <v>25/07/2026</v>
      </c>
      <c r="M1408" s="23">
        <f t="shared" si="453"/>
        <v>0.5</v>
      </c>
      <c r="N1408" t="str">
        <f t="shared" si="454"/>
        <v>1 - 0</v>
      </c>
      <c r="O1408" t="str">
        <f t="shared" si="436"/>
        <v>Green</v>
      </c>
      <c r="P1408" t="str">
        <f t="shared" si="437"/>
        <v>Red</v>
      </c>
      <c r="Q1408" t="str">
        <f t="shared" si="438"/>
        <v>Red</v>
      </c>
      <c r="R1408" t="str">
        <f t="shared" si="439"/>
        <v>Green</v>
      </c>
      <c r="S1408" t="str">
        <f t="shared" si="440"/>
        <v>Red</v>
      </c>
      <c r="T1408" t="str">
        <f t="shared" si="441"/>
        <v>Green</v>
      </c>
      <c r="U1408" t="str">
        <f t="shared" si="442"/>
        <v>Red</v>
      </c>
      <c r="V1408" t="str">
        <f t="shared" si="443"/>
        <v>Green</v>
      </c>
      <c r="W1408" t="str">
        <f t="shared" si="444"/>
        <v>Red</v>
      </c>
      <c r="X1408" t="str">
        <f t="shared" si="445"/>
        <v>Red</v>
      </c>
      <c r="Y1408" t="str">
        <f t="shared" si="446"/>
        <v>Red</v>
      </c>
      <c r="Z1408" t="str">
        <f t="shared" si="447"/>
        <v>Red</v>
      </c>
      <c r="AA1408" t="str">
        <f t="shared" si="448"/>
        <v>Green</v>
      </c>
      <c r="AB1408" t="str">
        <f t="shared" si="449"/>
        <v>Green</v>
      </c>
      <c r="AC1408" t="str">
        <f t="shared" si="450"/>
        <v>Red</v>
      </c>
      <c r="AD1408" t="str">
        <f t="shared" si="451"/>
        <v>Green</v>
      </c>
    </row>
    <row r="1409" spans="1:30" x14ac:dyDescent="0.2">
      <c r="A1409" t="str">
        <f>L1408&amp;F1409&amp;G1409</f>
        <v>25/07/2026Royal Union Saint-GilloiseLille</v>
      </c>
      <c r="D1409" s="2">
        <v>46228</v>
      </c>
      <c r="E1409" s="3">
        <v>0.625</v>
      </c>
      <c r="F1409" t="s">
        <v>3946</v>
      </c>
      <c r="G1409" t="s">
        <v>3947</v>
      </c>
      <c r="H1409">
        <v>1</v>
      </c>
      <c r="I1409">
        <v>0</v>
      </c>
      <c r="J1409">
        <v>2</v>
      </c>
      <c r="K1409">
        <v>1</v>
      </c>
      <c r="L1409" s="22" t="str">
        <f t="shared" si="452"/>
        <v>25/07/2026</v>
      </c>
      <c r="M1409" s="23">
        <f t="shared" si="453"/>
        <v>0.5</v>
      </c>
      <c r="N1409" t="str">
        <f t="shared" si="454"/>
        <v>2 - 1</v>
      </c>
      <c r="O1409" t="str">
        <f t="shared" si="436"/>
        <v>Green</v>
      </c>
      <c r="P1409" t="str">
        <f t="shared" si="437"/>
        <v>Red</v>
      </c>
      <c r="Q1409" t="str">
        <f t="shared" si="438"/>
        <v>Red</v>
      </c>
      <c r="R1409" t="str">
        <f t="shared" si="439"/>
        <v>Green</v>
      </c>
      <c r="S1409" t="str">
        <f t="shared" si="440"/>
        <v>Red</v>
      </c>
      <c r="T1409" t="str">
        <f t="shared" si="441"/>
        <v>Green</v>
      </c>
      <c r="U1409" t="str">
        <f t="shared" si="442"/>
        <v>Green</v>
      </c>
      <c r="V1409" t="str">
        <f t="shared" si="443"/>
        <v>Red</v>
      </c>
      <c r="W1409" t="str">
        <f t="shared" si="444"/>
        <v>Red</v>
      </c>
      <c r="X1409" t="str">
        <f t="shared" si="445"/>
        <v>Green</v>
      </c>
      <c r="Y1409" t="str">
        <f t="shared" si="446"/>
        <v>Green</v>
      </c>
      <c r="Z1409" t="str">
        <f t="shared" si="447"/>
        <v>Green</v>
      </c>
      <c r="AA1409" t="str">
        <f t="shared" si="448"/>
        <v>Red</v>
      </c>
      <c r="AB1409" t="str">
        <f t="shared" si="449"/>
        <v>Green</v>
      </c>
      <c r="AC1409" t="str">
        <f t="shared" si="450"/>
        <v>Green</v>
      </c>
      <c r="AD1409" t="str">
        <f t="shared" si="451"/>
        <v>Red</v>
      </c>
    </row>
    <row r="1410" spans="1:30" x14ac:dyDescent="0.2">
      <c r="A1410" t="str">
        <f>L1409&amp;F1410&amp;G1410</f>
        <v>25/07/2026TorinoCittadella</v>
      </c>
      <c r="D1410" s="2">
        <v>46228</v>
      </c>
      <c r="E1410" s="3">
        <v>0.625</v>
      </c>
      <c r="F1410" t="s">
        <v>1662</v>
      </c>
      <c r="G1410" t="s">
        <v>3948</v>
      </c>
      <c r="H1410">
        <v>0</v>
      </c>
      <c r="I1410">
        <v>0</v>
      </c>
      <c r="J1410">
        <v>0</v>
      </c>
      <c r="K1410">
        <v>1</v>
      </c>
      <c r="L1410" s="22" t="str">
        <f t="shared" si="452"/>
        <v>25/07/2026</v>
      </c>
      <c r="M1410" s="23">
        <f t="shared" si="453"/>
        <v>0.5</v>
      </c>
      <c r="N1410" t="str">
        <f t="shared" si="454"/>
        <v>0 - 1</v>
      </c>
      <c r="O1410" t="str">
        <f t="shared" ref="O1410:O1473" si="455">IF($J1410&gt;$K1410,"Green","Red")</f>
        <v>Red</v>
      </c>
      <c r="P1410" t="str">
        <f t="shared" ref="P1410:P1473" si="456">IF($J1410=$K1410,"Green","Red")</f>
        <v>Red</v>
      </c>
      <c r="Q1410" t="str">
        <f t="shared" ref="Q1410:Q1473" si="457">IF($J1410&lt;$K1410,"Green","Red")</f>
        <v>Green</v>
      </c>
      <c r="R1410" t="str">
        <f t="shared" ref="R1410:R1473" si="458">IF($J1410&gt;=$K1410,"Green","Red")</f>
        <v>Red</v>
      </c>
      <c r="S1410" t="str">
        <f t="shared" ref="S1410:S1473" si="459">IF($J1410&lt;=$K1410,"Green","Red")</f>
        <v>Green</v>
      </c>
      <c r="T1410" t="str">
        <f t="shared" ref="T1410:T1473" si="460">IF(OR($J1410&gt;$K1410,$J1410&lt;$K1410),"Green","Red")</f>
        <v>Green</v>
      </c>
      <c r="U1410" t="str">
        <f t="shared" ref="U1410:U1473" si="461">IF($H1410&gt;$I1410,"Green","Red")</f>
        <v>Red</v>
      </c>
      <c r="V1410" t="str">
        <f t="shared" ref="V1410:V1473" si="462">IF($H1410=$I1410,"Green","Red")</f>
        <v>Green</v>
      </c>
      <c r="W1410" t="str">
        <f t="shared" ref="W1410:W1473" si="463">IF($H1410&lt;$I1410,"Green","Red")</f>
        <v>Red</v>
      </c>
      <c r="X1410" t="str">
        <f t="shared" ref="X1410:X1473" si="464">IF($H1410+$I1410&gt;0,"Green","Red")</f>
        <v>Red</v>
      </c>
      <c r="Y1410" t="str">
        <f t="shared" ref="Y1410:Y1473" si="465">IF($J1410+$K1410&gt;1.5,"Green","Red")</f>
        <v>Red</v>
      </c>
      <c r="Z1410" t="str">
        <f t="shared" ref="Z1410:Z1473" si="466">IF($J1410+$K1410&gt;2.5,"Green","Red")</f>
        <v>Red</v>
      </c>
      <c r="AA1410" t="str">
        <f t="shared" ref="AA1410:AA1473" si="467">IF($J1410+$K1410&lt;2.5,"Green","Red")</f>
        <v>Green</v>
      </c>
      <c r="AB1410" t="str">
        <f t="shared" ref="AB1410:AB1473" si="468">IF($J1410+$K1410&lt;3.5,"Green","Red")</f>
        <v>Green</v>
      </c>
      <c r="AC1410" t="str">
        <f t="shared" ref="AC1410:AC1473" si="469">IF(AND($J1410&gt;0,$K1410&gt;0),"Green","Red")</f>
        <v>Red</v>
      </c>
      <c r="AD1410" t="str">
        <f t="shared" ref="AD1410:AD1473" si="470">IF(OR($J1410=0,$K1410=0),"Green","Red")</f>
        <v>Green</v>
      </c>
    </row>
    <row r="1411" spans="1:30" x14ac:dyDescent="0.2">
      <c r="A1411" t="str">
        <f>L1410&amp;F1411&amp;G1411</f>
        <v>25/07/2026Wycombe WanderersPortsmouth</v>
      </c>
      <c r="D1411" s="2">
        <v>46228</v>
      </c>
      <c r="E1411" s="3">
        <v>0.625</v>
      </c>
      <c r="F1411" t="s">
        <v>1428</v>
      </c>
      <c r="G1411" t="s">
        <v>3949</v>
      </c>
      <c r="H1411">
        <v>1</v>
      </c>
      <c r="I1411">
        <v>0</v>
      </c>
      <c r="J1411">
        <v>3</v>
      </c>
      <c r="K1411">
        <v>1</v>
      </c>
      <c r="L1411" s="22" t="str">
        <f t="shared" si="452"/>
        <v>25/07/2026</v>
      </c>
      <c r="M1411" s="23">
        <f t="shared" si="453"/>
        <v>0.5</v>
      </c>
      <c r="N1411" t="str">
        <f t="shared" si="454"/>
        <v>3 - 1</v>
      </c>
      <c r="O1411" t="str">
        <f t="shared" si="455"/>
        <v>Green</v>
      </c>
      <c r="P1411" t="str">
        <f t="shared" si="456"/>
        <v>Red</v>
      </c>
      <c r="Q1411" t="str">
        <f t="shared" si="457"/>
        <v>Red</v>
      </c>
      <c r="R1411" t="str">
        <f t="shared" si="458"/>
        <v>Green</v>
      </c>
      <c r="S1411" t="str">
        <f t="shared" si="459"/>
        <v>Red</v>
      </c>
      <c r="T1411" t="str">
        <f t="shared" si="460"/>
        <v>Green</v>
      </c>
      <c r="U1411" t="str">
        <f t="shared" si="461"/>
        <v>Green</v>
      </c>
      <c r="V1411" t="str">
        <f t="shared" si="462"/>
        <v>Red</v>
      </c>
      <c r="W1411" t="str">
        <f t="shared" si="463"/>
        <v>Red</v>
      </c>
      <c r="X1411" t="str">
        <f t="shared" si="464"/>
        <v>Green</v>
      </c>
      <c r="Y1411" t="str">
        <f t="shared" si="465"/>
        <v>Green</v>
      </c>
      <c r="Z1411" t="str">
        <f t="shared" si="466"/>
        <v>Green</v>
      </c>
      <c r="AA1411" t="str">
        <f t="shared" si="467"/>
        <v>Red</v>
      </c>
      <c r="AB1411" t="str">
        <f t="shared" si="468"/>
        <v>Red</v>
      </c>
      <c r="AC1411" t="str">
        <f t="shared" si="469"/>
        <v>Green</v>
      </c>
      <c r="AD1411" t="str">
        <f t="shared" si="470"/>
        <v>Red</v>
      </c>
    </row>
    <row r="1412" spans="1:30" x14ac:dyDescent="0.2">
      <c r="A1412" t="str">
        <f>L1411&amp;F1412&amp;G1412</f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52"/>
        <v>25/07/2026</v>
      </c>
      <c r="M1412" s="23">
        <f t="shared" si="453"/>
        <v>0.52083333333333337</v>
      </c>
      <c r="N1412" t="str">
        <f t="shared" si="454"/>
        <v>2 - 1</v>
      </c>
      <c r="O1412" t="str">
        <f t="shared" si="455"/>
        <v>Green</v>
      </c>
      <c r="P1412" t="str">
        <f t="shared" si="456"/>
        <v>Red</v>
      </c>
      <c r="Q1412" t="str">
        <f t="shared" si="457"/>
        <v>Red</v>
      </c>
      <c r="R1412" t="str">
        <f t="shared" si="458"/>
        <v>Green</v>
      </c>
      <c r="S1412" t="str">
        <f t="shared" si="459"/>
        <v>Red</v>
      </c>
      <c r="T1412" t="str">
        <f t="shared" si="460"/>
        <v>Green</v>
      </c>
      <c r="U1412" t="str">
        <f t="shared" si="461"/>
        <v>Red</v>
      </c>
      <c r="V1412" t="str">
        <f t="shared" si="462"/>
        <v>Green</v>
      </c>
      <c r="W1412" t="str">
        <f t="shared" si="463"/>
        <v>Red</v>
      </c>
      <c r="X1412" t="str">
        <f t="shared" si="464"/>
        <v>Green</v>
      </c>
      <c r="Y1412" t="str">
        <f t="shared" si="465"/>
        <v>Green</v>
      </c>
      <c r="Z1412" t="str">
        <f t="shared" si="466"/>
        <v>Green</v>
      </c>
      <c r="AA1412" t="str">
        <f t="shared" si="467"/>
        <v>Red</v>
      </c>
      <c r="AB1412" t="str">
        <f t="shared" si="468"/>
        <v>Green</v>
      </c>
      <c r="AC1412" t="str">
        <f t="shared" si="469"/>
        <v>Green</v>
      </c>
      <c r="AD1412" t="str">
        <f t="shared" si="470"/>
        <v>Red</v>
      </c>
    </row>
    <row r="1413" spans="1:30" x14ac:dyDescent="0.2">
      <c r="A1413" t="str">
        <f>L1412&amp;F1413&amp;G1413</f>
        <v>25/07/2026Union DietachSK Bischofshofen</v>
      </c>
      <c r="D1413" s="2">
        <v>46228</v>
      </c>
      <c r="E1413" s="3">
        <v>0.64583333333333337</v>
      </c>
      <c r="F1413" t="s">
        <v>3015</v>
      </c>
      <c r="G1413" t="s">
        <v>3016</v>
      </c>
      <c r="H1413">
        <v>0</v>
      </c>
      <c r="I1413">
        <v>0</v>
      </c>
      <c r="J1413">
        <v>3</v>
      </c>
      <c r="K1413">
        <v>3</v>
      </c>
      <c r="L1413" s="22" t="str">
        <f t="shared" si="452"/>
        <v>25/07/2026</v>
      </c>
      <c r="M1413" s="23">
        <f t="shared" si="453"/>
        <v>0.52083333333333337</v>
      </c>
      <c r="N1413" t="str">
        <f t="shared" si="454"/>
        <v>3 - 3</v>
      </c>
      <c r="O1413" t="str">
        <f t="shared" si="455"/>
        <v>Red</v>
      </c>
      <c r="P1413" t="str">
        <f t="shared" si="456"/>
        <v>Green</v>
      </c>
      <c r="Q1413" t="str">
        <f t="shared" si="457"/>
        <v>Red</v>
      </c>
      <c r="R1413" t="str">
        <f t="shared" si="458"/>
        <v>Green</v>
      </c>
      <c r="S1413" t="str">
        <f t="shared" si="459"/>
        <v>Green</v>
      </c>
      <c r="T1413" t="str">
        <f t="shared" si="460"/>
        <v>Red</v>
      </c>
      <c r="U1413" t="str">
        <f t="shared" si="461"/>
        <v>Red</v>
      </c>
      <c r="V1413" t="str">
        <f t="shared" si="462"/>
        <v>Green</v>
      </c>
      <c r="W1413" t="str">
        <f t="shared" si="463"/>
        <v>Red</v>
      </c>
      <c r="X1413" t="str">
        <f t="shared" si="464"/>
        <v>Red</v>
      </c>
      <c r="Y1413" t="str">
        <f t="shared" si="465"/>
        <v>Green</v>
      </c>
      <c r="Z1413" t="str">
        <f t="shared" si="466"/>
        <v>Green</v>
      </c>
      <c r="AA1413" t="str">
        <f t="shared" si="467"/>
        <v>Red</v>
      </c>
      <c r="AB1413" t="str">
        <f t="shared" si="468"/>
        <v>Red</v>
      </c>
      <c r="AC1413" t="str">
        <f t="shared" si="469"/>
        <v>Green</v>
      </c>
      <c r="AD1413" t="str">
        <f t="shared" si="470"/>
        <v>Red</v>
      </c>
    </row>
    <row r="1414" spans="1:30" x14ac:dyDescent="0.2">
      <c r="A1414" t="str">
        <f>L1413&amp;F1414&amp;G1414</f>
        <v>25/07/2026NesebarEtar 1924</v>
      </c>
      <c r="D1414" s="2">
        <v>46228</v>
      </c>
      <c r="E1414" s="3">
        <v>0.64583333333333337</v>
      </c>
      <c r="F1414" t="s">
        <v>3109</v>
      </c>
      <c r="G1414" t="s">
        <v>3110</v>
      </c>
      <c r="H1414">
        <v>1</v>
      </c>
      <c r="I1414">
        <v>3</v>
      </c>
      <c r="J1414">
        <v>1</v>
      </c>
      <c r="K1414">
        <v>5</v>
      </c>
      <c r="L1414" s="22" t="str">
        <f t="shared" si="452"/>
        <v>25/07/2026</v>
      </c>
      <c r="M1414" s="23">
        <f t="shared" si="453"/>
        <v>0.52083333333333337</v>
      </c>
      <c r="N1414" t="str">
        <f t="shared" si="454"/>
        <v>1 - 5</v>
      </c>
      <c r="O1414" t="str">
        <f t="shared" si="455"/>
        <v>Red</v>
      </c>
      <c r="P1414" t="str">
        <f t="shared" si="456"/>
        <v>Red</v>
      </c>
      <c r="Q1414" t="str">
        <f t="shared" si="457"/>
        <v>Green</v>
      </c>
      <c r="R1414" t="str">
        <f t="shared" si="458"/>
        <v>Red</v>
      </c>
      <c r="S1414" t="str">
        <f t="shared" si="459"/>
        <v>Green</v>
      </c>
      <c r="T1414" t="str">
        <f t="shared" si="460"/>
        <v>Green</v>
      </c>
      <c r="U1414" t="str">
        <f t="shared" si="461"/>
        <v>Red</v>
      </c>
      <c r="V1414" t="str">
        <f t="shared" si="462"/>
        <v>Red</v>
      </c>
      <c r="W1414" t="str">
        <f t="shared" si="463"/>
        <v>Green</v>
      </c>
      <c r="X1414" t="str">
        <f t="shared" si="464"/>
        <v>Green</v>
      </c>
      <c r="Y1414" t="str">
        <f t="shared" si="465"/>
        <v>Green</v>
      </c>
      <c r="Z1414" t="str">
        <f t="shared" si="466"/>
        <v>Green</v>
      </c>
      <c r="AA1414" t="str">
        <f t="shared" si="467"/>
        <v>Red</v>
      </c>
      <c r="AB1414" t="str">
        <f t="shared" si="468"/>
        <v>Red</v>
      </c>
      <c r="AC1414" t="str">
        <f t="shared" si="469"/>
        <v>Green</v>
      </c>
      <c r="AD1414" t="str">
        <f t="shared" si="470"/>
        <v>Red</v>
      </c>
    </row>
    <row r="1415" spans="1:30" x14ac:dyDescent="0.2">
      <c r="A1415" t="str">
        <f>L1414&amp;F1415&amp;G1415</f>
        <v>25/07/2026Sportist SvogeMontana</v>
      </c>
      <c r="D1415" s="2">
        <v>46228</v>
      </c>
      <c r="E1415" s="3">
        <v>0.64583333333333337</v>
      </c>
      <c r="F1415" t="s">
        <v>3111</v>
      </c>
      <c r="G1415" t="s">
        <v>3112</v>
      </c>
      <c r="H1415">
        <v>1</v>
      </c>
      <c r="I1415">
        <v>1</v>
      </c>
      <c r="J1415">
        <v>2</v>
      </c>
      <c r="K1415">
        <v>2</v>
      </c>
      <c r="L1415" s="22" t="str">
        <f t="shared" si="452"/>
        <v>25/07/2026</v>
      </c>
      <c r="M1415" s="23">
        <f t="shared" si="453"/>
        <v>0.52083333333333337</v>
      </c>
      <c r="N1415" t="str">
        <f t="shared" si="454"/>
        <v>2 - 2</v>
      </c>
      <c r="O1415" t="str">
        <f t="shared" si="455"/>
        <v>Red</v>
      </c>
      <c r="P1415" t="str">
        <f t="shared" si="456"/>
        <v>Green</v>
      </c>
      <c r="Q1415" t="str">
        <f t="shared" si="457"/>
        <v>Red</v>
      </c>
      <c r="R1415" t="str">
        <f t="shared" si="458"/>
        <v>Green</v>
      </c>
      <c r="S1415" t="str">
        <f t="shared" si="459"/>
        <v>Green</v>
      </c>
      <c r="T1415" t="str">
        <f t="shared" si="460"/>
        <v>Red</v>
      </c>
      <c r="U1415" t="str">
        <f t="shared" si="461"/>
        <v>Red</v>
      </c>
      <c r="V1415" t="str">
        <f t="shared" si="462"/>
        <v>Green</v>
      </c>
      <c r="W1415" t="str">
        <f t="shared" si="463"/>
        <v>Red</v>
      </c>
      <c r="X1415" t="str">
        <f t="shared" si="464"/>
        <v>Green</v>
      </c>
      <c r="Y1415" t="str">
        <f t="shared" si="465"/>
        <v>Green</v>
      </c>
      <c r="Z1415" t="str">
        <f t="shared" si="466"/>
        <v>Green</v>
      </c>
      <c r="AA1415" t="str">
        <f t="shared" si="467"/>
        <v>Red</v>
      </c>
      <c r="AB1415" t="str">
        <f t="shared" si="468"/>
        <v>Red</v>
      </c>
      <c r="AC1415" t="str">
        <f t="shared" si="469"/>
        <v>Green</v>
      </c>
      <c r="AD1415" t="str">
        <f t="shared" si="470"/>
        <v>Red</v>
      </c>
    </row>
    <row r="1416" spans="1:30" x14ac:dyDescent="0.2">
      <c r="A1416" t="str">
        <f>L1415&amp;F1416&amp;G1416</f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52"/>
        <v>25/07/2026</v>
      </c>
      <c r="M1416" s="23">
        <f t="shared" si="453"/>
        <v>0.52083333333333337</v>
      </c>
      <c r="N1416" t="str">
        <f t="shared" si="454"/>
        <v>3 - 0</v>
      </c>
      <c r="O1416" t="str">
        <f t="shared" si="455"/>
        <v>Green</v>
      </c>
      <c r="P1416" t="str">
        <f t="shared" si="456"/>
        <v>Red</v>
      </c>
      <c r="Q1416" t="str">
        <f t="shared" si="457"/>
        <v>Red</v>
      </c>
      <c r="R1416" t="str">
        <f t="shared" si="458"/>
        <v>Green</v>
      </c>
      <c r="S1416" t="str">
        <f t="shared" si="459"/>
        <v>Red</v>
      </c>
      <c r="T1416" t="str">
        <f t="shared" si="460"/>
        <v>Green</v>
      </c>
      <c r="U1416" t="str">
        <f t="shared" si="461"/>
        <v>Green</v>
      </c>
      <c r="V1416" t="str">
        <f t="shared" si="462"/>
        <v>Red</v>
      </c>
      <c r="W1416" t="str">
        <f t="shared" si="463"/>
        <v>Red</v>
      </c>
      <c r="X1416" t="str">
        <f t="shared" si="464"/>
        <v>Green</v>
      </c>
      <c r="Y1416" t="str">
        <f t="shared" si="465"/>
        <v>Green</v>
      </c>
      <c r="Z1416" t="str">
        <f t="shared" si="466"/>
        <v>Green</v>
      </c>
      <c r="AA1416" t="str">
        <f t="shared" si="467"/>
        <v>Red</v>
      </c>
      <c r="AB1416" t="str">
        <f t="shared" si="468"/>
        <v>Green</v>
      </c>
      <c r="AC1416" t="str">
        <f t="shared" si="469"/>
        <v>Red</v>
      </c>
      <c r="AD1416" t="str">
        <f t="shared" si="470"/>
        <v>Green</v>
      </c>
    </row>
    <row r="1417" spans="1:30" x14ac:dyDescent="0.2">
      <c r="A1417" t="str">
        <f>L1416&amp;F1417&amp;G1417</f>
        <v>25/07/2026UFC NagykanizsaDiosgyor VTK</v>
      </c>
      <c r="D1417" s="2">
        <v>46228</v>
      </c>
      <c r="E1417" s="3">
        <v>0.64583333333333337</v>
      </c>
      <c r="F1417" t="s">
        <v>3312</v>
      </c>
      <c r="G1417" t="s">
        <v>3313</v>
      </c>
      <c r="H1417">
        <v>1</v>
      </c>
      <c r="I1417">
        <v>1</v>
      </c>
      <c r="J1417">
        <v>2</v>
      </c>
      <c r="K1417">
        <v>3</v>
      </c>
      <c r="L1417" s="22" t="str">
        <f t="shared" si="452"/>
        <v>25/07/2026</v>
      </c>
      <c r="M1417" s="23">
        <f t="shared" si="453"/>
        <v>0.52083333333333337</v>
      </c>
      <c r="N1417" t="str">
        <f t="shared" si="454"/>
        <v>2 - 3</v>
      </c>
      <c r="O1417" t="str">
        <f t="shared" si="455"/>
        <v>Red</v>
      </c>
      <c r="P1417" t="str">
        <f t="shared" si="456"/>
        <v>Red</v>
      </c>
      <c r="Q1417" t="str">
        <f t="shared" si="457"/>
        <v>Green</v>
      </c>
      <c r="R1417" t="str">
        <f t="shared" si="458"/>
        <v>Red</v>
      </c>
      <c r="S1417" t="str">
        <f t="shared" si="459"/>
        <v>Green</v>
      </c>
      <c r="T1417" t="str">
        <f t="shared" si="460"/>
        <v>Green</v>
      </c>
      <c r="U1417" t="str">
        <f t="shared" si="461"/>
        <v>Red</v>
      </c>
      <c r="V1417" t="str">
        <f t="shared" si="462"/>
        <v>Green</v>
      </c>
      <c r="W1417" t="str">
        <f t="shared" si="463"/>
        <v>Red</v>
      </c>
      <c r="X1417" t="str">
        <f t="shared" si="464"/>
        <v>Green</v>
      </c>
      <c r="Y1417" t="str">
        <f t="shared" si="465"/>
        <v>Green</v>
      </c>
      <c r="Z1417" t="str">
        <f t="shared" si="466"/>
        <v>Green</v>
      </c>
      <c r="AA1417" t="str">
        <f t="shared" si="467"/>
        <v>Red</v>
      </c>
      <c r="AB1417" t="str">
        <f t="shared" si="468"/>
        <v>Red</v>
      </c>
      <c r="AC1417" t="str">
        <f t="shared" si="469"/>
        <v>Green</v>
      </c>
      <c r="AD1417" t="str">
        <f t="shared" si="470"/>
        <v>Red</v>
      </c>
    </row>
    <row r="1418" spans="1:30" x14ac:dyDescent="0.2">
      <c r="A1418" t="str">
        <f>L1417&amp;F1418&amp;G1418</f>
        <v>25/07/2026Bicskei TCPuskas Academy II</v>
      </c>
      <c r="D1418" s="2">
        <v>46228</v>
      </c>
      <c r="E1418" s="3">
        <v>0.64583333333333337</v>
      </c>
      <c r="F1418" t="s">
        <v>3328</v>
      </c>
      <c r="G1418" t="s">
        <v>3329</v>
      </c>
      <c r="H1418">
        <v>2</v>
      </c>
      <c r="I1418">
        <v>1</v>
      </c>
      <c r="J1418">
        <v>2</v>
      </c>
      <c r="K1418">
        <v>1</v>
      </c>
      <c r="L1418" s="22" t="str">
        <f t="shared" si="452"/>
        <v>25/07/2026</v>
      </c>
      <c r="M1418" s="23">
        <f t="shared" si="453"/>
        <v>0.52083333333333337</v>
      </c>
      <c r="N1418" t="str">
        <f t="shared" si="454"/>
        <v>2 - 1</v>
      </c>
      <c r="O1418" t="str">
        <f t="shared" si="455"/>
        <v>Green</v>
      </c>
      <c r="P1418" t="str">
        <f t="shared" si="456"/>
        <v>Red</v>
      </c>
      <c r="Q1418" t="str">
        <f t="shared" si="457"/>
        <v>Red</v>
      </c>
      <c r="R1418" t="str">
        <f t="shared" si="458"/>
        <v>Green</v>
      </c>
      <c r="S1418" t="str">
        <f t="shared" si="459"/>
        <v>Red</v>
      </c>
      <c r="T1418" t="str">
        <f t="shared" si="460"/>
        <v>Green</v>
      </c>
      <c r="U1418" t="str">
        <f t="shared" si="461"/>
        <v>Green</v>
      </c>
      <c r="V1418" t="str">
        <f t="shared" si="462"/>
        <v>Red</v>
      </c>
      <c r="W1418" t="str">
        <f t="shared" si="463"/>
        <v>Red</v>
      </c>
      <c r="X1418" t="str">
        <f t="shared" si="464"/>
        <v>Green</v>
      </c>
      <c r="Y1418" t="str">
        <f t="shared" si="465"/>
        <v>Green</v>
      </c>
      <c r="Z1418" t="str">
        <f t="shared" si="466"/>
        <v>Green</v>
      </c>
      <c r="AA1418" t="str">
        <f t="shared" si="467"/>
        <v>Red</v>
      </c>
      <c r="AB1418" t="str">
        <f t="shared" si="468"/>
        <v>Green</v>
      </c>
      <c r="AC1418" t="str">
        <f t="shared" si="469"/>
        <v>Green</v>
      </c>
      <c r="AD1418" t="str">
        <f t="shared" si="470"/>
        <v>Red</v>
      </c>
    </row>
    <row r="1419" spans="1:30" x14ac:dyDescent="0.2">
      <c r="A1419" t="str">
        <f>L1418&amp;F1419&amp;G1419</f>
        <v>25/07/2026Debreceni IIHajdunanas</v>
      </c>
      <c r="D1419" s="2">
        <v>46228</v>
      </c>
      <c r="E1419" s="3">
        <v>0.64583333333333337</v>
      </c>
      <c r="F1419" t="s">
        <v>3330</v>
      </c>
      <c r="G1419" t="s">
        <v>3331</v>
      </c>
      <c r="H1419">
        <v>2</v>
      </c>
      <c r="I1419">
        <v>1</v>
      </c>
      <c r="J1419">
        <v>5</v>
      </c>
      <c r="K1419">
        <v>2</v>
      </c>
      <c r="L1419" s="22" t="str">
        <f t="shared" si="452"/>
        <v>25/07/2026</v>
      </c>
      <c r="M1419" s="23">
        <f t="shared" si="453"/>
        <v>0.52083333333333337</v>
      </c>
      <c r="N1419" t="str">
        <f t="shared" si="454"/>
        <v>5 - 2</v>
      </c>
      <c r="O1419" t="str">
        <f t="shared" si="455"/>
        <v>Green</v>
      </c>
      <c r="P1419" t="str">
        <f t="shared" si="456"/>
        <v>Red</v>
      </c>
      <c r="Q1419" t="str">
        <f t="shared" si="457"/>
        <v>Red</v>
      </c>
      <c r="R1419" t="str">
        <f t="shared" si="458"/>
        <v>Green</v>
      </c>
      <c r="S1419" t="str">
        <f t="shared" si="459"/>
        <v>Red</v>
      </c>
      <c r="T1419" t="str">
        <f t="shared" si="460"/>
        <v>Green</v>
      </c>
      <c r="U1419" t="str">
        <f t="shared" si="461"/>
        <v>Green</v>
      </c>
      <c r="V1419" t="str">
        <f t="shared" si="462"/>
        <v>Red</v>
      </c>
      <c r="W1419" t="str">
        <f t="shared" si="463"/>
        <v>Red</v>
      </c>
      <c r="X1419" t="str">
        <f t="shared" si="464"/>
        <v>Green</v>
      </c>
      <c r="Y1419" t="str">
        <f t="shared" si="465"/>
        <v>Green</v>
      </c>
      <c r="Z1419" t="str">
        <f t="shared" si="466"/>
        <v>Green</v>
      </c>
      <c r="AA1419" t="str">
        <f t="shared" si="467"/>
        <v>Red</v>
      </c>
      <c r="AB1419" t="str">
        <f t="shared" si="468"/>
        <v>Red</v>
      </c>
      <c r="AC1419" t="str">
        <f t="shared" si="469"/>
        <v>Green</v>
      </c>
      <c r="AD1419" t="str">
        <f t="shared" si="470"/>
        <v>Red</v>
      </c>
    </row>
    <row r="1420" spans="1:30" x14ac:dyDescent="0.2">
      <c r="A1420" t="str">
        <f>L1419&amp;F1420&amp;G1420</f>
        <v>25/07/2026Erdi VSEBudaorsi SC</v>
      </c>
      <c r="D1420" s="2">
        <v>46228</v>
      </c>
      <c r="E1420" s="3">
        <v>0.64583333333333337</v>
      </c>
      <c r="F1420" t="s">
        <v>3332</v>
      </c>
      <c r="G1420" t="s">
        <v>3333</v>
      </c>
      <c r="H1420">
        <v>1</v>
      </c>
      <c r="I1420">
        <v>1</v>
      </c>
      <c r="J1420">
        <v>3</v>
      </c>
      <c r="K1420">
        <v>3</v>
      </c>
      <c r="L1420" s="22" t="str">
        <f t="shared" si="452"/>
        <v>25/07/2026</v>
      </c>
      <c r="M1420" s="23">
        <f t="shared" si="453"/>
        <v>0.52083333333333337</v>
      </c>
      <c r="N1420" t="str">
        <f t="shared" si="454"/>
        <v>3 - 3</v>
      </c>
      <c r="O1420" t="str">
        <f t="shared" si="455"/>
        <v>Red</v>
      </c>
      <c r="P1420" t="str">
        <f t="shared" si="456"/>
        <v>Green</v>
      </c>
      <c r="Q1420" t="str">
        <f t="shared" si="457"/>
        <v>Red</v>
      </c>
      <c r="R1420" t="str">
        <f t="shared" si="458"/>
        <v>Green</v>
      </c>
      <c r="S1420" t="str">
        <f t="shared" si="459"/>
        <v>Green</v>
      </c>
      <c r="T1420" t="str">
        <f t="shared" si="460"/>
        <v>Red</v>
      </c>
      <c r="U1420" t="str">
        <f t="shared" si="461"/>
        <v>Red</v>
      </c>
      <c r="V1420" t="str">
        <f t="shared" si="462"/>
        <v>Green</v>
      </c>
      <c r="W1420" t="str">
        <f t="shared" si="463"/>
        <v>Red</v>
      </c>
      <c r="X1420" t="str">
        <f t="shared" si="464"/>
        <v>Green</v>
      </c>
      <c r="Y1420" t="str">
        <f t="shared" si="465"/>
        <v>Green</v>
      </c>
      <c r="Z1420" t="str">
        <f t="shared" si="466"/>
        <v>Green</v>
      </c>
      <c r="AA1420" t="str">
        <f t="shared" si="467"/>
        <v>Red</v>
      </c>
      <c r="AB1420" t="str">
        <f t="shared" si="468"/>
        <v>Red</v>
      </c>
      <c r="AC1420" t="str">
        <f t="shared" si="469"/>
        <v>Green</v>
      </c>
      <c r="AD1420" t="str">
        <f t="shared" si="470"/>
        <v>Red</v>
      </c>
    </row>
    <row r="1421" spans="1:30" x14ac:dyDescent="0.2">
      <c r="A1421" t="str">
        <f>L1420&amp;F1421&amp;G1421</f>
        <v>25/07/2026Ferencvarosi TC IIDunaujvaros PASE</v>
      </c>
      <c r="D1421" s="2">
        <v>46228</v>
      </c>
      <c r="E1421" s="3">
        <v>0.64583333333333337</v>
      </c>
      <c r="F1421" t="s">
        <v>3334</v>
      </c>
      <c r="G1421" t="s">
        <v>3335</v>
      </c>
      <c r="H1421">
        <v>0</v>
      </c>
      <c r="I1421">
        <v>0</v>
      </c>
      <c r="J1421">
        <v>0</v>
      </c>
      <c r="K1421">
        <v>0</v>
      </c>
      <c r="L1421" s="22" t="str">
        <f t="shared" si="452"/>
        <v>25/07/2026</v>
      </c>
      <c r="M1421" s="23">
        <f t="shared" si="453"/>
        <v>0.52083333333333337</v>
      </c>
      <c r="N1421" t="str">
        <f t="shared" si="454"/>
        <v>0 - 0</v>
      </c>
      <c r="O1421" t="str">
        <f t="shared" si="455"/>
        <v>Red</v>
      </c>
      <c r="P1421" t="str">
        <f t="shared" si="456"/>
        <v>Green</v>
      </c>
      <c r="Q1421" t="str">
        <f t="shared" si="457"/>
        <v>Red</v>
      </c>
      <c r="R1421" t="str">
        <f t="shared" si="458"/>
        <v>Green</v>
      </c>
      <c r="S1421" t="str">
        <f t="shared" si="459"/>
        <v>Green</v>
      </c>
      <c r="T1421" t="str">
        <f t="shared" si="460"/>
        <v>Red</v>
      </c>
      <c r="U1421" t="str">
        <f t="shared" si="461"/>
        <v>Red</v>
      </c>
      <c r="V1421" t="str">
        <f t="shared" si="462"/>
        <v>Green</v>
      </c>
      <c r="W1421" t="str">
        <f t="shared" si="463"/>
        <v>Red</v>
      </c>
      <c r="X1421" t="str">
        <f t="shared" si="464"/>
        <v>Red</v>
      </c>
      <c r="Y1421" t="str">
        <f t="shared" si="465"/>
        <v>Red</v>
      </c>
      <c r="Z1421" t="str">
        <f t="shared" si="466"/>
        <v>Red</v>
      </c>
      <c r="AA1421" t="str">
        <f t="shared" si="467"/>
        <v>Green</v>
      </c>
      <c r="AB1421" t="str">
        <f t="shared" si="468"/>
        <v>Green</v>
      </c>
      <c r="AC1421" t="str">
        <f t="shared" si="469"/>
        <v>Red</v>
      </c>
      <c r="AD1421" t="str">
        <f t="shared" si="470"/>
        <v>Green</v>
      </c>
    </row>
    <row r="1422" spans="1:30" x14ac:dyDescent="0.2">
      <c r="A1422" t="str">
        <f>L1421&amp;F1422&amp;G1422</f>
        <v>25/07/2026Godolloi SKSalgotarjani BTC</v>
      </c>
      <c r="D1422" s="2">
        <v>46228</v>
      </c>
      <c r="E1422" s="3">
        <v>0.64583333333333337</v>
      </c>
      <c r="F1422" t="s">
        <v>3336</v>
      </c>
      <c r="G1422" t="s">
        <v>3337</v>
      </c>
      <c r="H1422">
        <v>2</v>
      </c>
      <c r="I1422">
        <v>0</v>
      </c>
      <c r="J1422">
        <v>3</v>
      </c>
      <c r="K1422">
        <v>1</v>
      </c>
      <c r="L1422" s="22" t="str">
        <f t="shared" si="452"/>
        <v>25/07/2026</v>
      </c>
      <c r="M1422" s="23">
        <f t="shared" si="453"/>
        <v>0.52083333333333337</v>
      </c>
      <c r="N1422" t="str">
        <f t="shared" si="454"/>
        <v>3 - 1</v>
      </c>
      <c r="O1422" t="str">
        <f t="shared" si="455"/>
        <v>Green</v>
      </c>
      <c r="P1422" t="str">
        <f t="shared" si="456"/>
        <v>Red</v>
      </c>
      <c r="Q1422" t="str">
        <f t="shared" si="457"/>
        <v>Red</v>
      </c>
      <c r="R1422" t="str">
        <f t="shared" si="458"/>
        <v>Green</v>
      </c>
      <c r="S1422" t="str">
        <f t="shared" si="459"/>
        <v>Red</v>
      </c>
      <c r="T1422" t="str">
        <f t="shared" si="460"/>
        <v>Green</v>
      </c>
      <c r="U1422" t="str">
        <f t="shared" si="461"/>
        <v>Green</v>
      </c>
      <c r="V1422" t="str">
        <f t="shared" si="462"/>
        <v>Red</v>
      </c>
      <c r="W1422" t="str">
        <f t="shared" si="463"/>
        <v>Red</v>
      </c>
      <c r="X1422" t="str">
        <f t="shared" si="464"/>
        <v>Green</v>
      </c>
      <c r="Y1422" t="str">
        <f t="shared" si="465"/>
        <v>Green</v>
      </c>
      <c r="Z1422" t="str">
        <f t="shared" si="466"/>
        <v>Green</v>
      </c>
      <c r="AA1422" t="str">
        <f t="shared" si="467"/>
        <v>Red</v>
      </c>
      <c r="AB1422" t="str">
        <f t="shared" si="468"/>
        <v>Red</v>
      </c>
      <c r="AC1422" t="str">
        <f t="shared" si="469"/>
        <v>Green</v>
      </c>
      <c r="AD1422" t="str">
        <f t="shared" si="470"/>
        <v>Red</v>
      </c>
    </row>
    <row r="1423" spans="1:30" x14ac:dyDescent="0.2">
      <c r="A1423" t="str">
        <f>L1422&amp;F1423&amp;G1423</f>
        <v>25/07/2026Gyulai TermalHodmezovasarhelyi</v>
      </c>
      <c r="D1423" s="2">
        <v>46228</v>
      </c>
      <c r="E1423" s="3">
        <v>0.64583333333333337</v>
      </c>
      <c r="F1423" t="s">
        <v>3338</v>
      </c>
      <c r="G1423" t="s">
        <v>3339</v>
      </c>
      <c r="H1423">
        <v>2</v>
      </c>
      <c r="I1423">
        <v>0</v>
      </c>
      <c r="J1423">
        <v>3</v>
      </c>
      <c r="K1423">
        <v>0</v>
      </c>
      <c r="L1423" s="22" t="str">
        <f t="shared" si="452"/>
        <v>25/07/2026</v>
      </c>
      <c r="M1423" s="23">
        <f t="shared" si="453"/>
        <v>0.52083333333333337</v>
      </c>
      <c r="N1423" t="str">
        <f t="shared" si="454"/>
        <v>3 - 0</v>
      </c>
      <c r="O1423" t="str">
        <f t="shared" si="455"/>
        <v>Green</v>
      </c>
      <c r="P1423" t="str">
        <f t="shared" si="456"/>
        <v>Red</v>
      </c>
      <c r="Q1423" t="str">
        <f t="shared" si="457"/>
        <v>Red</v>
      </c>
      <c r="R1423" t="str">
        <f t="shared" si="458"/>
        <v>Green</v>
      </c>
      <c r="S1423" t="str">
        <f t="shared" si="459"/>
        <v>Red</v>
      </c>
      <c r="T1423" t="str">
        <f t="shared" si="460"/>
        <v>Green</v>
      </c>
      <c r="U1423" t="str">
        <f t="shared" si="461"/>
        <v>Green</v>
      </c>
      <c r="V1423" t="str">
        <f t="shared" si="462"/>
        <v>Red</v>
      </c>
      <c r="W1423" t="str">
        <f t="shared" si="463"/>
        <v>Red</v>
      </c>
      <c r="X1423" t="str">
        <f t="shared" si="464"/>
        <v>Green</v>
      </c>
      <c r="Y1423" t="str">
        <f t="shared" si="465"/>
        <v>Green</v>
      </c>
      <c r="Z1423" t="str">
        <f t="shared" si="466"/>
        <v>Green</v>
      </c>
      <c r="AA1423" t="str">
        <f t="shared" si="467"/>
        <v>Red</v>
      </c>
      <c r="AB1423" t="str">
        <f t="shared" si="468"/>
        <v>Green</v>
      </c>
      <c r="AC1423" t="str">
        <f t="shared" si="469"/>
        <v>Red</v>
      </c>
      <c r="AD1423" t="str">
        <f t="shared" si="470"/>
        <v>Green</v>
      </c>
    </row>
    <row r="1424" spans="1:30" x14ac:dyDescent="0.2">
      <c r="A1424" t="str">
        <f>L1423&amp;F1424&amp;G1424</f>
        <v>25/07/2026III Keruleti TVECsepel</v>
      </c>
      <c r="D1424" s="2">
        <v>46228</v>
      </c>
      <c r="E1424" s="3">
        <v>0.64583333333333337</v>
      </c>
      <c r="F1424" t="s">
        <v>3340</v>
      </c>
      <c r="G1424" t="s">
        <v>3341</v>
      </c>
      <c r="H1424">
        <v>0</v>
      </c>
      <c r="I1424">
        <v>0</v>
      </c>
      <c r="J1424">
        <v>2</v>
      </c>
      <c r="K1424">
        <v>0</v>
      </c>
      <c r="L1424" s="22" t="str">
        <f t="shared" si="452"/>
        <v>25/07/2026</v>
      </c>
      <c r="M1424" s="23">
        <f t="shared" si="453"/>
        <v>0.52083333333333337</v>
      </c>
      <c r="N1424" t="str">
        <f t="shared" si="454"/>
        <v>2 - 0</v>
      </c>
      <c r="O1424" t="str">
        <f t="shared" si="455"/>
        <v>Green</v>
      </c>
      <c r="P1424" t="str">
        <f t="shared" si="456"/>
        <v>Red</v>
      </c>
      <c r="Q1424" t="str">
        <f t="shared" si="457"/>
        <v>Red</v>
      </c>
      <c r="R1424" t="str">
        <f t="shared" si="458"/>
        <v>Green</v>
      </c>
      <c r="S1424" t="str">
        <f t="shared" si="459"/>
        <v>Red</v>
      </c>
      <c r="T1424" t="str">
        <f t="shared" si="460"/>
        <v>Green</v>
      </c>
      <c r="U1424" t="str">
        <f t="shared" si="461"/>
        <v>Red</v>
      </c>
      <c r="V1424" t="str">
        <f t="shared" si="462"/>
        <v>Green</v>
      </c>
      <c r="W1424" t="str">
        <f t="shared" si="463"/>
        <v>Red</v>
      </c>
      <c r="X1424" t="str">
        <f t="shared" si="464"/>
        <v>Red</v>
      </c>
      <c r="Y1424" t="str">
        <f t="shared" si="465"/>
        <v>Green</v>
      </c>
      <c r="Z1424" t="str">
        <f t="shared" si="466"/>
        <v>Red</v>
      </c>
      <c r="AA1424" t="str">
        <f t="shared" si="467"/>
        <v>Green</v>
      </c>
      <c r="AB1424" t="str">
        <f t="shared" si="468"/>
        <v>Green</v>
      </c>
      <c r="AC1424" t="str">
        <f t="shared" si="469"/>
        <v>Red</v>
      </c>
      <c r="AD1424" t="str">
        <f t="shared" si="470"/>
        <v>Green</v>
      </c>
    </row>
    <row r="1425" spans="1:30" x14ac:dyDescent="0.2">
      <c r="A1425" t="str">
        <f>L1424&amp;F1425&amp;G1425</f>
        <v>25/07/2026IvancsaSzekszardi</v>
      </c>
      <c r="D1425" s="2">
        <v>46228</v>
      </c>
      <c r="E1425" s="3">
        <v>0.64583333333333337</v>
      </c>
      <c r="F1425" t="s">
        <v>3342</v>
      </c>
      <c r="G1425" t="s">
        <v>3343</v>
      </c>
      <c r="H1425">
        <v>2</v>
      </c>
      <c r="I1425">
        <v>0</v>
      </c>
      <c r="J1425">
        <v>4</v>
      </c>
      <c r="K1425">
        <v>0</v>
      </c>
      <c r="L1425" s="22" t="str">
        <f t="shared" si="452"/>
        <v>25/07/2026</v>
      </c>
      <c r="M1425" s="23">
        <f t="shared" si="453"/>
        <v>0.52083333333333337</v>
      </c>
      <c r="N1425" t="str">
        <f t="shared" si="454"/>
        <v>4 - 0</v>
      </c>
      <c r="O1425" t="str">
        <f t="shared" si="455"/>
        <v>Green</v>
      </c>
      <c r="P1425" t="str">
        <f t="shared" si="456"/>
        <v>Red</v>
      </c>
      <c r="Q1425" t="str">
        <f t="shared" si="457"/>
        <v>Red</v>
      </c>
      <c r="R1425" t="str">
        <f t="shared" si="458"/>
        <v>Green</v>
      </c>
      <c r="S1425" t="str">
        <f t="shared" si="459"/>
        <v>Red</v>
      </c>
      <c r="T1425" t="str">
        <f t="shared" si="460"/>
        <v>Green</v>
      </c>
      <c r="U1425" t="str">
        <f t="shared" si="461"/>
        <v>Green</v>
      </c>
      <c r="V1425" t="str">
        <f t="shared" si="462"/>
        <v>Red</v>
      </c>
      <c r="W1425" t="str">
        <f t="shared" si="463"/>
        <v>Red</v>
      </c>
      <c r="X1425" t="str">
        <f t="shared" si="464"/>
        <v>Green</v>
      </c>
      <c r="Y1425" t="str">
        <f t="shared" si="465"/>
        <v>Green</v>
      </c>
      <c r="Z1425" t="str">
        <f t="shared" si="466"/>
        <v>Green</v>
      </c>
      <c r="AA1425" t="str">
        <f t="shared" si="467"/>
        <v>Red</v>
      </c>
      <c r="AB1425" t="str">
        <f t="shared" si="468"/>
        <v>Red</v>
      </c>
      <c r="AC1425" t="str">
        <f t="shared" si="469"/>
        <v>Red</v>
      </c>
      <c r="AD1425" t="str">
        <f t="shared" si="470"/>
        <v>Green</v>
      </c>
    </row>
    <row r="1426" spans="1:30" x14ac:dyDescent="0.2">
      <c r="A1426" t="str">
        <f>L1425&amp;F1426&amp;G1426</f>
        <v>25/07/2026Kaposvari RakocziBFC Siofok</v>
      </c>
      <c r="D1426" s="2">
        <v>46228</v>
      </c>
      <c r="E1426" s="3">
        <v>0.64583333333333337</v>
      </c>
      <c r="F1426" t="s">
        <v>3344</v>
      </c>
      <c r="G1426" t="s">
        <v>3345</v>
      </c>
      <c r="H1426">
        <v>2</v>
      </c>
      <c r="I1426">
        <v>0</v>
      </c>
      <c r="J1426">
        <v>2</v>
      </c>
      <c r="K1426">
        <v>1</v>
      </c>
      <c r="L1426" s="22" t="str">
        <f t="shared" si="452"/>
        <v>25/07/2026</v>
      </c>
      <c r="M1426" s="23">
        <f t="shared" si="453"/>
        <v>0.52083333333333337</v>
      </c>
      <c r="N1426" t="str">
        <f t="shared" si="454"/>
        <v>2 - 1</v>
      </c>
      <c r="O1426" t="str">
        <f t="shared" si="455"/>
        <v>Green</v>
      </c>
      <c r="P1426" t="str">
        <f t="shared" si="456"/>
        <v>Red</v>
      </c>
      <c r="Q1426" t="str">
        <f t="shared" si="457"/>
        <v>Red</v>
      </c>
      <c r="R1426" t="str">
        <f t="shared" si="458"/>
        <v>Green</v>
      </c>
      <c r="S1426" t="str">
        <f t="shared" si="459"/>
        <v>Red</v>
      </c>
      <c r="T1426" t="str">
        <f t="shared" si="460"/>
        <v>Green</v>
      </c>
      <c r="U1426" t="str">
        <f t="shared" si="461"/>
        <v>Green</v>
      </c>
      <c r="V1426" t="str">
        <f t="shared" si="462"/>
        <v>Red</v>
      </c>
      <c r="W1426" t="str">
        <f t="shared" si="463"/>
        <v>Red</v>
      </c>
      <c r="X1426" t="str">
        <f t="shared" si="464"/>
        <v>Green</v>
      </c>
      <c r="Y1426" t="str">
        <f t="shared" si="465"/>
        <v>Green</v>
      </c>
      <c r="Z1426" t="str">
        <f t="shared" si="466"/>
        <v>Green</v>
      </c>
      <c r="AA1426" t="str">
        <f t="shared" si="467"/>
        <v>Red</v>
      </c>
      <c r="AB1426" t="str">
        <f t="shared" si="468"/>
        <v>Green</v>
      </c>
      <c r="AC1426" t="str">
        <f t="shared" si="469"/>
        <v>Green</v>
      </c>
      <c r="AD1426" t="str">
        <f t="shared" si="470"/>
        <v>Red</v>
      </c>
    </row>
    <row r="1427" spans="1:30" x14ac:dyDescent="0.2">
      <c r="A1427" t="str">
        <f>L1426&amp;F1427&amp;G1427</f>
        <v>25/07/2026Komarom VSE1908 Szac Budapest</v>
      </c>
      <c r="D1427" s="2">
        <v>46228</v>
      </c>
      <c r="E1427" s="3">
        <v>0.64583333333333337</v>
      </c>
      <c r="F1427" t="s">
        <v>3346</v>
      </c>
      <c r="G1427" t="s">
        <v>3347</v>
      </c>
      <c r="H1427">
        <v>0</v>
      </c>
      <c r="I1427">
        <v>0</v>
      </c>
      <c r="J1427">
        <v>1</v>
      </c>
      <c r="K1427">
        <v>1</v>
      </c>
      <c r="L1427" s="22" t="str">
        <f t="shared" si="452"/>
        <v>25/07/2026</v>
      </c>
      <c r="M1427" s="23">
        <f t="shared" si="453"/>
        <v>0.52083333333333337</v>
      </c>
      <c r="N1427" t="str">
        <f t="shared" si="454"/>
        <v>1 - 1</v>
      </c>
      <c r="O1427" t="str">
        <f t="shared" si="455"/>
        <v>Red</v>
      </c>
      <c r="P1427" t="str">
        <f t="shared" si="456"/>
        <v>Green</v>
      </c>
      <c r="Q1427" t="str">
        <f t="shared" si="457"/>
        <v>Red</v>
      </c>
      <c r="R1427" t="str">
        <f t="shared" si="458"/>
        <v>Green</v>
      </c>
      <c r="S1427" t="str">
        <f t="shared" si="459"/>
        <v>Green</v>
      </c>
      <c r="T1427" t="str">
        <f t="shared" si="460"/>
        <v>Red</v>
      </c>
      <c r="U1427" t="str">
        <f t="shared" si="461"/>
        <v>Red</v>
      </c>
      <c r="V1427" t="str">
        <f t="shared" si="462"/>
        <v>Green</v>
      </c>
      <c r="W1427" t="str">
        <f t="shared" si="463"/>
        <v>Red</v>
      </c>
      <c r="X1427" t="str">
        <f t="shared" si="464"/>
        <v>Red</v>
      </c>
      <c r="Y1427" t="str">
        <f t="shared" si="465"/>
        <v>Green</v>
      </c>
      <c r="Z1427" t="str">
        <f t="shared" si="466"/>
        <v>Red</v>
      </c>
      <c r="AA1427" t="str">
        <f t="shared" si="467"/>
        <v>Green</v>
      </c>
      <c r="AB1427" t="str">
        <f t="shared" si="468"/>
        <v>Green</v>
      </c>
      <c r="AC1427" t="str">
        <f t="shared" si="469"/>
        <v>Green</v>
      </c>
      <c r="AD1427" t="str">
        <f t="shared" si="470"/>
        <v>Red</v>
      </c>
    </row>
    <row r="1428" spans="1:30" x14ac:dyDescent="0.2">
      <c r="A1428" t="str">
        <f>L1427&amp;F1428&amp;G1428</f>
        <v>25/07/2026Papai PerutzKiraly SZE</v>
      </c>
      <c r="D1428" s="2">
        <v>46228</v>
      </c>
      <c r="E1428" s="3">
        <v>0.64583333333333337</v>
      </c>
      <c r="F1428" t="s">
        <v>3348</v>
      </c>
      <c r="G1428" t="s">
        <v>3349</v>
      </c>
      <c r="H1428">
        <v>0</v>
      </c>
      <c r="I1428">
        <v>0</v>
      </c>
      <c r="J1428">
        <v>0</v>
      </c>
      <c r="K1428">
        <v>1</v>
      </c>
      <c r="L1428" s="22" t="str">
        <f t="shared" si="452"/>
        <v>25/07/2026</v>
      </c>
      <c r="M1428" s="23">
        <f t="shared" si="453"/>
        <v>0.52083333333333337</v>
      </c>
      <c r="N1428" t="str">
        <f t="shared" si="454"/>
        <v>0 - 1</v>
      </c>
      <c r="O1428" t="str">
        <f t="shared" si="455"/>
        <v>Red</v>
      </c>
      <c r="P1428" t="str">
        <f t="shared" si="456"/>
        <v>Red</v>
      </c>
      <c r="Q1428" t="str">
        <f t="shared" si="457"/>
        <v>Green</v>
      </c>
      <c r="R1428" t="str">
        <f t="shared" si="458"/>
        <v>Red</v>
      </c>
      <c r="S1428" t="str">
        <f t="shared" si="459"/>
        <v>Green</v>
      </c>
      <c r="T1428" t="str">
        <f t="shared" si="460"/>
        <v>Green</v>
      </c>
      <c r="U1428" t="str">
        <f t="shared" si="461"/>
        <v>Red</v>
      </c>
      <c r="V1428" t="str">
        <f t="shared" si="462"/>
        <v>Green</v>
      </c>
      <c r="W1428" t="str">
        <f t="shared" si="463"/>
        <v>Red</v>
      </c>
      <c r="X1428" t="str">
        <f t="shared" si="464"/>
        <v>Red</v>
      </c>
      <c r="Y1428" t="str">
        <f t="shared" si="465"/>
        <v>Red</v>
      </c>
      <c r="Z1428" t="str">
        <f t="shared" si="466"/>
        <v>Red</v>
      </c>
      <c r="AA1428" t="str">
        <f t="shared" si="467"/>
        <v>Green</v>
      </c>
      <c r="AB1428" t="str">
        <f t="shared" si="468"/>
        <v>Green</v>
      </c>
      <c r="AC1428" t="str">
        <f t="shared" si="469"/>
        <v>Red</v>
      </c>
      <c r="AD1428" t="str">
        <f t="shared" si="470"/>
        <v>Green</v>
      </c>
    </row>
    <row r="1429" spans="1:30" x14ac:dyDescent="0.2">
      <c r="A1429" t="str">
        <f>L1428&amp;F1429&amp;G1429</f>
        <v>25/07/2026TiszaujvarosOzd-Sajovolgye</v>
      </c>
      <c r="D1429" s="2">
        <v>46228</v>
      </c>
      <c r="E1429" s="3">
        <v>0.64583333333333337</v>
      </c>
      <c r="F1429" t="s">
        <v>3350</v>
      </c>
      <c r="G1429" t="s">
        <v>3351</v>
      </c>
      <c r="H1429">
        <v>0</v>
      </c>
      <c r="I1429">
        <v>0</v>
      </c>
      <c r="J1429">
        <v>0</v>
      </c>
      <c r="K1429">
        <v>1</v>
      </c>
      <c r="L1429" s="22" t="str">
        <f t="shared" si="452"/>
        <v>25/07/2026</v>
      </c>
      <c r="M1429" s="23">
        <f t="shared" si="453"/>
        <v>0.52083333333333337</v>
      </c>
      <c r="N1429" t="str">
        <f t="shared" si="454"/>
        <v>0 - 1</v>
      </c>
      <c r="O1429" t="str">
        <f t="shared" si="455"/>
        <v>Red</v>
      </c>
      <c r="P1429" t="str">
        <f t="shared" si="456"/>
        <v>Red</v>
      </c>
      <c r="Q1429" t="str">
        <f t="shared" si="457"/>
        <v>Green</v>
      </c>
      <c r="R1429" t="str">
        <f t="shared" si="458"/>
        <v>Red</v>
      </c>
      <c r="S1429" t="str">
        <f t="shared" si="459"/>
        <v>Green</v>
      </c>
      <c r="T1429" t="str">
        <f t="shared" si="460"/>
        <v>Green</v>
      </c>
      <c r="U1429" t="str">
        <f t="shared" si="461"/>
        <v>Red</v>
      </c>
      <c r="V1429" t="str">
        <f t="shared" si="462"/>
        <v>Green</v>
      </c>
      <c r="W1429" t="str">
        <f t="shared" si="463"/>
        <v>Red</v>
      </c>
      <c r="X1429" t="str">
        <f t="shared" si="464"/>
        <v>Red</v>
      </c>
      <c r="Y1429" t="str">
        <f t="shared" si="465"/>
        <v>Red</v>
      </c>
      <c r="Z1429" t="str">
        <f t="shared" si="466"/>
        <v>Red</v>
      </c>
      <c r="AA1429" t="str">
        <f t="shared" si="467"/>
        <v>Green</v>
      </c>
      <c r="AB1429" t="str">
        <f t="shared" si="468"/>
        <v>Green</v>
      </c>
      <c r="AC1429" t="str">
        <f t="shared" si="469"/>
        <v>Red</v>
      </c>
      <c r="AD1429" t="str">
        <f t="shared" si="470"/>
        <v>Green</v>
      </c>
    </row>
    <row r="1430" spans="1:30" x14ac:dyDescent="0.2">
      <c r="A1430" t="str">
        <f>L1429&amp;F1430&amp;G1430</f>
        <v>25/07/2026Leevon PPKSkanstes SK</v>
      </c>
      <c r="D1430" s="2">
        <v>46228</v>
      </c>
      <c r="E1430" s="3">
        <v>0.64583333333333337</v>
      </c>
      <c r="F1430" t="s">
        <v>3398</v>
      </c>
      <c r="G1430" t="s">
        <v>3399</v>
      </c>
      <c r="H1430">
        <v>1</v>
      </c>
      <c r="I1430">
        <v>1</v>
      </c>
      <c r="J1430">
        <v>2</v>
      </c>
      <c r="K1430">
        <v>1</v>
      </c>
      <c r="L1430" s="22" t="str">
        <f t="shared" si="452"/>
        <v>25/07/2026</v>
      </c>
      <c r="M1430" s="23">
        <f t="shared" si="453"/>
        <v>0.52083333333333337</v>
      </c>
      <c r="N1430" t="str">
        <f t="shared" si="454"/>
        <v>2 - 1</v>
      </c>
      <c r="O1430" t="str">
        <f t="shared" si="455"/>
        <v>Green</v>
      </c>
      <c r="P1430" t="str">
        <f t="shared" si="456"/>
        <v>Red</v>
      </c>
      <c r="Q1430" t="str">
        <f t="shared" si="457"/>
        <v>Red</v>
      </c>
      <c r="R1430" t="str">
        <f t="shared" si="458"/>
        <v>Green</v>
      </c>
      <c r="S1430" t="str">
        <f t="shared" si="459"/>
        <v>Red</v>
      </c>
      <c r="T1430" t="str">
        <f t="shared" si="460"/>
        <v>Green</v>
      </c>
      <c r="U1430" t="str">
        <f t="shared" si="461"/>
        <v>Red</v>
      </c>
      <c r="V1430" t="str">
        <f t="shared" si="462"/>
        <v>Green</v>
      </c>
      <c r="W1430" t="str">
        <f t="shared" si="463"/>
        <v>Red</v>
      </c>
      <c r="X1430" t="str">
        <f t="shared" si="464"/>
        <v>Green</v>
      </c>
      <c r="Y1430" t="str">
        <f t="shared" si="465"/>
        <v>Green</v>
      </c>
      <c r="Z1430" t="str">
        <f t="shared" si="466"/>
        <v>Green</v>
      </c>
      <c r="AA1430" t="str">
        <f t="shared" si="467"/>
        <v>Red</v>
      </c>
      <c r="AB1430" t="str">
        <f t="shared" si="468"/>
        <v>Green</v>
      </c>
      <c r="AC1430" t="str">
        <f t="shared" si="469"/>
        <v>Green</v>
      </c>
      <c r="AD1430" t="str">
        <f t="shared" si="470"/>
        <v>Red</v>
      </c>
    </row>
    <row r="1431" spans="1:30" x14ac:dyDescent="0.2">
      <c r="A1431" t="str">
        <f>L1430&amp;F1431&amp;G1431</f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52"/>
        <v>25/07/2026</v>
      </c>
      <c r="M1431" s="23">
        <f t="shared" si="453"/>
        <v>0.52083333333333337</v>
      </c>
      <c r="N1431" t="str">
        <f t="shared" si="454"/>
        <v>2 - 0</v>
      </c>
      <c r="O1431" t="str">
        <f t="shared" si="455"/>
        <v>Green</v>
      </c>
      <c r="P1431" t="str">
        <f t="shared" si="456"/>
        <v>Red</v>
      </c>
      <c r="Q1431" t="str">
        <f t="shared" si="457"/>
        <v>Red</v>
      </c>
      <c r="R1431" t="str">
        <f t="shared" si="458"/>
        <v>Green</v>
      </c>
      <c r="S1431" t="str">
        <f t="shared" si="459"/>
        <v>Red</v>
      </c>
      <c r="T1431" t="str">
        <f t="shared" si="460"/>
        <v>Green</v>
      </c>
      <c r="U1431" t="str">
        <f t="shared" si="461"/>
        <v>Red</v>
      </c>
      <c r="V1431" t="str">
        <f t="shared" si="462"/>
        <v>Green</v>
      </c>
      <c r="W1431" t="str">
        <f t="shared" si="463"/>
        <v>Red</v>
      </c>
      <c r="X1431" t="str">
        <f t="shared" si="464"/>
        <v>Red</v>
      </c>
      <c r="Y1431" t="str">
        <f t="shared" si="465"/>
        <v>Green</v>
      </c>
      <c r="Z1431" t="str">
        <f t="shared" si="466"/>
        <v>Red</v>
      </c>
      <c r="AA1431" t="str">
        <f t="shared" si="467"/>
        <v>Green</v>
      </c>
      <c r="AB1431" t="str">
        <f t="shared" si="468"/>
        <v>Green</v>
      </c>
      <c r="AC1431" t="str">
        <f t="shared" si="469"/>
        <v>Red</v>
      </c>
      <c r="AD1431" t="str">
        <f t="shared" si="470"/>
        <v>Green</v>
      </c>
    </row>
    <row r="1432" spans="1:30" x14ac:dyDescent="0.2">
      <c r="A1432" t="str">
        <f>L1431&amp;F1432&amp;G1432</f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3539</v>
      </c>
      <c r="H1432">
        <v>0</v>
      </c>
      <c r="I1432">
        <v>1</v>
      </c>
      <c r="J1432">
        <v>2</v>
      </c>
      <c r="K1432">
        <v>1</v>
      </c>
      <c r="L1432" s="22" t="str">
        <f t="shared" si="452"/>
        <v>25/07/2026</v>
      </c>
      <c r="M1432" s="23">
        <f t="shared" si="453"/>
        <v>0.52083333333333337</v>
      </c>
      <c r="N1432" t="str">
        <f t="shared" si="454"/>
        <v>2 - 1</v>
      </c>
      <c r="O1432" t="str">
        <f t="shared" si="455"/>
        <v>Green</v>
      </c>
      <c r="P1432" t="str">
        <f t="shared" si="456"/>
        <v>Red</v>
      </c>
      <c r="Q1432" t="str">
        <f t="shared" si="457"/>
        <v>Red</v>
      </c>
      <c r="R1432" t="str">
        <f t="shared" si="458"/>
        <v>Green</v>
      </c>
      <c r="S1432" t="str">
        <f t="shared" si="459"/>
        <v>Red</v>
      </c>
      <c r="T1432" t="str">
        <f t="shared" si="460"/>
        <v>Green</v>
      </c>
      <c r="U1432" t="str">
        <f t="shared" si="461"/>
        <v>Red</v>
      </c>
      <c r="V1432" t="str">
        <f t="shared" si="462"/>
        <v>Red</v>
      </c>
      <c r="W1432" t="str">
        <f t="shared" si="463"/>
        <v>Green</v>
      </c>
      <c r="X1432" t="str">
        <f t="shared" si="464"/>
        <v>Green</v>
      </c>
      <c r="Y1432" t="str">
        <f t="shared" si="465"/>
        <v>Green</v>
      </c>
      <c r="Z1432" t="str">
        <f t="shared" si="466"/>
        <v>Green</v>
      </c>
      <c r="AA1432" t="str">
        <f t="shared" si="467"/>
        <v>Red</v>
      </c>
      <c r="AB1432" t="str">
        <f t="shared" si="468"/>
        <v>Green</v>
      </c>
      <c r="AC1432" t="str">
        <f t="shared" si="469"/>
        <v>Green</v>
      </c>
      <c r="AD1432" t="str">
        <f t="shared" si="470"/>
        <v>Red</v>
      </c>
    </row>
    <row r="1433" spans="1:30" x14ac:dyDescent="0.2">
      <c r="A1433" t="str">
        <f>L1432&amp;F1433&amp;G1433</f>
        <v>25/07/2026Radnicki NisCukaricki</v>
      </c>
      <c r="D1433" s="2">
        <v>46228</v>
      </c>
      <c r="E1433" s="3">
        <v>0.64583333333333337</v>
      </c>
      <c r="F1433" t="s">
        <v>3617</v>
      </c>
      <c r="G1433" t="s">
        <v>3618</v>
      </c>
      <c r="H1433">
        <v>0</v>
      </c>
      <c r="I1433">
        <v>2</v>
      </c>
      <c r="J1433">
        <v>0</v>
      </c>
      <c r="K1433">
        <v>2</v>
      </c>
      <c r="L1433" s="22" t="str">
        <f t="shared" si="452"/>
        <v>25/07/2026</v>
      </c>
      <c r="M1433" s="23">
        <f t="shared" si="453"/>
        <v>0.52083333333333337</v>
      </c>
      <c r="N1433" t="str">
        <f t="shared" si="454"/>
        <v>0 - 2</v>
      </c>
      <c r="O1433" t="str">
        <f t="shared" si="455"/>
        <v>Red</v>
      </c>
      <c r="P1433" t="str">
        <f t="shared" si="456"/>
        <v>Red</v>
      </c>
      <c r="Q1433" t="str">
        <f t="shared" si="457"/>
        <v>Green</v>
      </c>
      <c r="R1433" t="str">
        <f t="shared" si="458"/>
        <v>Red</v>
      </c>
      <c r="S1433" t="str">
        <f t="shared" si="459"/>
        <v>Green</v>
      </c>
      <c r="T1433" t="str">
        <f t="shared" si="460"/>
        <v>Green</v>
      </c>
      <c r="U1433" t="str">
        <f t="shared" si="461"/>
        <v>Red</v>
      </c>
      <c r="V1433" t="str">
        <f t="shared" si="462"/>
        <v>Red</v>
      </c>
      <c r="W1433" t="str">
        <f t="shared" si="463"/>
        <v>Green</v>
      </c>
      <c r="X1433" t="str">
        <f t="shared" si="464"/>
        <v>Green</v>
      </c>
      <c r="Y1433" t="str">
        <f t="shared" si="465"/>
        <v>Green</v>
      </c>
      <c r="Z1433" t="str">
        <f t="shared" si="466"/>
        <v>Red</v>
      </c>
      <c r="AA1433" t="str">
        <f t="shared" si="467"/>
        <v>Green</v>
      </c>
      <c r="AB1433" t="str">
        <f t="shared" si="468"/>
        <v>Green</v>
      </c>
      <c r="AC1433" t="str">
        <f t="shared" si="469"/>
        <v>Red</v>
      </c>
      <c r="AD1433" t="str">
        <f t="shared" si="470"/>
        <v>Green</v>
      </c>
    </row>
    <row r="1434" spans="1:30" x14ac:dyDescent="0.2">
      <c r="A1434" t="str">
        <f>L1433&amp;F1434&amp;G1434</f>
        <v>25/07/20261922 KonyasporHull City</v>
      </c>
      <c r="D1434" s="2">
        <v>46228</v>
      </c>
      <c r="E1434" s="3">
        <v>0.64583333333333337</v>
      </c>
      <c r="F1434" t="s">
        <v>3950</v>
      </c>
      <c r="G1434" t="s">
        <v>3951</v>
      </c>
      <c r="H1434">
        <v>0</v>
      </c>
      <c r="I1434">
        <v>1</v>
      </c>
      <c r="J1434">
        <v>0</v>
      </c>
      <c r="K1434">
        <v>3</v>
      </c>
      <c r="L1434" s="22" t="str">
        <f t="shared" si="452"/>
        <v>25/07/2026</v>
      </c>
      <c r="M1434" s="23">
        <f t="shared" si="453"/>
        <v>0.52083333333333337</v>
      </c>
      <c r="N1434" t="str">
        <f t="shared" si="454"/>
        <v>0 - 3</v>
      </c>
      <c r="O1434" t="str">
        <f t="shared" si="455"/>
        <v>Red</v>
      </c>
      <c r="P1434" t="str">
        <f t="shared" si="456"/>
        <v>Red</v>
      </c>
      <c r="Q1434" t="str">
        <f t="shared" si="457"/>
        <v>Green</v>
      </c>
      <c r="R1434" t="str">
        <f t="shared" si="458"/>
        <v>Red</v>
      </c>
      <c r="S1434" t="str">
        <f t="shared" si="459"/>
        <v>Green</v>
      </c>
      <c r="T1434" t="str">
        <f t="shared" si="460"/>
        <v>Green</v>
      </c>
      <c r="U1434" t="str">
        <f t="shared" si="461"/>
        <v>Red</v>
      </c>
      <c r="V1434" t="str">
        <f t="shared" si="462"/>
        <v>Red</v>
      </c>
      <c r="W1434" t="str">
        <f t="shared" si="463"/>
        <v>Green</v>
      </c>
      <c r="X1434" t="str">
        <f t="shared" si="464"/>
        <v>Green</v>
      </c>
      <c r="Y1434" t="str">
        <f t="shared" si="465"/>
        <v>Green</v>
      </c>
      <c r="Z1434" t="str">
        <f t="shared" si="466"/>
        <v>Green</v>
      </c>
      <c r="AA1434" t="str">
        <f t="shared" si="467"/>
        <v>Red</v>
      </c>
      <c r="AB1434" t="str">
        <f t="shared" si="468"/>
        <v>Green</v>
      </c>
      <c r="AC1434" t="str">
        <f t="shared" si="469"/>
        <v>Red</v>
      </c>
      <c r="AD1434" t="str">
        <f t="shared" si="470"/>
        <v>Green</v>
      </c>
    </row>
    <row r="1435" spans="1:30" x14ac:dyDescent="0.2">
      <c r="A1435" t="str">
        <f>L1434&amp;F1435&amp;G1435</f>
        <v>25/07/2026Torku KonyasporHull City</v>
      </c>
      <c r="D1435" s="2">
        <v>46228</v>
      </c>
      <c r="E1435" s="3">
        <v>0.64583333333333337</v>
      </c>
      <c r="F1435" t="s">
        <v>3952</v>
      </c>
      <c r="G1435" t="s">
        <v>3951</v>
      </c>
      <c r="H1435">
        <v>0</v>
      </c>
      <c r="I1435">
        <v>1</v>
      </c>
      <c r="J1435">
        <v>0</v>
      </c>
      <c r="K1435">
        <v>3</v>
      </c>
      <c r="L1435" s="22" t="str">
        <f t="shared" si="452"/>
        <v>25/07/2026</v>
      </c>
      <c r="M1435" s="23">
        <f t="shared" si="453"/>
        <v>0.52083333333333337</v>
      </c>
      <c r="N1435" t="str">
        <f t="shared" si="454"/>
        <v>0 - 3</v>
      </c>
      <c r="O1435" t="str">
        <f t="shared" si="455"/>
        <v>Red</v>
      </c>
      <c r="P1435" t="str">
        <f t="shared" si="456"/>
        <v>Red</v>
      </c>
      <c r="Q1435" t="str">
        <f t="shared" si="457"/>
        <v>Green</v>
      </c>
      <c r="R1435" t="str">
        <f t="shared" si="458"/>
        <v>Red</v>
      </c>
      <c r="S1435" t="str">
        <f t="shared" si="459"/>
        <v>Green</v>
      </c>
      <c r="T1435" t="str">
        <f t="shared" si="460"/>
        <v>Green</v>
      </c>
      <c r="U1435" t="str">
        <f t="shared" si="461"/>
        <v>Red</v>
      </c>
      <c r="V1435" t="str">
        <f t="shared" si="462"/>
        <v>Red</v>
      </c>
      <c r="W1435" t="str">
        <f t="shared" si="463"/>
        <v>Green</v>
      </c>
      <c r="X1435" t="str">
        <f t="shared" si="464"/>
        <v>Green</v>
      </c>
      <c r="Y1435" t="str">
        <f t="shared" si="465"/>
        <v>Green</v>
      </c>
      <c r="Z1435" t="str">
        <f t="shared" si="466"/>
        <v>Green</v>
      </c>
      <c r="AA1435" t="str">
        <f t="shared" si="467"/>
        <v>Red</v>
      </c>
      <c r="AB1435" t="str">
        <f t="shared" si="468"/>
        <v>Green</v>
      </c>
      <c r="AC1435" t="str">
        <f t="shared" si="469"/>
        <v>Red</v>
      </c>
      <c r="AD1435" t="str">
        <f t="shared" si="470"/>
        <v>Green</v>
      </c>
    </row>
    <row r="1436" spans="1:30" x14ac:dyDescent="0.2">
      <c r="A1436" t="str">
        <f>L1435&amp;F1436&amp;G1436</f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3953</v>
      </c>
      <c r="H1436">
        <v>0</v>
      </c>
      <c r="I1436">
        <v>0</v>
      </c>
      <c r="J1436">
        <v>1</v>
      </c>
      <c r="K1436">
        <v>1</v>
      </c>
      <c r="L1436" s="22" t="str">
        <f t="shared" si="452"/>
        <v>25/07/2026</v>
      </c>
      <c r="M1436" s="23">
        <f t="shared" si="453"/>
        <v>0.52083333333333337</v>
      </c>
      <c r="N1436" t="str">
        <f t="shared" si="454"/>
        <v>1 - 1</v>
      </c>
      <c r="O1436" t="str">
        <f t="shared" si="455"/>
        <v>Red</v>
      </c>
      <c r="P1436" t="str">
        <f t="shared" si="456"/>
        <v>Green</v>
      </c>
      <c r="Q1436" t="str">
        <f t="shared" si="457"/>
        <v>Red</v>
      </c>
      <c r="R1436" t="str">
        <f t="shared" si="458"/>
        <v>Green</v>
      </c>
      <c r="S1436" t="str">
        <f t="shared" si="459"/>
        <v>Green</v>
      </c>
      <c r="T1436" t="str">
        <f t="shared" si="460"/>
        <v>Red</v>
      </c>
      <c r="U1436" t="str">
        <f t="shared" si="461"/>
        <v>Red</v>
      </c>
      <c r="V1436" t="str">
        <f t="shared" si="462"/>
        <v>Green</v>
      </c>
      <c r="W1436" t="str">
        <f t="shared" si="463"/>
        <v>Red</v>
      </c>
      <c r="X1436" t="str">
        <f t="shared" si="464"/>
        <v>Red</v>
      </c>
      <c r="Y1436" t="str">
        <f t="shared" si="465"/>
        <v>Green</v>
      </c>
      <c r="Z1436" t="str">
        <f t="shared" si="466"/>
        <v>Red</v>
      </c>
      <c r="AA1436" t="str">
        <f t="shared" si="467"/>
        <v>Green</v>
      </c>
      <c r="AB1436" t="str">
        <f t="shared" si="468"/>
        <v>Green</v>
      </c>
      <c r="AC1436" t="str">
        <f t="shared" si="469"/>
        <v>Green</v>
      </c>
      <c r="AD1436" t="str">
        <f t="shared" si="470"/>
        <v>Red</v>
      </c>
    </row>
    <row r="1437" spans="1:30" x14ac:dyDescent="0.2">
      <c r="A1437" t="str">
        <f>L1436&amp;F1437&amp;G1437</f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3954</v>
      </c>
      <c r="H1437">
        <v>1</v>
      </c>
      <c r="I1437">
        <v>0</v>
      </c>
      <c r="J1437">
        <v>1</v>
      </c>
      <c r="K1437">
        <v>0</v>
      </c>
      <c r="L1437" s="22" t="str">
        <f t="shared" si="452"/>
        <v>25/07/2026</v>
      </c>
      <c r="M1437" s="23">
        <f t="shared" si="453"/>
        <v>0.52083333333333337</v>
      </c>
      <c r="N1437" t="str">
        <f t="shared" si="454"/>
        <v>1 - 0</v>
      </c>
      <c r="O1437" t="str">
        <f t="shared" si="455"/>
        <v>Green</v>
      </c>
      <c r="P1437" t="str">
        <f t="shared" si="456"/>
        <v>Red</v>
      </c>
      <c r="Q1437" t="str">
        <f t="shared" si="457"/>
        <v>Red</v>
      </c>
      <c r="R1437" t="str">
        <f t="shared" si="458"/>
        <v>Green</v>
      </c>
      <c r="S1437" t="str">
        <f t="shared" si="459"/>
        <v>Red</v>
      </c>
      <c r="T1437" t="str">
        <f t="shared" si="460"/>
        <v>Green</v>
      </c>
      <c r="U1437" t="str">
        <f t="shared" si="461"/>
        <v>Green</v>
      </c>
      <c r="V1437" t="str">
        <f t="shared" si="462"/>
        <v>Red</v>
      </c>
      <c r="W1437" t="str">
        <f t="shared" si="463"/>
        <v>Red</v>
      </c>
      <c r="X1437" t="str">
        <f t="shared" si="464"/>
        <v>Green</v>
      </c>
      <c r="Y1437" t="str">
        <f t="shared" si="465"/>
        <v>Red</v>
      </c>
      <c r="Z1437" t="str">
        <f t="shared" si="466"/>
        <v>Red</v>
      </c>
      <c r="AA1437" t="str">
        <f t="shared" si="467"/>
        <v>Green</v>
      </c>
      <c r="AB1437" t="str">
        <f t="shared" si="468"/>
        <v>Green</v>
      </c>
      <c r="AC1437" t="str">
        <f t="shared" si="469"/>
        <v>Red</v>
      </c>
      <c r="AD1437" t="str">
        <f t="shared" si="470"/>
        <v>Green</v>
      </c>
    </row>
    <row r="1438" spans="1:30" x14ac:dyDescent="0.2">
      <c r="A1438" t="str">
        <f>L1437&amp;F1438&amp;G1438</f>
        <v>25/07/2026Sportivo Dock SudCSD Liniers</v>
      </c>
      <c r="B1438" t="s">
        <v>806</v>
      </c>
      <c r="C1438" t="s">
        <v>2771</v>
      </c>
      <c r="D1438" s="2">
        <v>46228</v>
      </c>
      <c r="E1438" s="3">
        <v>0.66666666666666663</v>
      </c>
      <c r="F1438" t="s">
        <v>2772</v>
      </c>
      <c r="G1438" t="s">
        <v>2773</v>
      </c>
      <c r="H1438">
        <v>0</v>
      </c>
      <c r="I1438">
        <v>1</v>
      </c>
      <c r="J1438">
        <v>1</v>
      </c>
      <c r="K1438">
        <v>1</v>
      </c>
      <c r="L1438" s="22" t="str">
        <f t="shared" si="452"/>
        <v>25/07/2026</v>
      </c>
      <c r="M1438" s="23">
        <f t="shared" si="453"/>
        <v>0.54166666666666663</v>
      </c>
      <c r="N1438" t="str">
        <f t="shared" si="454"/>
        <v>1 - 1</v>
      </c>
      <c r="O1438" t="str">
        <f t="shared" si="455"/>
        <v>Red</v>
      </c>
      <c r="P1438" t="str">
        <f t="shared" si="456"/>
        <v>Green</v>
      </c>
      <c r="Q1438" t="str">
        <f t="shared" si="457"/>
        <v>Red</v>
      </c>
      <c r="R1438" t="str">
        <f t="shared" si="458"/>
        <v>Green</v>
      </c>
      <c r="S1438" t="str">
        <f t="shared" si="459"/>
        <v>Green</v>
      </c>
      <c r="T1438" t="str">
        <f t="shared" si="460"/>
        <v>Red</v>
      </c>
      <c r="U1438" t="str">
        <f t="shared" si="461"/>
        <v>Red</v>
      </c>
      <c r="V1438" t="str">
        <f t="shared" si="462"/>
        <v>Red</v>
      </c>
      <c r="W1438" t="str">
        <f t="shared" si="463"/>
        <v>Green</v>
      </c>
      <c r="X1438" t="str">
        <f t="shared" si="464"/>
        <v>Green</v>
      </c>
      <c r="Y1438" t="str">
        <f t="shared" si="465"/>
        <v>Green</v>
      </c>
      <c r="Z1438" t="str">
        <f t="shared" si="466"/>
        <v>Red</v>
      </c>
      <c r="AA1438" t="str">
        <f t="shared" si="467"/>
        <v>Green</v>
      </c>
      <c r="AB1438" t="str">
        <f t="shared" si="468"/>
        <v>Green</v>
      </c>
      <c r="AC1438" t="str">
        <f t="shared" si="469"/>
        <v>Green</v>
      </c>
      <c r="AD1438" t="str">
        <f t="shared" si="470"/>
        <v>Red</v>
      </c>
    </row>
    <row r="1439" spans="1:30" x14ac:dyDescent="0.2">
      <c r="A1439" t="str">
        <f>L1438&amp;F1439&amp;G1439</f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52"/>
        <v>25/07/2026</v>
      </c>
      <c r="M1439" s="23">
        <f t="shared" si="453"/>
        <v>0.54166666666666663</v>
      </c>
      <c r="N1439" t="str">
        <f t="shared" si="454"/>
        <v>0 - 1</v>
      </c>
      <c r="O1439" t="str">
        <f t="shared" si="455"/>
        <v>Red</v>
      </c>
      <c r="P1439" t="str">
        <f t="shared" si="456"/>
        <v>Red</v>
      </c>
      <c r="Q1439" t="str">
        <f t="shared" si="457"/>
        <v>Green</v>
      </c>
      <c r="R1439" t="str">
        <f t="shared" si="458"/>
        <v>Red</v>
      </c>
      <c r="S1439" t="str">
        <f t="shared" si="459"/>
        <v>Green</v>
      </c>
      <c r="T1439" t="str">
        <f t="shared" si="460"/>
        <v>Green</v>
      </c>
      <c r="U1439" t="str">
        <f t="shared" si="461"/>
        <v>Red</v>
      </c>
      <c r="V1439" t="str">
        <f t="shared" si="462"/>
        <v>Red</v>
      </c>
      <c r="W1439" t="str">
        <f t="shared" si="463"/>
        <v>Green</v>
      </c>
      <c r="X1439" t="str">
        <f t="shared" si="464"/>
        <v>Green</v>
      </c>
      <c r="Y1439" t="str">
        <f t="shared" si="465"/>
        <v>Red</v>
      </c>
      <c r="Z1439" t="str">
        <f t="shared" si="466"/>
        <v>Red</v>
      </c>
      <c r="AA1439" t="str">
        <f t="shared" si="467"/>
        <v>Green</v>
      </c>
      <c r="AB1439" t="str">
        <f t="shared" si="468"/>
        <v>Green</v>
      </c>
      <c r="AC1439" t="str">
        <f t="shared" si="469"/>
        <v>Red</v>
      </c>
      <c r="AD1439" t="str">
        <f t="shared" si="470"/>
        <v>Green</v>
      </c>
    </row>
    <row r="1440" spans="1:30" x14ac:dyDescent="0.2">
      <c r="A1440" t="str">
        <f>L1439&amp;F1440&amp;G1440</f>
        <v>25/07/2026OberwartRed Bull Salzburg</v>
      </c>
      <c r="D1440" s="2">
        <v>46228</v>
      </c>
      <c r="E1440" s="3">
        <v>0.66666666666666663</v>
      </c>
      <c r="F1440" t="s">
        <v>3017</v>
      </c>
      <c r="G1440" t="s">
        <v>3018</v>
      </c>
      <c r="H1440">
        <v>1</v>
      </c>
      <c r="I1440">
        <v>3</v>
      </c>
      <c r="J1440">
        <v>1</v>
      </c>
      <c r="K1440">
        <v>7</v>
      </c>
      <c r="L1440" s="22" t="str">
        <f t="shared" si="452"/>
        <v>25/07/2026</v>
      </c>
      <c r="M1440" s="23">
        <f t="shared" si="453"/>
        <v>0.54166666666666663</v>
      </c>
      <c r="N1440" t="str">
        <f t="shared" si="454"/>
        <v>1 - 7</v>
      </c>
      <c r="O1440" t="str">
        <f t="shared" si="455"/>
        <v>Red</v>
      </c>
      <c r="P1440" t="str">
        <f t="shared" si="456"/>
        <v>Red</v>
      </c>
      <c r="Q1440" t="str">
        <f t="shared" si="457"/>
        <v>Green</v>
      </c>
      <c r="R1440" t="str">
        <f t="shared" si="458"/>
        <v>Red</v>
      </c>
      <c r="S1440" t="str">
        <f t="shared" si="459"/>
        <v>Green</v>
      </c>
      <c r="T1440" t="str">
        <f t="shared" si="460"/>
        <v>Green</v>
      </c>
      <c r="U1440" t="str">
        <f t="shared" si="461"/>
        <v>Red</v>
      </c>
      <c r="V1440" t="str">
        <f t="shared" si="462"/>
        <v>Red</v>
      </c>
      <c r="W1440" t="str">
        <f t="shared" si="463"/>
        <v>Green</v>
      </c>
      <c r="X1440" t="str">
        <f t="shared" si="464"/>
        <v>Green</v>
      </c>
      <c r="Y1440" t="str">
        <f t="shared" si="465"/>
        <v>Green</v>
      </c>
      <c r="Z1440" t="str">
        <f t="shared" si="466"/>
        <v>Green</v>
      </c>
      <c r="AA1440" t="str">
        <f t="shared" si="467"/>
        <v>Red</v>
      </c>
      <c r="AB1440" t="str">
        <f t="shared" si="468"/>
        <v>Red</v>
      </c>
      <c r="AC1440" t="str">
        <f t="shared" si="469"/>
        <v>Green</v>
      </c>
      <c r="AD1440" t="str">
        <f t="shared" si="470"/>
        <v>Red</v>
      </c>
    </row>
    <row r="1441" spans="1:30" x14ac:dyDescent="0.2">
      <c r="A1441" t="str">
        <f>L1440&amp;F1441&amp;G1441</f>
        <v>25/07/2026SC KalsdorfLASK Linz</v>
      </c>
      <c r="D1441" s="2">
        <v>46228</v>
      </c>
      <c r="E1441" s="3">
        <v>0.66666666666666663</v>
      </c>
      <c r="F1441" t="s">
        <v>3019</v>
      </c>
      <c r="G1441" t="s">
        <v>3020</v>
      </c>
      <c r="H1441">
        <v>0</v>
      </c>
      <c r="I1441">
        <v>1</v>
      </c>
      <c r="J1441">
        <v>0</v>
      </c>
      <c r="K1441">
        <v>7</v>
      </c>
      <c r="L1441" s="22" t="str">
        <f t="shared" si="452"/>
        <v>25/07/2026</v>
      </c>
      <c r="M1441" s="23">
        <f t="shared" si="453"/>
        <v>0.54166666666666663</v>
      </c>
      <c r="N1441" t="str">
        <f t="shared" si="454"/>
        <v>0 - 7</v>
      </c>
      <c r="O1441" t="str">
        <f t="shared" si="455"/>
        <v>Red</v>
      </c>
      <c r="P1441" t="str">
        <f t="shared" si="456"/>
        <v>Red</v>
      </c>
      <c r="Q1441" t="str">
        <f t="shared" si="457"/>
        <v>Green</v>
      </c>
      <c r="R1441" t="str">
        <f t="shared" si="458"/>
        <v>Red</v>
      </c>
      <c r="S1441" t="str">
        <f t="shared" si="459"/>
        <v>Green</v>
      </c>
      <c r="T1441" t="str">
        <f t="shared" si="460"/>
        <v>Green</v>
      </c>
      <c r="U1441" t="str">
        <f t="shared" si="461"/>
        <v>Red</v>
      </c>
      <c r="V1441" t="str">
        <f t="shared" si="462"/>
        <v>Red</v>
      </c>
      <c r="W1441" t="str">
        <f t="shared" si="463"/>
        <v>Green</v>
      </c>
      <c r="X1441" t="str">
        <f t="shared" si="464"/>
        <v>Green</v>
      </c>
      <c r="Y1441" t="str">
        <f t="shared" si="465"/>
        <v>Green</v>
      </c>
      <c r="Z1441" t="str">
        <f t="shared" si="466"/>
        <v>Green</v>
      </c>
      <c r="AA1441" t="str">
        <f t="shared" si="467"/>
        <v>Red</v>
      </c>
      <c r="AB1441" t="str">
        <f t="shared" si="468"/>
        <v>Red</v>
      </c>
      <c r="AC1441" t="str">
        <f t="shared" si="469"/>
        <v>Red</v>
      </c>
      <c r="AD1441" t="str">
        <f t="shared" si="470"/>
        <v>Green</v>
      </c>
    </row>
    <row r="1442" spans="1:30" x14ac:dyDescent="0.2">
      <c r="A1442" t="str">
        <f>L1441&amp;F1442&amp;G1442</f>
        <v>25/07/2026VFB HohenemsWSC Hertha Wels</v>
      </c>
      <c r="D1442" s="2">
        <v>46228</v>
      </c>
      <c r="E1442" s="3">
        <v>0.66666666666666663</v>
      </c>
      <c r="F1442" t="s">
        <v>3021</v>
      </c>
      <c r="G1442" t="s">
        <v>3022</v>
      </c>
      <c r="H1442">
        <v>1</v>
      </c>
      <c r="I1442">
        <v>2</v>
      </c>
      <c r="J1442">
        <v>1</v>
      </c>
      <c r="K1442">
        <v>2</v>
      </c>
      <c r="L1442" s="22" t="str">
        <f t="shared" si="452"/>
        <v>25/07/2026</v>
      </c>
      <c r="M1442" s="23">
        <f t="shared" si="453"/>
        <v>0.54166666666666663</v>
      </c>
      <c r="N1442" t="str">
        <f t="shared" si="454"/>
        <v>1 - 2</v>
      </c>
      <c r="O1442" t="str">
        <f t="shared" si="455"/>
        <v>Red</v>
      </c>
      <c r="P1442" t="str">
        <f t="shared" si="456"/>
        <v>Red</v>
      </c>
      <c r="Q1442" t="str">
        <f t="shared" si="457"/>
        <v>Green</v>
      </c>
      <c r="R1442" t="str">
        <f t="shared" si="458"/>
        <v>Red</v>
      </c>
      <c r="S1442" t="str">
        <f t="shared" si="459"/>
        <v>Green</v>
      </c>
      <c r="T1442" t="str">
        <f t="shared" si="460"/>
        <v>Green</v>
      </c>
      <c r="U1442" t="str">
        <f t="shared" si="461"/>
        <v>Red</v>
      </c>
      <c r="V1442" t="str">
        <f t="shared" si="462"/>
        <v>Red</v>
      </c>
      <c r="W1442" t="str">
        <f t="shared" si="463"/>
        <v>Green</v>
      </c>
      <c r="X1442" t="str">
        <f t="shared" si="464"/>
        <v>Green</v>
      </c>
      <c r="Y1442" t="str">
        <f t="shared" si="465"/>
        <v>Green</v>
      </c>
      <c r="Z1442" t="str">
        <f t="shared" si="466"/>
        <v>Green</v>
      </c>
      <c r="AA1442" t="str">
        <f t="shared" si="467"/>
        <v>Red</v>
      </c>
      <c r="AB1442" t="str">
        <f t="shared" si="468"/>
        <v>Green</v>
      </c>
      <c r="AC1442" t="str">
        <f t="shared" si="469"/>
        <v>Green</v>
      </c>
      <c r="AD1442" t="str">
        <f t="shared" si="470"/>
        <v>Red</v>
      </c>
    </row>
    <row r="1443" spans="1:30" x14ac:dyDescent="0.2">
      <c r="A1443" t="str">
        <f>L1442&amp;F1443&amp;G1443</f>
        <v>25/07/2026Vortuna Bad LeonfeldenBregenz</v>
      </c>
      <c r="D1443" s="2">
        <v>46228</v>
      </c>
      <c r="E1443" s="3">
        <v>0.66666666666666663</v>
      </c>
      <c r="F1443" t="s">
        <v>3023</v>
      </c>
      <c r="G1443" t="s">
        <v>3024</v>
      </c>
      <c r="H1443">
        <v>0</v>
      </c>
      <c r="I1443">
        <v>3</v>
      </c>
      <c r="J1443">
        <v>0</v>
      </c>
      <c r="K1443">
        <v>5</v>
      </c>
      <c r="L1443" s="22" t="str">
        <f t="shared" si="452"/>
        <v>25/07/2026</v>
      </c>
      <c r="M1443" s="23">
        <f t="shared" si="453"/>
        <v>0.54166666666666663</v>
      </c>
      <c r="N1443" t="str">
        <f t="shared" si="454"/>
        <v>0 - 5</v>
      </c>
      <c r="O1443" t="str">
        <f t="shared" si="455"/>
        <v>Red</v>
      </c>
      <c r="P1443" t="str">
        <f t="shared" si="456"/>
        <v>Red</v>
      </c>
      <c r="Q1443" t="str">
        <f t="shared" si="457"/>
        <v>Green</v>
      </c>
      <c r="R1443" t="str">
        <f t="shared" si="458"/>
        <v>Red</v>
      </c>
      <c r="S1443" t="str">
        <f t="shared" si="459"/>
        <v>Green</v>
      </c>
      <c r="T1443" t="str">
        <f t="shared" si="460"/>
        <v>Green</v>
      </c>
      <c r="U1443" t="str">
        <f t="shared" si="461"/>
        <v>Red</v>
      </c>
      <c r="V1443" t="str">
        <f t="shared" si="462"/>
        <v>Red</v>
      </c>
      <c r="W1443" t="str">
        <f t="shared" si="463"/>
        <v>Green</v>
      </c>
      <c r="X1443" t="str">
        <f t="shared" si="464"/>
        <v>Green</v>
      </c>
      <c r="Y1443" t="str">
        <f t="shared" si="465"/>
        <v>Green</v>
      </c>
      <c r="Z1443" t="str">
        <f t="shared" si="466"/>
        <v>Green</v>
      </c>
      <c r="AA1443" t="str">
        <f t="shared" si="467"/>
        <v>Red</v>
      </c>
      <c r="AB1443" t="str">
        <f t="shared" si="468"/>
        <v>Red</v>
      </c>
      <c r="AC1443" t="str">
        <f t="shared" si="469"/>
        <v>Red</v>
      </c>
      <c r="AD1443" t="str">
        <f t="shared" si="470"/>
        <v>Green</v>
      </c>
    </row>
    <row r="1444" spans="1:30" x14ac:dyDescent="0.2">
      <c r="A1444" t="str">
        <f>L1443&amp;F1444&amp;G1444</f>
        <v>25/07/2026Wacker InnsbruckReichenau</v>
      </c>
      <c r="D1444" s="2">
        <v>46228</v>
      </c>
      <c r="E1444" s="3">
        <v>0.66666666666666663</v>
      </c>
      <c r="F1444" t="s">
        <v>2357</v>
      </c>
      <c r="G1444" t="s">
        <v>2356</v>
      </c>
      <c r="H1444">
        <v>2</v>
      </c>
      <c r="I1444">
        <v>0</v>
      </c>
      <c r="J1444">
        <v>3</v>
      </c>
      <c r="K1444">
        <v>0</v>
      </c>
      <c r="L1444" s="22" t="str">
        <f t="shared" si="452"/>
        <v>25/07/2026</v>
      </c>
      <c r="M1444" s="23">
        <f t="shared" si="453"/>
        <v>0.54166666666666663</v>
      </c>
      <c r="N1444" t="str">
        <f t="shared" si="454"/>
        <v>3 - 0</v>
      </c>
      <c r="O1444" t="str">
        <f t="shared" si="455"/>
        <v>Green</v>
      </c>
      <c r="P1444" t="str">
        <f t="shared" si="456"/>
        <v>Red</v>
      </c>
      <c r="Q1444" t="str">
        <f t="shared" si="457"/>
        <v>Red</v>
      </c>
      <c r="R1444" t="str">
        <f t="shared" si="458"/>
        <v>Green</v>
      </c>
      <c r="S1444" t="str">
        <f t="shared" si="459"/>
        <v>Red</v>
      </c>
      <c r="T1444" t="str">
        <f t="shared" si="460"/>
        <v>Green</v>
      </c>
      <c r="U1444" t="str">
        <f t="shared" si="461"/>
        <v>Green</v>
      </c>
      <c r="V1444" t="str">
        <f t="shared" si="462"/>
        <v>Red</v>
      </c>
      <c r="W1444" t="str">
        <f t="shared" si="463"/>
        <v>Red</v>
      </c>
      <c r="X1444" t="str">
        <f t="shared" si="464"/>
        <v>Green</v>
      </c>
      <c r="Y1444" t="str">
        <f t="shared" si="465"/>
        <v>Green</v>
      </c>
      <c r="Z1444" t="str">
        <f t="shared" si="466"/>
        <v>Green</v>
      </c>
      <c r="AA1444" t="str">
        <f t="shared" si="467"/>
        <v>Red</v>
      </c>
      <c r="AB1444" t="str">
        <f t="shared" si="468"/>
        <v>Green</v>
      </c>
      <c r="AC1444" t="str">
        <f t="shared" si="469"/>
        <v>Red</v>
      </c>
      <c r="AD1444" t="str">
        <f t="shared" si="470"/>
        <v>Green</v>
      </c>
    </row>
    <row r="1445" spans="1:30" x14ac:dyDescent="0.2">
      <c r="A1445" t="str">
        <f>L1444&amp;F1445&amp;G1445</f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3025</v>
      </c>
      <c r="H1445">
        <v>1</v>
      </c>
      <c r="I1445">
        <v>1</v>
      </c>
      <c r="J1445">
        <v>1</v>
      </c>
      <c r="K1445">
        <v>3</v>
      </c>
      <c r="L1445" s="22" t="str">
        <f t="shared" si="452"/>
        <v>25/07/2026</v>
      </c>
      <c r="M1445" s="23">
        <f t="shared" si="453"/>
        <v>0.54166666666666663</v>
      </c>
      <c r="N1445" t="str">
        <f t="shared" si="454"/>
        <v>1 - 3</v>
      </c>
      <c r="O1445" t="str">
        <f t="shared" si="455"/>
        <v>Red</v>
      </c>
      <c r="P1445" t="str">
        <f t="shared" si="456"/>
        <v>Red</v>
      </c>
      <c r="Q1445" t="str">
        <f t="shared" si="457"/>
        <v>Green</v>
      </c>
      <c r="R1445" t="str">
        <f t="shared" si="458"/>
        <v>Red</v>
      </c>
      <c r="S1445" t="str">
        <f t="shared" si="459"/>
        <v>Green</v>
      </c>
      <c r="T1445" t="str">
        <f t="shared" si="460"/>
        <v>Green</v>
      </c>
      <c r="U1445" t="str">
        <f t="shared" si="461"/>
        <v>Red</v>
      </c>
      <c r="V1445" t="str">
        <f t="shared" si="462"/>
        <v>Green</v>
      </c>
      <c r="W1445" t="str">
        <f t="shared" si="463"/>
        <v>Red</v>
      </c>
      <c r="X1445" t="str">
        <f t="shared" si="464"/>
        <v>Green</v>
      </c>
      <c r="Y1445" t="str">
        <f t="shared" si="465"/>
        <v>Green</v>
      </c>
      <c r="Z1445" t="str">
        <f t="shared" si="466"/>
        <v>Green</v>
      </c>
      <c r="AA1445" t="str">
        <f t="shared" si="467"/>
        <v>Red</v>
      </c>
      <c r="AB1445" t="str">
        <f t="shared" si="468"/>
        <v>Red</v>
      </c>
      <c r="AC1445" t="str">
        <f t="shared" si="469"/>
        <v>Green</v>
      </c>
      <c r="AD1445" t="str">
        <f t="shared" si="470"/>
        <v>Red</v>
      </c>
    </row>
    <row r="1446" spans="1:30" x14ac:dyDescent="0.2">
      <c r="A1446" t="str">
        <f>L1445&amp;F1446&amp;G1446</f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3108</v>
      </c>
      <c r="H1446">
        <v>1</v>
      </c>
      <c r="I1446">
        <v>0</v>
      </c>
      <c r="J1446">
        <v>2</v>
      </c>
      <c r="K1446">
        <v>1</v>
      </c>
      <c r="L1446" s="22" t="str">
        <f t="shared" si="452"/>
        <v>25/07/2026</v>
      </c>
      <c r="M1446" s="23">
        <f t="shared" si="453"/>
        <v>0.54166666666666663</v>
      </c>
      <c r="N1446" t="str">
        <f t="shared" si="454"/>
        <v>2 - 1</v>
      </c>
      <c r="O1446" t="str">
        <f t="shared" si="455"/>
        <v>Green</v>
      </c>
      <c r="P1446" t="str">
        <f t="shared" si="456"/>
        <v>Red</v>
      </c>
      <c r="Q1446" t="str">
        <f t="shared" si="457"/>
        <v>Red</v>
      </c>
      <c r="R1446" t="str">
        <f t="shared" si="458"/>
        <v>Green</v>
      </c>
      <c r="S1446" t="str">
        <f t="shared" si="459"/>
        <v>Red</v>
      </c>
      <c r="T1446" t="str">
        <f t="shared" si="460"/>
        <v>Green</v>
      </c>
      <c r="U1446" t="str">
        <f t="shared" si="461"/>
        <v>Green</v>
      </c>
      <c r="V1446" t="str">
        <f t="shared" si="462"/>
        <v>Red</v>
      </c>
      <c r="W1446" t="str">
        <f t="shared" si="463"/>
        <v>Red</v>
      </c>
      <c r="X1446" t="str">
        <f t="shared" si="464"/>
        <v>Green</v>
      </c>
      <c r="Y1446" t="str">
        <f t="shared" si="465"/>
        <v>Green</v>
      </c>
      <c r="Z1446" t="str">
        <f t="shared" si="466"/>
        <v>Green</v>
      </c>
      <c r="AA1446" t="str">
        <f t="shared" si="467"/>
        <v>Red</v>
      </c>
      <c r="AB1446" t="str">
        <f t="shared" si="468"/>
        <v>Green</v>
      </c>
      <c r="AC1446" t="str">
        <f t="shared" si="469"/>
        <v>Green</v>
      </c>
      <c r="AD1446" t="str">
        <f t="shared" si="470"/>
        <v>Red</v>
      </c>
    </row>
    <row r="1447" spans="1:30" x14ac:dyDescent="0.2">
      <c r="A1447" t="str">
        <f>L1446&amp;F1447&amp;G1447</f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3185</v>
      </c>
      <c r="H1447">
        <v>0</v>
      </c>
      <c r="I1447">
        <v>0</v>
      </c>
      <c r="J1447">
        <v>1</v>
      </c>
      <c r="K1447">
        <v>1</v>
      </c>
      <c r="L1447" s="22" t="str">
        <f t="shared" si="452"/>
        <v>25/07/2026</v>
      </c>
      <c r="M1447" s="23">
        <f t="shared" si="453"/>
        <v>0.54166666666666663</v>
      </c>
      <c r="N1447" t="str">
        <f t="shared" si="454"/>
        <v>1 - 1</v>
      </c>
      <c r="O1447" t="str">
        <f t="shared" si="455"/>
        <v>Red</v>
      </c>
      <c r="P1447" t="str">
        <f t="shared" si="456"/>
        <v>Green</v>
      </c>
      <c r="Q1447" t="str">
        <f t="shared" si="457"/>
        <v>Red</v>
      </c>
      <c r="R1447" t="str">
        <f t="shared" si="458"/>
        <v>Green</v>
      </c>
      <c r="S1447" t="str">
        <f t="shared" si="459"/>
        <v>Green</v>
      </c>
      <c r="T1447" t="str">
        <f t="shared" si="460"/>
        <v>Red</v>
      </c>
      <c r="U1447" t="str">
        <f t="shared" si="461"/>
        <v>Red</v>
      </c>
      <c r="V1447" t="str">
        <f t="shared" si="462"/>
        <v>Green</v>
      </c>
      <c r="W1447" t="str">
        <f t="shared" si="463"/>
        <v>Red</v>
      </c>
      <c r="X1447" t="str">
        <f t="shared" si="464"/>
        <v>Red</v>
      </c>
      <c r="Y1447" t="str">
        <f t="shared" si="465"/>
        <v>Green</v>
      </c>
      <c r="Z1447" t="str">
        <f t="shared" si="466"/>
        <v>Red</v>
      </c>
      <c r="AA1447" t="str">
        <f t="shared" si="467"/>
        <v>Green</v>
      </c>
      <c r="AB1447" t="str">
        <f t="shared" si="468"/>
        <v>Green</v>
      </c>
      <c r="AC1447" t="str">
        <f t="shared" si="469"/>
        <v>Green</v>
      </c>
      <c r="AD1447" t="str">
        <f t="shared" si="470"/>
        <v>Red</v>
      </c>
    </row>
    <row r="1448" spans="1:30" x14ac:dyDescent="0.2">
      <c r="A1448" t="str">
        <f>L1447&amp;F1448&amp;G1448</f>
        <v>25/07/2026El Nacional WomenIndependiente del Valle Women</v>
      </c>
      <c r="D1448" s="2">
        <v>46228</v>
      </c>
      <c r="E1448" s="3">
        <v>0.66666666666666663</v>
      </c>
      <c r="F1448" t="s">
        <v>3199</v>
      </c>
      <c r="G1448" t="s">
        <v>3200</v>
      </c>
      <c r="H1448">
        <v>0</v>
      </c>
      <c r="I1448">
        <v>0</v>
      </c>
      <c r="J1448">
        <v>0</v>
      </c>
      <c r="K1448">
        <v>2</v>
      </c>
      <c r="L1448" s="22" t="str">
        <f t="shared" si="452"/>
        <v>25/07/2026</v>
      </c>
      <c r="M1448" s="23">
        <f t="shared" si="453"/>
        <v>0.54166666666666663</v>
      </c>
      <c r="N1448" t="str">
        <f t="shared" si="454"/>
        <v>0 - 2</v>
      </c>
      <c r="O1448" t="str">
        <f t="shared" si="455"/>
        <v>Red</v>
      </c>
      <c r="P1448" t="str">
        <f t="shared" si="456"/>
        <v>Red</v>
      </c>
      <c r="Q1448" t="str">
        <f t="shared" si="457"/>
        <v>Green</v>
      </c>
      <c r="R1448" t="str">
        <f t="shared" si="458"/>
        <v>Red</v>
      </c>
      <c r="S1448" t="str">
        <f t="shared" si="459"/>
        <v>Green</v>
      </c>
      <c r="T1448" t="str">
        <f t="shared" si="460"/>
        <v>Green</v>
      </c>
      <c r="U1448" t="str">
        <f t="shared" si="461"/>
        <v>Red</v>
      </c>
      <c r="V1448" t="str">
        <f t="shared" si="462"/>
        <v>Green</v>
      </c>
      <c r="W1448" t="str">
        <f t="shared" si="463"/>
        <v>Red</v>
      </c>
      <c r="X1448" t="str">
        <f t="shared" si="464"/>
        <v>Red</v>
      </c>
      <c r="Y1448" t="str">
        <f t="shared" si="465"/>
        <v>Green</v>
      </c>
      <c r="Z1448" t="str">
        <f t="shared" si="466"/>
        <v>Red</v>
      </c>
      <c r="AA1448" t="str">
        <f t="shared" si="467"/>
        <v>Green</v>
      </c>
      <c r="AB1448" t="str">
        <f t="shared" si="468"/>
        <v>Green</v>
      </c>
      <c r="AC1448" t="str">
        <f t="shared" si="469"/>
        <v>Red</v>
      </c>
      <c r="AD1448" t="str">
        <f t="shared" si="470"/>
        <v>Green</v>
      </c>
    </row>
    <row r="1449" spans="1:30" x14ac:dyDescent="0.2">
      <c r="A1449" t="str">
        <f>L1448&amp;F1449&amp;G1449</f>
        <v>25/07/2026LDU Quito WomenBarcelona SC Women</v>
      </c>
      <c r="D1449" s="2">
        <v>46228</v>
      </c>
      <c r="E1449" s="3">
        <v>0.66666666666666663</v>
      </c>
      <c r="F1449" t="s">
        <v>3201</v>
      </c>
      <c r="G1449" t="s">
        <v>3202</v>
      </c>
      <c r="H1449">
        <v>0</v>
      </c>
      <c r="I1449">
        <v>0</v>
      </c>
      <c r="J1449">
        <v>2</v>
      </c>
      <c r="K1449">
        <v>0</v>
      </c>
      <c r="L1449" s="22" t="str">
        <f t="shared" si="452"/>
        <v>25/07/2026</v>
      </c>
      <c r="M1449" s="23">
        <f t="shared" si="453"/>
        <v>0.54166666666666663</v>
      </c>
      <c r="N1449" t="str">
        <f t="shared" si="454"/>
        <v>2 - 0</v>
      </c>
      <c r="O1449" t="str">
        <f t="shared" si="455"/>
        <v>Green</v>
      </c>
      <c r="P1449" t="str">
        <f t="shared" si="456"/>
        <v>Red</v>
      </c>
      <c r="Q1449" t="str">
        <f t="shared" si="457"/>
        <v>Red</v>
      </c>
      <c r="R1449" t="str">
        <f t="shared" si="458"/>
        <v>Green</v>
      </c>
      <c r="S1449" t="str">
        <f t="shared" si="459"/>
        <v>Red</v>
      </c>
      <c r="T1449" t="str">
        <f t="shared" si="460"/>
        <v>Green</v>
      </c>
      <c r="U1449" t="str">
        <f t="shared" si="461"/>
        <v>Red</v>
      </c>
      <c r="V1449" t="str">
        <f t="shared" si="462"/>
        <v>Green</v>
      </c>
      <c r="W1449" t="str">
        <f t="shared" si="463"/>
        <v>Red</v>
      </c>
      <c r="X1449" t="str">
        <f t="shared" si="464"/>
        <v>Red</v>
      </c>
      <c r="Y1449" t="str">
        <f t="shared" si="465"/>
        <v>Green</v>
      </c>
      <c r="Z1449" t="str">
        <f t="shared" si="466"/>
        <v>Red</v>
      </c>
      <c r="AA1449" t="str">
        <f t="shared" si="467"/>
        <v>Green</v>
      </c>
      <c r="AB1449" t="str">
        <f t="shared" si="468"/>
        <v>Green</v>
      </c>
      <c r="AC1449" t="str">
        <f t="shared" si="469"/>
        <v>Red</v>
      </c>
      <c r="AD1449" t="str">
        <f t="shared" si="470"/>
        <v>Green</v>
      </c>
    </row>
    <row r="1450" spans="1:30" x14ac:dyDescent="0.2">
      <c r="A1450" t="str">
        <f>L1449&amp;F1450&amp;G1450</f>
        <v>25/07/2026Quito FC WomenEspuce Women</v>
      </c>
      <c r="D1450" s="2">
        <v>46228</v>
      </c>
      <c r="E1450" s="3">
        <v>0.66666666666666663</v>
      </c>
      <c r="F1450" t="s">
        <v>3203</v>
      </c>
      <c r="G1450" t="s">
        <v>3204</v>
      </c>
      <c r="H1450">
        <v>0</v>
      </c>
      <c r="I1450">
        <v>0</v>
      </c>
      <c r="J1450">
        <v>1</v>
      </c>
      <c r="K1450">
        <v>2</v>
      </c>
      <c r="L1450" s="22" t="str">
        <f t="shared" si="452"/>
        <v>25/07/2026</v>
      </c>
      <c r="M1450" s="23">
        <f t="shared" si="453"/>
        <v>0.54166666666666663</v>
      </c>
      <c r="N1450" t="str">
        <f t="shared" si="454"/>
        <v>1 - 2</v>
      </c>
      <c r="O1450" t="str">
        <f t="shared" si="455"/>
        <v>Red</v>
      </c>
      <c r="P1450" t="str">
        <f t="shared" si="456"/>
        <v>Red</v>
      </c>
      <c r="Q1450" t="str">
        <f t="shared" si="457"/>
        <v>Green</v>
      </c>
      <c r="R1450" t="str">
        <f t="shared" si="458"/>
        <v>Red</v>
      </c>
      <c r="S1450" t="str">
        <f t="shared" si="459"/>
        <v>Green</v>
      </c>
      <c r="T1450" t="str">
        <f t="shared" si="460"/>
        <v>Green</v>
      </c>
      <c r="U1450" t="str">
        <f t="shared" si="461"/>
        <v>Red</v>
      </c>
      <c r="V1450" t="str">
        <f t="shared" si="462"/>
        <v>Green</v>
      </c>
      <c r="W1450" t="str">
        <f t="shared" si="463"/>
        <v>Red</v>
      </c>
      <c r="X1450" t="str">
        <f t="shared" si="464"/>
        <v>Red</v>
      </c>
      <c r="Y1450" t="str">
        <f t="shared" si="465"/>
        <v>Green</v>
      </c>
      <c r="Z1450" t="str">
        <f t="shared" si="466"/>
        <v>Green</v>
      </c>
      <c r="AA1450" t="str">
        <f t="shared" si="467"/>
        <v>Red</v>
      </c>
      <c r="AB1450" t="str">
        <f t="shared" si="468"/>
        <v>Green</v>
      </c>
      <c r="AC1450" t="str">
        <f t="shared" si="469"/>
        <v>Green</v>
      </c>
      <c r="AD1450" t="str">
        <f t="shared" si="470"/>
        <v>Red</v>
      </c>
    </row>
    <row r="1451" spans="1:30" x14ac:dyDescent="0.2">
      <c r="A1451" t="str">
        <f>L1450&amp;F1451&amp;G1451</f>
        <v>25/07/2026Nomme Kalju IIFlora Tallinn II</v>
      </c>
      <c r="D1451" s="2">
        <v>46228</v>
      </c>
      <c r="E1451" s="3">
        <v>0.66666666666666663</v>
      </c>
      <c r="F1451" t="s">
        <v>3213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52"/>
        <v>25/07/2026</v>
      </c>
      <c r="M1451" s="23">
        <f t="shared" si="453"/>
        <v>0.54166666666666663</v>
      </c>
      <c r="N1451" t="str">
        <f t="shared" si="454"/>
        <v>0 - 5</v>
      </c>
      <c r="O1451" t="str">
        <f t="shared" si="455"/>
        <v>Red</v>
      </c>
      <c r="P1451" t="str">
        <f t="shared" si="456"/>
        <v>Red</v>
      </c>
      <c r="Q1451" t="str">
        <f t="shared" si="457"/>
        <v>Green</v>
      </c>
      <c r="R1451" t="str">
        <f t="shared" si="458"/>
        <v>Red</v>
      </c>
      <c r="S1451" t="str">
        <f t="shared" si="459"/>
        <v>Green</v>
      </c>
      <c r="T1451" t="str">
        <f t="shared" si="460"/>
        <v>Green</v>
      </c>
      <c r="U1451" t="str">
        <f t="shared" si="461"/>
        <v>Red</v>
      </c>
      <c r="V1451" t="str">
        <f t="shared" si="462"/>
        <v>Red</v>
      </c>
      <c r="W1451" t="str">
        <f t="shared" si="463"/>
        <v>Green</v>
      </c>
      <c r="X1451" t="str">
        <f t="shared" si="464"/>
        <v>Green</v>
      </c>
      <c r="Y1451" t="str">
        <f t="shared" si="465"/>
        <v>Green</v>
      </c>
      <c r="Z1451" t="str">
        <f t="shared" si="466"/>
        <v>Green</v>
      </c>
      <c r="AA1451" t="str">
        <f t="shared" si="467"/>
        <v>Red</v>
      </c>
      <c r="AB1451" t="str">
        <f t="shared" si="468"/>
        <v>Red</v>
      </c>
      <c r="AC1451" t="str">
        <f t="shared" si="469"/>
        <v>Red</v>
      </c>
      <c r="AD1451" t="str">
        <f t="shared" si="470"/>
        <v>Green</v>
      </c>
    </row>
    <row r="1452" spans="1:30" x14ac:dyDescent="0.2">
      <c r="A1452" t="str">
        <f>L1451&amp;F1452&amp;G1452</f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52"/>
        <v>25/07/2026</v>
      </c>
      <c r="M1452" s="23">
        <f t="shared" si="453"/>
        <v>0.54166666666666663</v>
      </c>
      <c r="N1452" t="str">
        <f t="shared" si="454"/>
        <v>1 - 3</v>
      </c>
      <c r="O1452" t="str">
        <f t="shared" si="455"/>
        <v>Red</v>
      </c>
      <c r="P1452" t="str">
        <f t="shared" si="456"/>
        <v>Red</v>
      </c>
      <c r="Q1452" t="str">
        <f t="shared" si="457"/>
        <v>Green</v>
      </c>
      <c r="R1452" t="str">
        <f t="shared" si="458"/>
        <v>Red</v>
      </c>
      <c r="S1452" t="str">
        <f t="shared" si="459"/>
        <v>Green</v>
      </c>
      <c r="T1452" t="str">
        <f t="shared" si="460"/>
        <v>Green</v>
      </c>
      <c r="U1452" t="str">
        <f t="shared" si="461"/>
        <v>Red</v>
      </c>
      <c r="V1452" t="str">
        <f t="shared" si="462"/>
        <v>Red</v>
      </c>
      <c r="W1452" t="str">
        <f t="shared" si="463"/>
        <v>Green</v>
      </c>
      <c r="X1452" t="str">
        <f t="shared" si="464"/>
        <v>Green</v>
      </c>
      <c r="Y1452" t="str">
        <f t="shared" si="465"/>
        <v>Green</v>
      </c>
      <c r="Z1452" t="str">
        <f t="shared" si="466"/>
        <v>Green</v>
      </c>
      <c r="AA1452" t="str">
        <f t="shared" si="467"/>
        <v>Red</v>
      </c>
      <c r="AB1452" t="str">
        <f t="shared" si="468"/>
        <v>Red</v>
      </c>
      <c r="AC1452" t="str">
        <f t="shared" si="469"/>
        <v>Green</v>
      </c>
      <c r="AD1452" t="str">
        <f t="shared" si="470"/>
        <v>Red</v>
      </c>
    </row>
    <row r="1453" spans="1:30" x14ac:dyDescent="0.2">
      <c r="A1453" t="str">
        <f>L1452&amp;F1453&amp;G1453</f>
        <v>25/07/2026Reipas LahtiMyllykosken</v>
      </c>
      <c r="D1453" s="2">
        <v>46228</v>
      </c>
      <c r="E1453" s="3">
        <v>0.66666666666666663</v>
      </c>
      <c r="F1453" t="s">
        <v>3235</v>
      </c>
      <c r="G1453" t="s">
        <v>3236</v>
      </c>
      <c r="H1453">
        <v>1</v>
      </c>
      <c r="I1453">
        <v>0</v>
      </c>
      <c r="J1453">
        <v>4</v>
      </c>
      <c r="K1453">
        <v>2</v>
      </c>
      <c r="L1453" s="22" t="str">
        <f t="shared" si="452"/>
        <v>25/07/2026</v>
      </c>
      <c r="M1453" s="23">
        <f t="shared" si="453"/>
        <v>0.54166666666666663</v>
      </c>
      <c r="N1453" t="str">
        <f t="shared" si="454"/>
        <v>4 - 2</v>
      </c>
      <c r="O1453" t="str">
        <f t="shared" si="455"/>
        <v>Green</v>
      </c>
      <c r="P1453" t="str">
        <f t="shared" si="456"/>
        <v>Red</v>
      </c>
      <c r="Q1453" t="str">
        <f t="shared" si="457"/>
        <v>Red</v>
      </c>
      <c r="R1453" t="str">
        <f t="shared" si="458"/>
        <v>Green</v>
      </c>
      <c r="S1453" t="str">
        <f t="shared" si="459"/>
        <v>Red</v>
      </c>
      <c r="T1453" t="str">
        <f t="shared" si="460"/>
        <v>Green</v>
      </c>
      <c r="U1453" t="str">
        <f t="shared" si="461"/>
        <v>Green</v>
      </c>
      <c r="V1453" t="str">
        <f t="shared" si="462"/>
        <v>Red</v>
      </c>
      <c r="W1453" t="str">
        <f t="shared" si="463"/>
        <v>Red</v>
      </c>
      <c r="X1453" t="str">
        <f t="shared" si="464"/>
        <v>Green</v>
      </c>
      <c r="Y1453" t="str">
        <f t="shared" si="465"/>
        <v>Green</v>
      </c>
      <c r="Z1453" t="str">
        <f t="shared" si="466"/>
        <v>Green</v>
      </c>
      <c r="AA1453" t="str">
        <f t="shared" si="467"/>
        <v>Red</v>
      </c>
      <c r="AB1453" t="str">
        <f t="shared" si="468"/>
        <v>Red</v>
      </c>
      <c r="AC1453" t="str">
        <f t="shared" si="469"/>
        <v>Green</v>
      </c>
      <c r="AD1453" t="str">
        <f t="shared" si="470"/>
        <v>Red</v>
      </c>
    </row>
    <row r="1454" spans="1:30" x14ac:dyDescent="0.2">
      <c r="A1454" t="str">
        <f>L1453&amp;F1454&amp;G1454</f>
        <v>25/07/2026IFK Mariehamn IIPiPS</v>
      </c>
      <c r="D1454" s="2">
        <v>46228</v>
      </c>
      <c r="E1454" s="3">
        <v>0.66666666666666663</v>
      </c>
      <c r="F1454" t="s">
        <v>3253</v>
      </c>
      <c r="G1454" t="s">
        <v>3254</v>
      </c>
      <c r="H1454">
        <v>0</v>
      </c>
      <c r="I1454">
        <v>0</v>
      </c>
      <c r="J1454">
        <v>3</v>
      </c>
      <c r="K1454">
        <v>1</v>
      </c>
      <c r="L1454" s="22" t="str">
        <f t="shared" si="452"/>
        <v>25/07/2026</v>
      </c>
      <c r="M1454" s="23">
        <f t="shared" si="453"/>
        <v>0.54166666666666663</v>
      </c>
      <c r="N1454" t="str">
        <f t="shared" si="454"/>
        <v>3 - 1</v>
      </c>
      <c r="O1454" t="str">
        <f t="shared" si="455"/>
        <v>Green</v>
      </c>
      <c r="P1454" t="str">
        <f t="shared" si="456"/>
        <v>Red</v>
      </c>
      <c r="Q1454" t="str">
        <f t="shared" si="457"/>
        <v>Red</v>
      </c>
      <c r="R1454" t="str">
        <f t="shared" si="458"/>
        <v>Green</v>
      </c>
      <c r="S1454" t="str">
        <f t="shared" si="459"/>
        <v>Red</v>
      </c>
      <c r="T1454" t="str">
        <f t="shared" si="460"/>
        <v>Green</v>
      </c>
      <c r="U1454" t="str">
        <f t="shared" si="461"/>
        <v>Red</v>
      </c>
      <c r="V1454" t="str">
        <f t="shared" si="462"/>
        <v>Green</v>
      </c>
      <c r="W1454" t="str">
        <f t="shared" si="463"/>
        <v>Red</v>
      </c>
      <c r="X1454" t="str">
        <f t="shared" si="464"/>
        <v>Red</v>
      </c>
      <c r="Y1454" t="str">
        <f t="shared" si="465"/>
        <v>Green</v>
      </c>
      <c r="Z1454" t="str">
        <f t="shared" si="466"/>
        <v>Green</v>
      </c>
      <c r="AA1454" t="str">
        <f t="shared" si="467"/>
        <v>Red</v>
      </c>
      <c r="AB1454" t="str">
        <f t="shared" si="468"/>
        <v>Red</v>
      </c>
      <c r="AC1454" t="str">
        <f t="shared" si="469"/>
        <v>Green</v>
      </c>
      <c r="AD1454" t="str">
        <f t="shared" si="470"/>
        <v>Red</v>
      </c>
    </row>
    <row r="1455" spans="1:30" x14ac:dyDescent="0.2">
      <c r="A1455" t="str">
        <f>L1454&amp;F1455&amp;G1455</f>
        <v>25/07/2026FC GoriFC Sioni Bolnisi</v>
      </c>
      <c r="D1455" s="2">
        <v>46228</v>
      </c>
      <c r="E1455" s="3">
        <v>0.66666666666666663</v>
      </c>
      <c r="F1455" t="s">
        <v>3274</v>
      </c>
      <c r="G1455" t="s">
        <v>3275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71">DAY(D1455)&amp;"/"&amp;"07"&amp;"/"&amp;YEAR(D1455)</f>
        <v>25/07/2026</v>
      </c>
      <c r="M1455" s="23">
        <f t="shared" ref="M1455:M1518" si="472">E1455-TIME(3,0,0)</f>
        <v>0.54166666666666663</v>
      </c>
      <c r="N1455" t="str">
        <f t="shared" ref="N1455:N1518" si="473">J1455&amp;" - "&amp;K1455</f>
        <v>1 - 0</v>
      </c>
      <c r="O1455" t="str">
        <f t="shared" si="455"/>
        <v>Green</v>
      </c>
      <c r="P1455" t="str">
        <f t="shared" si="456"/>
        <v>Red</v>
      </c>
      <c r="Q1455" t="str">
        <f t="shared" si="457"/>
        <v>Red</v>
      </c>
      <c r="R1455" t="str">
        <f t="shared" si="458"/>
        <v>Green</v>
      </c>
      <c r="S1455" t="str">
        <f t="shared" si="459"/>
        <v>Red</v>
      </c>
      <c r="T1455" t="str">
        <f t="shared" si="460"/>
        <v>Green</v>
      </c>
      <c r="U1455" t="str">
        <f t="shared" si="461"/>
        <v>Red</v>
      </c>
      <c r="V1455" t="str">
        <f t="shared" si="462"/>
        <v>Green</v>
      </c>
      <c r="W1455" t="str">
        <f t="shared" si="463"/>
        <v>Red</v>
      </c>
      <c r="X1455" t="str">
        <f t="shared" si="464"/>
        <v>Red</v>
      </c>
      <c r="Y1455" t="str">
        <f t="shared" si="465"/>
        <v>Red</v>
      </c>
      <c r="Z1455" t="str">
        <f t="shared" si="466"/>
        <v>Red</v>
      </c>
      <c r="AA1455" t="str">
        <f t="shared" si="467"/>
        <v>Green</v>
      </c>
      <c r="AB1455" t="str">
        <f t="shared" si="468"/>
        <v>Green</v>
      </c>
      <c r="AC1455" t="str">
        <f t="shared" si="469"/>
        <v>Red</v>
      </c>
      <c r="AD1455" t="str">
        <f t="shared" si="470"/>
        <v>Green</v>
      </c>
    </row>
    <row r="1456" spans="1:30" x14ac:dyDescent="0.2">
      <c r="A1456" t="str">
        <f>L1455&amp;F1456&amp;G1456</f>
        <v>25/07/2026FC SuderelbeAltona 93</v>
      </c>
      <c r="D1456" s="2">
        <v>46228</v>
      </c>
      <c r="E1456" s="3">
        <v>0.66666666666666663</v>
      </c>
      <c r="F1456" t="s">
        <v>3288</v>
      </c>
      <c r="G1456" t="s">
        <v>3289</v>
      </c>
      <c r="H1456">
        <v>1</v>
      </c>
      <c r="I1456">
        <v>1</v>
      </c>
      <c r="J1456">
        <v>1</v>
      </c>
      <c r="K1456">
        <v>2</v>
      </c>
      <c r="L1456" s="22" t="str">
        <f t="shared" si="471"/>
        <v>25/07/2026</v>
      </c>
      <c r="M1456" s="23">
        <f t="shared" si="472"/>
        <v>0.54166666666666663</v>
      </c>
      <c r="N1456" t="str">
        <f t="shared" si="473"/>
        <v>1 - 2</v>
      </c>
      <c r="O1456" t="str">
        <f t="shared" si="455"/>
        <v>Red</v>
      </c>
      <c r="P1456" t="str">
        <f t="shared" si="456"/>
        <v>Red</v>
      </c>
      <c r="Q1456" t="str">
        <f t="shared" si="457"/>
        <v>Green</v>
      </c>
      <c r="R1456" t="str">
        <f t="shared" si="458"/>
        <v>Red</v>
      </c>
      <c r="S1456" t="str">
        <f t="shared" si="459"/>
        <v>Green</v>
      </c>
      <c r="T1456" t="str">
        <f t="shared" si="460"/>
        <v>Green</v>
      </c>
      <c r="U1456" t="str">
        <f t="shared" si="461"/>
        <v>Red</v>
      </c>
      <c r="V1456" t="str">
        <f t="shared" si="462"/>
        <v>Green</v>
      </c>
      <c r="W1456" t="str">
        <f t="shared" si="463"/>
        <v>Red</v>
      </c>
      <c r="X1456" t="str">
        <f t="shared" si="464"/>
        <v>Green</v>
      </c>
      <c r="Y1456" t="str">
        <f t="shared" si="465"/>
        <v>Green</v>
      </c>
      <c r="Z1456" t="str">
        <f t="shared" si="466"/>
        <v>Green</v>
      </c>
      <c r="AA1456" t="str">
        <f t="shared" si="467"/>
        <v>Red</v>
      </c>
      <c r="AB1456" t="str">
        <f t="shared" si="468"/>
        <v>Green</v>
      </c>
      <c r="AC1456" t="str">
        <f t="shared" si="469"/>
        <v>Green</v>
      </c>
      <c r="AD1456" t="str">
        <f t="shared" si="470"/>
        <v>Red</v>
      </c>
    </row>
    <row r="1457" spans="1:30" x14ac:dyDescent="0.2">
      <c r="A1457" t="str">
        <f>L1456&amp;F1457&amp;G1457</f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71"/>
        <v>25/07/2026</v>
      </c>
      <c r="M1457" s="23">
        <f t="shared" si="472"/>
        <v>0.54166666666666663</v>
      </c>
      <c r="N1457" t="str">
        <f t="shared" si="473"/>
        <v>0 - 1</v>
      </c>
      <c r="O1457" t="str">
        <f t="shared" si="455"/>
        <v>Red</v>
      </c>
      <c r="P1457" t="str">
        <f t="shared" si="456"/>
        <v>Red</v>
      </c>
      <c r="Q1457" t="str">
        <f t="shared" si="457"/>
        <v>Green</v>
      </c>
      <c r="R1457" t="str">
        <f t="shared" si="458"/>
        <v>Red</v>
      </c>
      <c r="S1457" t="str">
        <f t="shared" si="459"/>
        <v>Green</v>
      </c>
      <c r="T1457" t="str">
        <f t="shared" si="460"/>
        <v>Green</v>
      </c>
      <c r="U1457" t="str">
        <f t="shared" si="461"/>
        <v>Red</v>
      </c>
      <c r="V1457" t="str">
        <f t="shared" si="462"/>
        <v>Green</v>
      </c>
      <c r="W1457" t="str">
        <f t="shared" si="463"/>
        <v>Red</v>
      </c>
      <c r="X1457" t="str">
        <f t="shared" si="464"/>
        <v>Red</v>
      </c>
      <c r="Y1457" t="str">
        <f t="shared" si="465"/>
        <v>Red</v>
      </c>
      <c r="Z1457" t="str">
        <f t="shared" si="466"/>
        <v>Red</v>
      </c>
      <c r="AA1457" t="str">
        <f t="shared" si="467"/>
        <v>Green</v>
      </c>
      <c r="AB1457" t="str">
        <f t="shared" si="468"/>
        <v>Green</v>
      </c>
      <c r="AC1457" t="str">
        <f t="shared" si="469"/>
        <v>Red</v>
      </c>
      <c r="AD1457" t="str">
        <f t="shared" si="470"/>
        <v>Green</v>
      </c>
    </row>
    <row r="1458" spans="1:30" x14ac:dyDescent="0.2">
      <c r="A1458" t="str">
        <f>L1457&amp;F1458&amp;G1458</f>
        <v>25/07/2026MagniKFG Gardabaer</v>
      </c>
      <c r="D1458" s="2">
        <v>46228</v>
      </c>
      <c r="E1458" s="3">
        <v>0.66666666666666663</v>
      </c>
      <c r="F1458" t="s">
        <v>3357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71"/>
        <v>25/07/2026</v>
      </c>
      <c r="M1458" s="23">
        <f t="shared" si="472"/>
        <v>0.54166666666666663</v>
      </c>
      <c r="N1458" t="str">
        <f t="shared" si="473"/>
        <v>1 - 1</v>
      </c>
      <c r="O1458" t="str">
        <f t="shared" si="455"/>
        <v>Red</v>
      </c>
      <c r="P1458" t="str">
        <f t="shared" si="456"/>
        <v>Green</v>
      </c>
      <c r="Q1458" t="str">
        <f t="shared" si="457"/>
        <v>Red</v>
      </c>
      <c r="R1458" t="str">
        <f t="shared" si="458"/>
        <v>Green</v>
      </c>
      <c r="S1458" t="str">
        <f t="shared" si="459"/>
        <v>Green</v>
      </c>
      <c r="T1458" t="str">
        <f t="shared" si="460"/>
        <v>Red</v>
      </c>
      <c r="U1458" t="str">
        <f t="shared" si="461"/>
        <v>Red</v>
      </c>
      <c r="V1458" t="str">
        <f t="shared" si="462"/>
        <v>Green</v>
      </c>
      <c r="W1458" t="str">
        <f t="shared" si="463"/>
        <v>Red</v>
      </c>
      <c r="X1458" t="str">
        <f t="shared" si="464"/>
        <v>Red</v>
      </c>
      <c r="Y1458" t="str">
        <f t="shared" si="465"/>
        <v>Green</v>
      </c>
      <c r="Z1458" t="str">
        <f t="shared" si="466"/>
        <v>Red</v>
      </c>
      <c r="AA1458" t="str">
        <f t="shared" si="467"/>
        <v>Green</v>
      </c>
      <c r="AB1458" t="str">
        <f t="shared" si="468"/>
        <v>Green</v>
      </c>
      <c r="AC1458" t="str">
        <f t="shared" si="469"/>
        <v>Green</v>
      </c>
      <c r="AD1458" t="str">
        <f t="shared" si="470"/>
        <v>Red</v>
      </c>
    </row>
    <row r="1459" spans="1:30" x14ac:dyDescent="0.2">
      <c r="A1459" t="str">
        <f>L1458&amp;F1459&amp;G1459</f>
        <v>25/07/2026ArbaerUMF Tindastoll</v>
      </c>
      <c r="D1459" s="2">
        <v>46228</v>
      </c>
      <c r="E1459" s="3">
        <v>0.66666666666666663</v>
      </c>
      <c r="F1459" t="s">
        <v>3362</v>
      </c>
      <c r="G1459" t="s">
        <v>3363</v>
      </c>
      <c r="H1459">
        <v>0</v>
      </c>
      <c r="I1459">
        <v>1</v>
      </c>
      <c r="J1459">
        <v>0</v>
      </c>
      <c r="K1459">
        <v>4</v>
      </c>
      <c r="L1459" s="22" t="str">
        <f t="shared" si="471"/>
        <v>25/07/2026</v>
      </c>
      <c r="M1459" s="23">
        <f t="shared" si="472"/>
        <v>0.54166666666666663</v>
      </c>
      <c r="N1459" t="str">
        <f t="shared" si="473"/>
        <v>0 - 4</v>
      </c>
      <c r="O1459" t="str">
        <f t="shared" si="455"/>
        <v>Red</v>
      </c>
      <c r="P1459" t="str">
        <f t="shared" si="456"/>
        <v>Red</v>
      </c>
      <c r="Q1459" t="str">
        <f t="shared" si="457"/>
        <v>Green</v>
      </c>
      <c r="R1459" t="str">
        <f t="shared" si="458"/>
        <v>Red</v>
      </c>
      <c r="S1459" t="str">
        <f t="shared" si="459"/>
        <v>Green</v>
      </c>
      <c r="T1459" t="str">
        <f t="shared" si="460"/>
        <v>Green</v>
      </c>
      <c r="U1459" t="str">
        <f t="shared" si="461"/>
        <v>Red</v>
      </c>
      <c r="V1459" t="str">
        <f t="shared" si="462"/>
        <v>Red</v>
      </c>
      <c r="W1459" t="str">
        <f t="shared" si="463"/>
        <v>Green</v>
      </c>
      <c r="X1459" t="str">
        <f t="shared" si="464"/>
        <v>Green</v>
      </c>
      <c r="Y1459" t="str">
        <f t="shared" si="465"/>
        <v>Green</v>
      </c>
      <c r="Z1459" t="str">
        <f t="shared" si="466"/>
        <v>Green</v>
      </c>
      <c r="AA1459" t="str">
        <f t="shared" si="467"/>
        <v>Red</v>
      </c>
      <c r="AB1459" t="str">
        <f t="shared" si="468"/>
        <v>Red</v>
      </c>
      <c r="AC1459" t="str">
        <f t="shared" si="469"/>
        <v>Red</v>
      </c>
      <c r="AD1459" t="str">
        <f t="shared" si="470"/>
        <v>Green</v>
      </c>
    </row>
    <row r="1460" spans="1:30" x14ac:dyDescent="0.2">
      <c r="A1460" t="str">
        <f>L1459&amp;F1460&amp;G1460</f>
        <v>25/07/2026KF FjallabyggdReynir Sandgerdi</v>
      </c>
      <c r="D1460" s="2">
        <v>46228</v>
      </c>
      <c r="E1460" s="3">
        <v>0.66666666666666663</v>
      </c>
      <c r="F1460" t="s">
        <v>3364</v>
      </c>
      <c r="G1460" t="s">
        <v>3365</v>
      </c>
      <c r="H1460">
        <v>0</v>
      </c>
      <c r="I1460">
        <v>2</v>
      </c>
      <c r="J1460">
        <v>0</v>
      </c>
      <c r="K1460">
        <v>3</v>
      </c>
      <c r="L1460" s="22" t="str">
        <f t="shared" si="471"/>
        <v>25/07/2026</v>
      </c>
      <c r="M1460" s="23">
        <f t="shared" si="472"/>
        <v>0.54166666666666663</v>
      </c>
      <c r="N1460" t="str">
        <f t="shared" si="473"/>
        <v>0 - 3</v>
      </c>
      <c r="O1460" t="str">
        <f t="shared" si="455"/>
        <v>Red</v>
      </c>
      <c r="P1460" t="str">
        <f t="shared" si="456"/>
        <v>Red</v>
      </c>
      <c r="Q1460" t="str">
        <f t="shared" si="457"/>
        <v>Green</v>
      </c>
      <c r="R1460" t="str">
        <f t="shared" si="458"/>
        <v>Red</v>
      </c>
      <c r="S1460" t="str">
        <f t="shared" si="459"/>
        <v>Green</v>
      </c>
      <c r="T1460" t="str">
        <f t="shared" si="460"/>
        <v>Green</v>
      </c>
      <c r="U1460" t="str">
        <f t="shared" si="461"/>
        <v>Red</v>
      </c>
      <c r="V1460" t="str">
        <f t="shared" si="462"/>
        <v>Red</v>
      </c>
      <c r="W1460" t="str">
        <f t="shared" si="463"/>
        <v>Green</v>
      </c>
      <c r="X1460" t="str">
        <f t="shared" si="464"/>
        <v>Green</v>
      </c>
      <c r="Y1460" t="str">
        <f t="shared" si="465"/>
        <v>Green</v>
      </c>
      <c r="Z1460" t="str">
        <f t="shared" si="466"/>
        <v>Green</v>
      </c>
      <c r="AA1460" t="str">
        <f t="shared" si="467"/>
        <v>Red</v>
      </c>
      <c r="AB1460" t="str">
        <f t="shared" si="468"/>
        <v>Green</v>
      </c>
      <c r="AC1460" t="str">
        <f t="shared" si="469"/>
        <v>Red</v>
      </c>
      <c r="AD1460" t="str">
        <f t="shared" si="470"/>
        <v>Green</v>
      </c>
    </row>
    <row r="1461" spans="1:30" x14ac:dyDescent="0.2">
      <c r="A1461" t="str">
        <f>L1460&amp;F1461&amp;G1461</f>
        <v>25/07/2026Galway FCWaterford United</v>
      </c>
      <c r="D1461" s="2">
        <v>46228</v>
      </c>
      <c r="E1461" s="3">
        <v>0.66666666666666663</v>
      </c>
      <c r="F1461" t="s">
        <v>3369</v>
      </c>
      <c r="G1461" t="s">
        <v>3370</v>
      </c>
      <c r="H1461">
        <v>0</v>
      </c>
      <c r="I1461">
        <v>0</v>
      </c>
      <c r="J1461">
        <v>0</v>
      </c>
      <c r="K1461">
        <v>0</v>
      </c>
      <c r="L1461" s="22" t="str">
        <f t="shared" si="471"/>
        <v>25/07/2026</v>
      </c>
      <c r="M1461" s="23">
        <f t="shared" si="472"/>
        <v>0.54166666666666663</v>
      </c>
      <c r="N1461" t="str">
        <f t="shared" si="473"/>
        <v>0 - 0</v>
      </c>
      <c r="O1461" t="str">
        <f t="shared" si="455"/>
        <v>Red</v>
      </c>
      <c r="P1461" t="str">
        <f t="shared" si="456"/>
        <v>Green</v>
      </c>
      <c r="Q1461" t="str">
        <f t="shared" si="457"/>
        <v>Red</v>
      </c>
      <c r="R1461" t="str">
        <f t="shared" si="458"/>
        <v>Green</v>
      </c>
      <c r="S1461" t="str">
        <f t="shared" si="459"/>
        <v>Green</v>
      </c>
      <c r="T1461" t="str">
        <f t="shared" si="460"/>
        <v>Red</v>
      </c>
      <c r="U1461" t="str">
        <f t="shared" si="461"/>
        <v>Red</v>
      </c>
      <c r="V1461" t="str">
        <f t="shared" si="462"/>
        <v>Green</v>
      </c>
      <c r="W1461" t="str">
        <f t="shared" si="463"/>
        <v>Red</v>
      </c>
      <c r="X1461" t="str">
        <f t="shared" si="464"/>
        <v>Red</v>
      </c>
      <c r="Y1461" t="str">
        <f t="shared" si="465"/>
        <v>Red</v>
      </c>
      <c r="Z1461" t="str">
        <f t="shared" si="466"/>
        <v>Red</v>
      </c>
      <c r="AA1461" t="str">
        <f t="shared" si="467"/>
        <v>Green</v>
      </c>
      <c r="AB1461" t="str">
        <f t="shared" si="468"/>
        <v>Green</v>
      </c>
      <c r="AC1461" t="str">
        <f t="shared" si="469"/>
        <v>Red</v>
      </c>
      <c r="AD1461" t="str">
        <f t="shared" si="470"/>
        <v>Green</v>
      </c>
    </row>
    <row r="1462" spans="1:30" x14ac:dyDescent="0.2">
      <c r="A1462" t="str">
        <f>L1461&amp;F1462&amp;G1462</f>
        <v>25/07/2026Peamount United WomenAthlone Town Women</v>
      </c>
      <c r="D1462" s="2">
        <v>46228</v>
      </c>
      <c r="E1462" s="3">
        <v>0.66666666666666663</v>
      </c>
      <c r="F1462" t="s">
        <v>3379</v>
      </c>
      <c r="G1462" t="s">
        <v>1588</v>
      </c>
      <c r="L1462" s="22" t="str">
        <f t="shared" si="471"/>
        <v>25/07/2026</v>
      </c>
      <c r="M1462" s="23">
        <f t="shared" si="472"/>
        <v>0.54166666666666663</v>
      </c>
      <c r="N1462" t="str">
        <f t="shared" si="473"/>
        <v xml:space="preserve"> - </v>
      </c>
      <c r="O1462" t="str">
        <f t="shared" si="455"/>
        <v>Red</v>
      </c>
      <c r="P1462" t="str">
        <f t="shared" si="456"/>
        <v>Green</v>
      </c>
      <c r="Q1462" t="str">
        <f t="shared" si="457"/>
        <v>Red</v>
      </c>
      <c r="R1462" t="str">
        <f t="shared" si="458"/>
        <v>Green</v>
      </c>
      <c r="S1462" t="str">
        <f t="shared" si="459"/>
        <v>Green</v>
      </c>
      <c r="T1462" t="str">
        <f t="shared" si="460"/>
        <v>Red</v>
      </c>
      <c r="U1462" t="str">
        <f t="shared" si="461"/>
        <v>Red</v>
      </c>
      <c r="V1462" t="str">
        <f t="shared" si="462"/>
        <v>Green</v>
      </c>
      <c r="W1462" t="str">
        <f t="shared" si="463"/>
        <v>Red</v>
      </c>
      <c r="X1462" t="str">
        <f t="shared" si="464"/>
        <v>Red</v>
      </c>
      <c r="Y1462" t="str">
        <f t="shared" si="465"/>
        <v>Red</v>
      </c>
      <c r="Z1462" t="str">
        <f t="shared" si="466"/>
        <v>Red</v>
      </c>
      <c r="AA1462" t="str">
        <f t="shared" si="467"/>
        <v>Green</v>
      </c>
      <c r="AB1462" t="str">
        <f t="shared" si="468"/>
        <v>Green</v>
      </c>
      <c r="AC1462" t="str">
        <f t="shared" si="469"/>
        <v>Red</v>
      </c>
      <c r="AD1462" t="str">
        <f t="shared" si="470"/>
        <v>Green</v>
      </c>
    </row>
    <row r="1463" spans="1:30" x14ac:dyDescent="0.2">
      <c r="A1463" t="str">
        <f>L1462&amp;F1463&amp;G1463</f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71"/>
        <v>25/07/2026</v>
      </c>
      <c r="M1463" s="23">
        <f t="shared" si="472"/>
        <v>0.54166666666666663</v>
      </c>
      <c r="N1463" t="str">
        <f t="shared" si="473"/>
        <v xml:space="preserve"> - </v>
      </c>
      <c r="O1463" t="str">
        <f t="shared" si="455"/>
        <v>Red</v>
      </c>
      <c r="P1463" t="str">
        <f t="shared" si="456"/>
        <v>Green</v>
      </c>
      <c r="Q1463" t="str">
        <f t="shared" si="457"/>
        <v>Red</v>
      </c>
      <c r="R1463" t="str">
        <f t="shared" si="458"/>
        <v>Green</v>
      </c>
      <c r="S1463" t="str">
        <f t="shared" si="459"/>
        <v>Green</v>
      </c>
      <c r="T1463" t="str">
        <f t="shared" si="460"/>
        <v>Red</v>
      </c>
      <c r="U1463" t="str">
        <f t="shared" si="461"/>
        <v>Red</v>
      </c>
      <c r="V1463" t="str">
        <f t="shared" si="462"/>
        <v>Green</v>
      </c>
      <c r="W1463" t="str">
        <f t="shared" si="463"/>
        <v>Red</v>
      </c>
      <c r="X1463" t="str">
        <f t="shared" si="464"/>
        <v>Red</v>
      </c>
      <c r="Y1463" t="str">
        <f t="shared" si="465"/>
        <v>Red</v>
      </c>
      <c r="Z1463" t="str">
        <f t="shared" si="466"/>
        <v>Red</v>
      </c>
      <c r="AA1463" t="str">
        <f t="shared" si="467"/>
        <v>Green</v>
      </c>
      <c r="AB1463" t="str">
        <f t="shared" si="468"/>
        <v>Green</v>
      </c>
      <c r="AC1463" t="str">
        <f t="shared" si="469"/>
        <v>Red</v>
      </c>
      <c r="AD1463" t="str">
        <f t="shared" si="470"/>
        <v>Green</v>
      </c>
    </row>
    <row r="1464" spans="1:30" x14ac:dyDescent="0.2">
      <c r="A1464" t="str">
        <f>L1463&amp;F1464&amp;G1464</f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71"/>
        <v>25/07/2026</v>
      </c>
      <c r="M1464" s="23">
        <f t="shared" si="472"/>
        <v>0.54166666666666663</v>
      </c>
      <c r="N1464" t="str">
        <f t="shared" si="473"/>
        <v>1 - 0</v>
      </c>
      <c r="O1464" t="str">
        <f t="shared" si="455"/>
        <v>Green</v>
      </c>
      <c r="P1464" t="str">
        <f t="shared" si="456"/>
        <v>Red</v>
      </c>
      <c r="Q1464" t="str">
        <f t="shared" si="457"/>
        <v>Red</v>
      </c>
      <c r="R1464" t="str">
        <f t="shared" si="458"/>
        <v>Green</v>
      </c>
      <c r="S1464" t="str">
        <f t="shared" si="459"/>
        <v>Red</v>
      </c>
      <c r="T1464" t="str">
        <f t="shared" si="460"/>
        <v>Green</v>
      </c>
      <c r="U1464" t="str">
        <f t="shared" si="461"/>
        <v>Red</v>
      </c>
      <c r="V1464" t="str">
        <f t="shared" si="462"/>
        <v>Green</v>
      </c>
      <c r="W1464" t="str">
        <f t="shared" si="463"/>
        <v>Red</v>
      </c>
      <c r="X1464" t="str">
        <f t="shared" si="464"/>
        <v>Red</v>
      </c>
      <c r="Y1464" t="str">
        <f t="shared" si="465"/>
        <v>Red</v>
      </c>
      <c r="Z1464" t="str">
        <f t="shared" si="466"/>
        <v>Red</v>
      </c>
      <c r="AA1464" t="str">
        <f t="shared" si="467"/>
        <v>Green</v>
      </c>
      <c r="AB1464" t="str">
        <f t="shared" si="468"/>
        <v>Green</v>
      </c>
      <c r="AC1464" t="str">
        <f t="shared" si="469"/>
        <v>Red</v>
      </c>
      <c r="AD1464" t="str">
        <f t="shared" si="470"/>
        <v>Green</v>
      </c>
    </row>
    <row r="1465" spans="1:30" x14ac:dyDescent="0.2">
      <c r="A1465" t="str">
        <f>L1464&amp;F1465&amp;G1465</f>
        <v>25/07/2026StromsgodsetLyn</v>
      </c>
      <c r="D1465" s="2">
        <v>46228</v>
      </c>
      <c r="E1465" s="3">
        <v>0.66666666666666663</v>
      </c>
      <c r="F1465" t="s">
        <v>639</v>
      </c>
      <c r="G1465" t="s">
        <v>3449</v>
      </c>
      <c r="H1465">
        <v>0</v>
      </c>
      <c r="I1465">
        <v>0</v>
      </c>
      <c r="J1465">
        <v>1</v>
      </c>
      <c r="K1465">
        <v>1</v>
      </c>
      <c r="L1465" s="22" t="str">
        <f t="shared" si="471"/>
        <v>25/07/2026</v>
      </c>
      <c r="M1465" s="23">
        <f t="shared" si="472"/>
        <v>0.54166666666666663</v>
      </c>
      <c r="N1465" t="str">
        <f t="shared" si="473"/>
        <v>1 - 1</v>
      </c>
      <c r="O1465" t="str">
        <f t="shared" si="455"/>
        <v>Red</v>
      </c>
      <c r="P1465" t="str">
        <f t="shared" si="456"/>
        <v>Green</v>
      </c>
      <c r="Q1465" t="str">
        <f t="shared" si="457"/>
        <v>Red</v>
      </c>
      <c r="R1465" t="str">
        <f t="shared" si="458"/>
        <v>Green</v>
      </c>
      <c r="S1465" t="str">
        <f t="shared" si="459"/>
        <v>Green</v>
      </c>
      <c r="T1465" t="str">
        <f t="shared" si="460"/>
        <v>Red</v>
      </c>
      <c r="U1465" t="str">
        <f t="shared" si="461"/>
        <v>Red</v>
      </c>
      <c r="V1465" t="str">
        <f t="shared" si="462"/>
        <v>Green</v>
      </c>
      <c r="W1465" t="str">
        <f t="shared" si="463"/>
        <v>Red</v>
      </c>
      <c r="X1465" t="str">
        <f t="shared" si="464"/>
        <v>Red</v>
      </c>
      <c r="Y1465" t="str">
        <f t="shared" si="465"/>
        <v>Green</v>
      </c>
      <c r="Z1465" t="str">
        <f t="shared" si="466"/>
        <v>Red</v>
      </c>
      <c r="AA1465" t="str">
        <f t="shared" si="467"/>
        <v>Green</v>
      </c>
      <c r="AB1465" t="str">
        <f t="shared" si="468"/>
        <v>Green</v>
      </c>
      <c r="AC1465" t="str">
        <f t="shared" si="469"/>
        <v>Green</v>
      </c>
      <c r="AD1465" t="str">
        <f t="shared" si="470"/>
        <v>Red</v>
      </c>
    </row>
    <row r="1466" spans="1:30" x14ac:dyDescent="0.2">
      <c r="A1466" t="str">
        <f>L1465&amp;F1466&amp;G1466</f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3530</v>
      </c>
      <c r="H1466">
        <v>1</v>
      </c>
      <c r="I1466">
        <v>0</v>
      </c>
      <c r="J1466">
        <v>2</v>
      </c>
      <c r="K1466">
        <v>0</v>
      </c>
      <c r="L1466" s="22" t="str">
        <f t="shared" si="471"/>
        <v>25/07/2026</v>
      </c>
      <c r="M1466" s="23">
        <f t="shared" si="472"/>
        <v>0.54166666666666663</v>
      </c>
      <c r="N1466" t="str">
        <f t="shared" si="473"/>
        <v>2 - 0</v>
      </c>
      <c r="O1466" t="str">
        <f t="shared" si="455"/>
        <v>Green</v>
      </c>
      <c r="P1466" t="str">
        <f t="shared" si="456"/>
        <v>Red</v>
      </c>
      <c r="Q1466" t="str">
        <f t="shared" si="457"/>
        <v>Red</v>
      </c>
      <c r="R1466" t="str">
        <f t="shared" si="458"/>
        <v>Green</v>
      </c>
      <c r="S1466" t="str">
        <f t="shared" si="459"/>
        <v>Red</v>
      </c>
      <c r="T1466" t="str">
        <f t="shared" si="460"/>
        <v>Green</v>
      </c>
      <c r="U1466" t="str">
        <f t="shared" si="461"/>
        <v>Green</v>
      </c>
      <c r="V1466" t="str">
        <f t="shared" si="462"/>
        <v>Red</v>
      </c>
      <c r="W1466" t="str">
        <f t="shared" si="463"/>
        <v>Red</v>
      </c>
      <c r="X1466" t="str">
        <f t="shared" si="464"/>
        <v>Green</v>
      </c>
      <c r="Y1466" t="str">
        <f t="shared" si="465"/>
        <v>Green</v>
      </c>
      <c r="Z1466" t="str">
        <f t="shared" si="466"/>
        <v>Red</v>
      </c>
      <c r="AA1466" t="str">
        <f t="shared" si="467"/>
        <v>Green</v>
      </c>
      <c r="AB1466" t="str">
        <f t="shared" si="468"/>
        <v>Green</v>
      </c>
      <c r="AC1466" t="str">
        <f t="shared" si="469"/>
        <v>Red</v>
      </c>
      <c r="AD1466" t="str">
        <f t="shared" si="470"/>
        <v>Green</v>
      </c>
    </row>
    <row r="1467" spans="1:30" x14ac:dyDescent="0.2">
      <c r="A1467" t="str">
        <f>L1466&amp;F1467&amp;G1467</f>
        <v>25/07/2026OKS Swit SkolwinGornik Leczna</v>
      </c>
      <c r="D1467" s="2">
        <v>46228</v>
      </c>
      <c r="E1467" s="3">
        <v>0.66666666666666663</v>
      </c>
      <c r="F1467" t="s">
        <v>3551</v>
      </c>
      <c r="G1467" t="s">
        <v>3552</v>
      </c>
      <c r="H1467">
        <v>1</v>
      </c>
      <c r="I1467">
        <v>2</v>
      </c>
      <c r="J1467">
        <v>2</v>
      </c>
      <c r="K1467">
        <v>3</v>
      </c>
      <c r="L1467" s="22" t="str">
        <f t="shared" si="471"/>
        <v>25/07/2026</v>
      </c>
      <c r="M1467" s="23">
        <f t="shared" si="472"/>
        <v>0.54166666666666663</v>
      </c>
      <c r="N1467" t="str">
        <f t="shared" si="473"/>
        <v>2 - 3</v>
      </c>
      <c r="O1467" t="str">
        <f t="shared" si="455"/>
        <v>Red</v>
      </c>
      <c r="P1467" t="str">
        <f t="shared" si="456"/>
        <v>Red</v>
      </c>
      <c r="Q1467" t="str">
        <f t="shared" si="457"/>
        <v>Green</v>
      </c>
      <c r="R1467" t="str">
        <f t="shared" si="458"/>
        <v>Red</v>
      </c>
      <c r="S1467" t="str">
        <f t="shared" si="459"/>
        <v>Green</v>
      </c>
      <c r="T1467" t="str">
        <f t="shared" si="460"/>
        <v>Green</v>
      </c>
      <c r="U1467" t="str">
        <f t="shared" si="461"/>
        <v>Red</v>
      </c>
      <c r="V1467" t="str">
        <f t="shared" si="462"/>
        <v>Red</v>
      </c>
      <c r="W1467" t="str">
        <f t="shared" si="463"/>
        <v>Green</v>
      </c>
      <c r="X1467" t="str">
        <f t="shared" si="464"/>
        <v>Green</v>
      </c>
      <c r="Y1467" t="str">
        <f t="shared" si="465"/>
        <v>Green</v>
      </c>
      <c r="Z1467" t="str">
        <f t="shared" si="466"/>
        <v>Green</v>
      </c>
      <c r="AA1467" t="str">
        <f t="shared" si="467"/>
        <v>Red</v>
      </c>
      <c r="AB1467" t="str">
        <f t="shared" si="468"/>
        <v>Red</v>
      </c>
      <c r="AC1467" t="str">
        <f t="shared" si="469"/>
        <v>Green</v>
      </c>
      <c r="AD1467" t="str">
        <f t="shared" si="470"/>
        <v>Red</v>
      </c>
    </row>
    <row r="1468" spans="1:30" x14ac:dyDescent="0.2">
      <c r="A1468" t="str">
        <f>L1467&amp;F1468&amp;G1468</f>
        <v>25/07/2026Tekstilshik IvanovoSpartak Kostroma</v>
      </c>
      <c r="D1468" s="2">
        <v>46228</v>
      </c>
      <c r="E1468" s="3">
        <v>0.66666666666666663</v>
      </c>
      <c r="F1468" t="s">
        <v>3565</v>
      </c>
      <c r="G1468" t="s">
        <v>3566</v>
      </c>
      <c r="H1468">
        <v>0</v>
      </c>
      <c r="I1468">
        <v>0</v>
      </c>
      <c r="J1468">
        <v>0</v>
      </c>
      <c r="K1468">
        <v>0</v>
      </c>
      <c r="L1468" s="22" t="str">
        <f t="shared" si="471"/>
        <v>25/07/2026</v>
      </c>
      <c r="M1468" s="23">
        <f t="shared" si="472"/>
        <v>0.54166666666666663</v>
      </c>
      <c r="N1468" t="str">
        <f t="shared" si="473"/>
        <v>0 - 0</v>
      </c>
      <c r="O1468" t="str">
        <f t="shared" si="455"/>
        <v>Red</v>
      </c>
      <c r="P1468" t="str">
        <f t="shared" si="456"/>
        <v>Green</v>
      </c>
      <c r="Q1468" t="str">
        <f t="shared" si="457"/>
        <v>Red</v>
      </c>
      <c r="R1468" t="str">
        <f t="shared" si="458"/>
        <v>Green</v>
      </c>
      <c r="S1468" t="str">
        <f t="shared" si="459"/>
        <v>Green</v>
      </c>
      <c r="T1468" t="str">
        <f t="shared" si="460"/>
        <v>Red</v>
      </c>
      <c r="U1468" t="str">
        <f t="shared" si="461"/>
        <v>Red</v>
      </c>
      <c r="V1468" t="str">
        <f t="shared" si="462"/>
        <v>Green</v>
      </c>
      <c r="W1468" t="str">
        <f t="shared" si="463"/>
        <v>Red</v>
      </c>
      <c r="X1468" t="str">
        <f t="shared" si="464"/>
        <v>Red</v>
      </c>
      <c r="Y1468" t="str">
        <f t="shared" si="465"/>
        <v>Red</v>
      </c>
      <c r="Z1468" t="str">
        <f t="shared" si="466"/>
        <v>Red</v>
      </c>
      <c r="AA1468" t="str">
        <f t="shared" si="467"/>
        <v>Green</v>
      </c>
      <c r="AB1468" t="str">
        <f t="shared" si="468"/>
        <v>Green</v>
      </c>
      <c r="AC1468" t="str">
        <f t="shared" si="469"/>
        <v>Red</v>
      </c>
      <c r="AD1468" t="str">
        <f t="shared" si="470"/>
        <v>Green</v>
      </c>
    </row>
    <row r="1469" spans="1:30" x14ac:dyDescent="0.2">
      <c r="A1469" t="str">
        <f>L1468&amp;F1469&amp;G1469</f>
        <v>25/07/2026Rodina IIDynamo-Vladivostok</v>
      </c>
      <c r="D1469" s="2">
        <v>46228</v>
      </c>
      <c r="E1469" s="3">
        <v>0.66666666666666663</v>
      </c>
      <c r="F1469" t="s">
        <v>3571</v>
      </c>
      <c r="G1469" t="s">
        <v>3572</v>
      </c>
      <c r="H1469">
        <v>0</v>
      </c>
      <c r="I1469">
        <v>0</v>
      </c>
      <c r="J1469">
        <v>0</v>
      </c>
      <c r="K1469">
        <v>0</v>
      </c>
      <c r="L1469" s="22" t="str">
        <f t="shared" si="471"/>
        <v>25/07/2026</v>
      </c>
      <c r="M1469" s="23">
        <f t="shared" si="472"/>
        <v>0.54166666666666663</v>
      </c>
      <c r="N1469" t="str">
        <f t="shared" si="473"/>
        <v>0 - 0</v>
      </c>
      <c r="O1469" t="str">
        <f t="shared" si="455"/>
        <v>Red</v>
      </c>
      <c r="P1469" t="str">
        <f t="shared" si="456"/>
        <v>Green</v>
      </c>
      <c r="Q1469" t="str">
        <f t="shared" si="457"/>
        <v>Red</v>
      </c>
      <c r="R1469" t="str">
        <f t="shared" si="458"/>
        <v>Green</v>
      </c>
      <c r="S1469" t="str">
        <f t="shared" si="459"/>
        <v>Green</v>
      </c>
      <c r="T1469" t="str">
        <f t="shared" si="460"/>
        <v>Red</v>
      </c>
      <c r="U1469" t="str">
        <f t="shared" si="461"/>
        <v>Red</v>
      </c>
      <c r="V1469" t="str">
        <f t="shared" si="462"/>
        <v>Green</v>
      </c>
      <c r="W1469" t="str">
        <f t="shared" si="463"/>
        <v>Red</v>
      </c>
      <c r="X1469" t="str">
        <f t="shared" si="464"/>
        <v>Red</v>
      </c>
      <c r="Y1469" t="str">
        <f t="shared" si="465"/>
        <v>Red</v>
      </c>
      <c r="Z1469" t="str">
        <f t="shared" si="466"/>
        <v>Red</v>
      </c>
      <c r="AA1469" t="str">
        <f t="shared" si="467"/>
        <v>Green</v>
      </c>
      <c r="AB1469" t="str">
        <f t="shared" si="468"/>
        <v>Green</v>
      </c>
      <c r="AC1469" t="str">
        <f t="shared" si="469"/>
        <v>Red</v>
      </c>
      <c r="AD1469" t="str">
        <f t="shared" si="470"/>
        <v>Green</v>
      </c>
    </row>
    <row r="1470" spans="1:30" x14ac:dyDescent="0.2">
      <c r="A1470" t="str">
        <f>L1469&amp;F1470&amp;G1470</f>
        <v>25/07/2026AS TrencinKFC Komarno</v>
      </c>
      <c r="D1470" s="2">
        <v>46228</v>
      </c>
      <c r="E1470" s="3">
        <v>0.66666666666666663</v>
      </c>
      <c r="F1470" t="s">
        <v>3623</v>
      </c>
      <c r="G1470" t="s">
        <v>3624</v>
      </c>
      <c r="H1470">
        <v>1</v>
      </c>
      <c r="I1470">
        <v>0</v>
      </c>
      <c r="J1470">
        <v>1</v>
      </c>
      <c r="K1470">
        <v>1</v>
      </c>
      <c r="L1470" s="22" t="str">
        <f t="shared" si="471"/>
        <v>25/07/2026</v>
      </c>
      <c r="M1470" s="23">
        <f t="shared" si="472"/>
        <v>0.54166666666666663</v>
      </c>
      <c r="N1470" t="str">
        <f t="shared" si="473"/>
        <v>1 - 1</v>
      </c>
      <c r="O1470" t="str">
        <f t="shared" si="455"/>
        <v>Red</v>
      </c>
      <c r="P1470" t="str">
        <f t="shared" si="456"/>
        <v>Green</v>
      </c>
      <c r="Q1470" t="str">
        <f t="shared" si="457"/>
        <v>Red</v>
      </c>
      <c r="R1470" t="str">
        <f t="shared" si="458"/>
        <v>Green</v>
      </c>
      <c r="S1470" t="str">
        <f t="shared" si="459"/>
        <v>Green</v>
      </c>
      <c r="T1470" t="str">
        <f t="shared" si="460"/>
        <v>Red</v>
      </c>
      <c r="U1470" t="str">
        <f t="shared" si="461"/>
        <v>Green</v>
      </c>
      <c r="V1470" t="str">
        <f t="shared" si="462"/>
        <v>Red</v>
      </c>
      <c r="W1470" t="str">
        <f t="shared" si="463"/>
        <v>Red</v>
      </c>
      <c r="X1470" t="str">
        <f t="shared" si="464"/>
        <v>Green</v>
      </c>
      <c r="Y1470" t="str">
        <f t="shared" si="465"/>
        <v>Green</v>
      </c>
      <c r="Z1470" t="str">
        <f t="shared" si="466"/>
        <v>Red</v>
      </c>
      <c r="AA1470" t="str">
        <f t="shared" si="467"/>
        <v>Green</v>
      </c>
      <c r="AB1470" t="str">
        <f t="shared" si="468"/>
        <v>Green</v>
      </c>
      <c r="AC1470" t="str">
        <f t="shared" si="469"/>
        <v>Green</v>
      </c>
      <c r="AD1470" t="str">
        <f t="shared" si="470"/>
        <v>Red</v>
      </c>
    </row>
    <row r="1471" spans="1:30" x14ac:dyDescent="0.2">
      <c r="A1471" t="str">
        <f>L1470&amp;F1471&amp;G1471</f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3625</v>
      </c>
      <c r="H1471">
        <v>1</v>
      </c>
      <c r="I1471">
        <v>1</v>
      </c>
      <c r="J1471">
        <v>1</v>
      </c>
      <c r="K1471">
        <v>1</v>
      </c>
      <c r="L1471" s="22" t="str">
        <f t="shared" si="471"/>
        <v>25/07/2026</v>
      </c>
      <c r="M1471" s="23">
        <f t="shared" si="472"/>
        <v>0.54166666666666663</v>
      </c>
      <c r="N1471" t="str">
        <f t="shared" si="473"/>
        <v>1 - 1</v>
      </c>
      <c r="O1471" t="str">
        <f t="shared" si="455"/>
        <v>Red</v>
      </c>
      <c r="P1471" t="str">
        <f t="shared" si="456"/>
        <v>Green</v>
      </c>
      <c r="Q1471" t="str">
        <f t="shared" si="457"/>
        <v>Red</v>
      </c>
      <c r="R1471" t="str">
        <f t="shared" si="458"/>
        <v>Green</v>
      </c>
      <c r="S1471" t="str">
        <f t="shared" si="459"/>
        <v>Green</v>
      </c>
      <c r="T1471" t="str">
        <f t="shared" si="460"/>
        <v>Red</v>
      </c>
      <c r="U1471" t="str">
        <f t="shared" si="461"/>
        <v>Red</v>
      </c>
      <c r="V1471" t="str">
        <f t="shared" si="462"/>
        <v>Green</v>
      </c>
      <c r="W1471" t="str">
        <f t="shared" si="463"/>
        <v>Red</v>
      </c>
      <c r="X1471" t="str">
        <f t="shared" si="464"/>
        <v>Green</v>
      </c>
      <c r="Y1471" t="str">
        <f t="shared" si="465"/>
        <v>Green</v>
      </c>
      <c r="Z1471" t="str">
        <f t="shared" si="466"/>
        <v>Red</v>
      </c>
      <c r="AA1471" t="str">
        <f t="shared" si="467"/>
        <v>Green</v>
      </c>
      <c r="AB1471" t="str">
        <f t="shared" si="468"/>
        <v>Green</v>
      </c>
      <c r="AC1471" t="str">
        <f t="shared" si="469"/>
        <v>Green</v>
      </c>
      <c r="AD1471" t="str">
        <f t="shared" si="470"/>
        <v>Red</v>
      </c>
    </row>
    <row r="1472" spans="1:30" x14ac:dyDescent="0.2">
      <c r="A1472" t="str">
        <f>L1471&amp;F1472&amp;G1472</f>
        <v>25/07/2026NS MuraNK Olimpija Ljubljana</v>
      </c>
      <c r="D1472" s="2">
        <v>46228</v>
      </c>
      <c r="E1472" s="3">
        <v>0.66666666666666663</v>
      </c>
      <c r="F1472" t="s">
        <v>3638</v>
      </c>
      <c r="G1472" t="s">
        <v>3639</v>
      </c>
      <c r="H1472">
        <v>1</v>
      </c>
      <c r="I1472">
        <v>0</v>
      </c>
      <c r="J1472">
        <v>1</v>
      </c>
      <c r="K1472">
        <v>0</v>
      </c>
      <c r="L1472" s="22" t="str">
        <f t="shared" si="471"/>
        <v>25/07/2026</v>
      </c>
      <c r="M1472" s="23">
        <f t="shared" si="472"/>
        <v>0.54166666666666663</v>
      </c>
      <c r="N1472" t="str">
        <f t="shared" si="473"/>
        <v>1 - 0</v>
      </c>
      <c r="O1472" t="str">
        <f t="shared" si="455"/>
        <v>Green</v>
      </c>
      <c r="P1472" t="str">
        <f t="shared" si="456"/>
        <v>Red</v>
      </c>
      <c r="Q1472" t="str">
        <f t="shared" si="457"/>
        <v>Red</v>
      </c>
      <c r="R1472" t="str">
        <f t="shared" si="458"/>
        <v>Green</v>
      </c>
      <c r="S1472" t="str">
        <f t="shared" si="459"/>
        <v>Red</v>
      </c>
      <c r="T1472" t="str">
        <f t="shared" si="460"/>
        <v>Green</v>
      </c>
      <c r="U1472" t="str">
        <f t="shared" si="461"/>
        <v>Green</v>
      </c>
      <c r="V1472" t="str">
        <f t="shared" si="462"/>
        <v>Red</v>
      </c>
      <c r="W1472" t="str">
        <f t="shared" si="463"/>
        <v>Red</v>
      </c>
      <c r="X1472" t="str">
        <f t="shared" si="464"/>
        <v>Green</v>
      </c>
      <c r="Y1472" t="str">
        <f t="shared" si="465"/>
        <v>Red</v>
      </c>
      <c r="Z1472" t="str">
        <f t="shared" si="466"/>
        <v>Red</v>
      </c>
      <c r="AA1472" t="str">
        <f t="shared" si="467"/>
        <v>Green</v>
      </c>
      <c r="AB1472" t="str">
        <f t="shared" si="468"/>
        <v>Green</v>
      </c>
      <c r="AC1472" t="str">
        <f t="shared" si="469"/>
        <v>Red</v>
      </c>
      <c r="AD1472" t="str">
        <f t="shared" si="470"/>
        <v>Green</v>
      </c>
    </row>
    <row r="1473" spans="1:30" x14ac:dyDescent="0.2">
      <c r="A1473" t="str">
        <f>L1472&amp;F1473&amp;G1473</f>
        <v>25/07/2026Lausanne SportGrasshoppers</v>
      </c>
      <c r="D1473" s="2">
        <v>46228</v>
      </c>
      <c r="E1473" s="3">
        <v>0.66666666666666663</v>
      </c>
      <c r="F1473" t="s">
        <v>3678</v>
      </c>
      <c r="G1473" t="s">
        <v>3679</v>
      </c>
      <c r="H1473">
        <v>1</v>
      </c>
      <c r="I1473">
        <v>0</v>
      </c>
      <c r="J1473">
        <v>1</v>
      </c>
      <c r="K1473">
        <v>1</v>
      </c>
      <c r="L1473" s="22" t="str">
        <f t="shared" si="471"/>
        <v>25/07/2026</v>
      </c>
      <c r="M1473" s="23">
        <f t="shared" si="472"/>
        <v>0.54166666666666663</v>
      </c>
      <c r="N1473" t="str">
        <f t="shared" si="473"/>
        <v>1 - 1</v>
      </c>
      <c r="O1473" t="str">
        <f t="shared" si="455"/>
        <v>Red</v>
      </c>
      <c r="P1473" t="str">
        <f t="shared" si="456"/>
        <v>Green</v>
      </c>
      <c r="Q1473" t="str">
        <f t="shared" si="457"/>
        <v>Red</v>
      </c>
      <c r="R1473" t="str">
        <f t="shared" si="458"/>
        <v>Green</v>
      </c>
      <c r="S1473" t="str">
        <f t="shared" si="459"/>
        <v>Green</v>
      </c>
      <c r="T1473" t="str">
        <f t="shared" si="460"/>
        <v>Red</v>
      </c>
      <c r="U1473" t="str">
        <f t="shared" si="461"/>
        <v>Green</v>
      </c>
      <c r="V1473" t="str">
        <f t="shared" si="462"/>
        <v>Red</v>
      </c>
      <c r="W1473" t="str">
        <f t="shared" si="463"/>
        <v>Red</v>
      </c>
      <c r="X1473" t="str">
        <f t="shared" si="464"/>
        <v>Green</v>
      </c>
      <c r="Y1473" t="str">
        <f t="shared" si="465"/>
        <v>Green</v>
      </c>
      <c r="Z1473" t="str">
        <f t="shared" si="466"/>
        <v>Red</v>
      </c>
      <c r="AA1473" t="str">
        <f t="shared" si="467"/>
        <v>Green</v>
      </c>
      <c r="AB1473" t="str">
        <f t="shared" si="468"/>
        <v>Green</v>
      </c>
      <c r="AC1473" t="str">
        <f t="shared" si="469"/>
        <v>Green</v>
      </c>
      <c r="AD1473" t="str">
        <f t="shared" si="470"/>
        <v>Red</v>
      </c>
    </row>
    <row r="1474" spans="1:30" x14ac:dyDescent="0.2">
      <c r="A1474" t="str">
        <f>L1473&amp;F1474&amp;G1474</f>
        <v>25/07/2026ServetteBasel</v>
      </c>
      <c r="D1474" s="2">
        <v>46228</v>
      </c>
      <c r="E1474" s="3">
        <v>0.66666666666666663</v>
      </c>
      <c r="F1474" t="s">
        <v>3680</v>
      </c>
      <c r="G1474" t="s">
        <v>3681</v>
      </c>
      <c r="H1474">
        <v>0</v>
      </c>
      <c r="I1474">
        <v>0</v>
      </c>
      <c r="J1474">
        <v>0</v>
      </c>
      <c r="K1474">
        <v>1</v>
      </c>
      <c r="L1474" s="22" t="str">
        <f t="shared" si="471"/>
        <v>25/07/2026</v>
      </c>
      <c r="M1474" s="23">
        <f t="shared" si="472"/>
        <v>0.54166666666666663</v>
      </c>
      <c r="N1474" t="str">
        <f t="shared" si="473"/>
        <v>0 - 1</v>
      </c>
      <c r="O1474" t="str">
        <f t="shared" ref="O1474:O1537" si="474">IF($J1474&gt;$K1474,"Green","Red")</f>
        <v>Red</v>
      </c>
      <c r="P1474" t="str">
        <f t="shared" ref="P1474:P1537" si="475">IF($J1474=$K1474,"Green","Red")</f>
        <v>Red</v>
      </c>
      <c r="Q1474" t="str">
        <f t="shared" ref="Q1474:Q1537" si="476">IF($J1474&lt;$K1474,"Green","Red")</f>
        <v>Green</v>
      </c>
      <c r="R1474" t="str">
        <f t="shared" ref="R1474:R1537" si="477">IF($J1474&gt;=$K1474,"Green","Red")</f>
        <v>Red</v>
      </c>
      <c r="S1474" t="str">
        <f t="shared" ref="S1474:S1537" si="478">IF($J1474&lt;=$K1474,"Green","Red")</f>
        <v>Green</v>
      </c>
      <c r="T1474" t="str">
        <f t="shared" ref="T1474:T1537" si="479">IF(OR($J1474&gt;$K1474,$J1474&lt;$K1474),"Green","Red")</f>
        <v>Green</v>
      </c>
      <c r="U1474" t="str">
        <f t="shared" ref="U1474:U1537" si="480">IF($H1474&gt;$I1474,"Green","Red")</f>
        <v>Red</v>
      </c>
      <c r="V1474" t="str">
        <f t="shared" ref="V1474:V1537" si="481">IF($H1474=$I1474,"Green","Red")</f>
        <v>Green</v>
      </c>
      <c r="W1474" t="str">
        <f t="shared" ref="W1474:W1537" si="482">IF($H1474&lt;$I1474,"Green","Red")</f>
        <v>Red</v>
      </c>
      <c r="X1474" t="str">
        <f t="shared" ref="X1474:X1537" si="483">IF($H1474+$I1474&gt;0,"Green","Red")</f>
        <v>Red</v>
      </c>
      <c r="Y1474" t="str">
        <f t="shared" ref="Y1474:Y1537" si="484">IF($J1474+$K1474&gt;1.5,"Green","Red")</f>
        <v>Red</v>
      </c>
      <c r="Z1474" t="str">
        <f t="shared" ref="Z1474:Z1537" si="485">IF($J1474+$K1474&gt;2.5,"Green","Red")</f>
        <v>Red</v>
      </c>
      <c r="AA1474" t="str">
        <f t="shared" ref="AA1474:AA1537" si="486">IF($J1474+$K1474&lt;2.5,"Green","Red")</f>
        <v>Green</v>
      </c>
      <c r="AB1474" t="str">
        <f t="shared" ref="AB1474:AB1537" si="487">IF($J1474+$K1474&lt;3.5,"Green","Red")</f>
        <v>Green</v>
      </c>
      <c r="AC1474" t="str">
        <f t="shared" ref="AC1474:AC1537" si="488">IF(AND($J1474&gt;0,$K1474&gt;0),"Green","Red")</f>
        <v>Red</v>
      </c>
      <c r="AD1474" t="str">
        <f t="shared" ref="AD1474:AD1537" si="489">IF(OR($J1474=0,$K1474=0),"Green","Red")</f>
        <v>Green</v>
      </c>
    </row>
    <row r="1475" spans="1:30" x14ac:dyDescent="0.2">
      <c r="A1475" t="str">
        <f>L1474&amp;F1475&amp;G1475</f>
        <v>25/07/2026TacuaremboPlaza Colonia</v>
      </c>
      <c r="D1475" s="2">
        <v>46228</v>
      </c>
      <c r="E1475" s="3">
        <v>0.66666666666666663</v>
      </c>
      <c r="F1475" t="s">
        <v>3693</v>
      </c>
      <c r="G1475" t="s">
        <v>3694</v>
      </c>
      <c r="H1475">
        <v>0</v>
      </c>
      <c r="I1475">
        <v>0</v>
      </c>
      <c r="J1475">
        <v>0</v>
      </c>
      <c r="K1475">
        <v>2</v>
      </c>
      <c r="L1475" s="22" t="str">
        <f t="shared" si="471"/>
        <v>25/07/2026</v>
      </c>
      <c r="M1475" s="23">
        <f t="shared" si="472"/>
        <v>0.54166666666666663</v>
      </c>
      <c r="N1475" t="str">
        <f t="shared" si="473"/>
        <v>0 - 2</v>
      </c>
      <c r="O1475" t="str">
        <f t="shared" si="474"/>
        <v>Red</v>
      </c>
      <c r="P1475" t="str">
        <f t="shared" si="475"/>
        <v>Red</v>
      </c>
      <c r="Q1475" t="str">
        <f t="shared" si="476"/>
        <v>Green</v>
      </c>
      <c r="R1475" t="str">
        <f t="shared" si="477"/>
        <v>Red</v>
      </c>
      <c r="S1475" t="str">
        <f t="shared" si="478"/>
        <v>Green</v>
      </c>
      <c r="T1475" t="str">
        <f t="shared" si="479"/>
        <v>Green</v>
      </c>
      <c r="U1475" t="str">
        <f t="shared" si="480"/>
        <v>Red</v>
      </c>
      <c r="V1475" t="str">
        <f t="shared" si="481"/>
        <v>Green</v>
      </c>
      <c r="W1475" t="str">
        <f t="shared" si="482"/>
        <v>Red</v>
      </c>
      <c r="X1475" t="str">
        <f t="shared" si="483"/>
        <v>Red</v>
      </c>
      <c r="Y1475" t="str">
        <f t="shared" si="484"/>
        <v>Green</v>
      </c>
      <c r="Z1475" t="str">
        <f t="shared" si="485"/>
        <v>Red</v>
      </c>
      <c r="AA1475" t="str">
        <f t="shared" si="486"/>
        <v>Green</v>
      </c>
      <c r="AB1475" t="str">
        <f t="shared" si="487"/>
        <v>Green</v>
      </c>
      <c r="AC1475" t="str">
        <f t="shared" si="488"/>
        <v>Red</v>
      </c>
      <c r="AD1475" t="str">
        <f t="shared" si="489"/>
        <v>Green</v>
      </c>
    </row>
    <row r="1476" spans="1:30" x14ac:dyDescent="0.2">
      <c r="A1476" t="str">
        <f>L1475&amp;F1476&amp;G1476</f>
        <v>25/07/2026El FarolitoAmbassadors FC Ohio</v>
      </c>
      <c r="D1476" s="2">
        <v>46228</v>
      </c>
      <c r="E1476" s="3">
        <v>0.66666666666666663</v>
      </c>
      <c r="F1476" t="s">
        <v>3720</v>
      </c>
      <c r="G1476" t="s">
        <v>3721</v>
      </c>
      <c r="H1476">
        <v>2</v>
      </c>
      <c r="I1476">
        <v>0</v>
      </c>
      <c r="J1476">
        <v>3</v>
      </c>
      <c r="K1476">
        <v>2</v>
      </c>
      <c r="L1476" s="22" t="str">
        <f t="shared" si="471"/>
        <v>25/07/2026</v>
      </c>
      <c r="M1476" s="23">
        <f t="shared" si="472"/>
        <v>0.54166666666666663</v>
      </c>
      <c r="N1476" t="str">
        <f t="shared" si="473"/>
        <v>3 - 2</v>
      </c>
      <c r="O1476" t="str">
        <f t="shared" si="474"/>
        <v>Green</v>
      </c>
      <c r="P1476" t="str">
        <f t="shared" si="475"/>
        <v>Red</v>
      </c>
      <c r="Q1476" t="str">
        <f t="shared" si="476"/>
        <v>Red</v>
      </c>
      <c r="R1476" t="str">
        <f t="shared" si="477"/>
        <v>Green</v>
      </c>
      <c r="S1476" t="str">
        <f t="shared" si="478"/>
        <v>Red</v>
      </c>
      <c r="T1476" t="str">
        <f t="shared" si="479"/>
        <v>Green</v>
      </c>
      <c r="U1476" t="str">
        <f t="shared" si="480"/>
        <v>Green</v>
      </c>
      <c r="V1476" t="str">
        <f t="shared" si="481"/>
        <v>Red</v>
      </c>
      <c r="W1476" t="str">
        <f t="shared" si="482"/>
        <v>Red</v>
      </c>
      <c r="X1476" t="str">
        <f t="shared" si="483"/>
        <v>Green</v>
      </c>
      <c r="Y1476" t="str">
        <f t="shared" si="484"/>
        <v>Green</v>
      </c>
      <c r="Z1476" t="str">
        <f t="shared" si="485"/>
        <v>Green</v>
      </c>
      <c r="AA1476" t="str">
        <f t="shared" si="486"/>
        <v>Red</v>
      </c>
      <c r="AB1476" t="str">
        <f t="shared" si="487"/>
        <v>Red</v>
      </c>
      <c r="AC1476" t="str">
        <f t="shared" si="488"/>
        <v>Green</v>
      </c>
      <c r="AD1476" t="str">
        <f t="shared" si="489"/>
        <v>Red</v>
      </c>
    </row>
    <row r="1477" spans="1:30" x14ac:dyDescent="0.2">
      <c r="A1477" t="str">
        <f>L1476&amp;F1477&amp;G1477</f>
        <v>25/07/2026A.C. TrentoSassuolo</v>
      </c>
      <c r="D1477" s="2">
        <v>46228</v>
      </c>
      <c r="E1477" s="3">
        <v>0.66666666666666663</v>
      </c>
      <c r="F1477" t="s">
        <v>3955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71"/>
        <v>25/07/2026</v>
      </c>
      <c r="M1477" s="23">
        <f t="shared" si="472"/>
        <v>0.54166666666666663</v>
      </c>
      <c r="N1477" t="str">
        <f t="shared" si="473"/>
        <v>2 - 0</v>
      </c>
      <c r="O1477" t="str">
        <f t="shared" si="474"/>
        <v>Green</v>
      </c>
      <c r="P1477" t="str">
        <f t="shared" si="475"/>
        <v>Red</v>
      </c>
      <c r="Q1477" t="str">
        <f t="shared" si="476"/>
        <v>Red</v>
      </c>
      <c r="R1477" t="str">
        <f t="shared" si="477"/>
        <v>Green</v>
      </c>
      <c r="S1477" t="str">
        <f t="shared" si="478"/>
        <v>Red</v>
      </c>
      <c r="T1477" t="str">
        <f t="shared" si="479"/>
        <v>Green</v>
      </c>
      <c r="U1477" t="str">
        <f t="shared" si="480"/>
        <v>Green</v>
      </c>
      <c r="V1477" t="str">
        <f t="shared" si="481"/>
        <v>Red</v>
      </c>
      <c r="W1477" t="str">
        <f t="shared" si="482"/>
        <v>Red</v>
      </c>
      <c r="X1477" t="str">
        <f t="shared" si="483"/>
        <v>Green</v>
      </c>
      <c r="Y1477" t="str">
        <f t="shared" si="484"/>
        <v>Green</v>
      </c>
      <c r="Z1477" t="str">
        <f t="shared" si="485"/>
        <v>Red</v>
      </c>
      <c r="AA1477" t="str">
        <f t="shared" si="486"/>
        <v>Green</v>
      </c>
      <c r="AB1477" t="str">
        <f t="shared" si="487"/>
        <v>Green</v>
      </c>
      <c r="AC1477" t="str">
        <f t="shared" si="488"/>
        <v>Red</v>
      </c>
      <c r="AD1477" t="str">
        <f t="shared" si="489"/>
        <v>Green</v>
      </c>
    </row>
    <row r="1478" spans="1:30" x14ac:dyDescent="0.2">
      <c r="A1478" t="str">
        <f>L1477&amp;F1478&amp;G1478</f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71"/>
        <v>25/07/2026</v>
      </c>
      <c r="M1478" s="23">
        <f t="shared" si="472"/>
        <v>0.54166666666666663</v>
      </c>
      <c r="N1478" t="str">
        <f t="shared" si="473"/>
        <v>0 - 1</v>
      </c>
      <c r="O1478" t="str">
        <f t="shared" si="474"/>
        <v>Red</v>
      </c>
      <c r="P1478" t="str">
        <f t="shared" si="475"/>
        <v>Red</v>
      </c>
      <c r="Q1478" t="str">
        <f t="shared" si="476"/>
        <v>Green</v>
      </c>
      <c r="R1478" t="str">
        <f t="shared" si="477"/>
        <v>Red</v>
      </c>
      <c r="S1478" t="str">
        <f t="shared" si="478"/>
        <v>Green</v>
      </c>
      <c r="T1478" t="str">
        <f t="shared" si="479"/>
        <v>Green</v>
      </c>
      <c r="U1478" t="str">
        <f t="shared" si="480"/>
        <v>Red</v>
      </c>
      <c r="V1478" t="str">
        <f t="shared" si="481"/>
        <v>Green</v>
      </c>
      <c r="W1478" t="str">
        <f t="shared" si="482"/>
        <v>Red</v>
      </c>
      <c r="X1478" t="str">
        <f t="shared" si="483"/>
        <v>Red</v>
      </c>
      <c r="Y1478" t="str">
        <f t="shared" si="484"/>
        <v>Red</v>
      </c>
      <c r="Z1478" t="str">
        <f t="shared" si="485"/>
        <v>Red</v>
      </c>
      <c r="AA1478" t="str">
        <f t="shared" si="486"/>
        <v>Green</v>
      </c>
      <c r="AB1478" t="str">
        <f t="shared" si="487"/>
        <v>Green</v>
      </c>
      <c r="AC1478" t="str">
        <f t="shared" si="488"/>
        <v>Red</v>
      </c>
      <c r="AD1478" t="str">
        <f t="shared" si="489"/>
        <v>Green</v>
      </c>
    </row>
    <row r="1479" spans="1:30" x14ac:dyDescent="0.2">
      <c r="A1479" t="str">
        <f>L1478&amp;F1479&amp;G1479</f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71"/>
        <v>25/07/2026</v>
      </c>
      <c r="M1479" s="23">
        <f t="shared" si="472"/>
        <v>0.54166666666666663</v>
      </c>
      <c r="N1479" t="str">
        <f t="shared" si="473"/>
        <v>3 - 0</v>
      </c>
      <c r="O1479" t="str">
        <f t="shared" si="474"/>
        <v>Green</v>
      </c>
      <c r="P1479" t="str">
        <f t="shared" si="475"/>
        <v>Red</v>
      </c>
      <c r="Q1479" t="str">
        <f t="shared" si="476"/>
        <v>Red</v>
      </c>
      <c r="R1479" t="str">
        <f t="shared" si="477"/>
        <v>Green</v>
      </c>
      <c r="S1479" t="str">
        <f t="shared" si="478"/>
        <v>Red</v>
      </c>
      <c r="T1479" t="str">
        <f t="shared" si="479"/>
        <v>Green</v>
      </c>
      <c r="U1479" t="str">
        <f t="shared" si="480"/>
        <v>Green</v>
      </c>
      <c r="V1479" t="str">
        <f t="shared" si="481"/>
        <v>Red</v>
      </c>
      <c r="W1479" t="str">
        <f t="shared" si="482"/>
        <v>Red</v>
      </c>
      <c r="X1479" t="str">
        <f t="shared" si="483"/>
        <v>Green</v>
      </c>
      <c r="Y1479" t="str">
        <f t="shared" si="484"/>
        <v>Green</v>
      </c>
      <c r="Z1479" t="str">
        <f t="shared" si="485"/>
        <v>Green</v>
      </c>
      <c r="AA1479" t="str">
        <f t="shared" si="486"/>
        <v>Red</v>
      </c>
      <c r="AB1479" t="str">
        <f t="shared" si="487"/>
        <v>Green</v>
      </c>
      <c r="AC1479" t="str">
        <f t="shared" si="488"/>
        <v>Red</v>
      </c>
      <c r="AD1479" t="str">
        <f t="shared" si="489"/>
        <v>Green</v>
      </c>
    </row>
    <row r="1480" spans="1:30" x14ac:dyDescent="0.2">
      <c r="A1480" t="str">
        <f>L1479&amp;F1480&amp;G1480</f>
        <v>25/07/2026EmpoliVirtus Entella</v>
      </c>
      <c r="D1480" s="2">
        <v>46228</v>
      </c>
      <c r="E1480" s="3">
        <v>0.66666666666666663</v>
      </c>
      <c r="F1480" t="s">
        <v>3956</v>
      </c>
      <c r="G1480" t="s">
        <v>3957</v>
      </c>
      <c r="H1480">
        <v>1</v>
      </c>
      <c r="I1480">
        <v>0</v>
      </c>
      <c r="J1480">
        <v>1</v>
      </c>
      <c r="K1480">
        <v>0</v>
      </c>
      <c r="L1480" s="22" t="str">
        <f t="shared" si="471"/>
        <v>25/07/2026</v>
      </c>
      <c r="M1480" s="23">
        <f t="shared" si="472"/>
        <v>0.54166666666666663</v>
      </c>
      <c r="N1480" t="str">
        <f t="shared" si="473"/>
        <v>1 - 0</v>
      </c>
      <c r="O1480" t="str">
        <f t="shared" si="474"/>
        <v>Green</v>
      </c>
      <c r="P1480" t="str">
        <f t="shared" si="475"/>
        <v>Red</v>
      </c>
      <c r="Q1480" t="str">
        <f t="shared" si="476"/>
        <v>Red</v>
      </c>
      <c r="R1480" t="str">
        <f t="shared" si="477"/>
        <v>Green</v>
      </c>
      <c r="S1480" t="str">
        <f t="shared" si="478"/>
        <v>Red</v>
      </c>
      <c r="T1480" t="str">
        <f t="shared" si="479"/>
        <v>Green</v>
      </c>
      <c r="U1480" t="str">
        <f t="shared" si="480"/>
        <v>Green</v>
      </c>
      <c r="V1480" t="str">
        <f t="shared" si="481"/>
        <v>Red</v>
      </c>
      <c r="W1480" t="str">
        <f t="shared" si="482"/>
        <v>Red</v>
      </c>
      <c r="X1480" t="str">
        <f t="shared" si="483"/>
        <v>Green</v>
      </c>
      <c r="Y1480" t="str">
        <f t="shared" si="484"/>
        <v>Red</v>
      </c>
      <c r="Z1480" t="str">
        <f t="shared" si="485"/>
        <v>Red</v>
      </c>
      <c r="AA1480" t="str">
        <f t="shared" si="486"/>
        <v>Green</v>
      </c>
      <c r="AB1480" t="str">
        <f t="shared" si="487"/>
        <v>Green</v>
      </c>
      <c r="AC1480" t="str">
        <f t="shared" si="488"/>
        <v>Red</v>
      </c>
      <c r="AD1480" t="str">
        <f t="shared" si="489"/>
        <v>Green</v>
      </c>
    </row>
    <row r="1481" spans="1:30" x14ac:dyDescent="0.2">
      <c r="A1481" t="str">
        <f>L1480&amp;F1481&amp;G1481</f>
        <v>25/07/2026FC SolothurnLuzern II</v>
      </c>
      <c r="D1481" s="2">
        <v>46228</v>
      </c>
      <c r="E1481" s="3">
        <v>0.66666666666666663</v>
      </c>
      <c r="F1481" t="s">
        <v>3958</v>
      </c>
      <c r="G1481" t="s">
        <v>3959</v>
      </c>
      <c r="H1481">
        <v>0</v>
      </c>
      <c r="I1481">
        <v>2</v>
      </c>
      <c r="J1481">
        <v>1</v>
      </c>
      <c r="K1481">
        <v>3</v>
      </c>
      <c r="L1481" s="22" t="str">
        <f t="shared" si="471"/>
        <v>25/07/2026</v>
      </c>
      <c r="M1481" s="23">
        <f t="shared" si="472"/>
        <v>0.54166666666666663</v>
      </c>
      <c r="N1481" t="str">
        <f t="shared" si="473"/>
        <v>1 - 3</v>
      </c>
      <c r="O1481" t="str">
        <f t="shared" si="474"/>
        <v>Red</v>
      </c>
      <c r="P1481" t="str">
        <f t="shared" si="475"/>
        <v>Red</v>
      </c>
      <c r="Q1481" t="str">
        <f t="shared" si="476"/>
        <v>Green</v>
      </c>
      <c r="R1481" t="str">
        <f t="shared" si="477"/>
        <v>Red</v>
      </c>
      <c r="S1481" t="str">
        <f t="shared" si="478"/>
        <v>Green</v>
      </c>
      <c r="T1481" t="str">
        <f t="shared" si="479"/>
        <v>Green</v>
      </c>
      <c r="U1481" t="str">
        <f t="shared" si="480"/>
        <v>Red</v>
      </c>
      <c r="V1481" t="str">
        <f t="shared" si="481"/>
        <v>Red</v>
      </c>
      <c r="W1481" t="str">
        <f t="shared" si="482"/>
        <v>Green</v>
      </c>
      <c r="X1481" t="str">
        <f t="shared" si="483"/>
        <v>Green</v>
      </c>
      <c r="Y1481" t="str">
        <f t="shared" si="484"/>
        <v>Green</v>
      </c>
      <c r="Z1481" t="str">
        <f t="shared" si="485"/>
        <v>Green</v>
      </c>
      <c r="AA1481" t="str">
        <f t="shared" si="486"/>
        <v>Red</v>
      </c>
      <c r="AB1481" t="str">
        <f t="shared" si="487"/>
        <v>Red</v>
      </c>
      <c r="AC1481" t="str">
        <f t="shared" si="488"/>
        <v>Green</v>
      </c>
      <c r="AD1481" t="str">
        <f t="shared" si="489"/>
        <v>Red</v>
      </c>
    </row>
    <row r="1482" spans="1:30" x14ac:dyDescent="0.2">
      <c r="A1482" t="str">
        <f>L1481&amp;F1482&amp;G1482</f>
        <v>25/07/2026FK Otrant UlcinjKF Vllaznia</v>
      </c>
      <c r="D1482" s="2">
        <v>46228</v>
      </c>
      <c r="E1482" s="3">
        <v>0.66666666666666663</v>
      </c>
      <c r="F1482" t="s">
        <v>3960</v>
      </c>
      <c r="G1482" t="s">
        <v>3961</v>
      </c>
      <c r="H1482">
        <v>1</v>
      </c>
      <c r="I1482">
        <v>0</v>
      </c>
      <c r="J1482">
        <v>2</v>
      </c>
      <c r="K1482">
        <v>1</v>
      </c>
      <c r="L1482" s="22" t="str">
        <f t="shared" si="471"/>
        <v>25/07/2026</v>
      </c>
      <c r="M1482" s="23">
        <f t="shared" si="472"/>
        <v>0.54166666666666663</v>
      </c>
      <c r="N1482" t="str">
        <f t="shared" si="473"/>
        <v>2 - 1</v>
      </c>
      <c r="O1482" t="str">
        <f t="shared" si="474"/>
        <v>Green</v>
      </c>
      <c r="P1482" t="str">
        <f t="shared" si="475"/>
        <v>Red</v>
      </c>
      <c r="Q1482" t="str">
        <f t="shared" si="476"/>
        <v>Red</v>
      </c>
      <c r="R1482" t="str">
        <f t="shared" si="477"/>
        <v>Green</v>
      </c>
      <c r="S1482" t="str">
        <f t="shared" si="478"/>
        <v>Red</v>
      </c>
      <c r="T1482" t="str">
        <f t="shared" si="479"/>
        <v>Green</v>
      </c>
      <c r="U1482" t="str">
        <f t="shared" si="480"/>
        <v>Green</v>
      </c>
      <c r="V1482" t="str">
        <f t="shared" si="481"/>
        <v>Red</v>
      </c>
      <c r="W1482" t="str">
        <f t="shared" si="482"/>
        <v>Red</v>
      </c>
      <c r="X1482" t="str">
        <f t="shared" si="483"/>
        <v>Green</v>
      </c>
      <c r="Y1482" t="str">
        <f t="shared" si="484"/>
        <v>Green</v>
      </c>
      <c r="Z1482" t="str">
        <f t="shared" si="485"/>
        <v>Green</v>
      </c>
      <c r="AA1482" t="str">
        <f t="shared" si="486"/>
        <v>Red</v>
      </c>
      <c r="AB1482" t="str">
        <f t="shared" si="487"/>
        <v>Green</v>
      </c>
      <c r="AC1482" t="str">
        <f t="shared" si="488"/>
        <v>Green</v>
      </c>
      <c r="AD1482" t="str">
        <f t="shared" si="489"/>
        <v>Red</v>
      </c>
    </row>
    <row r="1483" spans="1:30" x14ac:dyDescent="0.2">
      <c r="A1483" t="str">
        <f>L1482&amp;F1483&amp;G1483</f>
        <v>25/07/2026FK Radnicki ValjevoFK Sloboda Donji Tovarnik</v>
      </c>
      <c r="D1483" s="2">
        <v>46228</v>
      </c>
      <c r="E1483" s="3">
        <v>0.66666666666666663</v>
      </c>
      <c r="F1483" t="s">
        <v>3962</v>
      </c>
      <c r="G1483" t="s">
        <v>3963</v>
      </c>
      <c r="H1483">
        <v>0</v>
      </c>
      <c r="I1483">
        <v>0</v>
      </c>
      <c r="J1483">
        <v>1</v>
      </c>
      <c r="K1483">
        <v>0</v>
      </c>
      <c r="L1483" s="22" t="str">
        <f t="shared" si="471"/>
        <v>25/07/2026</v>
      </c>
      <c r="M1483" s="23">
        <f t="shared" si="472"/>
        <v>0.54166666666666663</v>
      </c>
      <c r="N1483" t="str">
        <f t="shared" si="473"/>
        <v>1 - 0</v>
      </c>
      <c r="O1483" t="str">
        <f t="shared" si="474"/>
        <v>Green</v>
      </c>
      <c r="P1483" t="str">
        <f t="shared" si="475"/>
        <v>Red</v>
      </c>
      <c r="Q1483" t="str">
        <f t="shared" si="476"/>
        <v>Red</v>
      </c>
      <c r="R1483" t="str">
        <f t="shared" si="477"/>
        <v>Green</v>
      </c>
      <c r="S1483" t="str">
        <f t="shared" si="478"/>
        <v>Red</v>
      </c>
      <c r="T1483" t="str">
        <f t="shared" si="479"/>
        <v>Green</v>
      </c>
      <c r="U1483" t="str">
        <f t="shared" si="480"/>
        <v>Red</v>
      </c>
      <c r="V1483" t="str">
        <f t="shared" si="481"/>
        <v>Green</v>
      </c>
      <c r="W1483" t="str">
        <f t="shared" si="482"/>
        <v>Red</v>
      </c>
      <c r="X1483" t="str">
        <f t="shared" si="483"/>
        <v>Red</v>
      </c>
      <c r="Y1483" t="str">
        <f t="shared" si="484"/>
        <v>Red</v>
      </c>
      <c r="Z1483" t="str">
        <f t="shared" si="485"/>
        <v>Red</v>
      </c>
      <c r="AA1483" t="str">
        <f t="shared" si="486"/>
        <v>Green</v>
      </c>
      <c r="AB1483" t="str">
        <f t="shared" si="487"/>
        <v>Green</v>
      </c>
      <c r="AC1483" t="str">
        <f t="shared" si="488"/>
        <v>Red</v>
      </c>
      <c r="AD1483" t="str">
        <f t="shared" si="489"/>
        <v>Green</v>
      </c>
    </row>
    <row r="1484" spans="1:30" x14ac:dyDescent="0.2">
      <c r="A1484" t="str">
        <f>L1483&amp;F1484&amp;G1484</f>
        <v>25/07/2026Spartak SuboticaFK Vrsac</v>
      </c>
      <c r="D1484" s="2">
        <v>46228</v>
      </c>
      <c r="E1484" s="3">
        <v>0.66666666666666663</v>
      </c>
      <c r="F1484" t="s">
        <v>3964</v>
      </c>
      <c r="G1484" t="s">
        <v>3965</v>
      </c>
      <c r="H1484">
        <v>1</v>
      </c>
      <c r="I1484">
        <v>1</v>
      </c>
      <c r="J1484">
        <v>2</v>
      </c>
      <c r="K1484">
        <v>2</v>
      </c>
      <c r="L1484" s="22" t="str">
        <f t="shared" si="471"/>
        <v>25/07/2026</v>
      </c>
      <c r="M1484" s="23">
        <f t="shared" si="472"/>
        <v>0.54166666666666663</v>
      </c>
      <c r="N1484" t="str">
        <f t="shared" si="473"/>
        <v>2 - 2</v>
      </c>
      <c r="O1484" t="str">
        <f t="shared" si="474"/>
        <v>Red</v>
      </c>
      <c r="P1484" t="str">
        <f t="shared" si="475"/>
        <v>Green</v>
      </c>
      <c r="Q1484" t="str">
        <f t="shared" si="476"/>
        <v>Red</v>
      </c>
      <c r="R1484" t="str">
        <f t="shared" si="477"/>
        <v>Green</v>
      </c>
      <c r="S1484" t="str">
        <f t="shared" si="478"/>
        <v>Green</v>
      </c>
      <c r="T1484" t="str">
        <f t="shared" si="479"/>
        <v>Red</v>
      </c>
      <c r="U1484" t="str">
        <f t="shared" si="480"/>
        <v>Red</v>
      </c>
      <c r="V1484" t="str">
        <f t="shared" si="481"/>
        <v>Green</v>
      </c>
      <c r="W1484" t="str">
        <f t="shared" si="482"/>
        <v>Red</v>
      </c>
      <c r="X1484" t="str">
        <f t="shared" si="483"/>
        <v>Green</v>
      </c>
      <c r="Y1484" t="str">
        <f t="shared" si="484"/>
        <v>Green</v>
      </c>
      <c r="Z1484" t="str">
        <f t="shared" si="485"/>
        <v>Green</v>
      </c>
      <c r="AA1484" t="str">
        <f t="shared" si="486"/>
        <v>Red</v>
      </c>
      <c r="AB1484" t="str">
        <f t="shared" si="487"/>
        <v>Red</v>
      </c>
      <c r="AC1484" t="str">
        <f t="shared" si="488"/>
        <v>Green</v>
      </c>
      <c r="AD1484" t="str">
        <f t="shared" si="489"/>
        <v>Red</v>
      </c>
    </row>
    <row r="1485" spans="1:30" x14ac:dyDescent="0.2">
      <c r="A1485" t="str">
        <f>L1484&amp;F1485&amp;G1485</f>
        <v>25/07/2026Le HavreRed Star FC</v>
      </c>
      <c r="D1485" s="2">
        <v>46228</v>
      </c>
      <c r="E1485" s="3">
        <v>0.66666666666666663</v>
      </c>
      <c r="F1485" t="s">
        <v>3966</v>
      </c>
      <c r="G1485" t="s">
        <v>3967</v>
      </c>
      <c r="H1485">
        <v>0</v>
      </c>
      <c r="I1485">
        <v>1</v>
      </c>
      <c r="J1485">
        <v>2</v>
      </c>
      <c r="K1485">
        <v>1</v>
      </c>
      <c r="L1485" s="22" t="str">
        <f t="shared" si="471"/>
        <v>25/07/2026</v>
      </c>
      <c r="M1485" s="23">
        <f t="shared" si="472"/>
        <v>0.54166666666666663</v>
      </c>
      <c r="N1485" t="str">
        <f t="shared" si="473"/>
        <v>2 - 1</v>
      </c>
      <c r="O1485" t="str">
        <f t="shared" si="474"/>
        <v>Green</v>
      </c>
      <c r="P1485" t="str">
        <f t="shared" si="475"/>
        <v>Red</v>
      </c>
      <c r="Q1485" t="str">
        <f t="shared" si="476"/>
        <v>Red</v>
      </c>
      <c r="R1485" t="str">
        <f t="shared" si="477"/>
        <v>Green</v>
      </c>
      <c r="S1485" t="str">
        <f t="shared" si="478"/>
        <v>Red</v>
      </c>
      <c r="T1485" t="str">
        <f t="shared" si="479"/>
        <v>Green</v>
      </c>
      <c r="U1485" t="str">
        <f t="shared" si="480"/>
        <v>Red</v>
      </c>
      <c r="V1485" t="str">
        <f t="shared" si="481"/>
        <v>Red</v>
      </c>
      <c r="W1485" t="str">
        <f t="shared" si="482"/>
        <v>Green</v>
      </c>
      <c r="X1485" t="str">
        <f t="shared" si="483"/>
        <v>Green</v>
      </c>
      <c r="Y1485" t="str">
        <f t="shared" si="484"/>
        <v>Green</v>
      </c>
      <c r="Z1485" t="str">
        <f t="shared" si="485"/>
        <v>Green</v>
      </c>
      <c r="AA1485" t="str">
        <f t="shared" si="486"/>
        <v>Red</v>
      </c>
      <c r="AB1485" t="str">
        <f t="shared" si="487"/>
        <v>Green</v>
      </c>
      <c r="AC1485" t="str">
        <f t="shared" si="488"/>
        <v>Green</v>
      </c>
      <c r="AD1485" t="str">
        <f t="shared" si="489"/>
        <v>Red</v>
      </c>
    </row>
    <row r="1486" spans="1:30" x14ac:dyDescent="0.2">
      <c r="A1486" t="str">
        <f>L1485&amp;F1486&amp;G1486</f>
        <v>25/07/2026Napredak KrusevacFK Dubocica</v>
      </c>
      <c r="D1486" s="2">
        <v>46228</v>
      </c>
      <c r="E1486" s="3">
        <v>0.66666666666666663</v>
      </c>
      <c r="F1486" t="s">
        <v>3968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71"/>
        <v>25/07/2026</v>
      </c>
      <c r="M1486" s="23">
        <f t="shared" si="472"/>
        <v>0.54166666666666663</v>
      </c>
      <c r="N1486" t="str">
        <f t="shared" si="473"/>
        <v>1 - 0</v>
      </c>
      <c r="O1486" t="str">
        <f t="shared" si="474"/>
        <v>Green</v>
      </c>
      <c r="P1486" t="str">
        <f t="shared" si="475"/>
        <v>Red</v>
      </c>
      <c r="Q1486" t="str">
        <f t="shared" si="476"/>
        <v>Red</v>
      </c>
      <c r="R1486" t="str">
        <f t="shared" si="477"/>
        <v>Green</v>
      </c>
      <c r="S1486" t="str">
        <f t="shared" si="478"/>
        <v>Red</v>
      </c>
      <c r="T1486" t="str">
        <f t="shared" si="479"/>
        <v>Green</v>
      </c>
      <c r="U1486" t="str">
        <f t="shared" si="480"/>
        <v>Red</v>
      </c>
      <c r="V1486" t="str">
        <f t="shared" si="481"/>
        <v>Green</v>
      </c>
      <c r="W1486" t="str">
        <f t="shared" si="482"/>
        <v>Red</v>
      </c>
      <c r="X1486" t="str">
        <f t="shared" si="483"/>
        <v>Red</v>
      </c>
      <c r="Y1486" t="str">
        <f t="shared" si="484"/>
        <v>Red</v>
      </c>
      <c r="Z1486" t="str">
        <f t="shared" si="485"/>
        <v>Red</v>
      </c>
      <c r="AA1486" t="str">
        <f t="shared" si="486"/>
        <v>Green</v>
      </c>
      <c r="AB1486" t="str">
        <f t="shared" si="487"/>
        <v>Green</v>
      </c>
      <c r="AC1486" t="str">
        <f t="shared" si="488"/>
        <v>Red</v>
      </c>
      <c r="AD1486" t="str">
        <f t="shared" si="489"/>
        <v>Green</v>
      </c>
    </row>
    <row r="1487" spans="1:30" x14ac:dyDescent="0.2">
      <c r="A1487" t="str">
        <f>L1486&amp;F1487&amp;G1487</f>
        <v>25/07/2026NK LokomotivaSturm Graz II</v>
      </c>
      <c r="D1487" s="2">
        <v>46228</v>
      </c>
      <c r="E1487" s="3">
        <v>0.66666666666666663</v>
      </c>
      <c r="F1487" t="s">
        <v>3969</v>
      </c>
      <c r="G1487" t="s">
        <v>2667</v>
      </c>
      <c r="H1487">
        <v>1</v>
      </c>
      <c r="I1487">
        <v>0</v>
      </c>
      <c r="J1487">
        <v>4</v>
      </c>
      <c r="K1487">
        <v>0</v>
      </c>
      <c r="L1487" s="22" t="str">
        <f t="shared" si="471"/>
        <v>25/07/2026</v>
      </c>
      <c r="M1487" s="23">
        <f t="shared" si="472"/>
        <v>0.54166666666666663</v>
      </c>
      <c r="N1487" t="str">
        <f t="shared" si="473"/>
        <v>4 - 0</v>
      </c>
      <c r="O1487" t="str">
        <f t="shared" si="474"/>
        <v>Green</v>
      </c>
      <c r="P1487" t="str">
        <f t="shared" si="475"/>
        <v>Red</v>
      </c>
      <c r="Q1487" t="str">
        <f t="shared" si="476"/>
        <v>Red</v>
      </c>
      <c r="R1487" t="str">
        <f t="shared" si="477"/>
        <v>Green</v>
      </c>
      <c r="S1487" t="str">
        <f t="shared" si="478"/>
        <v>Red</v>
      </c>
      <c r="T1487" t="str">
        <f t="shared" si="479"/>
        <v>Green</v>
      </c>
      <c r="U1487" t="str">
        <f t="shared" si="480"/>
        <v>Green</v>
      </c>
      <c r="V1487" t="str">
        <f t="shared" si="481"/>
        <v>Red</v>
      </c>
      <c r="W1487" t="str">
        <f t="shared" si="482"/>
        <v>Red</v>
      </c>
      <c r="X1487" t="str">
        <f t="shared" si="483"/>
        <v>Green</v>
      </c>
      <c r="Y1487" t="str">
        <f t="shared" si="484"/>
        <v>Green</v>
      </c>
      <c r="Z1487" t="str">
        <f t="shared" si="485"/>
        <v>Green</v>
      </c>
      <c r="AA1487" t="str">
        <f t="shared" si="486"/>
        <v>Red</v>
      </c>
      <c r="AB1487" t="str">
        <f t="shared" si="487"/>
        <v>Red</v>
      </c>
      <c r="AC1487" t="str">
        <f t="shared" si="488"/>
        <v>Red</v>
      </c>
      <c r="AD1487" t="str">
        <f t="shared" si="489"/>
        <v>Green</v>
      </c>
    </row>
    <row r="1488" spans="1:30" x14ac:dyDescent="0.2">
      <c r="A1488" t="str">
        <f>L1487&amp;F1488&amp;G1488</f>
        <v>25/07/2026NK SolinNK Posusje</v>
      </c>
      <c r="D1488" s="2">
        <v>46228</v>
      </c>
      <c r="E1488" s="3">
        <v>0.66666666666666663</v>
      </c>
      <c r="F1488" t="s">
        <v>3970</v>
      </c>
      <c r="G1488" t="s">
        <v>3971</v>
      </c>
      <c r="H1488">
        <v>1</v>
      </c>
      <c r="I1488">
        <v>0</v>
      </c>
      <c r="J1488">
        <v>1</v>
      </c>
      <c r="K1488">
        <v>0</v>
      </c>
      <c r="L1488" s="22" t="str">
        <f t="shared" si="471"/>
        <v>25/07/2026</v>
      </c>
      <c r="M1488" s="23">
        <f t="shared" si="472"/>
        <v>0.54166666666666663</v>
      </c>
      <c r="N1488" t="str">
        <f t="shared" si="473"/>
        <v>1 - 0</v>
      </c>
      <c r="O1488" t="str">
        <f t="shared" si="474"/>
        <v>Green</v>
      </c>
      <c r="P1488" t="str">
        <f t="shared" si="475"/>
        <v>Red</v>
      </c>
      <c r="Q1488" t="str">
        <f t="shared" si="476"/>
        <v>Red</v>
      </c>
      <c r="R1488" t="str">
        <f t="shared" si="477"/>
        <v>Green</v>
      </c>
      <c r="S1488" t="str">
        <f t="shared" si="478"/>
        <v>Red</v>
      </c>
      <c r="T1488" t="str">
        <f t="shared" si="479"/>
        <v>Green</v>
      </c>
      <c r="U1488" t="str">
        <f t="shared" si="480"/>
        <v>Green</v>
      </c>
      <c r="V1488" t="str">
        <f t="shared" si="481"/>
        <v>Red</v>
      </c>
      <c r="W1488" t="str">
        <f t="shared" si="482"/>
        <v>Red</v>
      </c>
      <c r="X1488" t="str">
        <f t="shared" si="483"/>
        <v>Green</v>
      </c>
      <c r="Y1488" t="str">
        <f t="shared" si="484"/>
        <v>Red</v>
      </c>
      <c r="Z1488" t="str">
        <f t="shared" si="485"/>
        <v>Red</v>
      </c>
      <c r="AA1488" t="str">
        <f t="shared" si="486"/>
        <v>Green</v>
      </c>
      <c r="AB1488" t="str">
        <f t="shared" si="487"/>
        <v>Green</v>
      </c>
      <c r="AC1488" t="str">
        <f t="shared" si="488"/>
        <v>Red</v>
      </c>
      <c r="AD1488" t="str">
        <f t="shared" si="489"/>
        <v>Green</v>
      </c>
    </row>
    <row r="1489" spans="1:30" x14ac:dyDescent="0.2">
      <c r="A1489" t="str">
        <f>L1488&amp;F1489&amp;G1489</f>
        <v>25/07/2026MarseilleNice</v>
      </c>
      <c r="D1489" s="2">
        <v>46228</v>
      </c>
      <c r="E1489" s="3">
        <v>0.66666666666666663</v>
      </c>
      <c r="F1489" t="s">
        <v>3972</v>
      </c>
      <c r="G1489" t="s">
        <v>3973</v>
      </c>
      <c r="H1489">
        <v>0</v>
      </c>
      <c r="I1489">
        <v>2</v>
      </c>
      <c r="J1489">
        <v>0</v>
      </c>
      <c r="K1489">
        <v>3</v>
      </c>
      <c r="L1489" s="22" t="str">
        <f t="shared" si="471"/>
        <v>25/07/2026</v>
      </c>
      <c r="M1489" s="23">
        <f t="shared" si="472"/>
        <v>0.54166666666666663</v>
      </c>
      <c r="N1489" t="str">
        <f t="shared" si="473"/>
        <v>0 - 3</v>
      </c>
      <c r="O1489" t="str">
        <f t="shared" si="474"/>
        <v>Red</v>
      </c>
      <c r="P1489" t="str">
        <f t="shared" si="475"/>
        <v>Red</v>
      </c>
      <c r="Q1489" t="str">
        <f t="shared" si="476"/>
        <v>Green</v>
      </c>
      <c r="R1489" t="str">
        <f t="shared" si="477"/>
        <v>Red</v>
      </c>
      <c r="S1489" t="str">
        <f t="shared" si="478"/>
        <v>Green</v>
      </c>
      <c r="T1489" t="str">
        <f t="shared" si="479"/>
        <v>Green</v>
      </c>
      <c r="U1489" t="str">
        <f t="shared" si="480"/>
        <v>Red</v>
      </c>
      <c r="V1489" t="str">
        <f t="shared" si="481"/>
        <v>Red</v>
      </c>
      <c r="W1489" t="str">
        <f t="shared" si="482"/>
        <v>Green</v>
      </c>
      <c r="X1489" t="str">
        <f t="shared" si="483"/>
        <v>Green</v>
      </c>
      <c r="Y1489" t="str">
        <f t="shared" si="484"/>
        <v>Green</v>
      </c>
      <c r="Z1489" t="str">
        <f t="shared" si="485"/>
        <v>Green</v>
      </c>
      <c r="AA1489" t="str">
        <f t="shared" si="486"/>
        <v>Red</v>
      </c>
      <c r="AB1489" t="str">
        <f t="shared" si="487"/>
        <v>Green</v>
      </c>
      <c r="AC1489" t="str">
        <f t="shared" si="488"/>
        <v>Red</v>
      </c>
      <c r="AD1489" t="str">
        <f t="shared" si="489"/>
        <v>Green</v>
      </c>
    </row>
    <row r="1490" spans="1:30" x14ac:dyDescent="0.2">
      <c r="A1490" t="str">
        <f>L1489&amp;F1490&amp;G1490</f>
        <v>25/07/2026OrleansAuxerre</v>
      </c>
      <c r="D1490" s="2">
        <v>46228</v>
      </c>
      <c r="E1490" s="3">
        <v>0.66666666666666663</v>
      </c>
      <c r="F1490" t="s">
        <v>3974</v>
      </c>
      <c r="G1490" t="s">
        <v>3975</v>
      </c>
      <c r="H1490">
        <v>0</v>
      </c>
      <c r="I1490">
        <v>1</v>
      </c>
      <c r="J1490">
        <v>2</v>
      </c>
      <c r="K1490">
        <v>1</v>
      </c>
      <c r="L1490" s="22" t="str">
        <f t="shared" si="471"/>
        <v>25/07/2026</v>
      </c>
      <c r="M1490" s="23">
        <f t="shared" si="472"/>
        <v>0.54166666666666663</v>
      </c>
      <c r="N1490" t="str">
        <f t="shared" si="473"/>
        <v>2 - 1</v>
      </c>
      <c r="O1490" t="str">
        <f t="shared" si="474"/>
        <v>Green</v>
      </c>
      <c r="P1490" t="str">
        <f t="shared" si="475"/>
        <v>Red</v>
      </c>
      <c r="Q1490" t="str">
        <f t="shared" si="476"/>
        <v>Red</v>
      </c>
      <c r="R1490" t="str">
        <f t="shared" si="477"/>
        <v>Green</v>
      </c>
      <c r="S1490" t="str">
        <f t="shared" si="478"/>
        <v>Red</v>
      </c>
      <c r="T1490" t="str">
        <f t="shared" si="479"/>
        <v>Green</v>
      </c>
      <c r="U1490" t="str">
        <f t="shared" si="480"/>
        <v>Red</v>
      </c>
      <c r="V1490" t="str">
        <f t="shared" si="481"/>
        <v>Red</v>
      </c>
      <c r="W1490" t="str">
        <f t="shared" si="482"/>
        <v>Green</v>
      </c>
      <c r="X1490" t="str">
        <f t="shared" si="483"/>
        <v>Green</v>
      </c>
      <c r="Y1490" t="str">
        <f t="shared" si="484"/>
        <v>Green</v>
      </c>
      <c r="Z1490" t="str">
        <f t="shared" si="485"/>
        <v>Green</v>
      </c>
      <c r="AA1490" t="str">
        <f t="shared" si="486"/>
        <v>Red</v>
      </c>
      <c r="AB1490" t="str">
        <f t="shared" si="487"/>
        <v>Green</v>
      </c>
      <c r="AC1490" t="str">
        <f t="shared" si="488"/>
        <v>Green</v>
      </c>
      <c r="AD1490" t="str">
        <f t="shared" si="489"/>
        <v>Red</v>
      </c>
    </row>
    <row r="1491" spans="1:30" x14ac:dyDescent="0.2">
      <c r="A1491" t="str">
        <f>L1490&amp;F1491&amp;G1491</f>
        <v>25/07/2026PSV EindhovenVillarreal C</v>
      </c>
      <c r="D1491" s="2">
        <v>46228</v>
      </c>
      <c r="E1491" s="3">
        <v>0.66666666666666663</v>
      </c>
      <c r="F1491" t="s">
        <v>3976</v>
      </c>
      <c r="G1491" t="s">
        <v>3977</v>
      </c>
      <c r="L1491" s="22" t="str">
        <f t="shared" si="471"/>
        <v>25/07/2026</v>
      </c>
      <c r="M1491" s="23">
        <f t="shared" si="472"/>
        <v>0.54166666666666663</v>
      </c>
      <c r="N1491" t="str">
        <f t="shared" si="473"/>
        <v xml:space="preserve"> - </v>
      </c>
      <c r="O1491" t="str">
        <f t="shared" si="474"/>
        <v>Red</v>
      </c>
      <c r="P1491" t="str">
        <f t="shared" si="475"/>
        <v>Green</v>
      </c>
      <c r="Q1491" t="str">
        <f t="shared" si="476"/>
        <v>Red</v>
      </c>
      <c r="R1491" t="str">
        <f t="shared" si="477"/>
        <v>Green</v>
      </c>
      <c r="S1491" t="str">
        <f t="shared" si="478"/>
        <v>Green</v>
      </c>
      <c r="T1491" t="str">
        <f t="shared" si="479"/>
        <v>Red</v>
      </c>
      <c r="U1491" t="str">
        <f t="shared" si="480"/>
        <v>Red</v>
      </c>
      <c r="V1491" t="str">
        <f t="shared" si="481"/>
        <v>Green</v>
      </c>
      <c r="W1491" t="str">
        <f t="shared" si="482"/>
        <v>Red</v>
      </c>
      <c r="X1491" t="str">
        <f t="shared" si="483"/>
        <v>Red</v>
      </c>
      <c r="Y1491" t="str">
        <f t="shared" si="484"/>
        <v>Red</v>
      </c>
      <c r="Z1491" t="str">
        <f t="shared" si="485"/>
        <v>Red</v>
      </c>
      <c r="AA1491" t="str">
        <f t="shared" si="486"/>
        <v>Green</v>
      </c>
      <c r="AB1491" t="str">
        <f t="shared" si="487"/>
        <v>Green</v>
      </c>
      <c r="AC1491" t="str">
        <f t="shared" si="488"/>
        <v>Red</v>
      </c>
      <c r="AD1491" t="str">
        <f t="shared" si="489"/>
        <v>Green</v>
      </c>
    </row>
    <row r="1492" spans="1:30" x14ac:dyDescent="0.2">
      <c r="A1492" t="str">
        <f>L1491&amp;F1492&amp;G1492</f>
        <v>25/07/2026PSV EindhovenVillarreal</v>
      </c>
      <c r="D1492" s="2">
        <v>46228</v>
      </c>
      <c r="E1492" s="3">
        <v>0.66666666666666663</v>
      </c>
      <c r="F1492" t="s">
        <v>3976</v>
      </c>
      <c r="G1492" t="s">
        <v>3978</v>
      </c>
      <c r="H1492">
        <v>0</v>
      </c>
      <c r="I1492">
        <v>0</v>
      </c>
      <c r="J1492">
        <v>1</v>
      </c>
      <c r="K1492">
        <v>3</v>
      </c>
      <c r="L1492" s="22" t="str">
        <f t="shared" si="471"/>
        <v>25/07/2026</v>
      </c>
      <c r="M1492" s="23">
        <f t="shared" si="472"/>
        <v>0.54166666666666663</v>
      </c>
      <c r="N1492" t="str">
        <f t="shared" si="473"/>
        <v>1 - 3</v>
      </c>
      <c r="O1492" t="str">
        <f t="shared" si="474"/>
        <v>Red</v>
      </c>
      <c r="P1492" t="str">
        <f t="shared" si="475"/>
        <v>Red</v>
      </c>
      <c r="Q1492" t="str">
        <f t="shared" si="476"/>
        <v>Green</v>
      </c>
      <c r="R1492" t="str">
        <f t="shared" si="477"/>
        <v>Red</v>
      </c>
      <c r="S1492" t="str">
        <f t="shared" si="478"/>
        <v>Green</v>
      </c>
      <c r="T1492" t="str">
        <f t="shared" si="479"/>
        <v>Green</v>
      </c>
      <c r="U1492" t="str">
        <f t="shared" si="480"/>
        <v>Red</v>
      </c>
      <c r="V1492" t="str">
        <f t="shared" si="481"/>
        <v>Green</v>
      </c>
      <c r="W1492" t="str">
        <f t="shared" si="482"/>
        <v>Red</v>
      </c>
      <c r="X1492" t="str">
        <f t="shared" si="483"/>
        <v>Red</v>
      </c>
      <c r="Y1492" t="str">
        <f t="shared" si="484"/>
        <v>Green</v>
      </c>
      <c r="Z1492" t="str">
        <f t="shared" si="485"/>
        <v>Green</v>
      </c>
      <c r="AA1492" t="str">
        <f t="shared" si="486"/>
        <v>Red</v>
      </c>
      <c r="AB1492" t="str">
        <f t="shared" si="487"/>
        <v>Red</v>
      </c>
      <c r="AC1492" t="str">
        <f t="shared" si="488"/>
        <v>Green</v>
      </c>
      <c r="AD1492" t="str">
        <f t="shared" si="489"/>
        <v>Red</v>
      </c>
    </row>
    <row r="1493" spans="1:30" x14ac:dyDescent="0.2">
      <c r="A1493" t="str">
        <f>L1492&amp;F1493&amp;G1493</f>
        <v>25/07/2026RennesClub Brugge</v>
      </c>
      <c r="D1493" s="2">
        <v>46228</v>
      </c>
      <c r="E1493" s="3">
        <v>0.66666666666666663</v>
      </c>
      <c r="F1493" t="s">
        <v>3979</v>
      </c>
      <c r="G1493" t="s">
        <v>3980</v>
      </c>
      <c r="H1493">
        <v>1</v>
      </c>
      <c r="I1493">
        <v>0</v>
      </c>
      <c r="J1493">
        <v>2</v>
      </c>
      <c r="K1493">
        <v>1</v>
      </c>
      <c r="L1493" s="22" t="str">
        <f t="shared" si="471"/>
        <v>25/07/2026</v>
      </c>
      <c r="M1493" s="23">
        <f t="shared" si="472"/>
        <v>0.54166666666666663</v>
      </c>
      <c r="N1493" t="str">
        <f t="shared" si="473"/>
        <v>2 - 1</v>
      </c>
      <c r="O1493" t="str">
        <f t="shared" si="474"/>
        <v>Green</v>
      </c>
      <c r="P1493" t="str">
        <f t="shared" si="475"/>
        <v>Red</v>
      </c>
      <c r="Q1493" t="str">
        <f t="shared" si="476"/>
        <v>Red</v>
      </c>
      <c r="R1493" t="str">
        <f t="shared" si="477"/>
        <v>Green</v>
      </c>
      <c r="S1493" t="str">
        <f t="shared" si="478"/>
        <v>Red</v>
      </c>
      <c r="T1493" t="str">
        <f t="shared" si="479"/>
        <v>Green</v>
      </c>
      <c r="U1493" t="str">
        <f t="shared" si="480"/>
        <v>Green</v>
      </c>
      <c r="V1493" t="str">
        <f t="shared" si="481"/>
        <v>Red</v>
      </c>
      <c r="W1493" t="str">
        <f t="shared" si="482"/>
        <v>Red</v>
      </c>
      <c r="X1493" t="str">
        <f t="shared" si="483"/>
        <v>Green</v>
      </c>
      <c r="Y1493" t="str">
        <f t="shared" si="484"/>
        <v>Green</v>
      </c>
      <c r="Z1493" t="str">
        <f t="shared" si="485"/>
        <v>Green</v>
      </c>
      <c r="AA1493" t="str">
        <f t="shared" si="486"/>
        <v>Red</v>
      </c>
      <c r="AB1493" t="str">
        <f t="shared" si="487"/>
        <v>Green</v>
      </c>
      <c r="AC1493" t="str">
        <f t="shared" si="488"/>
        <v>Green</v>
      </c>
      <c r="AD1493" t="str">
        <f t="shared" si="489"/>
        <v>Red</v>
      </c>
    </row>
    <row r="1494" spans="1:30" x14ac:dyDescent="0.2">
      <c r="A1494" t="str">
        <f>L1493&amp;F1494&amp;G1494</f>
        <v>25/07/2026Sloboda TuzlaFK Zvijezda 09</v>
      </c>
      <c r="D1494" s="2">
        <v>46228</v>
      </c>
      <c r="E1494" s="3">
        <v>0.66666666666666663</v>
      </c>
      <c r="F1494" t="s">
        <v>3981</v>
      </c>
      <c r="G1494" t="s">
        <v>3982</v>
      </c>
      <c r="H1494">
        <v>2</v>
      </c>
      <c r="I1494">
        <v>0</v>
      </c>
      <c r="J1494">
        <v>6</v>
      </c>
      <c r="K1494">
        <v>0</v>
      </c>
      <c r="L1494" s="22" t="str">
        <f t="shared" si="471"/>
        <v>25/07/2026</v>
      </c>
      <c r="M1494" s="23">
        <f t="shared" si="472"/>
        <v>0.54166666666666663</v>
      </c>
      <c r="N1494" t="str">
        <f t="shared" si="473"/>
        <v>6 - 0</v>
      </c>
      <c r="O1494" t="str">
        <f t="shared" si="474"/>
        <v>Green</v>
      </c>
      <c r="P1494" t="str">
        <f t="shared" si="475"/>
        <v>Red</v>
      </c>
      <c r="Q1494" t="str">
        <f t="shared" si="476"/>
        <v>Red</v>
      </c>
      <c r="R1494" t="str">
        <f t="shared" si="477"/>
        <v>Green</v>
      </c>
      <c r="S1494" t="str">
        <f t="shared" si="478"/>
        <v>Red</v>
      </c>
      <c r="T1494" t="str">
        <f t="shared" si="479"/>
        <v>Green</v>
      </c>
      <c r="U1494" t="str">
        <f t="shared" si="480"/>
        <v>Green</v>
      </c>
      <c r="V1494" t="str">
        <f t="shared" si="481"/>
        <v>Red</v>
      </c>
      <c r="W1494" t="str">
        <f t="shared" si="482"/>
        <v>Red</v>
      </c>
      <c r="X1494" t="str">
        <f t="shared" si="483"/>
        <v>Green</v>
      </c>
      <c r="Y1494" t="str">
        <f t="shared" si="484"/>
        <v>Green</v>
      </c>
      <c r="Z1494" t="str">
        <f t="shared" si="485"/>
        <v>Green</v>
      </c>
      <c r="AA1494" t="str">
        <f t="shared" si="486"/>
        <v>Red</v>
      </c>
      <c r="AB1494" t="str">
        <f t="shared" si="487"/>
        <v>Red</v>
      </c>
      <c r="AC1494" t="str">
        <f t="shared" si="488"/>
        <v>Red</v>
      </c>
      <c r="AD1494" t="str">
        <f t="shared" si="489"/>
        <v>Green</v>
      </c>
    </row>
    <row r="1495" spans="1:30" x14ac:dyDescent="0.2">
      <c r="A1495" t="str">
        <f>L1494&amp;F1495&amp;G1495</f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3983</v>
      </c>
      <c r="H1495">
        <v>1</v>
      </c>
      <c r="I1495">
        <v>1</v>
      </c>
      <c r="J1495">
        <v>1</v>
      </c>
      <c r="K1495">
        <v>2</v>
      </c>
      <c r="L1495" s="22" t="str">
        <f t="shared" si="471"/>
        <v>25/07/2026</v>
      </c>
      <c r="M1495" s="23">
        <f t="shared" si="472"/>
        <v>0.54166666666666663</v>
      </c>
      <c r="N1495" t="str">
        <f t="shared" si="473"/>
        <v>1 - 2</v>
      </c>
      <c r="O1495" t="str">
        <f t="shared" si="474"/>
        <v>Red</v>
      </c>
      <c r="P1495" t="str">
        <f t="shared" si="475"/>
        <v>Red</v>
      </c>
      <c r="Q1495" t="str">
        <f t="shared" si="476"/>
        <v>Green</v>
      </c>
      <c r="R1495" t="str">
        <f t="shared" si="477"/>
        <v>Red</v>
      </c>
      <c r="S1495" t="str">
        <f t="shared" si="478"/>
        <v>Green</v>
      </c>
      <c r="T1495" t="str">
        <f t="shared" si="479"/>
        <v>Green</v>
      </c>
      <c r="U1495" t="str">
        <f t="shared" si="480"/>
        <v>Red</v>
      </c>
      <c r="V1495" t="str">
        <f t="shared" si="481"/>
        <v>Green</v>
      </c>
      <c r="W1495" t="str">
        <f t="shared" si="482"/>
        <v>Red</v>
      </c>
      <c r="X1495" t="str">
        <f t="shared" si="483"/>
        <v>Green</v>
      </c>
      <c r="Y1495" t="str">
        <f t="shared" si="484"/>
        <v>Green</v>
      </c>
      <c r="Z1495" t="str">
        <f t="shared" si="485"/>
        <v>Green</v>
      </c>
      <c r="AA1495" t="str">
        <f t="shared" si="486"/>
        <v>Red</v>
      </c>
      <c r="AB1495" t="str">
        <f t="shared" si="487"/>
        <v>Green</v>
      </c>
      <c r="AC1495" t="str">
        <f t="shared" si="488"/>
        <v>Green</v>
      </c>
      <c r="AD1495" t="str">
        <f t="shared" si="489"/>
        <v>Red</v>
      </c>
    </row>
    <row r="1496" spans="1:30" x14ac:dyDescent="0.2">
      <c r="A1496" t="str">
        <f>L1495&amp;F1496&amp;G1496</f>
        <v>25/07/2026FC KiffenHIFK II</v>
      </c>
      <c r="D1496" s="2">
        <v>46228</v>
      </c>
      <c r="E1496" s="3">
        <v>0.67708333333333337</v>
      </c>
      <c r="F1496" t="s">
        <v>3237</v>
      </c>
      <c r="G1496" t="s">
        <v>3238</v>
      </c>
      <c r="H1496">
        <v>1</v>
      </c>
      <c r="I1496">
        <v>0</v>
      </c>
      <c r="J1496">
        <v>1</v>
      </c>
      <c r="K1496">
        <v>1</v>
      </c>
      <c r="L1496" s="22" t="str">
        <f t="shared" si="471"/>
        <v>25/07/2026</v>
      </c>
      <c r="M1496" s="23">
        <f t="shared" si="472"/>
        <v>0.55208333333333337</v>
      </c>
      <c r="N1496" t="str">
        <f t="shared" si="473"/>
        <v>1 - 1</v>
      </c>
      <c r="O1496" t="str">
        <f t="shared" si="474"/>
        <v>Red</v>
      </c>
      <c r="P1496" t="str">
        <f t="shared" si="475"/>
        <v>Green</v>
      </c>
      <c r="Q1496" t="str">
        <f t="shared" si="476"/>
        <v>Red</v>
      </c>
      <c r="R1496" t="str">
        <f t="shared" si="477"/>
        <v>Green</v>
      </c>
      <c r="S1496" t="str">
        <f t="shared" si="478"/>
        <v>Green</v>
      </c>
      <c r="T1496" t="str">
        <f t="shared" si="479"/>
        <v>Red</v>
      </c>
      <c r="U1496" t="str">
        <f t="shared" si="480"/>
        <v>Green</v>
      </c>
      <c r="V1496" t="str">
        <f t="shared" si="481"/>
        <v>Red</v>
      </c>
      <c r="W1496" t="str">
        <f t="shared" si="482"/>
        <v>Red</v>
      </c>
      <c r="X1496" t="str">
        <f t="shared" si="483"/>
        <v>Green</v>
      </c>
      <c r="Y1496" t="str">
        <f t="shared" si="484"/>
        <v>Green</v>
      </c>
      <c r="Z1496" t="str">
        <f t="shared" si="485"/>
        <v>Red</v>
      </c>
      <c r="AA1496" t="str">
        <f t="shared" si="486"/>
        <v>Green</v>
      </c>
      <c r="AB1496" t="str">
        <f t="shared" si="487"/>
        <v>Green</v>
      </c>
      <c r="AC1496" t="str">
        <f t="shared" si="488"/>
        <v>Green</v>
      </c>
      <c r="AD1496" t="str">
        <f t="shared" si="489"/>
        <v>Red</v>
      </c>
    </row>
    <row r="1497" spans="1:30" x14ac:dyDescent="0.2">
      <c r="A1497" t="str">
        <f>L1496&amp;F1497&amp;G1497</f>
        <v>25/07/2026Kremser SCAustria Lustenau</v>
      </c>
      <c r="D1497" s="2">
        <v>46228</v>
      </c>
      <c r="E1497" s="3">
        <v>0.6875</v>
      </c>
      <c r="F1497" t="s">
        <v>3026</v>
      </c>
      <c r="G1497" t="s">
        <v>3027</v>
      </c>
      <c r="H1497">
        <v>0</v>
      </c>
      <c r="I1497">
        <v>0</v>
      </c>
      <c r="J1497">
        <v>0</v>
      </c>
      <c r="K1497">
        <v>1</v>
      </c>
      <c r="L1497" s="22" t="str">
        <f t="shared" si="471"/>
        <v>25/07/2026</v>
      </c>
      <c r="M1497" s="23">
        <f t="shared" si="472"/>
        <v>0.5625</v>
      </c>
      <c r="N1497" t="str">
        <f t="shared" si="473"/>
        <v>0 - 1</v>
      </c>
      <c r="O1497" t="str">
        <f t="shared" si="474"/>
        <v>Red</v>
      </c>
      <c r="P1497" t="str">
        <f t="shared" si="475"/>
        <v>Red</v>
      </c>
      <c r="Q1497" t="str">
        <f t="shared" si="476"/>
        <v>Green</v>
      </c>
      <c r="R1497" t="str">
        <f t="shared" si="477"/>
        <v>Red</v>
      </c>
      <c r="S1497" t="str">
        <f t="shared" si="478"/>
        <v>Green</v>
      </c>
      <c r="T1497" t="str">
        <f t="shared" si="479"/>
        <v>Green</v>
      </c>
      <c r="U1497" t="str">
        <f t="shared" si="480"/>
        <v>Red</v>
      </c>
      <c r="V1497" t="str">
        <f t="shared" si="481"/>
        <v>Green</v>
      </c>
      <c r="W1497" t="str">
        <f t="shared" si="482"/>
        <v>Red</v>
      </c>
      <c r="X1497" t="str">
        <f t="shared" si="483"/>
        <v>Red</v>
      </c>
      <c r="Y1497" t="str">
        <f t="shared" si="484"/>
        <v>Red</v>
      </c>
      <c r="Z1497" t="str">
        <f t="shared" si="485"/>
        <v>Red</v>
      </c>
      <c r="AA1497" t="str">
        <f t="shared" si="486"/>
        <v>Green</v>
      </c>
      <c r="AB1497" t="str">
        <f t="shared" si="487"/>
        <v>Green</v>
      </c>
      <c r="AC1497" t="str">
        <f t="shared" si="488"/>
        <v>Red</v>
      </c>
      <c r="AD1497" t="str">
        <f t="shared" si="489"/>
        <v>Green</v>
      </c>
    </row>
    <row r="1498" spans="1:30" x14ac:dyDescent="0.2">
      <c r="A1498" t="str">
        <f>L1497&amp;F1498&amp;G1498</f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71"/>
        <v>25/07/2026</v>
      </c>
      <c r="M1498" s="23">
        <f t="shared" si="472"/>
        <v>0.5625</v>
      </c>
      <c r="N1498" t="str">
        <f t="shared" si="473"/>
        <v>2 - 0</v>
      </c>
      <c r="O1498" t="str">
        <f t="shared" si="474"/>
        <v>Green</v>
      </c>
      <c r="P1498" t="str">
        <f t="shared" si="475"/>
        <v>Red</v>
      </c>
      <c r="Q1498" t="str">
        <f t="shared" si="476"/>
        <v>Red</v>
      </c>
      <c r="R1498" t="str">
        <f t="shared" si="477"/>
        <v>Green</v>
      </c>
      <c r="S1498" t="str">
        <f t="shared" si="478"/>
        <v>Red</v>
      </c>
      <c r="T1498" t="str">
        <f t="shared" si="479"/>
        <v>Green</v>
      </c>
      <c r="U1498" t="str">
        <f t="shared" si="480"/>
        <v>Green</v>
      </c>
      <c r="V1498" t="str">
        <f t="shared" si="481"/>
        <v>Red</v>
      </c>
      <c r="W1498" t="str">
        <f t="shared" si="482"/>
        <v>Red</v>
      </c>
      <c r="X1498" t="str">
        <f t="shared" si="483"/>
        <v>Green</v>
      </c>
      <c r="Y1498" t="str">
        <f t="shared" si="484"/>
        <v>Green</v>
      </c>
      <c r="Z1498" t="str">
        <f t="shared" si="485"/>
        <v>Red</v>
      </c>
      <c r="AA1498" t="str">
        <f t="shared" si="486"/>
        <v>Green</v>
      </c>
      <c r="AB1498" t="str">
        <f t="shared" si="487"/>
        <v>Green</v>
      </c>
      <c r="AC1498" t="str">
        <f t="shared" si="488"/>
        <v>Red</v>
      </c>
      <c r="AD1498" t="str">
        <f t="shared" si="489"/>
        <v>Green</v>
      </c>
    </row>
    <row r="1499" spans="1:30" x14ac:dyDescent="0.2">
      <c r="A1499" t="str">
        <f>L1498&amp;F1499&amp;G1499</f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71"/>
        <v>25/07/2026</v>
      </c>
      <c r="M1499" s="23">
        <f t="shared" si="472"/>
        <v>0.5625</v>
      </c>
      <c r="N1499" t="str">
        <f t="shared" si="473"/>
        <v>0 - 1</v>
      </c>
      <c r="O1499" t="str">
        <f t="shared" si="474"/>
        <v>Red</v>
      </c>
      <c r="P1499" t="str">
        <f t="shared" si="475"/>
        <v>Red</v>
      </c>
      <c r="Q1499" t="str">
        <f t="shared" si="476"/>
        <v>Green</v>
      </c>
      <c r="R1499" t="str">
        <f t="shared" si="477"/>
        <v>Red</v>
      </c>
      <c r="S1499" t="str">
        <f t="shared" si="478"/>
        <v>Green</v>
      </c>
      <c r="T1499" t="str">
        <f t="shared" si="479"/>
        <v>Green</v>
      </c>
      <c r="U1499" t="str">
        <f t="shared" si="480"/>
        <v>Red</v>
      </c>
      <c r="V1499" t="str">
        <f t="shared" si="481"/>
        <v>Red</v>
      </c>
      <c r="W1499" t="str">
        <f t="shared" si="482"/>
        <v>Green</v>
      </c>
      <c r="X1499" t="str">
        <f t="shared" si="483"/>
        <v>Green</v>
      </c>
      <c r="Y1499" t="str">
        <f t="shared" si="484"/>
        <v>Red</v>
      </c>
      <c r="Z1499" t="str">
        <f t="shared" si="485"/>
        <v>Red</v>
      </c>
      <c r="AA1499" t="str">
        <f t="shared" si="486"/>
        <v>Green</v>
      </c>
      <c r="AB1499" t="str">
        <f t="shared" si="487"/>
        <v>Green</v>
      </c>
      <c r="AC1499" t="str">
        <f t="shared" si="488"/>
        <v>Red</v>
      </c>
      <c r="AD1499" t="str">
        <f t="shared" si="489"/>
        <v>Green</v>
      </c>
    </row>
    <row r="1500" spans="1:30" x14ac:dyDescent="0.2">
      <c r="A1500" t="str">
        <f>L1499&amp;F1500&amp;G1500</f>
        <v>25/07/2026Rotor Volgograd IIZenit Penza</v>
      </c>
      <c r="D1500" s="2">
        <v>46228</v>
      </c>
      <c r="E1500" s="3">
        <v>0.6875</v>
      </c>
      <c r="F1500" t="s">
        <v>3601</v>
      </c>
      <c r="G1500" t="s">
        <v>3602</v>
      </c>
      <c r="H1500">
        <v>0</v>
      </c>
      <c r="I1500">
        <v>0</v>
      </c>
      <c r="J1500">
        <v>0</v>
      </c>
      <c r="K1500">
        <v>1</v>
      </c>
      <c r="L1500" s="22" t="str">
        <f t="shared" si="471"/>
        <v>25/07/2026</v>
      </c>
      <c r="M1500" s="23">
        <f t="shared" si="472"/>
        <v>0.5625</v>
      </c>
      <c r="N1500" t="str">
        <f t="shared" si="473"/>
        <v>0 - 1</v>
      </c>
      <c r="O1500" t="str">
        <f t="shared" si="474"/>
        <v>Red</v>
      </c>
      <c r="P1500" t="str">
        <f t="shared" si="475"/>
        <v>Red</v>
      </c>
      <c r="Q1500" t="str">
        <f t="shared" si="476"/>
        <v>Green</v>
      </c>
      <c r="R1500" t="str">
        <f t="shared" si="477"/>
        <v>Red</v>
      </c>
      <c r="S1500" t="str">
        <f t="shared" si="478"/>
        <v>Green</v>
      </c>
      <c r="T1500" t="str">
        <f t="shared" si="479"/>
        <v>Green</v>
      </c>
      <c r="U1500" t="str">
        <f t="shared" si="480"/>
        <v>Red</v>
      </c>
      <c r="V1500" t="str">
        <f t="shared" si="481"/>
        <v>Green</v>
      </c>
      <c r="W1500" t="str">
        <f t="shared" si="482"/>
        <v>Red</v>
      </c>
      <c r="X1500" t="str">
        <f t="shared" si="483"/>
        <v>Red</v>
      </c>
      <c r="Y1500" t="str">
        <f t="shared" si="484"/>
        <v>Red</v>
      </c>
      <c r="Z1500" t="str">
        <f t="shared" si="485"/>
        <v>Red</v>
      </c>
      <c r="AA1500" t="str">
        <f t="shared" si="486"/>
        <v>Green</v>
      </c>
      <c r="AB1500" t="str">
        <f t="shared" si="487"/>
        <v>Green</v>
      </c>
      <c r="AC1500" t="str">
        <f t="shared" si="488"/>
        <v>Red</v>
      </c>
      <c r="AD1500" t="str">
        <f t="shared" si="489"/>
        <v>Green</v>
      </c>
    </row>
    <row r="1501" spans="1:30" x14ac:dyDescent="0.2">
      <c r="A1501" t="str">
        <f>L1500&amp;F1501&amp;G1501</f>
        <v>25/07/2026BurgosAthletic Bilbao B</v>
      </c>
      <c r="D1501" s="2">
        <v>46228</v>
      </c>
      <c r="E1501" s="3">
        <v>0.6875</v>
      </c>
      <c r="F1501" t="s">
        <v>3984</v>
      </c>
      <c r="G1501" t="s">
        <v>3985</v>
      </c>
      <c r="H1501">
        <v>0</v>
      </c>
      <c r="I1501">
        <v>0</v>
      </c>
      <c r="J1501">
        <v>1</v>
      </c>
      <c r="K1501">
        <v>1</v>
      </c>
      <c r="L1501" s="22" t="str">
        <f t="shared" si="471"/>
        <v>25/07/2026</v>
      </c>
      <c r="M1501" s="23">
        <f t="shared" si="472"/>
        <v>0.5625</v>
      </c>
      <c r="N1501" t="str">
        <f t="shared" si="473"/>
        <v>1 - 1</v>
      </c>
      <c r="O1501" t="str">
        <f t="shared" si="474"/>
        <v>Red</v>
      </c>
      <c r="P1501" t="str">
        <f t="shared" si="475"/>
        <v>Green</v>
      </c>
      <c r="Q1501" t="str">
        <f t="shared" si="476"/>
        <v>Red</v>
      </c>
      <c r="R1501" t="str">
        <f t="shared" si="477"/>
        <v>Green</v>
      </c>
      <c r="S1501" t="str">
        <f t="shared" si="478"/>
        <v>Green</v>
      </c>
      <c r="T1501" t="str">
        <f t="shared" si="479"/>
        <v>Red</v>
      </c>
      <c r="U1501" t="str">
        <f t="shared" si="480"/>
        <v>Red</v>
      </c>
      <c r="V1501" t="str">
        <f t="shared" si="481"/>
        <v>Green</v>
      </c>
      <c r="W1501" t="str">
        <f t="shared" si="482"/>
        <v>Red</v>
      </c>
      <c r="X1501" t="str">
        <f t="shared" si="483"/>
        <v>Red</v>
      </c>
      <c r="Y1501" t="str">
        <f t="shared" si="484"/>
        <v>Green</v>
      </c>
      <c r="Z1501" t="str">
        <f t="shared" si="485"/>
        <v>Red</v>
      </c>
      <c r="AA1501" t="str">
        <f t="shared" si="486"/>
        <v>Green</v>
      </c>
      <c r="AB1501" t="str">
        <f t="shared" si="487"/>
        <v>Green</v>
      </c>
      <c r="AC1501" t="str">
        <f t="shared" si="488"/>
        <v>Green</v>
      </c>
      <c r="AD1501" t="str">
        <f t="shared" si="489"/>
        <v>Red</v>
      </c>
    </row>
    <row r="1502" spans="1:30" x14ac:dyDescent="0.2">
      <c r="A1502" t="str">
        <f>L1501&amp;F1502&amp;G1502</f>
        <v>25/07/2026OrijentDren Vrhnika</v>
      </c>
      <c r="D1502" s="2">
        <v>46228</v>
      </c>
      <c r="E1502" s="3">
        <v>0.6875</v>
      </c>
      <c r="F1502" t="s">
        <v>1450</v>
      </c>
      <c r="G1502" t="s">
        <v>3986</v>
      </c>
      <c r="H1502">
        <v>0</v>
      </c>
      <c r="I1502">
        <v>0</v>
      </c>
      <c r="J1502">
        <v>3</v>
      </c>
      <c r="K1502">
        <v>1</v>
      </c>
      <c r="L1502" s="22" t="str">
        <f t="shared" si="471"/>
        <v>25/07/2026</v>
      </c>
      <c r="M1502" s="23">
        <f t="shared" si="472"/>
        <v>0.5625</v>
      </c>
      <c r="N1502" t="str">
        <f t="shared" si="473"/>
        <v>3 - 1</v>
      </c>
      <c r="O1502" t="str">
        <f t="shared" si="474"/>
        <v>Green</v>
      </c>
      <c r="P1502" t="str">
        <f t="shared" si="475"/>
        <v>Red</v>
      </c>
      <c r="Q1502" t="str">
        <f t="shared" si="476"/>
        <v>Red</v>
      </c>
      <c r="R1502" t="str">
        <f t="shared" si="477"/>
        <v>Green</v>
      </c>
      <c r="S1502" t="str">
        <f t="shared" si="478"/>
        <v>Red</v>
      </c>
      <c r="T1502" t="str">
        <f t="shared" si="479"/>
        <v>Green</v>
      </c>
      <c r="U1502" t="str">
        <f t="shared" si="480"/>
        <v>Red</v>
      </c>
      <c r="V1502" t="str">
        <f t="shared" si="481"/>
        <v>Green</v>
      </c>
      <c r="W1502" t="str">
        <f t="shared" si="482"/>
        <v>Red</v>
      </c>
      <c r="X1502" t="str">
        <f t="shared" si="483"/>
        <v>Red</v>
      </c>
      <c r="Y1502" t="str">
        <f t="shared" si="484"/>
        <v>Green</v>
      </c>
      <c r="Z1502" t="str">
        <f t="shared" si="485"/>
        <v>Green</v>
      </c>
      <c r="AA1502" t="str">
        <f t="shared" si="486"/>
        <v>Red</v>
      </c>
      <c r="AB1502" t="str">
        <f t="shared" si="487"/>
        <v>Red</v>
      </c>
      <c r="AC1502" t="str">
        <f t="shared" si="488"/>
        <v>Green</v>
      </c>
      <c r="AD1502" t="str">
        <f t="shared" si="489"/>
        <v>Red</v>
      </c>
    </row>
    <row r="1503" spans="1:30" x14ac:dyDescent="0.2">
      <c r="A1503" t="str">
        <f>L1502&amp;F1503&amp;G1503</f>
        <v>25/07/2026CA ItuzaingoSportivo Italiano</v>
      </c>
      <c r="B1503" t="s">
        <v>806</v>
      </c>
      <c r="C1503" t="s">
        <v>2771</v>
      </c>
      <c r="D1503" s="2">
        <v>46228</v>
      </c>
      <c r="E1503" s="3">
        <v>0.70833333333333337</v>
      </c>
      <c r="F1503" t="s">
        <v>2774</v>
      </c>
      <c r="G1503" t="s">
        <v>2775</v>
      </c>
      <c r="H1503">
        <v>0</v>
      </c>
      <c r="I1503">
        <v>0</v>
      </c>
      <c r="J1503">
        <v>0</v>
      </c>
      <c r="K1503">
        <v>0</v>
      </c>
      <c r="L1503" s="22" t="str">
        <f t="shared" si="471"/>
        <v>25/07/2026</v>
      </c>
      <c r="M1503" s="23">
        <f t="shared" si="472"/>
        <v>0.58333333333333337</v>
      </c>
      <c r="N1503" t="str">
        <f t="shared" si="473"/>
        <v>0 - 0</v>
      </c>
      <c r="O1503" t="str">
        <f t="shared" si="474"/>
        <v>Red</v>
      </c>
      <c r="P1503" t="str">
        <f t="shared" si="475"/>
        <v>Green</v>
      </c>
      <c r="Q1503" t="str">
        <f t="shared" si="476"/>
        <v>Red</v>
      </c>
      <c r="R1503" t="str">
        <f t="shared" si="477"/>
        <v>Green</v>
      </c>
      <c r="S1503" t="str">
        <f t="shared" si="478"/>
        <v>Green</v>
      </c>
      <c r="T1503" t="str">
        <f t="shared" si="479"/>
        <v>Red</v>
      </c>
      <c r="U1503" t="str">
        <f t="shared" si="480"/>
        <v>Red</v>
      </c>
      <c r="V1503" t="str">
        <f t="shared" si="481"/>
        <v>Green</v>
      </c>
      <c r="W1503" t="str">
        <f t="shared" si="482"/>
        <v>Red</v>
      </c>
      <c r="X1503" t="str">
        <f t="shared" si="483"/>
        <v>Red</v>
      </c>
      <c r="Y1503" t="str">
        <f t="shared" si="484"/>
        <v>Red</v>
      </c>
      <c r="Z1503" t="str">
        <f t="shared" si="485"/>
        <v>Red</v>
      </c>
      <c r="AA1503" t="str">
        <f t="shared" si="486"/>
        <v>Green</v>
      </c>
      <c r="AB1503" t="str">
        <f t="shared" si="487"/>
        <v>Green</v>
      </c>
      <c r="AC1503" t="str">
        <f t="shared" si="488"/>
        <v>Red</v>
      </c>
      <c r="AD1503" t="str">
        <f t="shared" si="489"/>
        <v>Green</v>
      </c>
    </row>
    <row r="1504" spans="1:30" x14ac:dyDescent="0.2">
      <c r="A1504" t="str">
        <f>L1503&amp;F1504&amp;G1504</f>
        <v>25/07/2026MattersburgFirst Vienna</v>
      </c>
      <c r="D1504" s="2">
        <v>46228</v>
      </c>
      <c r="E1504" s="3">
        <v>0.70833333333333337</v>
      </c>
      <c r="F1504" t="s">
        <v>3028</v>
      </c>
      <c r="G1504" t="s">
        <v>3029</v>
      </c>
      <c r="H1504">
        <v>0</v>
      </c>
      <c r="I1504">
        <v>2</v>
      </c>
      <c r="J1504">
        <v>1</v>
      </c>
      <c r="K1504">
        <v>2</v>
      </c>
      <c r="L1504" s="22" t="str">
        <f t="shared" si="471"/>
        <v>25/07/2026</v>
      </c>
      <c r="M1504" s="23">
        <f t="shared" si="472"/>
        <v>0.58333333333333337</v>
      </c>
      <c r="N1504" t="str">
        <f t="shared" si="473"/>
        <v>1 - 2</v>
      </c>
      <c r="O1504" t="str">
        <f t="shared" si="474"/>
        <v>Red</v>
      </c>
      <c r="P1504" t="str">
        <f t="shared" si="475"/>
        <v>Red</v>
      </c>
      <c r="Q1504" t="str">
        <f t="shared" si="476"/>
        <v>Green</v>
      </c>
      <c r="R1504" t="str">
        <f t="shared" si="477"/>
        <v>Red</v>
      </c>
      <c r="S1504" t="str">
        <f t="shared" si="478"/>
        <v>Green</v>
      </c>
      <c r="T1504" t="str">
        <f t="shared" si="479"/>
        <v>Green</v>
      </c>
      <c r="U1504" t="str">
        <f t="shared" si="480"/>
        <v>Red</v>
      </c>
      <c r="V1504" t="str">
        <f t="shared" si="481"/>
        <v>Red</v>
      </c>
      <c r="W1504" t="str">
        <f t="shared" si="482"/>
        <v>Green</v>
      </c>
      <c r="X1504" t="str">
        <f t="shared" si="483"/>
        <v>Green</v>
      </c>
      <c r="Y1504" t="str">
        <f t="shared" si="484"/>
        <v>Green</v>
      </c>
      <c r="Z1504" t="str">
        <f t="shared" si="485"/>
        <v>Green</v>
      </c>
      <c r="AA1504" t="str">
        <f t="shared" si="486"/>
        <v>Red</v>
      </c>
      <c r="AB1504" t="str">
        <f t="shared" si="487"/>
        <v>Green</v>
      </c>
      <c r="AC1504" t="str">
        <f t="shared" si="488"/>
        <v>Green</v>
      </c>
      <c r="AD1504" t="str">
        <f t="shared" si="489"/>
        <v>Red</v>
      </c>
    </row>
    <row r="1505" spans="1:30" x14ac:dyDescent="0.2">
      <c r="A1505" t="str">
        <f>L1504&amp;F1505&amp;G1505</f>
        <v>25/07/2026SK Vorwarts SteyrSV Kuchl</v>
      </c>
      <c r="D1505" s="2">
        <v>46228</v>
      </c>
      <c r="E1505" s="3">
        <v>0.70833333333333337</v>
      </c>
      <c r="F1505" t="s">
        <v>3030</v>
      </c>
      <c r="G1505" t="s">
        <v>3031</v>
      </c>
      <c r="H1505">
        <v>0</v>
      </c>
      <c r="I1505">
        <v>0</v>
      </c>
      <c r="J1505">
        <v>1</v>
      </c>
      <c r="K1505">
        <v>0</v>
      </c>
      <c r="L1505" s="22" t="str">
        <f t="shared" si="471"/>
        <v>25/07/2026</v>
      </c>
      <c r="M1505" s="23">
        <f t="shared" si="472"/>
        <v>0.58333333333333337</v>
      </c>
      <c r="N1505" t="str">
        <f t="shared" si="473"/>
        <v>1 - 0</v>
      </c>
      <c r="O1505" t="str">
        <f t="shared" si="474"/>
        <v>Green</v>
      </c>
      <c r="P1505" t="str">
        <f t="shared" si="475"/>
        <v>Red</v>
      </c>
      <c r="Q1505" t="str">
        <f t="shared" si="476"/>
        <v>Red</v>
      </c>
      <c r="R1505" t="str">
        <f t="shared" si="477"/>
        <v>Green</v>
      </c>
      <c r="S1505" t="str">
        <f t="shared" si="478"/>
        <v>Red</v>
      </c>
      <c r="T1505" t="str">
        <f t="shared" si="479"/>
        <v>Green</v>
      </c>
      <c r="U1505" t="str">
        <f t="shared" si="480"/>
        <v>Red</v>
      </c>
      <c r="V1505" t="str">
        <f t="shared" si="481"/>
        <v>Green</v>
      </c>
      <c r="W1505" t="str">
        <f t="shared" si="482"/>
        <v>Red</v>
      </c>
      <c r="X1505" t="str">
        <f t="shared" si="483"/>
        <v>Red</v>
      </c>
      <c r="Y1505" t="str">
        <f t="shared" si="484"/>
        <v>Red</v>
      </c>
      <c r="Z1505" t="str">
        <f t="shared" si="485"/>
        <v>Red</v>
      </c>
      <c r="AA1505" t="str">
        <f t="shared" si="486"/>
        <v>Green</v>
      </c>
      <c r="AB1505" t="str">
        <f t="shared" si="487"/>
        <v>Green</v>
      </c>
      <c r="AC1505" t="str">
        <f t="shared" si="488"/>
        <v>Red</v>
      </c>
      <c r="AD1505" t="str">
        <f t="shared" si="489"/>
        <v>Green</v>
      </c>
    </row>
    <row r="1506" spans="1:30" x14ac:dyDescent="0.2">
      <c r="A1506" t="str">
        <f>L1505&amp;F1506&amp;G1506</f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3032</v>
      </c>
      <c r="H1506">
        <v>0</v>
      </c>
      <c r="I1506">
        <v>2</v>
      </c>
      <c r="J1506">
        <v>1</v>
      </c>
      <c r="K1506">
        <v>4</v>
      </c>
      <c r="L1506" s="22" t="str">
        <f t="shared" si="471"/>
        <v>25/07/2026</v>
      </c>
      <c r="M1506" s="23">
        <f t="shared" si="472"/>
        <v>0.58333333333333337</v>
      </c>
      <c r="N1506" t="str">
        <f t="shared" si="473"/>
        <v>1 - 4</v>
      </c>
      <c r="O1506" t="str">
        <f t="shared" si="474"/>
        <v>Red</v>
      </c>
      <c r="P1506" t="str">
        <f t="shared" si="475"/>
        <v>Red</v>
      </c>
      <c r="Q1506" t="str">
        <f t="shared" si="476"/>
        <v>Green</v>
      </c>
      <c r="R1506" t="str">
        <f t="shared" si="477"/>
        <v>Red</v>
      </c>
      <c r="S1506" t="str">
        <f t="shared" si="478"/>
        <v>Green</v>
      </c>
      <c r="T1506" t="str">
        <f t="shared" si="479"/>
        <v>Green</v>
      </c>
      <c r="U1506" t="str">
        <f t="shared" si="480"/>
        <v>Red</v>
      </c>
      <c r="V1506" t="str">
        <f t="shared" si="481"/>
        <v>Red</v>
      </c>
      <c r="W1506" t="str">
        <f t="shared" si="482"/>
        <v>Green</v>
      </c>
      <c r="X1506" t="str">
        <f t="shared" si="483"/>
        <v>Green</v>
      </c>
      <c r="Y1506" t="str">
        <f t="shared" si="484"/>
        <v>Green</v>
      </c>
      <c r="Z1506" t="str">
        <f t="shared" si="485"/>
        <v>Green</v>
      </c>
      <c r="AA1506" t="str">
        <f t="shared" si="486"/>
        <v>Red</v>
      </c>
      <c r="AB1506" t="str">
        <f t="shared" si="487"/>
        <v>Red</v>
      </c>
      <c r="AC1506" t="str">
        <f t="shared" si="488"/>
        <v>Green</v>
      </c>
      <c r="AD1506" t="str">
        <f t="shared" si="489"/>
        <v>Red</v>
      </c>
    </row>
    <row r="1507" spans="1:30" x14ac:dyDescent="0.2">
      <c r="A1507" t="str">
        <f>L1506&amp;F1507&amp;G1507</f>
        <v>25/07/2026Torpedo ZhodinoDnepr Mogilev</v>
      </c>
      <c r="D1507" s="2">
        <v>46228</v>
      </c>
      <c r="E1507" s="3">
        <v>0.70833333333333337</v>
      </c>
      <c r="F1507" t="s">
        <v>3047</v>
      </c>
      <c r="G1507" t="s">
        <v>3048</v>
      </c>
      <c r="H1507">
        <v>0</v>
      </c>
      <c r="I1507">
        <v>1</v>
      </c>
      <c r="J1507">
        <v>1</v>
      </c>
      <c r="K1507">
        <v>2</v>
      </c>
      <c r="L1507" s="22" t="str">
        <f t="shared" si="471"/>
        <v>25/07/2026</v>
      </c>
      <c r="M1507" s="23">
        <f t="shared" si="472"/>
        <v>0.58333333333333337</v>
      </c>
      <c r="N1507" t="str">
        <f t="shared" si="473"/>
        <v>1 - 2</v>
      </c>
      <c r="O1507" t="str">
        <f t="shared" si="474"/>
        <v>Red</v>
      </c>
      <c r="P1507" t="str">
        <f t="shared" si="475"/>
        <v>Red</v>
      </c>
      <c r="Q1507" t="str">
        <f t="shared" si="476"/>
        <v>Green</v>
      </c>
      <c r="R1507" t="str">
        <f t="shared" si="477"/>
        <v>Red</v>
      </c>
      <c r="S1507" t="str">
        <f t="shared" si="478"/>
        <v>Green</v>
      </c>
      <c r="T1507" t="str">
        <f t="shared" si="479"/>
        <v>Green</v>
      </c>
      <c r="U1507" t="str">
        <f t="shared" si="480"/>
        <v>Red</v>
      </c>
      <c r="V1507" t="str">
        <f t="shared" si="481"/>
        <v>Red</v>
      </c>
      <c r="W1507" t="str">
        <f t="shared" si="482"/>
        <v>Green</v>
      </c>
      <c r="X1507" t="str">
        <f t="shared" si="483"/>
        <v>Green</v>
      </c>
      <c r="Y1507" t="str">
        <f t="shared" si="484"/>
        <v>Green</v>
      </c>
      <c r="Z1507" t="str">
        <f t="shared" si="485"/>
        <v>Green</v>
      </c>
      <c r="AA1507" t="str">
        <f t="shared" si="486"/>
        <v>Red</v>
      </c>
      <c r="AB1507" t="str">
        <f t="shared" si="487"/>
        <v>Green</v>
      </c>
      <c r="AC1507" t="str">
        <f t="shared" si="488"/>
        <v>Green</v>
      </c>
      <c r="AD1507" t="str">
        <f t="shared" si="489"/>
        <v>Red</v>
      </c>
    </row>
    <row r="1508" spans="1:30" x14ac:dyDescent="0.2">
      <c r="A1508" t="str">
        <f>L1507&amp;F1508&amp;G1508</f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71"/>
        <v>25/07/2026</v>
      </c>
      <c r="M1508" s="23">
        <f t="shared" si="472"/>
        <v>0.58333333333333337</v>
      </c>
      <c r="N1508" t="str">
        <f t="shared" si="473"/>
        <v>1 - 2</v>
      </c>
      <c r="O1508" t="str">
        <f t="shared" si="474"/>
        <v>Red</v>
      </c>
      <c r="P1508" t="str">
        <f t="shared" si="475"/>
        <v>Red</v>
      </c>
      <c r="Q1508" t="str">
        <f t="shared" si="476"/>
        <v>Green</v>
      </c>
      <c r="R1508" t="str">
        <f t="shared" si="477"/>
        <v>Red</v>
      </c>
      <c r="S1508" t="str">
        <f t="shared" si="478"/>
        <v>Green</v>
      </c>
      <c r="T1508" t="str">
        <f t="shared" si="479"/>
        <v>Green</v>
      </c>
      <c r="U1508" t="str">
        <f t="shared" si="480"/>
        <v>Red</v>
      </c>
      <c r="V1508" t="str">
        <f t="shared" si="481"/>
        <v>Green</v>
      </c>
      <c r="W1508" t="str">
        <f t="shared" si="482"/>
        <v>Red</v>
      </c>
      <c r="X1508" t="str">
        <f t="shared" si="483"/>
        <v>Red</v>
      </c>
      <c r="Y1508" t="str">
        <f t="shared" si="484"/>
        <v>Green</v>
      </c>
      <c r="Z1508" t="str">
        <f t="shared" si="485"/>
        <v>Green</v>
      </c>
      <c r="AA1508" t="str">
        <f t="shared" si="486"/>
        <v>Red</v>
      </c>
      <c r="AB1508" t="str">
        <f t="shared" si="487"/>
        <v>Green</v>
      </c>
      <c r="AC1508" t="str">
        <f t="shared" si="488"/>
        <v>Green</v>
      </c>
      <c r="AD1508" t="str">
        <f t="shared" si="489"/>
        <v>Red</v>
      </c>
    </row>
    <row r="1509" spans="1:30" x14ac:dyDescent="0.2">
      <c r="A1509" t="str">
        <f>L1508&amp;F1509&amp;G1509</f>
        <v>25/07/2026FC FratriaMarek Dupnitsa</v>
      </c>
      <c r="D1509" s="2">
        <v>46228</v>
      </c>
      <c r="E1509" s="3">
        <v>0.70833333333333337</v>
      </c>
      <c r="F1509" t="s">
        <v>3113</v>
      </c>
      <c r="G1509" t="s">
        <v>3114</v>
      </c>
      <c r="H1509">
        <v>0</v>
      </c>
      <c r="I1509">
        <v>1</v>
      </c>
      <c r="J1509">
        <v>0</v>
      </c>
      <c r="K1509">
        <v>1</v>
      </c>
      <c r="L1509" s="22" t="str">
        <f t="shared" si="471"/>
        <v>25/07/2026</v>
      </c>
      <c r="M1509" s="23">
        <f t="shared" si="472"/>
        <v>0.58333333333333337</v>
      </c>
      <c r="N1509" t="str">
        <f t="shared" si="473"/>
        <v>0 - 1</v>
      </c>
      <c r="O1509" t="str">
        <f t="shared" si="474"/>
        <v>Red</v>
      </c>
      <c r="P1509" t="str">
        <f t="shared" si="475"/>
        <v>Red</v>
      </c>
      <c r="Q1509" t="str">
        <f t="shared" si="476"/>
        <v>Green</v>
      </c>
      <c r="R1509" t="str">
        <f t="shared" si="477"/>
        <v>Red</v>
      </c>
      <c r="S1509" t="str">
        <f t="shared" si="478"/>
        <v>Green</v>
      </c>
      <c r="T1509" t="str">
        <f t="shared" si="479"/>
        <v>Green</v>
      </c>
      <c r="U1509" t="str">
        <f t="shared" si="480"/>
        <v>Red</v>
      </c>
      <c r="V1509" t="str">
        <f t="shared" si="481"/>
        <v>Red</v>
      </c>
      <c r="W1509" t="str">
        <f t="shared" si="482"/>
        <v>Green</v>
      </c>
      <c r="X1509" t="str">
        <f t="shared" si="483"/>
        <v>Green</v>
      </c>
      <c r="Y1509" t="str">
        <f t="shared" si="484"/>
        <v>Red</v>
      </c>
      <c r="Z1509" t="str">
        <f t="shared" si="485"/>
        <v>Red</v>
      </c>
      <c r="AA1509" t="str">
        <f t="shared" si="486"/>
        <v>Green</v>
      </c>
      <c r="AB1509" t="str">
        <f t="shared" si="487"/>
        <v>Green</v>
      </c>
      <c r="AC1509" t="str">
        <f t="shared" si="488"/>
        <v>Red</v>
      </c>
      <c r="AD1509" t="str">
        <f t="shared" si="489"/>
        <v>Green</v>
      </c>
    </row>
    <row r="1510" spans="1:30" x14ac:dyDescent="0.2">
      <c r="A1510" t="str">
        <f>L1509&amp;F1510&amp;G1510</f>
        <v>25/07/2026Lokomotiv Gorna OryahovitsaChernomorets Burgas</v>
      </c>
      <c r="D1510" s="2">
        <v>46228</v>
      </c>
      <c r="E1510" s="3">
        <v>0.70833333333333337</v>
      </c>
      <c r="F1510" t="s">
        <v>3115</v>
      </c>
      <c r="G1510" t="s">
        <v>3116</v>
      </c>
      <c r="H1510">
        <v>0</v>
      </c>
      <c r="I1510">
        <v>0</v>
      </c>
      <c r="J1510">
        <v>1</v>
      </c>
      <c r="K1510">
        <v>1</v>
      </c>
      <c r="L1510" s="22" t="str">
        <f t="shared" si="471"/>
        <v>25/07/2026</v>
      </c>
      <c r="M1510" s="23">
        <f t="shared" si="472"/>
        <v>0.58333333333333337</v>
      </c>
      <c r="N1510" t="str">
        <f t="shared" si="473"/>
        <v>1 - 1</v>
      </c>
      <c r="O1510" t="str">
        <f t="shared" si="474"/>
        <v>Red</v>
      </c>
      <c r="P1510" t="str">
        <f t="shared" si="475"/>
        <v>Green</v>
      </c>
      <c r="Q1510" t="str">
        <f t="shared" si="476"/>
        <v>Red</v>
      </c>
      <c r="R1510" t="str">
        <f t="shared" si="477"/>
        <v>Green</v>
      </c>
      <c r="S1510" t="str">
        <f t="shared" si="478"/>
        <v>Green</v>
      </c>
      <c r="T1510" t="str">
        <f t="shared" si="479"/>
        <v>Red</v>
      </c>
      <c r="U1510" t="str">
        <f t="shared" si="480"/>
        <v>Red</v>
      </c>
      <c r="V1510" t="str">
        <f t="shared" si="481"/>
        <v>Green</v>
      </c>
      <c r="W1510" t="str">
        <f t="shared" si="482"/>
        <v>Red</v>
      </c>
      <c r="X1510" t="str">
        <f t="shared" si="483"/>
        <v>Red</v>
      </c>
      <c r="Y1510" t="str">
        <f t="shared" si="484"/>
        <v>Green</v>
      </c>
      <c r="Z1510" t="str">
        <f t="shared" si="485"/>
        <v>Red</v>
      </c>
      <c r="AA1510" t="str">
        <f t="shared" si="486"/>
        <v>Green</v>
      </c>
      <c r="AB1510" t="str">
        <f t="shared" si="487"/>
        <v>Green</v>
      </c>
      <c r="AC1510" t="str">
        <f t="shared" si="488"/>
        <v>Green</v>
      </c>
      <c r="AD1510" t="str">
        <f t="shared" si="489"/>
        <v>Red</v>
      </c>
    </row>
    <row r="1511" spans="1:30" x14ac:dyDescent="0.2">
      <c r="A1511" t="str">
        <f>L1510&amp;F1511&amp;G1511</f>
        <v>25/07/2026Yantra GabrovoSpartak Pleven</v>
      </c>
      <c r="D1511" s="2">
        <v>46228</v>
      </c>
      <c r="E1511" s="3">
        <v>0.70833333333333337</v>
      </c>
      <c r="F1511" t="s">
        <v>3117</v>
      </c>
      <c r="G1511" t="s">
        <v>3118</v>
      </c>
      <c r="H1511">
        <v>0</v>
      </c>
      <c r="I1511">
        <v>0</v>
      </c>
      <c r="J1511">
        <v>0</v>
      </c>
      <c r="K1511">
        <v>2</v>
      </c>
      <c r="L1511" s="22" t="str">
        <f t="shared" si="471"/>
        <v>25/07/2026</v>
      </c>
      <c r="M1511" s="23">
        <f t="shared" si="472"/>
        <v>0.58333333333333337</v>
      </c>
      <c r="N1511" t="str">
        <f t="shared" si="473"/>
        <v>0 - 2</v>
      </c>
      <c r="O1511" t="str">
        <f t="shared" si="474"/>
        <v>Red</v>
      </c>
      <c r="P1511" t="str">
        <f t="shared" si="475"/>
        <v>Red</v>
      </c>
      <c r="Q1511" t="str">
        <f t="shared" si="476"/>
        <v>Green</v>
      </c>
      <c r="R1511" t="str">
        <f t="shared" si="477"/>
        <v>Red</v>
      </c>
      <c r="S1511" t="str">
        <f t="shared" si="478"/>
        <v>Green</v>
      </c>
      <c r="T1511" t="str">
        <f t="shared" si="479"/>
        <v>Green</v>
      </c>
      <c r="U1511" t="str">
        <f t="shared" si="480"/>
        <v>Red</v>
      </c>
      <c r="V1511" t="str">
        <f t="shared" si="481"/>
        <v>Green</v>
      </c>
      <c r="W1511" t="str">
        <f t="shared" si="482"/>
        <v>Red</v>
      </c>
      <c r="X1511" t="str">
        <f t="shared" si="483"/>
        <v>Red</v>
      </c>
      <c r="Y1511" t="str">
        <f t="shared" si="484"/>
        <v>Green</v>
      </c>
      <c r="Z1511" t="str">
        <f t="shared" si="485"/>
        <v>Red</v>
      </c>
      <c r="AA1511" t="str">
        <f t="shared" si="486"/>
        <v>Green</v>
      </c>
      <c r="AB1511" t="str">
        <f t="shared" si="487"/>
        <v>Green</v>
      </c>
      <c r="AC1511" t="str">
        <f t="shared" si="488"/>
        <v>Red</v>
      </c>
      <c r="AD1511" t="str">
        <f t="shared" si="489"/>
        <v>Green</v>
      </c>
    </row>
    <row r="1512" spans="1:30" x14ac:dyDescent="0.2">
      <c r="A1512" t="str">
        <f>L1511&amp;F1512&amp;G1512</f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71"/>
        <v>25/07/2026</v>
      </c>
      <c r="M1512" s="23">
        <f t="shared" si="472"/>
        <v>0.58333333333333337</v>
      </c>
      <c r="N1512" t="str">
        <f t="shared" si="473"/>
        <v>4 - 1</v>
      </c>
      <c r="O1512" t="str">
        <f t="shared" si="474"/>
        <v>Green</v>
      </c>
      <c r="P1512" t="str">
        <f t="shared" si="475"/>
        <v>Red</v>
      </c>
      <c r="Q1512" t="str">
        <f t="shared" si="476"/>
        <v>Red</v>
      </c>
      <c r="R1512" t="str">
        <f t="shared" si="477"/>
        <v>Green</v>
      </c>
      <c r="S1512" t="str">
        <f t="shared" si="478"/>
        <v>Red</v>
      </c>
      <c r="T1512" t="str">
        <f t="shared" si="479"/>
        <v>Green</v>
      </c>
      <c r="U1512" t="str">
        <f t="shared" si="480"/>
        <v>Red</v>
      </c>
      <c r="V1512" t="str">
        <f t="shared" si="481"/>
        <v>Red</v>
      </c>
      <c r="W1512" t="str">
        <f t="shared" si="482"/>
        <v>Green</v>
      </c>
      <c r="X1512" t="str">
        <f t="shared" si="483"/>
        <v>Green</v>
      </c>
      <c r="Y1512" t="str">
        <f t="shared" si="484"/>
        <v>Green</v>
      </c>
      <c r="Z1512" t="str">
        <f t="shared" si="485"/>
        <v>Green</v>
      </c>
      <c r="AA1512" t="str">
        <f t="shared" si="486"/>
        <v>Red</v>
      </c>
      <c r="AB1512" t="str">
        <f t="shared" si="487"/>
        <v>Red</v>
      </c>
      <c r="AC1512" t="str">
        <f t="shared" si="488"/>
        <v>Green</v>
      </c>
      <c r="AD1512" t="str">
        <f t="shared" si="489"/>
        <v>Red</v>
      </c>
    </row>
    <row r="1513" spans="1:30" x14ac:dyDescent="0.2">
      <c r="A1513" t="str">
        <f>L1512&amp;F1513&amp;G1513</f>
        <v>25/07/2026Spartak Myjava WomenMgarr United Women</v>
      </c>
      <c r="D1513" s="2">
        <v>46228</v>
      </c>
      <c r="E1513" s="3">
        <v>0.70833333333333337</v>
      </c>
      <c r="F1513" t="s">
        <v>3216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71"/>
        <v>25/07/2026</v>
      </c>
      <c r="M1513" s="23">
        <f t="shared" si="472"/>
        <v>0.58333333333333337</v>
      </c>
      <c r="N1513" t="str">
        <f t="shared" si="473"/>
        <v>6 - 1</v>
      </c>
      <c r="O1513" t="str">
        <f t="shared" si="474"/>
        <v>Green</v>
      </c>
      <c r="P1513" t="str">
        <f t="shared" si="475"/>
        <v>Red</v>
      </c>
      <c r="Q1513" t="str">
        <f t="shared" si="476"/>
        <v>Red</v>
      </c>
      <c r="R1513" t="str">
        <f t="shared" si="477"/>
        <v>Green</v>
      </c>
      <c r="S1513" t="str">
        <f t="shared" si="478"/>
        <v>Red</v>
      </c>
      <c r="T1513" t="str">
        <f t="shared" si="479"/>
        <v>Green</v>
      </c>
      <c r="U1513" t="str">
        <f t="shared" si="480"/>
        <v>Green</v>
      </c>
      <c r="V1513" t="str">
        <f t="shared" si="481"/>
        <v>Red</v>
      </c>
      <c r="W1513" t="str">
        <f t="shared" si="482"/>
        <v>Red</v>
      </c>
      <c r="X1513" t="str">
        <f t="shared" si="483"/>
        <v>Green</v>
      </c>
      <c r="Y1513" t="str">
        <f t="shared" si="484"/>
        <v>Green</v>
      </c>
      <c r="Z1513" t="str">
        <f t="shared" si="485"/>
        <v>Green</v>
      </c>
      <c r="AA1513" t="str">
        <f t="shared" si="486"/>
        <v>Red</v>
      </c>
      <c r="AB1513" t="str">
        <f t="shared" si="487"/>
        <v>Red</v>
      </c>
      <c r="AC1513" t="str">
        <f t="shared" si="488"/>
        <v>Green</v>
      </c>
      <c r="AD1513" t="str">
        <f t="shared" si="489"/>
        <v>Red</v>
      </c>
    </row>
    <row r="1514" spans="1:30" x14ac:dyDescent="0.2">
      <c r="A1514" t="str">
        <f>L1513&amp;F1514&amp;G1514</f>
        <v>25/07/2026BVSCKazincbarcikai SC</v>
      </c>
      <c r="D1514" s="2">
        <v>46228</v>
      </c>
      <c r="E1514" s="3">
        <v>0.70833333333333337</v>
      </c>
      <c r="F1514" t="s">
        <v>3314</v>
      </c>
      <c r="G1514" t="s">
        <v>3315</v>
      </c>
      <c r="H1514">
        <v>0</v>
      </c>
      <c r="I1514">
        <v>0</v>
      </c>
      <c r="J1514">
        <v>0</v>
      </c>
      <c r="K1514">
        <v>0</v>
      </c>
      <c r="L1514" s="22" t="str">
        <f t="shared" si="471"/>
        <v>25/07/2026</v>
      </c>
      <c r="M1514" s="23">
        <f t="shared" si="472"/>
        <v>0.58333333333333337</v>
      </c>
      <c r="N1514" t="str">
        <f t="shared" si="473"/>
        <v>0 - 0</v>
      </c>
      <c r="O1514" t="str">
        <f t="shared" si="474"/>
        <v>Red</v>
      </c>
      <c r="P1514" t="str">
        <f t="shared" si="475"/>
        <v>Green</v>
      </c>
      <c r="Q1514" t="str">
        <f t="shared" si="476"/>
        <v>Red</v>
      </c>
      <c r="R1514" t="str">
        <f t="shared" si="477"/>
        <v>Green</v>
      </c>
      <c r="S1514" t="str">
        <f t="shared" si="478"/>
        <v>Green</v>
      </c>
      <c r="T1514" t="str">
        <f t="shared" si="479"/>
        <v>Red</v>
      </c>
      <c r="U1514" t="str">
        <f t="shared" si="480"/>
        <v>Red</v>
      </c>
      <c r="V1514" t="str">
        <f t="shared" si="481"/>
        <v>Green</v>
      </c>
      <c r="W1514" t="str">
        <f t="shared" si="482"/>
        <v>Red</v>
      </c>
      <c r="X1514" t="str">
        <f t="shared" si="483"/>
        <v>Red</v>
      </c>
      <c r="Y1514" t="str">
        <f t="shared" si="484"/>
        <v>Red</v>
      </c>
      <c r="Z1514" t="str">
        <f t="shared" si="485"/>
        <v>Red</v>
      </c>
      <c r="AA1514" t="str">
        <f t="shared" si="486"/>
        <v>Green</v>
      </c>
      <c r="AB1514" t="str">
        <f t="shared" si="487"/>
        <v>Green</v>
      </c>
      <c r="AC1514" t="str">
        <f t="shared" si="488"/>
        <v>Red</v>
      </c>
      <c r="AD1514" t="str">
        <f t="shared" si="489"/>
        <v>Green</v>
      </c>
    </row>
    <row r="1515" spans="1:30" x14ac:dyDescent="0.2">
      <c r="A1515" t="str">
        <f>L1514&amp;F1515&amp;G1515</f>
        <v>25/07/2026FC AjkaKecskemeti TE</v>
      </c>
      <c r="D1515" s="2">
        <v>46228</v>
      </c>
      <c r="E1515" s="3">
        <v>0.70833333333333337</v>
      </c>
      <c r="F1515" t="s">
        <v>3316</v>
      </c>
      <c r="G1515" t="s">
        <v>3317</v>
      </c>
      <c r="H1515">
        <v>1</v>
      </c>
      <c r="I1515">
        <v>0</v>
      </c>
      <c r="J1515">
        <v>3</v>
      </c>
      <c r="K1515">
        <v>1</v>
      </c>
      <c r="L1515" s="22" t="str">
        <f t="shared" si="471"/>
        <v>25/07/2026</v>
      </c>
      <c r="M1515" s="23">
        <f t="shared" si="472"/>
        <v>0.58333333333333337</v>
      </c>
      <c r="N1515" t="str">
        <f t="shared" si="473"/>
        <v>3 - 1</v>
      </c>
      <c r="O1515" t="str">
        <f t="shared" si="474"/>
        <v>Green</v>
      </c>
      <c r="P1515" t="str">
        <f t="shared" si="475"/>
        <v>Red</v>
      </c>
      <c r="Q1515" t="str">
        <f t="shared" si="476"/>
        <v>Red</v>
      </c>
      <c r="R1515" t="str">
        <f t="shared" si="477"/>
        <v>Green</v>
      </c>
      <c r="S1515" t="str">
        <f t="shared" si="478"/>
        <v>Red</v>
      </c>
      <c r="T1515" t="str">
        <f t="shared" si="479"/>
        <v>Green</v>
      </c>
      <c r="U1515" t="str">
        <f t="shared" si="480"/>
        <v>Green</v>
      </c>
      <c r="V1515" t="str">
        <f t="shared" si="481"/>
        <v>Red</v>
      </c>
      <c r="W1515" t="str">
        <f t="shared" si="482"/>
        <v>Red</v>
      </c>
      <c r="X1515" t="str">
        <f t="shared" si="483"/>
        <v>Green</v>
      </c>
      <c r="Y1515" t="str">
        <f t="shared" si="484"/>
        <v>Green</v>
      </c>
      <c r="Z1515" t="str">
        <f t="shared" si="485"/>
        <v>Green</v>
      </c>
      <c r="AA1515" t="str">
        <f t="shared" si="486"/>
        <v>Red</v>
      </c>
      <c r="AB1515" t="str">
        <f t="shared" si="487"/>
        <v>Red</v>
      </c>
      <c r="AC1515" t="str">
        <f t="shared" si="488"/>
        <v>Green</v>
      </c>
      <c r="AD1515" t="str">
        <f t="shared" si="489"/>
        <v>Red</v>
      </c>
    </row>
    <row r="1516" spans="1:30" x14ac:dyDescent="0.2">
      <c r="A1516" t="str">
        <f>L1515&amp;F1516&amp;G1516</f>
        <v>25/07/2026MOL FehervarKozarmisleny SE</v>
      </c>
      <c r="D1516" s="2">
        <v>46228</v>
      </c>
      <c r="E1516" s="3">
        <v>0.70833333333333337</v>
      </c>
      <c r="F1516" t="s">
        <v>3318</v>
      </c>
      <c r="G1516" t="s">
        <v>3319</v>
      </c>
      <c r="H1516">
        <v>1</v>
      </c>
      <c r="I1516">
        <v>0</v>
      </c>
      <c r="J1516">
        <v>4</v>
      </c>
      <c r="K1516">
        <v>0</v>
      </c>
      <c r="L1516" s="22" t="str">
        <f t="shared" si="471"/>
        <v>25/07/2026</v>
      </c>
      <c r="M1516" s="23">
        <f t="shared" si="472"/>
        <v>0.58333333333333337</v>
      </c>
      <c r="N1516" t="str">
        <f t="shared" si="473"/>
        <v>4 - 0</v>
      </c>
      <c r="O1516" t="str">
        <f t="shared" si="474"/>
        <v>Green</v>
      </c>
      <c r="P1516" t="str">
        <f t="shared" si="475"/>
        <v>Red</v>
      </c>
      <c r="Q1516" t="str">
        <f t="shared" si="476"/>
        <v>Red</v>
      </c>
      <c r="R1516" t="str">
        <f t="shared" si="477"/>
        <v>Green</v>
      </c>
      <c r="S1516" t="str">
        <f t="shared" si="478"/>
        <v>Red</v>
      </c>
      <c r="T1516" t="str">
        <f t="shared" si="479"/>
        <v>Green</v>
      </c>
      <c r="U1516" t="str">
        <f t="shared" si="480"/>
        <v>Green</v>
      </c>
      <c r="V1516" t="str">
        <f t="shared" si="481"/>
        <v>Red</v>
      </c>
      <c r="W1516" t="str">
        <f t="shared" si="482"/>
        <v>Red</v>
      </c>
      <c r="X1516" t="str">
        <f t="shared" si="483"/>
        <v>Green</v>
      </c>
      <c r="Y1516" t="str">
        <f t="shared" si="484"/>
        <v>Green</v>
      </c>
      <c r="Z1516" t="str">
        <f t="shared" si="485"/>
        <v>Green</v>
      </c>
      <c r="AA1516" t="str">
        <f t="shared" si="486"/>
        <v>Red</v>
      </c>
      <c r="AB1516" t="str">
        <f t="shared" si="487"/>
        <v>Red</v>
      </c>
      <c r="AC1516" t="str">
        <f t="shared" si="488"/>
        <v>Red</v>
      </c>
      <c r="AD1516" t="str">
        <f t="shared" si="489"/>
        <v>Green</v>
      </c>
    </row>
    <row r="1517" spans="1:30" x14ac:dyDescent="0.2">
      <c r="A1517" t="str">
        <f>L1516&amp;F1517&amp;G1517</f>
        <v>25/07/2026Tiszakecske FCSzeged</v>
      </c>
      <c r="D1517" s="2">
        <v>46228</v>
      </c>
      <c r="E1517" s="3">
        <v>0.70833333333333337</v>
      </c>
      <c r="F1517" t="s">
        <v>3320</v>
      </c>
      <c r="G1517" t="s">
        <v>3321</v>
      </c>
      <c r="H1517">
        <v>1</v>
      </c>
      <c r="I1517">
        <v>0</v>
      </c>
      <c r="J1517">
        <v>1</v>
      </c>
      <c r="K1517">
        <v>1</v>
      </c>
      <c r="L1517" s="22" t="str">
        <f t="shared" si="471"/>
        <v>25/07/2026</v>
      </c>
      <c r="M1517" s="23">
        <f t="shared" si="472"/>
        <v>0.58333333333333337</v>
      </c>
      <c r="N1517" t="str">
        <f t="shared" si="473"/>
        <v>1 - 1</v>
      </c>
      <c r="O1517" t="str">
        <f t="shared" si="474"/>
        <v>Red</v>
      </c>
      <c r="P1517" t="str">
        <f t="shared" si="475"/>
        <v>Green</v>
      </c>
      <c r="Q1517" t="str">
        <f t="shared" si="476"/>
        <v>Red</v>
      </c>
      <c r="R1517" t="str">
        <f t="shared" si="477"/>
        <v>Green</v>
      </c>
      <c r="S1517" t="str">
        <f t="shared" si="478"/>
        <v>Green</v>
      </c>
      <c r="T1517" t="str">
        <f t="shared" si="479"/>
        <v>Red</v>
      </c>
      <c r="U1517" t="str">
        <f t="shared" si="480"/>
        <v>Green</v>
      </c>
      <c r="V1517" t="str">
        <f t="shared" si="481"/>
        <v>Red</v>
      </c>
      <c r="W1517" t="str">
        <f t="shared" si="482"/>
        <v>Red</v>
      </c>
      <c r="X1517" t="str">
        <f t="shared" si="483"/>
        <v>Green</v>
      </c>
      <c r="Y1517" t="str">
        <f t="shared" si="484"/>
        <v>Green</v>
      </c>
      <c r="Z1517" t="str">
        <f t="shared" si="485"/>
        <v>Red</v>
      </c>
      <c r="AA1517" t="str">
        <f t="shared" si="486"/>
        <v>Green</v>
      </c>
      <c r="AB1517" t="str">
        <f t="shared" si="487"/>
        <v>Green</v>
      </c>
      <c r="AC1517" t="str">
        <f t="shared" si="488"/>
        <v>Green</v>
      </c>
      <c r="AD1517" t="str">
        <f t="shared" si="489"/>
        <v>Red</v>
      </c>
    </row>
    <row r="1518" spans="1:30" x14ac:dyDescent="0.2">
      <c r="A1518" t="str">
        <f>L1517&amp;F1518&amp;G1518</f>
        <v>25/07/2026Pecsi MFCDunaharaszti MTK</v>
      </c>
      <c r="D1518" s="2">
        <v>46228</v>
      </c>
      <c r="E1518" s="3">
        <v>0.70833333333333337</v>
      </c>
      <c r="F1518" t="s">
        <v>3352</v>
      </c>
      <c r="G1518" t="s">
        <v>3353</v>
      </c>
      <c r="H1518">
        <v>1</v>
      </c>
      <c r="I1518">
        <v>0</v>
      </c>
      <c r="J1518">
        <v>2</v>
      </c>
      <c r="K1518">
        <v>0</v>
      </c>
      <c r="L1518" s="22" t="str">
        <f t="shared" si="471"/>
        <v>25/07/2026</v>
      </c>
      <c r="M1518" s="23">
        <f t="shared" si="472"/>
        <v>0.58333333333333337</v>
      </c>
      <c r="N1518" t="str">
        <f t="shared" si="473"/>
        <v>2 - 0</v>
      </c>
      <c r="O1518" t="str">
        <f t="shared" si="474"/>
        <v>Green</v>
      </c>
      <c r="P1518" t="str">
        <f t="shared" si="475"/>
        <v>Red</v>
      </c>
      <c r="Q1518" t="str">
        <f t="shared" si="476"/>
        <v>Red</v>
      </c>
      <c r="R1518" t="str">
        <f t="shared" si="477"/>
        <v>Green</v>
      </c>
      <c r="S1518" t="str">
        <f t="shared" si="478"/>
        <v>Red</v>
      </c>
      <c r="T1518" t="str">
        <f t="shared" si="479"/>
        <v>Green</v>
      </c>
      <c r="U1518" t="str">
        <f t="shared" si="480"/>
        <v>Green</v>
      </c>
      <c r="V1518" t="str">
        <f t="shared" si="481"/>
        <v>Red</v>
      </c>
      <c r="W1518" t="str">
        <f t="shared" si="482"/>
        <v>Red</v>
      </c>
      <c r="X1518" t="str">
        <f t="shared" si="483"/>
        <v>Green</v>
      </c>
      <c r="Y1518" t="str">
        <f t="shared" si="484"/>
        <v>Green</v>
      </c>
      <c r="Z1518" t="str">
        <f t="shared" si="485"/>
        <v>Red</v>
      </c>
      <c r="AA1518" t="str">
        <f t="shared" si="486"/>
        <v>Green</v>
      </c>
      <c r="AB1518" t="str">
        <f t="shared" si="487"/>
        <v>Green</v>
      </c>
      <c r="AC1518" t="str">
        <f t="shared" si="488"/>
        <v>Red</v>
      </c>
      <c r="AD1518" t="str">
        <f t="shared" si="489"/>
        <v>Green</v>
      </c>
    </row>
    <row r="1519" spans="1:30" x14ac:dyDescent="0.2">
      <c r="A1519" t="str">
        <f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3356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490">DAY(D1519)&amp;"/"&amp;"07"&amp;"/"&amp;YEAR(D1519)</f>
        <v>25/07/2026</v>
      </c>
      <c r="M1519" s="23">
        <f t="shared" ref="M1519:M1582" si="491">E1519-TIME(3,0,0)</f>
        <v>0.58333333333333337</v>
      </c>
      <c r="N1519" t="str">
        <f t="shared" ref="N1519:N1582" si="492">J1519&amp;" - "&amp;K1519</f>
        <v>2 - 5</v>
      </c>
      <c r="O1519" t="str">
        <f t="shared" si="474"/>
        <v>Red</v>
      </c>
      <c r="P1519" t="str">
        <f t="shared" si="475"/>
        <v>Red</v>
      </c>
      <c r="Q1519" t="str">
        <f t="shared" si="476"/>
        <v>Green</v>
      </c>
      <c r="R1519" t="str">
        <f t="shared" si="477"/>
        <v>Red</v>
      </c>
      <c r="S1519" t="str">
        <f t="shared" si="478"/>
        <v>Green</v>
      </c>
      <c r="T1519" t="str">
        <f t="shared" si="479"/>
        <v>Green</v>
      </c>
      <c r="U1519" t="str">
        <f t="shared" si="480"/>
        <v>Green</v>
      </c>
      <c r="V1519" t="str">
        <f t="shared" si="481"/>
        <v>Red</v>
      </c>
      <c r="W1519" t="str">
        <f t="shared" si="482"/>
        <v>Red</v>
      </c>
      <c r="X1519" t="str">
        <f t="shared" si="483"/>
        <v>Green</v>
      </c>
      <c r="Y1519" t="str">
        <f t="shared" si="484"/>
        <v>Green</v>
      </c>
      <c r="Z1519" t="str">
        <f t="shared" si="485"/>
        <v>Green</v>
      </c>
      <c r="AA1519" t="str">
        <f t="shared" si="486"/>
        <v>Red</v>
      </c>
      <c r="AB1519" t="str">
        <f t="shared" si="487"/>
        <v>Red</v>
      </c>
      <c r="AC1519" t="str">
        <f t="shared" si="488"/>
        <v>Green</v>
      </c>
      <c r="AD1519" t="str">
        <f t="shared" si="489"/>
        <v>Red</v>
      </c>
    </row>
    <row r="1520" spans="1:30" x14ac:dyDescent="0.2">
      <c r="A1520" t="str">
        <f>L1519&amp;F1520&amp;G1520</f>
        <v>25/07/2026Fram Reykjavik WomenGrindavik Women</v>
      </c>
      <c r="D1520" s="2">
        <v>46228</v>
      </c>
      <c r="E1520" s="3">
        <v>0.70833333333333337</v>
      </c>
      <c r="F1520" t="s">
        <v>3366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490"/>
        <v>25/07/2026</v>
      </c>
      <c r="M1520" s="23">
        <f t="shared" si="491"/>
        <v>0.58333333333333337</v>
      </c>
      <c r="N1520" t="str">
        <f t="shared" si="492"/>
        <v>0 - 3</v>
      </c>
      <c r="O1520" t="str">
        <f t="shared" si="474"/>
        <v>Red</v>
      </c>
      <c r="P1520" t="str">
        <f t="shared" si="475"/>
        <v>Red</v>
      </c>
      <c r="Q1520" t="str">
        <f t="shared" si="476"/>
        <v>Green</v>
      </c>
      <c r="R1520" t="str">
        <f t="shared" si="477"/>
        <v>Red</v>
      </c>
      <c r="S1520" t="str">
        <f t="shared" si="478"/>
        <v>Green</v>
      </c>
      <c r="T1520" t="str">
        <f t="shared" si="479"/>
        <v>Green</v>
      </c>
      <c r="U1520" t="str">
        <f t="shared" si="480"/>
        <v>Red</v>
      </c>
      <c r="V1520" t="str">
        <f t="shared" si="481"/>
        <v>Red</v>
      </c>
      <c r="W1520" t="str">
        <f t="shared" si="482"/>
        <v>Green</v>
      </c>
      <c r="X1520" t="str">
        <f t="shared" si="483"/>
        <v>Green</v>
      </c>
      <c r="Y1520" t="str">
        <f t="shared" si="484"/>
        <v>Green</v>
      </c>
      <c r="Z1520" t="str">
        <f t="shared" si="485"/>
        <v>Green</v>
      </c>
      <c r="AA1520" t="str">
        <f t="shared" si="486"/>
        <v>Red</v>
      </c>
      <c r="AB1520" t="str">
        <f t="shared" si="487"/>
        <v>Green</v>
      </c>
      <c r="AC1520" t="str">
        <f t="shared" si="488"/>
        <v>Red</v>
      </c>
      <c r="AD1520" t="str">
        <f t="shared" si="489"/>
        <v>Green</v>
      </c>
    </row>
    <row r="1521" spans="1:30" x14ac:dyDescent="0.2">
      <c r="A1521" t="str">
        <f>L1520&amp;F1521&amp;G1521</f>
        <v>25/07/2026Cork City WomenWexford Youths Women</v>
      </c>
      <c r="D1521" s="2">
        <v>46228</v>
      </c>
      <c r="E1521" s="3">
        <v>0.70833333333333337</v>
      </c>
      <c r="F1521" t="s">
        <v>3380</v>
      </c>
      <c r="G1521" t="s">
        <v>3381</v>
      </c>
      <c r="H1521">
        <v>1</v>
      </c>
      <c r="I1521">
        <v>1</v>
      </c>
      <c r="J1521">
        <v>1</v>
      </c>
      <c r="K1521">
        <v>3</v>
      </c>
      <c r="L1521" s="22" t="str">
        <f t="shared" si="490"/>
        <v>25/07/2026</v>
      </c>
      <c r="M1521" s="23">
        <f t="shared" si="491"/>
        <v>0.58333333333333337</v>
      </c>
      <c r="N1521" t="str">
        <f t="shared" si="492"/>
        <v>1 - 3</v>
      </c>
      <c r="O1521" t="str">
        <f t="shared" si="474"/>
        <v>Red</v>
      </c>
      <c r="P1521" t="str">
        <f t="shared" si="475"/>
        <v>Red</v>
      </c>
      <c r="Q1521" t="str">
        <f t="shared" si="476"/>
        <v>Green</v>
      </c>
      <c r="R1521" t="str">
        <f t="shared" si="477"/>
        <v>Red</v>
      </c>
      <c r="S1521" t="str">
        <f t="shared" si="478"/>
        <v>Green</v>
      </c>
      <c r="T1521" t="str">
        <f t="shared" si="479"/>
        <v>Green</v>
      </c>
      <c r="U1521" t="str">
        <f t="shared" si="480"/>
        <v>Red</v>
      </c>
      <c r="V1521" t="str">
        <f t="shared" si="481"/>
        <v>Green</v>
      </c>
      <c r="W1521" t="str">
        <f t="shared" si="482"/>
        <v>Red</v>
      </c>
      <c r="X1521" t="str">
        <f t="shared" si="483"/>
        <v>Green</v>
      </c>
      <c r="Y1521" t="str">
        <f t="shared" si="484"/>
        <v>Green</v>
      </c>
      <c r="Z1521" t="str">
        <f t="shared" si="485"/>
        <v>Green</v>
      </c>
      <c r="AA1521" t="str">
        <f t="shared" si="486"/>
        <v>Red</v>
      </c>
      <c r="AB1521" t="str">
        <f t="shared" si="487"/>
        <v>Red</v>
      </c>
      <c r="AC1521" t="str">
        <f t="shared" si="488"/>
        <v>Green</v>
      </c>
      <c r="AD1521" t="str">
        <f t="shared" si="489"/>
        <v>Red</v>
      </c>
    </row>
    <row r="1522" spans="1:30" x14ac:dyDescent="0.2">
      <c r="A1522" t="str">
        <f>L1521&amp;F1522&amp;G1522</f>
        <v>25/07/2026Santos Laguna U21Club Atlas U21</v>
      </c>
      <c r="D1522" s="2">
        <v>46228</v>
      </c>
      <c r="E1522" s="3">
        <v>0.70833333333333337</v>
      </c>
      <c r="F1522" t="s">
        <v>3430</v>
      </c>
      <c r="G1522" t="s">
        <v>3431</v>
      </c>
      <c r="H1522">
        <v>0</v>
      </c>
      <c r="I1522">
        <v>0</v>
      </c>
      <c r="J1522">
        <v>0</v>
      </c>
      <c r="K1522">
        <v>0</v>
      </c>
      <c r="L1522" s="22" t="str">
        <f t="shared" si="490"/>
        <v>25/07/2026</v>
      </c>
      <c r="M1522" s="23">
        <f t="shared" si="491"/>
        <v>0.58333333333333337</v>
      </c>
      <c r="N1522" t="str">
        <f t="shared" si="492"/>
        <v>0 - 0</v>
      </c>
      <c r="O1522" t="str">
        <f t="shared" si="474"/>
        <v>Red</v>
      </c>
      <c r="P1522" t="str">
        <f t="shared" si="475"/>
        <v>Green</v>
      </c>
      <c r="Q1522" t="str">
        <f t="shared" si="476"/>
        <v>Red</v>
      </c>
      <c r="R1522" t="str">
        <f t="shared" si="477"/>
        <v>Green</v>
      </c>
      <c r="S1522" t="str">
        <f t="shared" si="478"/>
        <v>Green</v>
      </c>
      <c r="T1522" t="str">
        <f t="shared" si="479"/>
        <v>Red</v>
      </c>
      <c r="U1522" t="str">
        <f t="shared" si="480"/>
        <v>Red</v>
      </c>
      <c r="V1522" t="str">
        <f t="shared" si="481"/>
        <v>Green</v>
      </c>
      <c r="W1522" t="str">
        <f t="shared" si="482"/>
        <v>Red</v>
      </c>
      <c r="X1522" t="str">
        <f t="shared" si="483"/>
        <v>Red</v>
      </c>
      <c r="Y1522" t="str">
        <f t="shared" si="484"/>
        <v>Red</v>
      </c>
      <c r="Z1522" t="str">
        <f t="shared" si="485"/>
        <v>Red</v>
      </c>
      <c r="AA1522" t="str">
        <f t="shared" si="486"/>
        <v>Green</v>
      </c>
      <c r="AB1522" t="str">
        <f t="shared" si="487"/>
        <v>Green</v>
      </c>
      <c r="AC1522" t="str">
        <f t="shared" si="488"/>
        <v>Red</v>
      </c>
      <c r="AD1522" t="str">
        <f t="shared" si="489"/>
        <v>Green</v>
      </c>
    </row>
    <row r="1523" spans="1:30" x14ac:dyDescent="0.2">
      <c r="A1523" t="str">
        <f>L1522&amp;F1523&amp;G1523</f>
        <v>25/07/2026FC Zaria BaltiDacia-2 Buiucani</v>
      </c>
      <c r="D1523" s="2">
        <v>46228</v>
      </c>
      <c r="E1523" s="3">
        <v>0.70833333333333337</v>
      </c>
      <c r="F1523" t="s">
        <v>3432</v>
      </c>
      <c r="G1523" t="s">
        <v>3433</v>
      </c>
      <c r="H1523">
        <v>0</v>
      </c>
      <c r="I1523">
        <v>1</v>
      </c>
      <c r="J1523">
        <v>1</v>
      </c>
      <c r="K1523">
        <v>4</v>
      </c>
      <c r="L1523" s="22" t="str">
        <f t="shared" si="490"/>
        <v>25/07/2026</v>
      </c>
      <c r="M1523" s="23">
        <f t="shared" si="491"/>
        <v>0.58333333333333337</v>
      </c>
      <c r="N1523" t="str">
        <f t="shared" si="492"/>
        <v>1 - 4</v>
      </c>
      <c r="O1523" t="str">
        <f t="shared" si="474"/>
        <v>Red</v>
      </c>
      <c r="P1523" t="str">
        <f t="shared" si="475"/>
        <v>Red</v>
      </c>
      <c r="Q1523" t="str">
        <f t="shared" si="476"/>
        <v>Green</v>
      </c>
      <c r="R1523" t="str">
        <f t="shared" si="477"/>
        <v>Red</v>
      </c>
      <c r="S1523" t="str">
        <f t="shared" si="478"/>
        <v>Green</v>
      </c>
      <c r="T1523" t="str">
        <f t="shared" si="479"/>
        <v>Green</v>
      </c>
      <c r="U1523" t="str">
        <f t="shared" si="480"/>
        <v>Red</v>
      </c>
      <c r="V1523" t="str">
        <f t="shared" si="481"/>
        <v>Red</v>
      </c>
      <c r="W1523" t="str">
        <f t="shared" si="482"/>
        <v>Green</v>
      </c>
      <c r="X1523" t="str">
        <f t="shared" si="483"/>
        <v>Green</v>
      </c>
      <c r="Y1523" t="str">
        <f t="shared" si="484"/>
        <v>Green</v>
      </c>
      <c r="Z1523" t="str">
        <f t="shared" si="485"/>
        <v>Green</v>
      </c>
      <c r="AA1523" t="str">
        <f t="shared" si="486"/>
        <v>Red</v>
      </c>
      <c r="AB1523" t="str">
        <f t="shared" si="487"/>
        <v>Red</v>
      </c>
      <c r="AC1523" t="str">
        <f t="shared" si="488"/>
        <v>Green</v>
      </c>
      <c r="AD1523" t="str">
        <f t="shared" si="489"/>
        <v>Red</v>
      </c>
    </row>
    <row r="1524" spans="1:30" x14ac:dyDescent="0.2">
      <c r="A1524" t="str">
        <f>L1523&amp;F1524&amp;G1524</f>
        <v>25/07/2026Zawisza BydgoszczSokol Kleczew</v>
      </c>
      <c r="D1524" s="2">
        <v>46228</v>
      </c>
      <c r="E1524" s="3">
        <v>0.70833333333333337</v>
      </c>
      <c r="F1524" t="s">
        <v>3553</v>
      </c>
      <c r="G1524" t="s">
        <v>3554</v>
      </c>
      <c r="H1524">
        <v>0</v>
      </c>
      <c r="I1524">
        <v>0</v>
      </c>
      <c r="J1524">
        <v>1</v>
      </c>
      <c r="K1524">
        <v>1</v>
      </c>
      <c r="L1524" s="22" t="str">
        <f t="shared" si="490"/>
        <v>25/07/2026</v>
      </c>
      <c r="M1524" s="23">
        <f t="shared" si="491"/>
        <v>0.58333333333333337</v>
      </c>
      <c r="N1524" t="str">
        <f t="shared" si="492"/>
        <v>1 - 1</v>
      </c>
      <c r="O1524" t="str">
        <f t="shared" si="474"/>
        <v>Red</v>
      </c>
      <c r="P1524" t="str">
        <f t="shared" si="475"/>
        <v>Green</v>
      </c>
      <c r="Q1524" t="str">
        <f t="shared" si="476"/>
        <v>Red</v>
      </c>
      <c r="R1524" t="str">
        <f t="shared" si="477"/>
        <v>Green</v>
      </c>
      <c r="S1524" t="str">
        <f t="shared" si="478"/>
        <v>Green</v>
      </c>
      <c r="T1524" t="str">
        <f t="shared" si="479"/>
        <v>Red</v>
      </c>
      <c r="U1524" t="str">
        <f t="shared" si="480"/>
        <v>Red</v>
      </c>
      <c r="V1524" t="str">
        <f t="shared" si="481"/>
        <v>Green</v>
      </c>
      <c r="W1524" t="str">
        <f t="shared" si="482"/>
        <v>Red</v>
      </c>
      <c r="X1524" t="str">
        <f t="shared" si="483"/>
        <v>Red</v>
      </c>
      <c r="Y1524" t="str">
        <f t="shared" si="484"/>
        <v>Green</v>
      </c>
      <c r="Z1524" t="str">
        <f t="shared" si="485"/>
        <v>Red</v>
      </c>
      <c r="AA1524" t="str">
        <f t="shared" si="486"/>
        <v>Green</v>
      </c>
      <c r="AB1524" t="str">
        <f t="shared" si="487"/>
        <v>Green</v>
      </c>
      <c r="AC1524" t="str">
        <f t="shared" si="488"/>
        <v>Green</v>
      </c>
      <c r="AD1524" t="str">
        <f t="shared" si="489"/>
        <v>Red</v>
      </c>
    </row>
    <row r="1525" spans="1:30" x14ac:dyDescent="0.2">
      <c r="A1525" t="str">
        <f>L1524&amp;F1525&amp;G1525</f>
        <v>25/07/2026Dinamo Moscow IITyumen</v>
      </c>
      <c r="D1525" s="2">
        <v>46228</v>
      </c>
      <c r="E1525" s="3">
        <v>0.70833333333333337</v>
      </c>
      <c r="F1525" t="s">
        <v>3573</v>
      </c>
      <c r="G1525" t="s">
        <v>3574</v>
      </c>
      <c r="H1525">
        <v>0</v>
      </c>
      <c r="I1525">
        <v>0</v>
      </c>
      <c r="J1525">
        <v>0</v>
      </c>
      <c r="K1525">
        <v>2</v>
      </c>
      <c r="L1525" s="22" t="str">
        <f t="shared" si="490"/>
        <v>25/07/2026</v>
      </c>
      <c r="M1525" s="23">
        <f t="shared" si="491"/>
        <v>0.58333333333333337</v>
      </c>
      <c r="N1525" t="str">
        <f t="shared" si="492"/>
        <v>0 - 2</v>
      </c>
      <c r="O1525" t="str">
        <f t="shared" si="474"/>
        <v>Red</v>
      </c>
      <c r="P1525" t="str">
        <f t="shared" si="475"/>
        <v>Red</v>
      </c>
      <c r="Q1525" t="str">
        <f t="shared" si="476"/>
        <v>Green</v>
      </c>
      <c r="R1525" t="str">
        <f t="shared" si="477"/>
        <v>Red</v>
      </c>
      <c r="S1525" t="str">
        <f t="shared" si="478"/>
        <v>Green</v>
      </c>
      <c r="T1525" t="str">
        <f t="shared" si="479"/>
        <v>Green</v>
      </c>
      <c r="U1525" t="str">
        <f t="shared" si="480"/>
        <v>Red</v>
      </c>
      <c r="V1525" t="str">
        <f t="shared" si="481"/>
        <v>Green</v>
      </c>
      <c r="W1525" t="str">
        <f t="shared" si="482"/>
        <v>Red</v>
      </c>
      <c r="X1525" t="str">
        <f t="shared" si="483"/>
        <v>Red</v>
      </c>
      <c r="Y1525" t="str">
        <f t="shared" si="484"/>
        <v>Green</v>
      </c>
      <c r="Z1525" t="str">
        <f t="shared" si="485"/>
        <v>Red</v>
      </c>
      <c r="AA1525" t="str">
        <f t="shared" si="486"/>
        <v>Green</v>
      </c>
      <c r="AB1525" t="str">
        <f t="shared" si="487"/>
        <v>Green</v>
      </c>
      <c r="AC1525" t="str">
        <f t="shared" si="488"/>
        <v>Red</v>
      </c>
      <c r="AD1525" t="str">
        <f t="shared" si="489"/>
        <v>Green</v>
      </c>
    </row>
    <row r="1526" spans="1:30" x14ac:dyDescent="0.2">
      <c r="A1526" t="str">
        <f>L1525&amp;F1526&amp;G1526</f>
        <v>25/07/2026Arsenal TivatLeotar Trebinje</v>
      </c>
      <c r="D1526" s="2">
        <v>46228</v>
      </c>
      <c r="E1526" s="3">
        <v>0.70833333333333337</v>
      </c>
      <c r="F1526" t="s">
        <v>3987</v>
      </c>
      <c r="G1526" t="s">
        <v>3988</v>
      </c>
      <c r="H1526">
        <v>0</v>
      </c>
      <c r="I1526">
        <v>0</v>
      </c>
      <c r="J1526">
        <v>4</v>
      </c>
      <c r="K1526">
        <v>1</v>
      </c>
      <c r="L1526" s="22" t="str">
        <f t="shared" si="490"/>
        <v>25/07/2026</v>
      </c>
      <c r="M1526" s="23">
        <f t="shared" si="491"/>
        <v>0.58333333333333337</v>
      </c>
      <c r="N1526" t="str">
        <f t="shared" si="492"/>
        <v>4 - 1</v>
      </c>
      <c r="O1526" t="str">
        <f t="shared" si="474"/>
        <v>Green</v>
      </c>
      <c r="P1526" t="str">
        <f t="shared" si="475"/>
        <v>Red</v>
      </c>
      <c r="Q1526" t="str">
        <f t="shared" si="476"/>
        <v>Red</v>
      </c>
      <c r="R1526" t="str">
        <f t="shared" si="477"/>
        <v>Green</v>
      </c>
      <c r="S1526" t="str">
        <f t="shared" si="478"/>
        <v>Red</v>
      </c>
      <c r="T1526" t="str">
        <f t="shared" si="479"/>
        <v>Green</v>
      </c>
      <c r="U1526" t="str">
        <f t="shared" si="480"/>
        <v>Red</v>
      </c>
      <c r="V1526" t="str">
        <f t="shared" si="481"/>
        <v>Green</v>
      </c>
      <c r="W1526" t="str">
        <f t="shared" si="482"/>
        <v>Red</v>
      </c>
      <c r="X1526" t="str">
        <f t="shared" si="483"/>
        <v>Red</v>
      </c>
      <c r="Y1526" t="str">
        <f t="shared" si="484"/>
        <v>Green</v>
      </c>
      <c r="Z1526" t="str">
        <f t="shared" si="485"/>
        <v>Green</v>
      </c>
      <c r="AA1526" t="str">
        <f t="shared" si="486"/>
        <v>Red</v>
      </c>
      <c r="AB1526" t="str">
        <f t="shared" si="487"/>
        <v>Red</v>
      </c>
      <c r="AC1526" t="str">
        <f t="shared" si="488"/>
        <v>Green</v>
      </c>
      <c r="AD1526" t="str">
        <f t="shared" si="489"/>
        <v>Red</v>
      </c>
    </row>
    <row r="1527" spans="1:30" x14ac:dyDescent="0.2">
      <c r="A1527" t="str">
        <f>L1526&amp;F1527&amp;G1527</f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3989</v>
      </c>
      <c r="H1527">
        <v>1</v>
      </c>
      <c r="I1527">
        <v>2</v>
      </c>
      <c r="J1527">
        <v>2</v>
      </c>
      <c r="K1527">
        <v>2</v>
      </c>
      <c r="L1527" s="22" t="str">
        <f t="shared" si="490"/>
        <v>25/07/2026</v>
      </c>
      <c r="M1527" s="23">
        <f t="shared" si="491"/>
        <v>0.58333333333333337</v>
      </c>
      <c r="N1527" t="str">
        <f t="shared" si="492"/>
        <v>2 - 2</v>
      </c>
      <c r="O1527" t="str">
        <f t="shared" si="474"/>
        <v>Red</v>
      </c>
      <c r="P1527" t="str">
        <f t="shared" si="475"/>
        <v>Green</v>
      </c>
      <c r="Q1527" t="str">
        <f t="shared" si="476"/>
        <v>Red</v>
      </c>
      <c r="R1527" t="str">
        <f t="shared" si="477"/>
        <v>Green</v>
      </c>
      <c r="S1527" t="str">
        <f t="shared" si="478"/>
        <v>Green</v>
      </c>
      <c r="T1527" t="str">
        <f t="shared" si="479"/>
        <v>Red</v>
      </c>
      <c r="U1527" t="str">
        <f t="shared" si="480"/>
        <v>Red</v>
      </c>
      <c r="V1527" t="str">
        <f t="shared" si="481"/>
        <v>Red</v>
      </c>
      <c r="W1527" t="str">
        <f t="shared" si="482"/>
        <v>Green</v>
      </c>
      <c r="X1527" t="str">
        <f t="shared" si="483"/>
        <v>Green</v>
      </c>
      <c r="Y1527" t="str">
        <f t="shared" si="484"/>
        <v>Green</v>
      </c>
      <c r="Z1527" t="str">
        <f t="shared" si="485"/>
        <v>Green</v>
      </c>
      <c r="AA1527" t="str">
        <f t="shared" si="486"/>
        <v>Red</v>
      </c>
      <c r="AB1527" t="str">
        <f t="shared" si="487"/>
        <v>Red</v>
      </c>
      <c r="AC1527" t="str">
        <f t="shared" si="488"/>
        <v>Green</v>
      </c>
      <c r="AD1527" t="str">
        <f t="shared" si="489"/>
        <v>Red</v>
      </c>
    </row>
    <row r="1528" spans="1:30" x14ac:dyDescent="0.2">
      <c r="A1528" t="str">
        <f>L1527&amp;F1528&amp;G1528</f>
        <v>25/07/2026CD LugoCelta de Vigo B</v>
      </c>
      <c r="D1528" s="2">
        <v>46228</v>
      </c>
      <c r="E1528" s="3">
        <v>0.70833333333333337</v>
      </c>
      <c r="F1528" t="s">
        <v>3990</v>
      </c>
      <c r="G1528" t="s">
        <v>3991</v>
      </c>
      <c r="H1528">
        <v>0</v>
      </c>
      <c r="I1528">
        <v>1</v>
      </c>
      <c r="J1528">
        <v>1</v>
      </c>
      <c r="K1528">
        <v>1</v>
      </c>
      <c r="L1528" s="22" t="str">
        <f t="shared" si="490"/>
        <v>25/07/2026</v>
      </c>
      <c r="M1528" s="23">
        <f t="shared" si="491"/>
        <v>0.58333333333333337</v>
      </c>
      <c r="N1528" t="str">
        <f t="shared" si="492"/>
        <v>1 - 1</v>
      </c>
      <c r="O1528" t="str">
        <f t="shared" si="474"/>
        <v>Red</v>
      </c>
      <c r="P1528" t="str">
        <f t="shared" si="475"/>
        <v>Green</v>
      </c>
      <c r="Q1528" t="str">
        <f t="shared" si="476"/>
        <v>Red</v>
      </c>
      <c r="R1528" t="str">
        <f t="shared" si="477"/>
        <v>Green</v>
      </c>
      <c r="S1528" t="str">
        <f t="shared" si="478"/>
        <v>Green</v>
      </c>
      <c r="T1528" t="str">
        <f t="shared" si="479"/>
        <v>Red</v>
      </c>
      <c r="U1528" t="str">
        <f t="shared" si="480"/>
        <v>Red</v>
      </c>
      <c r="V1528" t="str">
        <f t="shared" si="481"/>
        <v>Red</v>
      </c>
      <c r="W1528" t="str">
        <f t="shared" si="482"/>
        <v>Green</v>
      </c>
      <c r="X1528" t="str">
        <f t="shared" si="483"/>
        <v>Green</v>
      </c>
      <c r="Y1528" t="str">
        <f t="shared" si="484"/>
        <v>Green</v>
      </c>
      <c r="Z1528" t="str">
        <f t="shared" si="485"/>
        <v>Red</v>
      </c>
      <c r="AA1528" t="str">
        <f t="shared" si="486"/>
        <v>Green</v>
      </c>
      <c r="AB1528" t="str">
        <f t="shared" si="487"/>
        <v>Green</v>
      </c>
      <c r="AC1528" t="str">
        <f t="shared" si="488"/>
        <v>Green</v>
      </c>
      <c r="AD1528" t="str">
        <f t="shared" si="489"/>
        <v>Red</v>
      </c>
    </row>
    <row r="1529" spans="1:30" x14ac:dyDescent="0.2">
      <c r="A1529" t="str">
        <f>L1528&amp;F1529&amp;G1529</f>
        <v>25/07/2026Celta VigoSporting Gijon</v>
      </c>
      <c r="D1529" s="2">
        <v>46228</v>
      </c>
      <c r="E1529" s="3">
        <v>0.70833333333333337</v>
      </c>
      <c r="F1529" t="s">
        <v>3992</v>
      </c>
      <c r="G1529" t="s">
        <v>3993</v>
      </c>
      <c r="H1529">
        <v>0</v>
      </c>
      <c r="I1529">
        <v>0</v>
      </c>
      <c r="J1529">
        <v>1</v>
      </c>
      <c r="K1529">
        <v>0</v>
      </c>
      <c r="L1529" s="22" t="str">
        <f t="shared" si="490"/>
        <v>25/07/2026</v>
      </c>
      <c r="M1529" s="23">
        <f t="shared" si="491"/>
        <v>0.58333333333333337</v>
      </c>
      <c r="N1529" t="str">
        <f t="shared" si="492"/>
        <v>1 - 0</v>
      </c>
      <c r="O1529" t="str">
        <f t="shared" si="474"/>
        <v>Green</v>
      </c>
      <c r="P1529" t="str">
        <f t="shared" si="475"/>
        <v>Red</v>
      </c>
      <c r="Q1529" t="str">
        <f t="shared" si="476"/>
        <v>Red</v>
      </c>
      <c r="R1529" t="str">
        <f t="shared" si="477"/>
        <v>Green</v>
      </c>
      <c r="S1529" t="str">
        <f t="shared" si="478"/>
        <v>Red</v>
      </c>
      <c r="T1529" t="str">
        <f t="shared" si="479"/>
        <v>Green</v>
      </c>
      <c r="U1529" t="str">
        <f t="shared" si="480"/>
        <v>Red</v>
      </c>
      <c r="V1529" t="str">
        <f t="shared" si="481"/>
        <v>Green</v>
      </c>
      <c r="W1529" t="str">
        <f t="shared" si="482"/>
        <v>Red</v>
      </c>
      <c r="X1529" t="str">
        <f t="shared" si="483"/>
        <v>Red</v>
      </c>
      <c r="Y1529" t="str">
        <f t="shared" si="484"/>
        <v>Red</v>
      </c>
      <c r="Z1529" t="str">
        <f t="shared" si="485"/>
        <v>Red</v>
      </c>
      <c r="AA1529" t="str">
        <f t="shared" si="486"/>
        <v>Green</v>
      </c>
      <c r="AB1529" t="str">
        <f t="shared" si="487"/>
        <v>Green</v>
      </c>
      <c r="AC1529" t="str">
        <f t="shared" si="488"/>
        <v>Red</v>
      </c>
      <c r="AD1529" t="str">
        <f t="shared" si="489"/>
        <v>Green</v>
      </c>
    </row>
    <row r="1530" spans="1:30" x14ac:dyDescent="0.2">
      <c r="A1530" t="str">
        <f>L1529&amp;F1530&amp;G1530</f>
        <v>25/07/2026MalagaLeicester City</v>
      </c>
      <c r="D1530" s="2">
        <v>46228</v>
      </c>
      <c r="E1530" s="3">
        <v>0.70833333333333337</v>
      </c>
      <c r="F1530" t="s">
        <v>3994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490"/>
        <v>25/07/2026</v>
      </c>
      <c r="M1530" s="23">
        <f t="shared" si="491"/>
        <v>0.58333333333333337</v>
      </c>
      <c r="N1530" t="str">
        <f t="shared" si="492"/>
        <v>3 - 3</v>
      </c>
      <c r="O1530" t="str">
        <f t="shared" si="474"/>
        <v>Red</v>
      </c>
      <c r="P1530" t="str">
        <f t="shared" si="475"/>
        <v>Green</v>
      </c>
      <c r="Q1530" t="str">
        <f t="shared" si="476"/>
        <v>Red</v>
      </c>
      <c r="R1530" t="str">
        <f t="shared" si="477"/>
        <v>Green</v>
      </c>
      <c r="S1530" t="str">
        <f t="shared" si="478"/>
        <v>Green</v>
      </c>
      <c r="T1530" t="str">
        <f t="shared" si="479"/>
        <v>Red</v>
      </c>
      <c r="U1530" t="str">
        <f t="shared" si="480"/>
        <v>Red</v>
      </c>
      <c r="V1530" t="str">
        <f t="shared" si="481"/>
        <v>Red</v>
      </c>
      <c r="W1530" t="str">
        <f t="shared" si="482"/>
        <v>Green</v>
      </c>
      <c r="X1530" t="str">
        <f t="shared" si="483"/>
        <v>Green</v>
      </c>
      <c r="Y1530" t="str">
        <f t="shared" si="484"/>
        <v>Green</v>
      </c>
      <c r="Z1530" t="str">
        <f t="shared" si="485"/>
        <v>Green</v>
      </c>
      <c r="AA1530" t="str">
        <f t="shared" si="486"/>
        <v>Red</v>
      </c>
      <c r="AB1530" t="str">
        <f t="shared" si="487"/>
        <v>Red</v>
      </c>
      <c r="AC1530" t="str">
        <f t="shared" si="488"/>
        <v>Green</v>
      </c>
      <c r="AD1530" t="str">
        <f t="shared" si="489"/>
        <v>Red</v>
      </c>
    </row>
    <row r="1531" spans="1:30" x14ac:dyDescent="0.2">
      <c r="A1531" t="str">
        <f>L1530&amp;F1531&amp;G1531</f>
        <v>25/07/2026MallorcaAl Fateh</v>
      </c>
      <c r="D1531" s="2">
        <v>46228</v>
      </c>
      <c r="E1531" s="3">
        <v>0.70833333333333337</v>
      </c>
      <c r="F1531" t="s">
        <v>3995</v>
      </c>
      <c r="G1531" t="s">
        <v>3996</v>
      </c>
      <c r="H1531">
        <v>2</v>
      </c>
      <c r="I1531">
        <v>0</v>
      </c>
      <c r="J1531">
        <v>3</v>
      </c>
      <c r="K1531">
        <v>0</v>
      </c>
      <c r="L1531" s="22" t="str">
        <f t="shared" si="490"/>
        <v>25/07/2026</v>
      </c>
      <c r="M1531" s="23">
        <f t="shared" si="491"/>
        <v>0.58333333333333337</v>
      </c>
      <c r="N1531" t="str">
        <f t="shared" si="492"/>
        <v>3 - 0</v>
      </c>
      <c r="O1531" t="str">
        <f t="shared" si="474"/>
        <v>Green</v>
      </c>
      <c r="P1531" t="str">
        <f t="shared" si="475"/>
        <v>Red</v>
      </c>
      <c r="Q1531" t="str">
        <f t="shared" si="476"/>
        <v>Red</v>
      </c>
      <c r="R1531" t="str">
        <f t="shared" si="477"/>
        <v>Green</v>
      </c>
      <c r="S1531" t="str">
        <f t="shared" si="478"/>
        <v>Red</v>
      </c>
      <c r="T1531" t="str">
        <f t="shared" si="479"/>
        <v>Green</v>
      </c>
      <c r="U1531" t="str">
        <f t="shared" si="480"/>
        <v>Green</v>
      </c>
      <c r="V1531" t="str">
        <f t="shared" si="481"/>
        <v>Red</v>
      </c>
      <c r="W1531" t="str">
        <f t="shared" si="482"/>
        <v>Red</v>
      </c>
      <c r="X1531" t="str">
        <f t="shared" si="483"/>
        <v>Green</v>
      </c>
      <c r="Y1531" t="str">
        <f t="shared" si="484"/>
        <v>Green</v>
      </c>
      <c r="Z1531" t="str">
        <f t="shared" si="485"/>
        <v>Green</v>
      </c>
      <c r="AA1531" t="str">
        <f t="shared" si="486"/>
        <v>Red</v>
      </c>
      <c r="AB1531" t="str">
        <f t="shared" si="487"/>
        <v>Green</v>
      </c>
      <c r="AC1531" t="str">
        <f t="shared" si="488"/>
        <v>Red</v>
      </c>
      <c r="AD1531" t="str">
        <f t="shared" si="489"/>
        <v>Green</v>
      </c>
    </row>
    <row r="1532" spans="1:30" x14ac:dyDescent="0.2">
      <c r="A1532" t="str">
        <f>L1531&amp;F1532&amp;G1532</f>
        <v>25/07/2026Real MurciaPort Vale</v>
      </c>
      <c r="D1532" s="2">
        <v>46228</v>
      </c>
      <c r="E1532" s="3">
        <v>0.70833333333333337</v>
      </c>
      <c r="F1532" t="s">
        <v>3997</v>
      </c>
      <c r="G1532" t="s">
        <v>3998</v>
      </c>
      <c r="H1532">
        <v>0</v>
      </c>
      <c r="I1532">
        <v>1</v>
      </c>
      <c r="J1532">
        <v>0</v>
      </c>
      <c r="K1532">
        <v>1</v>
      </c>
      <c r="L1532" s="22" t="str">
        <f t="shared" si="490"/>
        <v>25/07/2026</v>
      </c>
      <c r="M1532" s="23">
        <f t="shared" si="491"/>
        <v>0.58333333333333337</v>
      </c>
      <c r="N1532" t="str">
        <f t="shared" si="492"/>
        <v>0 - 1</v>
      </c>
      <c r="O1532" t="str">
        <f t="shared" si="474"/>
        <v>Red</v>
      </c>
      <c r="P1532" t="str">
        <f t="shared" si="475"/>
        <v>Red</v>
      </c>
      <c r="Q1532" t="str">
        <f t="shared" si="476"/>
        <v>Green</v>
      </c>
      <c r="R1532" t="str">
        <f t="shared" si="477"/>
        <v>Red</v>
      </c>
      <c r="S1532" t="str">
        <f t="shared" si="478"/>
        <v>Green</v>
      </c>
      <c r="T1532" t="str">
        <f t="shared" si="479"/>
        <v>Green</v>
      </c>
      <c r="U1532" t="str">
        <f t="shared" si="480"/>
        <v>Red</v>
      </c>
      <c r="V1532" t="str">
        <f t="shared" si="481"/>
        <v>Red</v>
      </c>
      <c r="W1532" t="str">
        <f t="shared" si="482"/>
        <v>Green</v>
      </c>
      <c r="X1532" t="str">
        <f t="shared" si="483"/>
        <v>Green</v>
      </c>
      <c r="Y1532" t="str">
        <f t="shared" si="484"/>
        <v>Red</v>
      </c>
      <c r="Z1532" t="str">
        <f t="shared" si="485"/>
        <v>Red</v>
      </c>
      <c r="AA1532" t="str">
        <f t="shared" si="486"/>
        <v>Green</v>
      </c>
      <c r="AB1532" t="str">
        <f t="shared" si="487"/>
        <v>Green</v>
      </c>
      <c r="AC1532" t="str">
        <f t="shared" si="488"/>
        <v>Red</v>
      </c>
      <c r="AD1532" t="str">
        <f t="shared" si="489"/>
        <v>Green</v>
      </c>
    </row>
    <row r="1533" spans="1:30" x14ac:dyDescent="0.2">
      <c r="A1533" t="str">
        <f>L1532&amp;F1533&amp;G1533</f>
        <v>25/07/2026Real ValladolidGetafe</v>
      </c>
      <c r="D1533" s="2">
        <v>46228</v>
      </c>
      <c r="E1533" s="3">
        <v>0.70833333333333337</v>
      </c>
      <c r="F1533" t="s">
        <v>3999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490"/>
        <v>25/07/2026</v>
      </c>
      <c r="M1533" s="23">
        <f t="shared" si="491"/>
        <v>0.58333333333333337</v>
      </c>
      <c r="N1533" t="str">
        <f t="shared" si="492"/>
        <v>0 - 0</v>
      </c>
      <c r="O1533" t="str">
        <f t="shared" si="474"/>
        <v>Red</v>
      </c>
      <c r="P1533" t="str">
        <f t="shared" si="475"/>
        <v>Green</v>
      </c>
      <c r="Q1533" t="str">
        <f t="shared" si="476"/>
        <v>Red</v>
      </c>
      <c r="R1533" t="str">
        <f t="shared" si="477"/>
        <v>Green</v>
      </c>
      <c r="S1533" t="str">
        <f t="shared" si="478"/>
        <v>Green</v>
      </c>
      <c r="T1533" t="str">
        <f t="shared" si="479"/>
        <v>Red</v>
      </c>
      <c r="U1533" t="str">
        <f t="shared" si="480"/>
        <v>Red</v>
      </c>
      <c r="V1533" t="str">
        <f t="shared" si="481"/>
        <v>Green</v>
      </c>
      <c r="W1533" t="str">
        <f t="shared" si="482"/>
        <v>Red</v>
      </c>
      <c r="X1533" t="str">
        <f t="shared" si="483"/>
        <v>Red</v>
      </c>
      <c r="Y1533" t="str">
        <f t="shared" si="484"/>
        <v>Red</v>
      </c>
      <c r="Z1533" t="str">
        <f t="shared" si="485"/>
        <v>Red</v>
      </c>
      <c r="AA1533" t="str">
        <f t="shared" si="486"/>
        <v>Green</v>
      </c>
      <c r="AB1533" t="str">
        <f t="shared" si="487"/>
        <v>Green</v>
      </c>
      <c r="AC1533" t="str">
        <f t="shared" si="488"/>
        <v>Red</v>
      </c>
      <c r="AD1533" t="str">
        <f t="shared" si="489"/>
        <v>Green</v>
      </c>
    </row>
    <row r="1534" spans="1:30" x14ac:dyDescent="0.2">
      <c r="A1534" t="str">
        <f>L1533&amp;F1534&amp;G1534</f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490"/>
        <v>25/07/2026</v>
      </c>
      <c r="M1534" s="23">
        <f t="shared" si="491"/>
        <v>0.58333333333333337</v>
      </c>
      <c r="N1534" t="str">
        <f t="shared" si="492"/>
        <v>0 - 2</v>
      </c>
      <c r="O1534" t="str">
        <f t="shared" si="474"/>
        <v>Red</v>
      </c>
      <c r="P1534" t="str">
        <f t="shared" si="475"/>
        <v>Red</v>
      </c>
      <c r="Q1534" t="str">
        <f t="shared" si="476"/>
        <v>Green</v>
      </c>
      <c r="R1534" t="str">
        <f t="shared" si="477"/>
        <v>Red</v>
      </c>
      <c r="S1534" t="str">
        <f t="shared" si="478"/>
        <v>Green</v>
      </c>
      <c r="T1534" t="str">
        <f t="shared" si="479"/>
        <v>Green</v>
      </c>
      <c r="U1534" t="str">
        <f t="shared" si="480"/>
        <v>Red</v>
      </c>
      <c r="V1534" t="str">
        <f t="shared" si="481"/>
        <v>Red</v>
      </c>
      <c r="W1534" t="str">
        <f t="shared" si="482"/>
        <v>Green</v>
      </c>
      <c r="X1534" t="str">
        <f t="shared" si="483"/>
        <v>Green</v>
      </c>
      <c r="Y1534" t="str">
        <f t="shared" si="484"/>
        <v>Green</v>
      </c>
      <c r="Z1534" t="str">
        <f t="shared" si="485"/>
        <v>Red</v>
      </c>
      <c r="AA1534" t="str">
        <f t="shared" si="486"/>
        <v>Green</v>
      </c>
      <c r="AB1534" t="str">
        <f t="shared" si="487"/>
        <v>Green</v>
      </c>
      <c r="AC1534" t="str">
        <f t="shared" si="488"/>
        <v>Red</v>
      </c>
      <c r="AD1534" t="str">
        <f t="shared" si="489"/>
        <v>Green</v>
      </c>
    </row>
    <row r="1535" spans="1:30" x14ac:dyDescent="0.2">
      <c r="A1535" t="str">
        <f>L1534&amp;F1535&amp;G1535</f>
        <v>25/07/2026ToulouseRodez Aveyron</v>
      </c>
      <c r="D1535" s="2">
        <v>46228</v>
      </c>
      <c r="E1535" s="3">
        <v>0.70833333333333337</v>
      </c>
      <c r="F1535" t="s">
        <v>4000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490"/>
        <v>25/07/2026</v>
      </c>
      <c r="M1535" s="23">
        <f t="shared" si="491"/>
        <v>0.58333333333333337</v>
      </c>
      <c r="N1535" t="str">
        <f t="shared" si="492"/>
        <v>1 - 1</v>
      </c>
      <c r="O1535" t="str">
        <f t="shared" si="474"/>
        <v>Red</v>
      </c>
      <c r="P1535" t="str">
        <f t="shared" si="475"/>
        <v>Green</v>
      </c>
      <c r="Q1535" t="str">
        <f t="shared" si="476"/>
        <v>Red</v>
      </c>
      <c r="R1535" t="str">
        <f t="shared" si="477"/>
        <v>Green</v>
      </c>
      <c r="S1535" t="str">
        <f t="shared" si="478"/>
        <v>Green</v>
      </c>
      <c r="T1535" t="str">
        <f t="shared" si="479"/>
        <v>Red</v>
      </c>
      <c r="U1535" t="str">
        <f t="shared" si="480"/>
        <v>Green</v>
      </c>
      <c r="V1535" t="str">
        <f t="shared" si="481"/>
        <v>Red</v>
      </c>
      <c r="W1535" t="str">
        <f t="shared" si="482"/>
        <v>Red</v>
      </c>
      <c r="X1535" t="str">
        <f t="shared" si="483"/>
        <v>Green</v>
      </c>
      <c r="Y1535" t="str">
        <f t="shared" si="484"/>
        <v>Green</v>
      </c>
      <c r="Z1535" t="str">
        <f t="shared" si="485"/>
        <v>Red</v>
      </c>
      <c r="AA1535" t="str">
        <f t="shared" si="486"/>
        <v>Green</v>
      </c>
      <c r="AB1535" t="str">
        <f t="shared" si="487"/>
        <v>Green</v>
      </c>
      <c r="AC1535" t="str">
        <f t="shared" si="488"/>
        <v>Green</v>
      </c>
      <c r="AD1535" t="str">
        <f t="shared" si="489"/>
        <v>Red</v>
      </c>
    </row>
    <row r="1536" spans="1:30" x14ac:dyDescent="0.2">
      <c r="A1536" t="str">
        <f>L1535&amp;F1536&amp;G1536</f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490"/>
        <v>25/07/2026</v>
      </c>
      <c r="M1536" s="23">
        <f t="shared" si="491"/>
        <v>0.58333333333333337</v>
      </c>
      <c r="N1536" t="str">
        <f t="shared" si="492"/>
        <v>1 - 2</v>
      </c>
      <c r="O1536" t="str">
        <f t="shared" si="474"/>
        <v>Red</v>
      </c>
      <c r="P1536" t="str">
        <f t="shared" si="475"/>
        <v>Red</v>
      </c>
      <c r="Q1536" t="str">
        <f t="shared" si="476"/>
        <v>Green</v>
      </c>
      <c r="R1536" t="str">
        <f t="shared" si="477"/>
        <v>Red</v>
      </c>
      <c r="S1536" t="str">
        <f t="shared" si="478"/>
        <v>Green</v>
      </c>
      <c r="T1536" t="str">
        <f t="shared" si="479"/>
        <v>Green</v>
      </c>
      <c r="U1536" t="str">
        <f t="shared" si="480"/>
        <v>Red</v>
      </c>
      <c r="V1536" t="str">
        <f t="shared" si="481"/>
        <v>Red</v>
      </c>
      <c r="W1536" t="str">
        <f t="shared" si="482"/>
        <v>Green</v>
      </c>
      <c r="X1536" t="str">
        <f t="shared" si="483"/>
        <v>Green</v>
      </c>
      <c r="Y1536" t="str">
        <f t="shared" si="484"/>
        <v>Green</v>
      </c>
      <c r="Z1536" t="str">
        <f t="shared" si="485"/>
        <v>Green</v>
      </c>
      <c r="AA1536" t="str">
        <f t="shared" si="486"/>
        <v>Red</v>
      </c>
      <c r="AB1536" t="str">
        <f t="shared" si="487"/>
        <v>Green</v>
      </c>
      <c r="AC1536" t="str">
        <f t="shared" si="488"/>
        <v>Green</v>
      </c>
      <c r="AD1536" t="str">
        <f t="shared" si="489"/>
        <v>Red</v>
      </c>
    </row>
    <row r="1537" spans="1:30" x14ac:dyDescent="0.2">
      <c r="A1537" t="str">
        <f>L1536&amp;F1537&amp;G1537</f>
        <v>25/07/2026VVV VenloFortuna Koln</v>
      </c>
      <c r="D1537" s="2">
        <v>46228</v>
      </c>
      <c r="E1537" s="3">
        <v>0.70833333333333337</v>
      </c>
      <c r="F1537" t="s">
        <v>4001</v>
      </c>
      <c r="G1537" t="s">
        <v>4002</v>
      </c>
      <c r="H1537">
        <v>0</v>
      </c>
      <c r="I1537">
        <v>1</v>
      </c>
      <c r="J1537">
        <v>0</v>
      </c>
      <c r="K1537">
        <v>1</v>
      </c>
      <c r="L1537" s="22" t="str">
        <f t="shared" si="490"/>
        <v>25/07/2026</v>
      </c>
      <c r="M1537" s="23">
        <f t="shared" si="491"/>
        <v>0.58333333333333337</v>
      </c>
      <c r="N1537" t="str">
        <f t="shared" si="492"/>
        <v>0 - 1</v>
      </c>
      <c r="O1537" t="str">
        <f t="shared" si="474"/>
        <v>Red</v>
      </c>
      <c r="P1537" t="str">
        <f t="shared" si="475"/>
        <v>Red</v>
      </c>
      <c r="Q1537" t="str">
        <f t="shared" si="476"/>
        <v>Green</v>
      </c>
      <c r="R1537" t="str">
        <f t="shared" si="477"/>
        <v>Red</v>
      </c>
      <c r="S1537" t="str">
        <f t="shared" si="478"/>
        <v>Green</v>
      </c>
      <c r="T1537" t="str">
        <f t="shared" si="479"/>
        <v>Green</v>
      </c>
      <c r="U1537" t="str">
        <f t="shared" si="480"/>
        <v>Red</v>
      </c>
      <c r="V1537" t="str">
        <f t="shared" si="481"/>
        <v>Red</v>
      </c>
      <c r="W1537" t="str">
        <f t="shared" si="482"/>
        <v>Green</v>
      </c>
      <c r="X1537" t="str">
        <f t="shared" si="483"/>
        <v>Green</v>
      </c>
      <c r="Y1537" t="str">
        <f t="shared" si="484"/>
        <v>Red</v>
      </c>
      <c r="Z1537" t="str">
        <f t="shared" si="485"/>
        <v>Red</v>
      </c>
      <c r="AA1537" t="str">
        <f t="shared" si="486"/>
        <v>Green</v>
      </c>
      <c r="AB1537" t="str">
        <f t="shared" si="487"/>
        <v>Green</v>
      </c>
      <c r="AC1537" t="str">
        <f t="shared" si="488"/>
        <v>Red</v>
      </c>
      <c r="AD1537" t="str">
        <f t="shared" si="489"/>
        <v>Green</v>
      </c>
    </row>
    <row r="1538" spans="1:30" x14ac:dyDescent="0.2">
      <c r="A1538" t="str">
        <f>L1537&amp;F1538&amp;G1538</f>
        <v>25/07/2026Sandecja Nowy SaczHutnik Nowa Huta</v>
      </c>
      <c r="D1538" s="2">
        <v>46228</v>
      </c>
      <c r="E1538" s="3">
        <v>0.71527777777777779</v>
      </c>
      <c r="F1538" t="s">
        <v>3555</v>
      </c>
      <c r="G1538" t="s">
        <v>3556</v>
      </c>
      <c r="H1538">
        <v>0</v>
      </c>
      <c r="I1538">
        <v>0</v>
      </c>
      <c r="J1538">
        <v>0</v>
      </c>
      <c r="K1538">
        <v>0</v>
      </c>
      <c r="L1538" s="22" t="str">
        <f t="shared" si="490"/>
        <v>25/07/2026</v>
      </c>
      <c r="M1538" s="23">
        <f t="shared" si="491"/>
        <v>0.59027777777777779</v>
      </c>
      <c r="N1538" t="str">
        <f t="shared" si="492"/>
        <v>0 - 0</v>
      </c>
      <c r="O1538" t="str">
        <f t="shared" ref="O1538:O1601" si="493">IF($J1538&gt;$K1538,"Green","Red")</f>
        <v>Red</v>
      </c>
      <c r="P1538" t="str">
        <f t="shared" ref="P1538:P1601" si="494">IF($J1538=$K1538,"Green","Red")</f>
        <v>Green</v>
      </c>
      <c r="Q1538" t="str">
        <f t="shared" ref="Q1538:Q1601" si="495">IF($J1538&lt;$K1538,"Green","Red")</f>
        <v>Red</v>
      </c>
      <c r="R1538" t="str">
        <f t="shared" ref="R1538:R1601" si="496">IF($J1538&gt;=$K1538,"Green","Red")</f>
        <v>Green</v>
      </c>
      <c r="S1538" t="str">
        <f t="shared" ref="S1538:S1601" si="497">IF($J1538&lt;=$K1538,"Green","Red")</f>
        <v>Green</v>
      </c>
      <c r="T1538" t="str">
        <f t="shared" ref="T1538:T1601" si="498">IF(OR($J1538&gt;$K1538,$J1538&lt;$K1538),"Green","Red")</f>
        <v>Red</v>
      </c>
      <c r="U1538" t="str">
        <f t="shared" ref="U1538:U1601" si="499">IF($H1538&gt;$I1538,"Green","Red")</f>
        <v>Red</v>
      </c>
      <c r="V1538" t="str">
        <f t="shared" ref="V1538:V1601" si="500">IF($H1538=$I1538,"Green","Red")</f>
        <v>Green</v>
      </c>
      <c r="W1538" t="str">
        <f t="shared" ref="W1538:W1601" si="501">IF($H1538&lt;$I1538,"Green","Red")</f>
        <v>Red</v>
      </c>
      <c r="X1538" t="str">
        <f t="shared" ref="X1538:X1601" si="502">IF($H1538+$I1538&gt;0,"Green","Red")</f>
        <v>Red</v>
      </c>
      <c r="Y1538" t="str">
        <f t="shared" ref="Y1538:Y1601" si="503">IF($J1538+$K1538&gt;1.5,"Green","Red")</f>
        <v>Red</v>
      </c>
      <c r="Z1538" t="str">
        <f t="shared" ref="Z1538:Z1601" si="504">IF($J1538+$K1538&gt;2.5,"Green","Red")</f>
        <v>Red</v>
      </c>
      <c r="AA1538" t="str">
        <f t="shared" ref="AA1538:AA1601" si="505">IF($J1538+$K1538&lt;2.5,"Green","Red")</f>
        <v>Green</v>
      </c>
      <c r="AB1538" t="str">
        <f t="shared" ref="AB1538:AB1601" si="506">IF($J1538+$K1538&lt;3.5,"Green","Red")</f>
        <v>Green</v>
      </c>
      <c r="AC1538" t="str">
        <f t="shared" ref="AC1538:AC1601" si="507">IF(AND($J1538&gt;0,$K1538&gt;0),"Green","Red")</f>
        <v>Red</v>
      </c>
      <c r="AD1538" t="str">
        <f t="shared" ref="AD1538:AD1601" si="508">IF(OR($J1538=0,$K1538=0),"Green","Red")</f>
        <v>Green</v>
      </c>
    </row>
    <row r="1539" spans="1:30" x14ac:dyDescent="0.2">
      <c r="A1539" t="str">
        <f>L1538&amp;F1539&amp;G1539</f>
        <v>25/07/2026Kisvarda FCBudapest Honved</v>
      </c>
      <c r="D1539" s="2">
        <v>46228</v>
      </c>
      <c r="E1539" s="3">
        <v>0.72916666666666663</v>
      </c>
      <c r="F1539" t="s">
        <v>3310</v>
      </c>
      <c r="G1539" t="s">
        <v>3311</v>
      </c>
      <c r="H1539">
        <v>0</v>
      </c>
      <c r="I1539">
        <v>0</v>
      </c>
      <c r="J1539">
        <v>1</v>
      </c>
      <c r="K1539">
        <v>1</v>
      </c>
      <c r="L1539" s="22" t="str">
        <f t="shared" si="490"/>
        <v>25/07/2026</v>
      </c>
      <c r="M1539" s="23">
        <f t="shared" si="491"/>
        <v>0.60416666666666663</v>
      </c>
      <c r="N1539" t="str">
        <f t="shared" si="492"/>
        <v>1 - 1</v>
      </c>
      <c r="O1539" t="str">
        <f t="shared" si="493"/>
        <v>Red</v>
      </c>
      <c r="P1539" t="str">
        <f t="shared" si="494"/>
        <v>Green</v>
      </c>
      <c r="Q1539" t="str">
        <f t="shared" si="495"/>
        <v>Red</v>
      </c>
      <c r="R1539" t="str">
        <f t="shared" si="496"/>
        <v>Green</v>
      </c>
      <c r="S1539" t="str">
        <f t="shared" si="497"/>
        <v>Green</v>
      </c>
      <c r="T1539" t="str">
        <f t="shared" si="498"/>
        <v>Red</v>
      </c>
      <c r="U1539" t="str">
        <f t="shared" si="499"/>
        <v>Red</v>
      </c>
      <c r="V1539" t="str">
        <f t="shared" si="500"/>
        <v>Green</v>
      </c>
      <c r="W1539" t="str">
        <f t="shared" si="501"/>
        <v>Red</v>
      </c>
      <c r="X1539" t="str">
        <f t="shared" si="502"/>
        <v>Red</v>
      </c>
      <c r="Y1539" t="str">
        <f t="shared" si="503"/>
        <v>Green</v>
      </c>
      <c r="Z1539" t="str">
        <f t="shared" si="504"/>
        <v>Red</v>
      </c>
      <c r="AA1539" t="str">
        <f t="shared" si="505"/>
        <v>Green</v>
      </c>
      <c r="AB1539" t="str">
        <f t="shared" si="506"/>
        <v>Green</v>
      </c>
      <c r="AC1539" t="str">
        <f t="shared" si="507"/>
        <v>Green</v>
      </c>
      <c r="AD1539" t="str">
        <f t="shared" si="508"/>
        <v>Red</v>
      </c>
    </row>
    <row r="1540" spans="1:30" x14ac:dyDescent="0.2">
      <c r="A1540" t="str">
        <f>L1539&amp;F1540&amp;G1540</f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3382</v>
      </c>
      <c r="H1540">
        <v>0</v>
      </c>
      <c r="I1540">
        <v>0</v>
      </c>
      <c r="J1540">
        <v>1</v>
      </c>
      <c r="K1540">
        <v>0</v>
      </c>
      <c r="L1540" s="22" t="str">
        <f t="shared" si="490"/>
        <v>25/07/2026</v>
      </c>
      <c r="M1540" s="23">
        <f t="shared" si="491"/>
        <v>0.60416666666666663</v>
      </c>
      <c r="N1540" t="str">
        <f t="shared" si="492"/>
        <v>1 - 0</v>
      </c>
      <c r="O1540" t="str">
        <f t="shared" si="493"/>
        <v>Green</v>
      </c>
      <c r="P1540" t="str">
        <f t="shared" si="494"/>
        <v>Red</v>
      </c>
      <c r="Q1540" t="str">
        <f t="shared" si="495"/>
        <v>Red</v>
      </c>
      <c r="R1540" t="str">
        <f t="shared" si="496"/>
        <v>Green</v>
      </c>
      <c r="S1540" t="str">
        <f t="shared" si="497"/>
        <v>Red</v>
      </c>
      <c r="T1540" t="str">
        <f t="shared" si="498"/>
        <v>Green</v>
      </c>
      <c r="U1540" t="str">
        <f t="shared" si="499"/>
        <v>Red</v>
      </c>
      <c r="V1540" t="str">
        <f t="shared" si="500"/>
        <v>Green</v>
      </c>
      <c r="W1540" t="str">
        <f t="shared" si="501"/>
        <v>Red</v>
      </c>
      <c r="X1540" t="str">
        <f t="shared" si="502"/>
        <v>Red</v>
      </c>
      <c r="Y1540" t="str">
        <f t="shared" si="503"/>
        <v>Red</v>
      </c>
      <c r="Z1540" t="str">
        <f t="shared" si="504"/>
        <v>Red</v>
      </c>
      <c r="AA1540" t="str">
        <f t="shared" si="505"/>
        <v>Green</v>
      </c>
      <c r="AB1540" t="str">
        <f t="shared" si="506"/>
        <v>Green</v>
      </c>
      <c r="AC1540" t="str">
        <f t="shared" si="507"/>
        <v>Red</v>
      </c>
      <c r="AD1540" t="str">
        <f t="shared" si="508"/>
        <v>Green</v>
      </c>
    </row>
    <row r="1541" spans="1:30" x14ac:dyDescent="0.2">
      <c r="A1541" t="str">
        <f>L1540&amp;F1541&amp;G1541</f>
        <v>25/07/2026Ironi TiberiasBnei Sakhnin</v>
      </c>
      <c r="D1541" s="2">
        <v>46228</v>
      </c>
      <c r="E1541" s="3">
        <v>0.72916666666666663</v>
      </c>
      <c r="F1541" t="s">
        <v>3383</v>
      </c>
      <c r="G1541" t="s">
        <v>3384</v>
      </c>
      <c r="H1541">
        <v>0</v>
      </c>
      <c r="I1541">
        <v>1</v>
      </c>
      <c r="J1541">
        <v>2</v>
      </c>
      <c r="K1541">
        <v>1</v>
      </c>
      <c r="L1541" s="22" t="str">
        <f t="shared" si="490"/>
        <v>25/07/2026</v>
      </c>
      <c r="M1541" s="23">
        <f t="shared" si="491"/>
        <v>0.60416666666666663</v>
      </c>
      <c r="N1541" t="str">
        <f t="shared" si="492"/>
        <v>2 - 1</v>
      </c>
      <c r="O1541" t="str">
        <f t="shared" si="493"/>
        <v>Green</v>
      </c>
      <c r="P1541" t="str">
        <f t="shared" si="494"/>
        <v>Red</v>
      </c>
      <c r="Q1541" t="str">
        <f t="shared" si="495"/>
        <v>Red</v>
      </c>
      <c r="R1541" t="str">
        <f t="shared" si="496"/>
        <v>Green</v>
      </c>
      <c r="S1541" t="str">
        <f t="shared" si="497"/>
        <v>Red</v>
      </c>
      <c r="T1541" t="str">
        <f t="shared" si="498"/>
        <v>Green</v>
      </c>
      <c r="U1541" t="str">
        <f t="shared" si="499"/>
        <v>Red</v>
      </c>
      <c r="V1541" t="str">
        <f t="shared" si="500"/>
        <v>Red</v>
      </c>
      <c r="W1541" t="str">
        <f t="shared" si="501"/>
        <v>Green</v>
      </c>
      <c r="X1541" t="str">
        <f t="shared" si="502"/>
        <v>Green</v>
      </c>
      <c r="Y1541" t="str">
        <f t="shared" si="503"/>
        <v>Green</v>
      </c>
      <c r="Z1541" t="str">
        <f t="shared" si="504"/>
        <v>Green</v>
      </c>
      <c r="AA1541" t="str">
        <f t="shared" si="505"/>
        <v>Red</v>
      </c>
      <c r="AB1541" t="str">
        <f t="shared" si="506"/>
        <v>Green</v>
      </c>
      <c r="AC1541" t="str">
        <f t="shared" si="507"/>
        <v>Green</v>
      </c>
      <c r="AD1541" t="str">
        <f t="shared" si="508"/>
        <v>Red</v>
      </c>
    </row>
    <row r="1542" spans="1:30" x14ac:dyDescent="0.2">
      <c r="A1542" t="str">
        <f>L1541&amp;F1542&amp;G1542</f>
        <v>25/07/2026Maccabi HaifaHapoel Haifa</v>
      </c>
      <c r="D1542" s="2">
        <v>46228</v>
      </c>
      <c r="E1542" s="3">
        <v>0.72916666666666663</v>
      </c>
      <c r="F1542" t="s">
        <v>3385</v>
      </c>
      <c r="G1542" t="s">
        <v>3386</v>
      </c>
      <c r="H1542">
        <v>0</v>
      </c>
      <c r="I1542">
        <v>2</v>
      </c>
      <c r="J1542">
        <v>2</v>
      </c>
      <c r="K1542">
        <v>3</v>
      </c>
      <c r="L1542" s="22" t="str">
        <f t="shared" si="490"/>
        <v>25/07/2026</v>
      </c>
      <c r="M1542" s="23">
        <f t="shared" si="491"/>
        <v>0.60416666666666663</v>
      </c>
      <c r="N1542" t="str">
        <f t="shared" si="492"/>
        <v>2 - 3</v>
      </c>
      <c r="O1542" t="str">
        <f t="shared" si="493"/>
        <v>Red</v>
      </c>
      <c r="P1542" t="str">
        <f t="shared" si="494"/>
        <v>Red</v>
      </c>
      <c r="Q1542" t="str">
        <f t="shared" si="495"/>
        <v>Green</v>
      </c>
      <c r="R1542" t="str">
        <f t="shared" si="496"/>
        <v>Red</v>
      </c>
      <c r="S1542" t="str">
        <f t="shared" si="497"/>
        <v>Green</v>
      </c>
      <c r="T1542" t="str">
        <f t="shared" si="498"/>
        <v>Green</v>
      </c>
      <c r="U1542" t="str">
        <f t="shared" si="499"/>
        <v>Red</v>
      </c>
      <c r="V1542" t="str">
        <f t="shared" si="500"/>
        <v>Red</v>
      </c>
      <c r="W1542" t="str">
        <f t="shared" si="501"/>
        <v>Green</v>
      </c>
      <c r="X1542" t="str">
        <f t="shared" si="502"/>
        <v>Green</v>
      </c>
      <c r="Y1542" t="str">
        <f t="shared" si="503"/>
        <v>Green</v>
      </c>
      <c r="Z1542" t="str">
        <f t="shared" si="504"/>
        <v>Green</v>
      </c>
      <c r="AA1542" t="str">
        <f t="shared" si="505"/>
        <v>Red</v>
      </c>
      <c r="AB1542" t="str">
        <f t="shared" si="506"/>
        <v>Red</v>
      </c>
      <c r="AC1542" t="str">
        <f t="shared" si="507"/>
        <v>Green</v>
      </c>
      <c r="AD1542" t="str">
        <f t="shared" si="508"/>
        <v>Red</v>
      </c>
    </row>
    <row r="1543" spans="1:30" x14ac:dyDescent="0.2">
      <c r="A1543" t="str">
        <f>L1542&amp;F1543&amp;G1543</f>
        <v>25/07/2026Maccabi NetanyaHapoel Katamon Jerusalem</v>
      </c>
      <c r="D1543" s="2">
        <v>46228</v>
      </c>
      <c r="E1543" s="3">
        <v>0.72916666666666663</v>
      </c>
      <c r="F1543" t="s">
        <v>3387</v>
      </c>
      <c r="G1543" t="s">
        <v>3388</v>
      </c>
      <c r="H1543">
        <v>2</v>
      </c>
      <c r="I1543">
        <v>1</v>
      </c>
      <c r="J1543">
        <v>3</v>
      </c>
      <c r="K1543">
        <v>1</v>
      </c>
      <c r="L1543" s="22" t="str">
        <f t="shared" si="490"/>
        <v>25/07/2026</v>
      </c>
      <c r="M1543" s="23">
        <f t="shared" si="491"/>
        <v>0.60416666666666663</v>
      </c>
      <c r="N1543" t="str">
        <f t="shared" si="492"/>
        <v>3 - 1</v>
      </c>
      <c r="O1543" t="str">
        <f t="shared" si="493"/>
        <v>Green</v>
      </c>
      <c r="P1543" t="str">
        <f t="shared" si="494"/>
        <v>Red</v>
      </c>
      <c r="Q1543" t="str">
        <f t="shared" si="495"/>
        <v>Red</v>
      </c>
      <c r="R1543" t="str">
        <f t="shared" si="496"/>
        <v>Green</v>
      </c>
      <c r="S1543" t="str">
        <f t="shared" si="497"/>
        <v>Red</v>
      </c>
      <c r="T1543" t="str">
        <f t="shared" si="498"/>
        <v>Green</v>
      </c>
      <c r="U1543" t="str">
        <f t="shared" si="499"/>
        <v>Green</v>
      </c>
      <c r="V1543" t="str">
        <f t="shared" si="500"/>
        <v>Red</v>
      </c>
      <c r="W1543" t="str">
        <f t="shared" si="501"/>
        <v>Red</v>
      </c>
      <c r="X1543" t="str">
        <f t="shared" si="502"/>
        <v>Green</v>
      </c>
      <c r="Y1543" t="str">
        <f t="shared" si="503"/>
        <v>Green</v>
      </c>
      <c r="Z1543" t="str">
        <f t="shared" si="504"/>
        <v>Green</v>
      </c>
      <c r="AA1543" t="str">
        <f t="shared" si="505"/>
        <v>Red</v>
      </c>
      <c r="AB1543" t="str">
        <f t="shared" si="506"/>
        <v>Red</v>
      </c>
      <c r="AC1543" t="str">
        <f t="shared" si="507"/>
        <v>Green</v>
      </c>
      <c r="AD1543" t="str">
        <f t="shared" si="508"/>
        <v>Red</v>
      </c>
    </row>
    <row r="1544" spans="1:30" x14ac:dyDescent="0.2">
      <c r="A1544" t="str">
        <f>L1543&amp;F1544&amp;G1544</f>
        <v>25/07/2026Dinamo BucurestiCS Universitatea Craiova</v>
      </c>
      <c r="D1544" s="2">
        <v>46228</v>
      </c>
      <c r="E1544" s="3">
        <v>0.72916666666666663</v>
      </c>
      <c r="F1544" t="s">
        <v>3560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490"/>
        <v>25/07/2026</v>
      </c>
      <c r="M1544" s="23">
        <f t="shared" si="491"/>
        <v>0.60416666666666663</v>
      </c>
      <c r="N1544" t="str">
        <f t="shared" si="492"/>
        <v>5 - 1</v>
      </c>
      <c r="O1544" t="str">
        <f t="shared" si="493"/>
        <v>Green</v>
      </c>
      <c r="P1544" t="str">
        <f t="shared" si="494"/>
        <v>Red</v>
      </c>
      <c r="Q1544" t="str">
        <f t="shared" si="495"/>
        <v>Red</v>
      </c>
      <c r="R1544" t="str">
        <f t="shared" si="496"/>
        <v>Green</v>
      </c>
      <c r="S1544" t="str">
        <f t="shared" si="497"/>
        <v>Red</v>
      </c>
      <c r="T1544" t="str">
        <f t="shared" si="498"/>
        <v>Green</v>
      </c>
      <c r="U1544" t="str">
        <f t="shared" si="499"/>
        <v>Green</v>
      </c>
      <c r="V1544" t="str">
        <f t="shared" si="500"/>
        <v>Red</v>
      </c>
      <c r="W1544" t="str">
        <f t="shared" si="501"/>
        <v>Red</v>
      </c>
      <c r="X1544" t="str">
        <f t="shared" si="502"/>
        <v>Green</v>
      </c>
      <c r="Y1544" t="str">
        <f t="shared" si="503"/>
        <v>Green</v>
      </c>
      <c r="Z1544" t="str">
        <f t="shared" si="504"/>
        <v>Green</v>
      </c>
      <c r="AA1544" t="str">
        <f t="shared" si="505"/>
        <v>Red</v>
      </c>
      <c r="AB1544" t="str">
        <f t="shared" si="506"/>
        <v>Red</v>
      </c>
      <c r="AC1544" t="str">
        <f t="shared" si="507"/>
        <v>Green</v>
      </c>
      <c r="AD1544" t="str">
        <f t="shared" si="508"/>
        <v>Red</v>
      </c>
    </row>
    <row r="1545" spans="1:30" x14ac:dyDescent="0.2">
      <c r="A1545" t="str">
        <f>L1544&amp;F1545&amp;G1545</f>
        <v>25/07/2026Real OviedoDeportivo La Coruna</v>
      </c>
      <c r="D1545" s="2">
        <v>46228</v>
      </c>
      <c r="E1545" s="3">
        <v>0.72916666666666663</v>
      </c>
      <c r="F1545" t="s">
        <v>4003</v>
      </c>
      <c r="G1545" t="s">
        <v>4004</v>
      </c>
      <c r="H1545">
        <v>0</v>
      </c>
      <c r="I1545">
        <v>0</v>
      </c>
      <c r="J1545">
        <v>0</v>
      </c>
      <c r="K1545">
        <v>0</v>
      </c>
      <c r="L1545" s="22" t="str">
        <f t="shared" si="490"/>
        <v>25/07/2026</v>
      </c>
      <c r="M1545" s="23">
        <f t="shared" si="491"/>
        <v>0.60416666666666663</v>
      </c>
      <c r="N1545" t="str">
        <f t="shared" si="492"/>
        <v>0 - 0</v>
      </c>
      <c r="O1545" t="str">
        <f t="shared" si="493"/>
        <v>Red</v>
      </c>
      <c r="P1545" t="str">
        <f t="shared" si="494"/>
        <v>Green</v>
      </c>
      <c r="Q1545" t="str">
        <f t="shared" si="495"/>
        <v>Red</v>
      </c>
      <c r="R1545" t="str">
        <f t="shared" si="496"/>
        <v>Green</v>
      </c>
      <c r="S1545" t="str">
        <f t="shared" si="497"/>
        <v>Green</v>
      </c>
      <c r="T1545" t="str">
        <f t="shared" si="498"/>
        <v>Red</v>
      </c>
      <c r="U1545" t="str">
        <f t="shared" si="499"/>
        <v>Red</v>
      </c>
      <c r="V1545" t="str">
        <f t="shared" si="500"/>
        <v>Green</v>
      </c>
      <c r="W1545" t="str">
        <f t="shared" si="501"/>
        <v>Red</v>
      </c>
      <c r="X1545" t="str">
        <f t="shared" si="502"/>
        <v>Red</v>
      </c>
      <c r="Y1545" t="str">
        <f t="shared" si="503"/>
        <v>Red</v>
      </c>
      <c r="Z1545" t="str">
        <f t="shared" si="504"/>
        <v>Red</v>
      </c>
      <c r="AA1545" t="str">
        <f t="shared" si="505"/>
        <v>Green</v>
      </c>
      <c r="AB1545" t="str">
        <f t="shared" si="506"/>
        <v>Green</v>
      </c>
      <c r="AC1545" t="str">
        <f t="shared" si="507"/>
        <v>Red</v>
      </c>
      <c r="AD1545" t="str">
        <f t="shared" si="508"/>
        <v>Green</v>
      </c>
    </row>
    <row r="1546" spans="1:30" x14ac:dyDescent="0.2">
      <c r="A1546" t="str">
        <f>L1545&amp;F1546&amp;G1546</f>
        <v>25/07/2026Estudiantes Rio CuartoClub Atletico Tigre</v>
      </c>
      <c r="B1546" t="s">
        <v>806</v>
      </c>
      <c r="C1546" t="s">
        <v>2234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490"/>
        <v>25/07/2026</v>
      </c>
      <c r="M1546" s="23">
        <f t="shared" si="491"/>
        <v>0.61458333333333337</v>
      </c>
      <c r="N1546" t="str">
        <f t="shared" si="492"/>
        <v>1 - 0</v>
      </c>
      <c r="O1546" t="str">
        <f t="shared" si="493"/>
        <v>Green</v>
      </c>
      <c r="P1546" t="str">
        <f t="shared" si="494"/>
        <v>Red</v>
      </c>
      <c r="Q1546" t="str">
        <f t="shared" si="495"/>
        <v>Red</v>
      </c>
      <c r="R1546" t="str">
        <f t="shared" si="496"/>
        <v>Green</v>
      </c>
      <c r="S1546" t="str">
        <f t="shared" si="497"/>
        <v>Red</v>
      </c>
      <c r="T1546" t="str">
        <f t="shared" si="498"/>
        <v>Green</v>
      </c>
      <c r="U1546" t="str">
        <f t="shared" si="499"/>
        <v>Red</v>
      </c>
      <c r="V1546" t="str">
        <f t="shared" si="500"/>
        <v>Green</v>
      </c>
      <c r="W1546" t="str">
        <f t="shared" si="501"/>
        <v>Red</v>
      </c>
      <c r="X1546" t="str">
        <f t="shared" si="502"/>
        <v>Red</v>
      </c>
      <c r="Y1546" t="str">
        <f t="shared" si="503"/>
        <v>Red</v>
      </c>
      <c r="Z1546" t="str">
        <f t="shared" si="504"/>
        <v>Red</v>
      </c>
      <c r="AA1546" t="str">
        <f t="shared" si="505"/>
        <v>Green</v>
      </c>
      <c r="AB1546" t="str">
        <f t="shared" si="506"/>
        <v>Green</v>
      </c>
      <c r="AC1546" t="str">
        <f t="shared" si="507"/>
        <v>Red</v>
      </c>
      <c r="AD1546" t="str">
        <f t="shared" si="508"/>
        <v>Green</v>
      </c>
    </row>
    <row r="1547" spans="1:30" x14ac:dyDescent="0.2">
      <c r="A1547" t="str">
        <f>L1546&amp;F1547&amp;G1547</f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490"/>
        <v>25/07/2026</v>
      </c>
      <c r="M1547" s="23">
        <f t="shared" si="491"/>
        <v>0.625</v>
      </c>
      <c r="N1547" t="str">
        <f t="shared" si="492"/>
        <v>1 - 0</v>
      </c>
      <c r="O1547" t="str">
        <f t="shared" si="493"/>
        <v>Green</v>
      </c>
      <c r="P1547" t="str">
        <f t="shared" si="494"/>
        <v>Red</v>
      </c>
      <c r="Q1547" t="str">
        <f t="shared" si="495"/>
        <v>Red</v>
      </c>
      <c r="R1547" t="str">
        <f t="shared" si="496"/>
        <v>Green</v>
      </c>
      <c r="S1547" t="str">
        <f t="shared" si="497"/>
        <v>Red</v>
      </c>
      <c r="T1547" t="str">
        <f t="shared" si="498"/>
        <v>Green</v>
      </c>
      <c r="U1547" t="str">
        <f t="shared" si="499"/>
        <v>Red</v>
      </c>
      <c r="V1547" t="str">
        <f t="shared" si="500"/>
        <v>Green</v>
      </c>
      <c r="W1547" t="str">
        <f t="shared" si="501"/>
        <v>Red</v>
      </c>
      <c r="X1547" t="str">
        <f t="shared" si="502"/>
        <v>Red</v>
      </c>
      <c r="Y1547" t="str">
        <f t="shared" si="503"/>
        <v>Red</v>
      </c>
      <c r="Z1547" t="str">
        <f t="shared" si="504"/>
        <v>Red</v>
      </c>
      <c r="AA1547" t="str">
        <f t="shared" si="505"/>
        <v>Green</v>
      </c>
      <c r="AB1547" t="str">
        <f t="shared" si="506"/>
        <v>Green</v>
      </c>
      <c r="AC1547" t="str">
        <f t="shared" si="507"/>
        <v>Red</v>
      </c>
      <c r="AD1547" t="str">
        <f t="shared" si="508"/>
        <v>Green</v>
      </c>
    </row>
    <row r="1548" spans="1:30" x14ac:dyDescent="0.2">
      <c r="A1548" t="str">
        <f>L1547&amp;F1548&amp;G1548</f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2766</v>
      </c>
      <c r="G1548" t="s">
        <v>2767</v>
      </c>
      <c r="H1548">
        <v>1</v>
      </c>
      <c r="I1548">
        <v>2</v>
      </c>
      <c r="J1548">
        <v>1</v>
      </c>
      <c r="K1548">
        <v>2</v>
      </c>
      <c r="L1548" s="22" t="str">
        <f t="shared" si="490"/>
        <v>25/07/2026</v>
      </c>
      <c r="M1548" s="23">
        <f t="shared" si="491"/>
        <v>0.625</v>
      </c>
      <c r="N1548" t="str">
        <f t="shared" si="492"/>
        <v>1 - 2</v>
      </c>
      <c r="O1548" t="str">
        <f t="shared" si="493"/>
        <v>Red</v>
      </c>
      <c r="P1548" t="str">
        <f t="shared" si="494"/>
        <v>Red</v>
      </c>
      <c r="Q1548" t="str">
        <f t="shared" si="495"/>
        <v>Green</v>
      </c>
      <c r="R1548" t="str">
        <f t="shared" si="496"/>
        <v>Red</v>
      </c>
      <c r="S1548" t="str">
        <f t="shared" si="497"/>
        <v>Green</v>
      </c>
      <c r="T1548" t="str">
        <f t="shared" si="498"/>
        <v>Green</v>
      </c>
      <c r="U1548" t="str">
        <f t="shared" si="499"/>
        <v>Red</v>
      </c>
      <c r="V1548" t="str">
        <f t="shared" si="500"/>
        <v>Red</v>
      </c>
      <c r="W1548" t="str">
        <f t="shared" si="501"/>
        <v>Green</v>
      </c>
      <c r="X1548" t="str">
        <f t="shared" si="502"/>
        <v>Green</v>
      </c>
      <c r="Y1548" t="str">
        <f t="shared" si="503"/>
        <v>Green</v>
      </c>
      <c r="Z1548" t="str">
        <f t="shared" si="504"/>
        <v>Green</v>
      </c>
      <c r="AA1548" t="str">
        <f t="shared" si="505"/>
        <v>Red</v>
      </c>
      <c r="AB1548" t="str">
        <f t="shared" si="506"/>
        <v>Green</v>
      </c>
      <c r="AC1548" t="str">
        <f t="shared" si="507"/>
        <v>Green</v>
      </c>
      <c r="AD1548" t="str">
        <f t="shared" si="508"/>
        <v>Red</v>
      </c>
    </row>
    <row r="1549" spans="1:30" x14ac:dyDescent="0.2">
      <c r="A1549" t="str">
        <f>L1548&amp;F1549&amp;G1549</f>
        <v>25/07/2026Argentino QuilmesVilla Dalmine</v>
      </c>
      <c r="B1549" t="s">
        <v>806</v>
      </c>
      <c r="C1549" t="s">
        <v>2771</v>
      </c>
      <c r="D1549" s="2">
        <v>46228</v>
      </c>
      <c r="E1549" s="3">
        <v>0.75</v>
      </c>
      <c r="F1549" t="s">
        <v>706</v>
      </c>
      <c r="G1549" t="s">
        <v>2776</v>
      </c>
      <c r="H1549">
        <v>0</v>
      </c>
      <c r="I1549">
        <v>0</v>
      </c>
      <c r="J1549">
        <v>0</v>
      </c>
      <c r="K1549">
        <v>0</v>
      </c>
      <c r="L1549" s="22" t="str">
        <f t="shared" si="490"/>
        <v>25/07/2026</v>
      </c>
      <c r="M1549" s="23">
        <f t="shared" si="491"/>
        <v>0.625</v>
      </c>
      <c r="N1549" t="str">
        <f t="shared" si="492"/>
        <v>0 - 0</v>
      </c>
      <c r="O1549" t="str">
        <f t="shared" si="493"/>
        <v>Red</v>
      </c>
      <c r="P1549" t="str">
        <f t="shared" si="494"/>
        <v>Green</v>
      </c>
      <c r="Q1549" t="str">
        <f t="shared" si="495"/>
        <v>Red</v>
      </c>
      <c r="R1549" t="str">
        <f t="shared" si="496"/>
        <v>Green</v>
      </c>
      <c r="S1549" t="str">
        <f t="shared" si="497"/>
        <v>Green</v>
      </c>
      <c r="T1549" t="str">
        <f t="shared" si="498"/>
        <v>Red</v>
      </c>
      <c r="U1549" t="str">
        <f t="shared" si="499"/>
        <v>Red</v>
      </c>
      <c r="V1549" t="str">
        <f t="shared" si="500"/>
        <v>Green</v>
      </c>
      <c r="W1549" t="str">
        <f t="shared" si="501"/>
        <v>Red</v>
      </c>
      <c r="X1549" t="str">
        <f t="shared" si="502"/>
        <v>Red</v>
      </c>
      <c r="Y1549" t="str">
        <f t="shared" si="503"/>
        <v>Red</v>
      </c>
      <c r="Z1549" t="str">
        <f t="shared" si="504"/>
        <v>Red</v>
      </c>
      <c r="AA1549" t="str">
        <f t="shared" si="505"/>
        <v>Green</v>
      </c>
      <c r="AB1549" t="str">
        <f t="shared" si="506"/>
        <v>Green</v>
      </c>
      <c r="AC1549" t="str">
        <f t="shared" si="507"/>
        <v>Red</v>
      </c>
      <c r="AD1549" t="str">
        <f t="shared" si="508"/>
        <v>Green</v>
      </c>
    </row>
    <row r="1550" spans="1:30" x14ac:dyDescent="0.2">
      <c r="A1550" t="str">
        <f>L1549&amp;F1550&amp;G1550</f>
        <v>25/07/2026Atletico CamionerosSan Martin De Burzaco</v>
      </c>
      <c r="B1550" t="s">
        <v>806</v>
      </c>
      <c r="C1550" t="s">
        <v>2771</v>
      </c>
      <c r="D1550" s="2">
        <v>46228</v>
      </c>
      <c r="E1550" s="3">
        <v>0.75</v>
      </c>
      <c r="F1550" t="s">
        <v>708</v>
      </c>
      <c r="G1550" t="s">
        <v>2777</v>
      </c>
      <c r="H1550">
        <v>1</v>
      </c>
      <c r="I1550">
        <v>0</v>
      </c>
      <c r="J1550">
        <v>2</v>
      </c>
      <c r="K1550">
        <v>0</v>
      </c>
      <c r="L1550" s="22" t="str">
        <f t="shared" si="490"/>
        <v>25/07/2026</v>
      </c>
      <c r="M1550" s="23">
        <f t="shared" si="491"/>
        <v>0.625</v>
      </c>
      <c r="N1550" t="str">
        <f t="shared" si="492"/>
        <v>2 - 0</v>
      </c>
      <c r="O1550" t="str">
        <f t="shared" si="493"/>
        <v>Green</v>
      </c>
      <c r="P1550" t="str">
        <f t="shared" si="494"/>
        <v>Red</v>
      </c>
      <c r="Q1550" t="str">
        <f t="shared" si="495"/>
        <v>Red</v>
      </c>
      <c r="R1550" t="str">
        <f t="shared" si="496"/>
        <v>Green</v>
      </c>
      <c r="S1550" t="str">
        <f t="shared" si="497"/>
        <v>Red</v>
      </c>
      <c r="T1550" t="str">
        <f t="shared" si="498"/>
        <v>Green</v>
      </c>
      <c r="U1550" t="str">
        <f t="shared" si="499"/>
        <v>Green</v>
      </c>
      <c r="V1550" t="str">
        <f t="shared" si="500"/>
        <v>Red</v>
      </c>
      <c r="W1550" t="str">
        <f t="shared" si="501"/>
        <v>Red</v>
      </c>
      <c r="X1550" t="str">
        <f t="shared" si="502"/>
        <v>Green</v>
      </c>
      <c r="Y1550" t="str">
        <f t="shared" si="503"/>
        <v>Green</v>
      </c>
      <c r="Z1550" t="str">
        <f t="shared" si="504"/>
        <v>Red</v>
      </c>
      <c r="AA1550" t="str">
        <f t="shared" si="505"/>
        <v>Green</v>
      </c>
      <c r="AB1550" t="str">
        <f t="shared" si="506"/>
        <v>Green</v>
      </c>
      <c r="AC1550" t="str">
        <f t="shared" si="507"/>
        <v>Red</v>
      </c>
      <c r="AD1550" t="str">
        <f t="shared" si="508"/>
        <v>Green</v>
      </c>
    </row>
    <row r="1551" spans="1:30" x14ac:dyDescent="0.2">
      <c r="A1551" t="str">
        <f>L1550&amp;F1551&amp;G1551</f>
        <v>25/07/2026Club Atl√©tico BrownArgentino Merlo</v>
      </c>
      <c r="B1551" t="s">
        <v>806</v>
      </c>
      <c r="C1551" t="s">
        <v>2771</v>
      </c>
      <c r="D1551" s="2">
        <v>46228</v>
      </c>
      <c r="E1551" s="3">
        <v>0.75</v>
      </c>
      <c r="F1551" t="s">
        <v>2778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490"/>
        <v>25/07/2026</v>
      </c>
      <c r="M1551" s="23">
        <f t="shared" si="491"/>
        <v>0.625</v>
      </c>
      <c r="N1551" t="str">
        <f t="shared" si="492"/>
        <v>1 - 0</v>
      </c>
      <c r="O1551" t="str">
        <f t="shared" si="493"/>
        <v>Green</v>
      </c>
      <c r="P1551" t="str">
        <f t="shared" si="494"/>
        <v>Red</v>
      </c>
      <c r="Q1551" t="str">
        <f t="shared" si="495"/>
        <v>Red</v>
      </c>
      <c r="R1551" t="str">
        <f t="shared" si="496"/>
        <v>Green</v>
      </c>
      <c r="S1551" t="str">
        <f t="shared" si="497"/>
        <v>Red</v>
      </c>
      <c r="T1551" t="str">
        <f t="shared" si="498"/>
        <v>Green</v>
      </c>
      <c r="U1551" t="str">
        <f t="shared" si="499"/>
        <v>Green</v>
      </c>
      <c r="V1551" t="str">
        <f t="shared" si="500"/>
        <v>Red</v>
      </c>
      <c r="W1551" t="str">
        <f t="shared" si="501"/>
        <v>Red</v>
      </c>
      <c r="X1551" t="str">
        <f t="shared" si="502"/>
        <v>Green</v>
      </c>
      <c r="Y1551" t="str">
        <f t="shared" si="503"/>
        <v>Red</v>
      </c>
      <c r="Z1551" t="str">
        <f t="shared" si="504"/>
        <v>Red</v>
      </c>
      <c r="AA1551" t="str">
        <f t="shared" si="505"/>
        <v>Green</v>
      </c>
      <c r="AB1551" t="str">
        <f t="shared" si="506"/>
        <v>Green</v>
      </c>
      <c r="AC1551" t="str">
        <f t="shared" si="507"/>
        <v>Red</v>
      </c>
      <c r="AD1551" t="str">
        <f t="shared" si="508"/>
        <v>Green</v>
      </c>
    </row>
    <row r="1552" spans="1:30" x14ac:dyDescent="0.2">
      <c r="A1552" t="str">
        <f>L1551&amp;F1552&amp;G1552</f>
        <v>25/07/2026Club ComunicacionesReal Pilar</v>
      </c>
      <c r="B1552" t="s">
        <v>806</v>
      </c>
      <c r="C1552" t="s">
        <v>2771</v>
      </c>
      <c r="D1552" s="2">
        <v>46228</v>
      </c>
      <c r="E1552" s="3">
        <v>0.75</v>
      </c>
      <c r="F1552" t="s">
        <v>2779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490"/>
        <v>25/07/2026</v>
      </c>
      <c r="M1552" s="23">
        <f t="shared" si="491"/>
        <v>0.625</v>
      </c>
      <c r="N1552" t="str">
        <f t="shared" si="492"/>
        <v>1 - 2</v>
      </c>
      <c r="O1552" t="str">
        <f t="shared" si="493"/>
        <v>Red</v>
      </c>
      <c r="P1552" t="str">
        <f t="shared" si="494"/>
        <v>Red</v>
      </c>
      <c r="Q1552" t="str">
        <f t="shared" si="495"/>
        <v>Green</v>
      </c>
      <c r="R1552" t="str">
        <f t="shared" si="496"/>
        <v>Red</v>
      </c>
      <c r="S1552" t="str">
        <f t="shared" si="497"/>
        <v>Green</v>
      </c>
      <c r="T1552" t="str">
        <f t="shared" si="498"/>
        <v>Green</v>
      </c>
      <c r="U1552" t="str">
        <f t="shared" si="499"/>
        <v>Red</v>
      </c>
      <c r="V1552" t="str">
        <f t="shared" si="500"/>
        <v>Green</v>
      </c>
      <c r="W1552" t="str">
        <f t="shared" si="501"/>
        <v>Red</v>
      </c>
      <c r="X1552" t="str">
        <f t="shared" si="502"/>
        <v>Green</v>
      </c>
      <c r="Y1552" t="str">
        <f t="shared" si="503"/>
        <v>Green</v>
      </c>
      <c r="Z1552" t="str">
        <f t="shared" si="504"/>
        <v>Green</v>
      </c>
      <c r="AA1552" t="str">
        <f t="shared" si="505"/>
        <v>Red</v>
      </c>
      <c r="AB1552" t="str">
        <f t="shared" si="506"/>
        <v>Green</v>
      </c>
      <c r="AC1552" t="str">
        <f t="shared" si="507"/>
        <v>Green</v>
      </c>
      <c r="AD1552" t="str">
        <f t="shared" si="508"/>
        <v>Red</v>
      </c>
    </row>
    <row r="1553" spans="1:30" x14ac:dyDescent="0.2">
      <c r="A1553" t="str">
        <f>L1552&amp;F1553&amp;G1553</f>
        <v>25/07/2026Defensores UnidosUAI Urquiza</v>
      </c>
      <c r="B1553" t="s">
        <v>806</v>
      </c>
      <c r="C1553" t="s">
        <v>2771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490"/>
        <v>25/07/2026</v>
      </c>
      <c r="M1553" s="23">
        <f t="shared" si="491"/>
        <v>0.625</v>
      </c>
      <c r="N1553" t="str">
        <f t="shared" si="492"/>
        <v>1 - 1</v>
      </c>
      <c r="O1553" t="str">
        <f t="shared" si="493"/>
        <v>Red</v>
      </c>
      <c r="P1553" t="str">
        <f t="shared" si="494"/>
        <v>Green</v>
      </c>
      <c r="Q1553" t="str">
        <f t="shared" si="495"/>
        <v>Red</v>
      </c>
      <c r="R1553" t="str">
        <f t="shared" si="496"/>
        <v>Green</v>
      </c>
      <c r="S1553" t="str">
        <f t="shared" si="497"/>
        <v>Green</v>
      </c>
      <c r="T1553" t="str">
        <f t="shared" si="498"/>
        <v>Red</v>
      </c>
      <c r="U1553" t="str">
        <f t="shared" si="499"/>
        <v>Green</v>
      </c>
      <c r="V1553" t="str">
        <f t="shared" si="500"/>
        <v>Red</v>
      </c>
      <c r="W1553" t="str">
        <f t="shared" si="501"/>
        <v>Red</v>
      </c>
      <c r="X1553" t="str">
        <f t="shared" si="502"/>
        <v>Green</v>
      </c>
      <c r="Y1553" t="str">
        <f t="shared" si="503"/>
        <v>Green</v>
      </c>
      <c r="Z1553" t="str">
        <f t="shared" si="504"/>
        <v>Red</v>
      </c>
      <c r="AA1553" t="str">
        <f t="shared" si="505"/>
        <v>Green</v>
      </c>
      <c r="AB1553" t="str">
        <f t="shared" si="506"/>
        <v>Green</v>
      </c>
      <c r="AC1553" t="str">
        <f t="shared" si="507"/>
        <v>Green</v>
      </c>
      <c r="AD1553" t="str">
        <f t="shared" si="508"/>
        <v>Red</v>
      </c>
    </row>
    <row r="1554" spans="1:30" x14ac:dyDescent="0.2">
      <c r="A1554" t="str">
        <f>L1553&amp;F1554&amp;G1554</f>
        <v>25/07/2026FlandriaExcursionistas</v>
      </c>
      <c r="B1554" t="s">
        <v>806</v>
      </c>
      <c r="C1554" t="s">
        <v>2771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490"/>
        <v>25/07/2026</v>
      </c>
      <c r="M1554" s="23">
        <f t="shared" si="491"/>
        <v>0.625</v>
      </c>
      <c r="N1554" t="str">
        <f t="shared" si="492"/>
        <v>1 - 1</v>
      </c>
      <c r="O1554" t="str">
        <f t="shared" si="493"/>
        <v>Red</v>
      </c>
      <c r="P1554" t="str">
        <f t="shared" si="494"/>
        <v>Green</v>
      </c>
      <c r="Q1554" t="str">
        <f t="shared" si="495"/>
        <v>Red</v>
      </c>
      <c r="R1554" t="str">
        <f t="shared" si="496"/>
        <v>Green</v>
      </c>
      <c r="S1554" t="str">
        <f t="shared" si="497"/>
        <v>Green</v>
      </c>
      <c r="T1554" t="str">
        <f t="shared" si="498"/>
        <v>Red</v>
      </c>
      <c r="U1554" t="str">
        <f t="shared" si="499"/>
        <v>Green</v>
      </c>
      <c r="V1554" t="str">
        <f t="shared" si="500"/>
        <v>Red</v>
      </c>
      <c r="W1554" t="str">
        <f t="shared" si="501"/>
        <v>Red</v>
      </c>
      <c r="X1554" t="str">
        <f t="shared" si="502"/>
        <v>Green</v>
      </c>
      <c r="Y1554" t="str">
        <f t="shared" si="503"/>
        <v>Green</v>
      </c>
      <c r="Z1554" t="str">
        <f t="shared" si="504"/>
        <v>Red</v>
      </c>
      <c r="AA1554" t="str">
        <f t="shared" si="505"/>
        <v>Green</v>
      </c>
      <c r="AB1554" t="str">
        <f t="shared" si="506"/>
        <v>Green</v>
      </c>
      <c r="AC1554" t="str">
        <f t="shared" si="507"/>
        <v>Green</v>
      </c>
      <c r="AD1554" t="str">
        <f t="shared" si="508"/>
        <v>Red</v>
      </c>
    </row>
    <row r="1555" spans="1:30" x14ac:dyDescent="0.2">
      <c r="A1555" t="str">
        <f>L1554&amp;F1555&amp;G1555</f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2783</v>
      </c>
      <c r="H1555">
        <v>0</v>
      </c>
      <c r="I1555">
        <v>0</v>
      </c>
      <c r="J1555">
        <v>0</v>
      </c>
      <c r="K1555">
        <v>1</v>
      </c>
      <c r="L1555" s="22" t="str">
        <f t="shared" si="490"/>
        <v>25/07/2026</v>
      </c>
      <c r="M1555" s="23">
        <f t="shared" si="491"/>
        <v>0.625</v>
      </c>
      <c r="N1555" t="str">
        <f t="shared" si="492"/>
        <v>0 - 1</v>
      </c>
      <c r="O1555" t="str">
        <f t="shared" si="493"/>
        <v>Red</v>
      </c>
      <c r="P1555" t="str">
        <f t="shared" si="494"/>
        <v>Red</v>
      </c>
      <c r="Q1555" t="str">
        <f t="shared" si="495"/>
        <v>Green</v>
      </c>
      <c r="R1555" t="str">
        <f t="shared" si="496"/>
        <v>Red</v>
      </c>
      <c r="S1555" t="str">
        <f t="shared" si="497"/>
        <v>Green</v>
      </c>
      <c r="T1555" t="str">
        <f t="shared" si="498"/>
        <v>Green</v>
      </c>
      <c r="U1555" t="str">
        <f t="shared" si="499"/>
        <v>Red</v>
      </c>
      <c r="V1555" t="str">
        <f t="shared" si="500"/>
        <v>Green</v>
      </c>
      <c r="W1555" t="str">
        <f t="shared" si="501"/>
        <v>Red</v>
      </c>
      <c r="X1555" t="str">
        <f t="shared" si="502"/>
        <v>Red</v>
      </c>
      <c r="Y1555" t="str">
        <f t="shared" si="503"/>
        <v>Red</v>
      </c>
      <c r="Z1555" t="str">
        <f t="shared" si="504"/>
        <v>Red</v>
      </c>
      <c r="AA1555" t="str">
        <f t="shared" si="505"/>
        <v>Green</v>
      </c>
      <c r="AB1555" t="str">
        <f t="shared" si="506"/>
        <v>Green</v>
      </c>
      <c r="AC1555" t="str">
        <f t="shared" si="507"/>
        <v>Red</v>
      </c>
      <c r="AD1555" t="str">
        <f t="shared" si="508"/>
        <v>Green</v>
      </c>
    </row>
    <row r="1556" spans="1:30" x14ac:dyDescent="0.2">
      <c r="A1556" t="str">
        <f>L1555&amp;F1556&amp;G1556</f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2784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490"/>
        <v>25/07/2026</v>
      </c>
      <c r="M1556" s="23">
        <f t="shared" si="491"/>
        <v>0.625</v>
      </c>
      <c r="N1556" t="str">
        <f t="shared" si="492"/>
        <v>1 - 0</v>
      </c>
      <c r="O1556" t="str">
        <f t="shared" si="493"/>
        <v>Green</v>
      </c>
      <c r="P1556" t="str">
        <f t="shared" si="494"/>
        <v>Red</v>
      </c>
      <c r="Q1556" t="str">
        <f t="shared" si="495"/>
        <v>Red</v>
      </c>
      <c r="R1556" t="str">
        <f t="shared" si="496"/>
        <v>Green</v>
      </c>
      <c r="S1556" t="str">
        <f t="shared" si="497"/>
        <v>Red</v>
      </c>
      <c r="T1556" t="str">
        <f t="shared" si="498"/>
        <v>Green</v>
      </c>
      <c r="U1556" t="str">
        <f t="shared" si="499"/>
        <v>Red</v>
      </c>
      <c r="V1556" t="str">
        <f t="shared" si="500"/>
        <v>Green</v>
      </c>
      <c r="W1556" t="str">
        <f t="shared" si="501"/>
        <v>Red</v>
      </c>
      <c r="X1556" t="str">
        <f t="shared" si="502"/>
        <v>Red</v>
      </c>
      <c r="Y1556" t="str">
        <f t="shared" si="503"/>
        <v>Red</v>
      </c>
      <c r="Z1556" t="str">
        <f t="shared" si="504"/>
        <v>Red</v>
      </c>
      <c r="AA1556" t="str">
        <f t="shared" si="505"/>
        <v>Green</v>
      </c>
      <c r="AB1556" t="str">
        <f t="shared" si="506"/>
        <v>Green</v>
      </c>
      <c r="AC1556" t="str">
        <f t="shared" si="507"/>
        <v>Red</v>
      </c>
      <c r="AD1556" t="str">
        <f t="shared" si="508"/>
        <v>Green</v>
      </c>
    </row>
    <row r="1557" spans="1:30" x14ac:dyDescent="0.2">
      <c r="A1557" t="str">
        <f>L1556&amp;F1557&amp;G1557</f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2785</v>
      </c>
      <c r="G1557" t="s">
        <v>2786</v>
      </c>
      <c r="H1557">
        <v>0</v>
      </c>
      <c r="I1557">
        <v>0</v>
      </c>
      <c r="J1557">
        <v>0</v>
      </c>
      <c r="K1557">
        <v>0</v>
      </c>
      <c r="L1557" s="22" t="str">
        <f t="shared" si="490"/>
        <v>25/07/2026</v>
      </c>
      <c r="M1557" s="23">
        <f t="shared" si="491"/>
        <v>0.625</v>
      </c>
      <c r="N1557" t="str">
        <f t="shared" si="492"/>
        <v>0 - 0</v>
      </c>
      <c r="O1557" t="str">
        <f t="shared" si="493"/>
        <v>Red</v>
      </c>
      <c r="P1557" t="str">
        <f t="shared" si="494"/>
        <v>Green</v>
      </c>
      <c r="Q1557" t="str">
        <f t="shared" si="495"/>
        <v>Red</v>
      </c>
      <c r="R1557" t="str">
        <f t="shared" si="496"/>
        <v>Green</v>
      </c>
      <c r="S1557" t="str">
        <f t="shared" si="497"/>
        <v>Green</v>
      </c>
      <c r="T1557" t="str">
        <f t="shared" si="498"/>
        <v>Red</v>
      </c>
      <c r="U1557" t="str">
        <f t="shared" si="499"/>
        <v>Red</v>
      </c>
      <c r="V1557" t="str">
        <f t="shared" si="500"/>
        <v>Green</v>
      </c>
      <c r="W1557" t="str">
        <f t="shared" si="501"/>
        <v>Red</v>
      </c>
      <c r="X1557" t="str">
        <f t="shared" si="502"/>
        <v>Red</v>
      </c>
      <c r="Y1557" t="str">
        <f t="shared" si="503"/>
        <v>Red</v>
      </c>
      <c r="Z1557" t="str">
        <f t="shared" si="504"/>
        <v>Red</v>
      </c>
      <c r="AA1557" t="str">
        <f t="shared" si="505"/>
        <v>Green</v>
      </c>
      <c r="AB1557" t="str">
        <f t="shared" si="506"/>
        <v>Green</v>
      </c>
      <c r="AC1557" t="str">
        <f t="shared" si="507"/>
        <v>Red</v>
      </c>
      <c r="AD1557" t="str">
        <f t="shared" si="508"/>
        <v>Green</v>
      </c>
    </row>
    <row r="1558" spans="1:30" x14ac:dyDescent="0.2">
      <c r="A1558" t="str">
        <f>L1557&amp;F1558&amp;G1558</f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2787</v>
      </c>
      <c r="G1558" t="s">
        <v>2788</v>
      </c>
      <c r="H1558">
        <v>0</v>
      </c>
      <c r="I1558">
        <v>1</v>
      </c>
      <c r="J1558">
        <v>0</v>
      </c>
      <c r="K1558">
        <v>1</v>
      </c>
      <c r="L1558" s="22" t="str">
        <f t="shared" si="490"/>
        <v>25/07/2026</v>
      </c>
      <c r="M1558" s="23">
        <f t="shared" si="491"/>
        <v>0.625</v>
      </c>
      <c r="N1558" t="str">
        <f t="shared" si="492"/>
        <v>0 - 1</v>
      </c>
      <c r="O1558" t="str">
        <f t="shared" si="493"/>
        <v>Red</v>
      </c>
      <c r="P1558" t="str">
        <f t="shared" si="494"/>
        <v>Red</v>
      </c>
      <c r="Q1558" t="str">
        <f t="shared" si="495"/>
        <v>Green</v>
      </c>
      <c r="R1558" t="str">
        <f t="shared" si="496"/>
        <v>Red</v>
      </c>
      <c r="S1558" t="str">
        <f t="shared" si="497"/>
        <v>Green</v>
      </c>
      <c r="T1558" t="str">
        <f t="shared" si="498"/>
        <v>Green</v>
      </c>
      <c r="U1558" t="str">
        <f t="shared" si="499"/>
        <v>Red</v>
      </c>
      <c r="V1558" t="str">
        <f t="shared" si="500"/>
        <v>Red</v>
      </c>
      <c r="W1558" t="str">
        <f t="shared" si="501"/>
        <v>Green</v>
      </c>
      <c r="X1558" t="str">
        <f t="shared" si="502"/>
        <v>Green</v>
      </c>
      <c r="Y1558" t="str">
        <f t="shared" si="503"/>
        <v>Red</v>
      </c>
      <c r="Z1558" t="str">
        <f t="shared" si="504"/>
        <v>Red</v>
      </c>
      <c r="AA1558" t="str">
        <f t="shared" si="505"/>
        <v>Green</v>
      </c>
      <c r="AB1558" t="str">
        <f t="shared" si="506"/>
        <v>Green</v>
      </c>
      <c r="AC1558" t="str">
        <f t="shared" si="507"/>
        <v>Red</v>
      </c>
      <c r="AD1558" t="str">
        <f t="shared" si="508"/>
        <v>Green</v>
      </c>
    </row>
    <row r="1559" spans="1:30" x14ac:dyDescent="0.2">
      <c r="A1559" t="str">
        <f>L1558&amp;F1559&amp;G1559</f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490"/>
        <v>25/07/2026</v>
      </c>
      <c r="M1559" s="23">
        <f t="shared" si="491"/>
        <v>0.625</v>
      </c>
      <c r="N1559" t="str">
        <f t="shared" si="492"/>
        <v>1 - 0</v>
      </c>
      <c r="O1559" t="str">
        <f t="shared" si="493"/>
        <v>Green</v>
      </c>
      <c r="P1559" t="str">
        <f t="shared" si="494"/>
        <v>Red</v>
      </c>
      <c r="Q1559" t="str">
        <f t="shared" si="495"/>
        <v>Red</v>
      </c>
      <c r="R1559" t="str">
        <f t="shared" si="496"/>
        <v>Green</v>
      </c>
      <c r="S1559" t="str">
        <f t="shared" si="497"/>
        <v>Red</v>
      </c>
      <c r="T1559" t="str">
        <f t="shared" si="498"/>
        <v>Green</v>
      </c>
      <c r="U1559" t="str">
        <f t="shared" si="499"/>
        <v>Red</v>
      </c>
      <c r="V1559" t="str">
        <f t="shared" si="500"/>
        <v>Green</v>
      </c>
      <c r="W1559" t="str">
        <f t="shared" si="501"/>
        <v>Red</v>
      </c>
      <c r="X1559" t="str">
        <f t="shared" si="502"/>
        <v>Red</v>
      </c>
      <c r="Y1559" t="str">
        <f t="shared" si="503"/>
        <v>Red</v>
      </c>
      <c r="Z1559" t="str">
        <f t="shared" si="504"/>
        <v>Red</v>
      </c>
      <c r="AA1559" t="str">
        <f t="shared" si="505"/>
        <v>Green</v>
      </c>
      <c r="AB1559" t="str">
        <f t="shared" si="506"/>
        <v>Green</v>
      </c>
      <c r="AC1559" t="str">
        <f t="shared" si="507"/>
        <v>Red</v>
      </c>
      <c r="AD1559" t="str">
        <f t="shared" si="508"/>
        <v>Green</v>
      </c>
    </row>
    <row r="1560" spans="1:30" x14ac:dyDescent="0.2">
      <c r="A1560" t="str">
        <f>L1559&amp;F1560&amp;G1560</f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490"/>
        <v>25/07/2026</v>
      </c>
      <c r="M1560" s="23">
        <f t="shared" si="491"/>
        <v>0.625</v>
      </c>
      <c r="N1560" t="str">
        <f t="shared" si="492"/>
        <v>0 - 2</v>
      </c>
      <c r="O1560" t="str">
        <f t="shared" si="493"/>
        <v>Red</v>
      </c>
      <c r="P1560" t="str">
        <f t="shared" si="494"/>
        <v>Red</v>
      </c>
      <c r="Q1560" t="str">
        <f t="shared" si="495"/>
        <v>Green</v>
      </c>
      <c r="R1560" t="str">
        <f t="shared" si="496"/>
        <v>Red</v>
      </c>
      <c r="S1560" t="str">
        <f t="shared" si="497"/>
        <v>Green</v>
      </c>
      <c r="T1560" t="str">
        <f t="shared" si="498"/>
        <v>Green</v>
      </c>
      <c r="U1560" t="str">
        <f t="shared" si="499"/>
        <v>Red</v>
      </c>
      <c r="V1560" t="str">
        <f t="shared" si="500"/>
        <v>Red</v>
      </c>
      <c r="W1560" t="str">
        <f t="shared" si="501"/>
        <v>Green</v>
      </c>
      <c r="X1560" t="str">
        <f t="shared" si="502"/>
        <v>Green</v>
      </c>
      <c r="Y1560" t="str">
        <f t="shared" si="503"/>
        <v>Green</v>
      </c>
      <c r="Z1560" t="str">
        <f t="shared" si="504"/>
        <v>Red</v>
      </c>
      <c r="AA1560" t="str">
        <f t="shared" si="505"/>
        <v>Green</v>
      </c>
      <c r="AB1560" t="str">
        <f t="shared" si="506"/>
        <v>Green</v>
      </c>
      <c r="AC1560" t="str">
        <f t="shared" si="507"/>
        <v>Red</v>
      </c>
      <c r="AD1560" t="str">
        <f t="shared" si="508"/>
        <v>Green</v>
      </c>
    </row>
    <row r="1561" spans="1:30" x14ac:dyDescent="0.2">
      <c r="A1561" t="str">
        <f>L1560&amp;F1561&amp;G1561</f>
        <v>25/07/2026Defensores de Belgrano VRGimnasia Chivilcoy</v>
      </c>
      <c r="B1561" t="s">
        <v>806</v>
      </c>
      <c r="C1561" t="s">
        <v>2243</v>
      </c>
      <c r="D1561" s="2">
        <v>46228</v>
      </c>
      <c r="E1561" s="3">
        <v>0.75</v>
      </c>
      <c r="F1561" t="s">
        <v>2789</v>
      </c>
      <c r="G1561" t="s">
        <v>2790</v>
      </c>
      <c r="H1561">
        <v>0</v>
      </c>
      <c r="I1561">
        <v>0</v>
      </c>
      <c r="J1561">
        <v>2</v>
      </c>
      <c r="K1561">
        <v>2</v>
      </c>
      <c r="L1561" s="22" t="str">
        <f t="shared" si="490"/>
        <v>25/07/2026</v>
      </c>
      <c r="M1561" s="23">
        <f t="shared" si="491"/>
        <v>0.625</v>
      </c>
      <c r="N1561" t="str">
        <f t="shared" si="492"/>
        <v>2 - 2</v>
      </c>
      <c r="O1561" t="str">
        <f t="shared" si="493"/>
        <v>Red</v>
      </c>
      <c r="P1561" t="str">
        <f t="shared" si="494"/>
        <v>Green</v>
      </c>
      <c r="Q1561" t="str">
        <f t="shared" si="495"/>
        <v>Red</v>
      </c>
      <c r="R1561" t="str">
        <f t="shared" si="496"/>
        <v>Green</v>
      </c>
      <c r="S1561" t="str">
        <f t="shared" si="497"/>
        <v>Green</v>
      </c>
      <c r="T1561" t="str">
        <f t="shared" si="498"/>
        <v>Red</v>
      </c>
      <c r="U1561" t="str">
        <f t="shared" si="499"/>
        <v>Red</v>
      </c>
      <c r="V1561" t="str">
        <f t="shared" si="500"/>
        <v>Green</v>
      </c>
      <c r="W1561" t="str">
        <f t="shared" si="501"/>
        <v>Red</v>
      </c>
      <c r="X1561" t="str">
        <f t="shared" si="502"/>
        <v>Red</v>
      </c>
      <c r="Y1561" t="str">
        <f t="shared" si="503"/>
        <v>Green</v>
      </c>
      <c r="Z1561" t="str">
        <f t="shared" si="504"/>
        <v>Green</v>
      </c>
      <c r="AA1561" t="str">
        <f t="shared" si="505"/>
        <v>Red</v>
      </c>
      <c r="AB1561" t="str">
        <f t="shared" si="506"/>
        <v>Red</v>
      </c>
      <c r="AC1561" t="str">
        <f t="shared" si="507"/>
        <v>Green</v>
      </c>
      <c r="AD1561" t="str">
        <f t="shared" si="508"/>
        <v>Red</v>
      </c>
    </row>
    <row r="1562" spans="1:30" x14ac:dyDescent="0.2">
      <c r="A1562" t="str">
        <f>L1561&amp;F1562&amp;G1562</f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490"/>
        <v>25/07/2026</v>
      </c>
      <c r="M1562" s="23">
        <f t="shared" si="491"/>
        <v>0.625</v>
      </c>
      <c r="N1562" t="str">
        <f t="shared" si="492"/>
        <v xml:space="preserve"> - </v>
      </c>
      <c r="O1562" t="str">
        <f t="shared" si="493"/>
        <v>Red</v>
      </c>
      <c r="P1562" t="str">
        <f t="shared" si="494"/>
        <v>Green</v>
      </c>
      <c r="Q1562" t="str">
        <f t="shared" si="495"/>
        <v>Red</v>
      </c>
      <c r="R1562" t="str">
        <f t="shared" si="496"/>
        <v>Green</v>
      </c>
      <c r="S1562" t="str">
        <f t="shared" si="497"/>
        <v>Green</v>
      </c>
      <c r="T1562" t="str">
        <f t="shared" si="498"/>
        <v>Red</v>
      </c>
      <c r="U1562" t="str">
        <f t="shared" si="499"/>
        <v>Red</v>
      </c>
      <c r="V1562" t="str">
        <f t="shared" si="500"/>
        <v>Green</v>
      </c>
      <c r="W1562" t="str">
        <f t="shared" si="501"/>
        <v>Red</v>
      </c>
      <c r="X1562" t="str">
        <f t="shared" si="502"/>
        <v>Red</v>
      </c>
      <c r="Y1562" t="str">
        <f t="shared" si="503"/>
        <v>Red</v>
      </c>
      <c r="Z1562" t="str">
        <f t="shared" si="504"/>
        <v>Red</v>
      </c>
      <c r="AA1562" t="str">
        <f t="shared" si="505"/>
        <v>Green</v>
      </c>
      <c r="AB1562" t="str">
        <f t="shared" si="506"/>
        <v>Green</v>
      </c>
      <c r="AC1562" t="str">
        <f t="shared" si="507"/>
        <v>Red</v>
      </c>
      <c r="AD1562" t="str">
        <f t="shared" si="508"/>
        <v>Green</v>
      </c>
    </row>
    <row r="1563" spans="1:30" x14ac:dyDescent="0.2">
      <c r="A1563" t="str">
        <f>L1562&amp;F1563&amp;G1563</f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490"/>
        <v>25/07/2026</v>
      </c>
      <c r="M1563" s="23">
        <f t="shared" si="491"/>
        <v>0.625</v>
      </c>
      <c r="N1563" t="str">
        <f t="shared" si="492"/>
        <v>0 - 2</v>
      </c>
      <c r="O1563" t="str">
        <f t="shared" si="493"/>
        <v>Red</v>
      </c>
      <c r="P1563" t="str">
        <f t="shared" si="494"/>
        <v>Red</v>
      </c>
      <c r="Q1563" t="str">
        <f t="shared" si="495"/>
        <v>Green</v>
      </c>
      <c r="R1563" t="str">
        <f t="shared" si="496"/>
        <v>Red</v>
      </c>
      <c r="S1563" t="str">
        <f t="shared" si="497"/>
        <v>Green</v>
      </c>
      <c r="T1563" t="str">
        <f t="shared" si="498"/>
        <v>Green</v>
      </c>
      <c r="U1563" t="str">
        <f t="shared" si="499"/>
        <v>Red</v>
      </c>
      <c r="V1563" t="str">
        <f t="shared" si="500"/>
        <v>Green</v>
      </c>
      <c r="W1563" t="str">
        <f t="shared" si="501"/>
        <v>Red</v>
      </c>
      <c r="X1563" t="str">
        <f t="shared" si="502"/>
        <v>Red</v>
      </c>
      <c r="Y1563" t="str">
        <f t="shared" si="503"/>
        <v>Green</v>
      </c>
      <c r="Z1563" t="str">
        <f t="shared" si="504"/>
        <v>Red</v>
      </c>
      <c r="AA1563" t="str">
        <f t="shared" si="505"/>
        <v>Green</v>
      </c>
      <c r="AB1563" t="str">
        <f t="shared" si="506"/>
        <v>Green</v>
      </c>
      <c r="AC1563" t="str">
        <f t="shared" si="507"/>
        <v>Red</v>
      </c>
      <c r="AD1563" t="str">
        <f t="shared" si="508"/>
        <v>Green</v>
      </c>
    </row>
    <row r="1564" spans="1:30" x14ac:dyDescent="0.2">
      <c r="A1564" t="str">
        <f>L1563&amp;F1564&amp;G1564</f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490"/>
        <v>25/07/2026</v>
      </c>
      <c r="M1564" s="23">
        <f t="shared" si="491"/>
        <v>0.625</v>
      </c>
      <c r="N1564" t="str">
        <f t="shared" si="492"/>
        <v>3 - 0</v>
      </c>
      <c r="O1564" t="str">
        <f t="shared" si="493"/>
        <v>Green</v>
      </c>
      <c r="P1564" t="str">
        <f t="shared" si="494"/>
        <v>Red</v>
      </c>
      <c r="Q1564" t="str">
        <f t="shared" si="495"/>
        <v>Red</v>
      </c>
      <c r="R1564" t="str">
        <f t="shared" si="496"/>
        <v>Green</v>
      </c>
      <c r="S1564" t="str">
        <f t="shared" si="497"/>
        <v>Red</v>
      </c>
      <c r="T1564" t="str">
        <f t="shared" si="498"/>
        <v>Green</v>
      </c>
      <c r="U1564" t="str">
        <f t="shared" si="499"/>
        <v>Red</v>
      </c>
      <c r="V1564" t="str">
        <f t="shared" si="500"/>
        <v>Green</v>
      </c>
      <c r="W1564" t="str">
        <f t="shared" si="501"/>
        <v>Red</v>
      </c>
      <c r="X1564" t="str">
        <f t="shared" si="502"/>
        <v>Red</v>
      </c>
      <c r="Y1564" t="str">
        <f t="shared" si="503"/>
        <v>Green</v>
      </c>
      <c r="Z1564" t="str">
        <f t="shared" si="504"/>
        <v>Green</v>
      </c>
      <c r="AA1564" t="str">
        <f t="shared" si="505"/>
        <v>Red</v>
      </c>
      <c r="AB1564" t="str">
        <f t="shared" si="506"/>
        <v>Green</v>
      </c>
      <c r="AC1564" t="str">
        <f t="shared" si="507"/>
        <v>Red</v>
      </c>
      <c r="AD1564" t="str">
        <f t="shared" si="508"/>
        <v>Green</v>
      </c>
    </row>
    <row r="1565" spans="1:30" x14ac:dyDescent="0.2">
      <c r="A1565" t="str">
        <f>L1564&amp;F1565&amp;G1565</f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490"/>
        <v>25/07/2026</v>
      </c>
      <c r="M1565" s="23">
        <f t="shared" si="491"/>
        <v>0.625</v>
      </c>
      <c r="N1565" t="str">
        <f t="shared" si="492"/>
        <v>3 - 1</v>
      </c>
      <c r="O1565" t="str">
        <f t="shared" si="493"/>
        <v>Green</v>
      </c>
      <c r="P1565" t="str">
        <f t="shared" si="494"/>
        <v>Red</v>
      </c>
      <c r="Q1565" t="str">
        <f t="shared" si="495"/>
        <v>Red</v>
      </c>
      <c r="R1565" t="str">
        <f t="shared" si="496"/>
        <v>Green</v>
      </c>
      <c r="S1565" t="str">
        <f t="shared" si="497"/>
        <v>Red</v>
      </c>
      <c r="T1565" t="str">
        <f t="shared" si="498"/>
        <v>Green</v>
      </c>
      <c r="U1565" t="str">
        <f t="shared" si="499"/>
        <v>Red</v>
      </c>
      <c r="V1565" t="str">
        <f t="shared" si="500"/>
        <v>Green</v>
      </c>
      <c r="W1565" t="str">
        <f t="shared" si="501"/>
        <v>Red</v>
      </c>
      <c r="X1565" t="str">
        <f t="shared" si="502"/>
        <v>Red</v>
      </c>
      <c r="Y1565" t="str">
        <f t="shared" si="503"/>
        <v>Green</v>
      </c>
      <c r="Z1565" t="str">
        <f t="shared" si="504"/>
        <v>Green</v>
      </c>
      <c r="AA1565" t="str">
        <f t="shared" si="505"/>
        <v>Red</v>
      </c>
      <c r="AB1565" t="str">
        <f t="shared" si="506"/>
        <v>Red</v>
      </c>
      <c r="AC1565" t="str">
        <f t="shared" si="507"/>
        <v>Green</v>
      </c>
      <c r="AD1565" t="str">
        <f t="shared" si="508"/>
        <v>Red</v>
      </c>
    </row>
    <row r="1566" spans="1:30" x14ac:dyDescent="0.2">
      <c r="A1566" t="str">
        <f>L1565&amp;F1566&amp;G1566</f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490"/>
        <v>25/07/2026</v>
      </c>
      <c r="M1566" s="23">
        <f t="shared" si="491"/>
        <v>0.625</v>
      </c>
      <c r="N1566" t="str">
        <f t="shared" si="492"/>
        <v>0 - 3</v>
      </c>
      <c r="O1566" t="str">
        <f t="shared" si="493"/>
        <v>Red</v>
      </c>
      <c r="P1566" t="str">
        <f t="shared" si="494"/>
        <v>Red</v>
      </c>
      <c r="Q1566" t="str">
        <f t="shared" si="495"/>
        <v>Green</v>
      </c>
      <c r="R1566" t="str">
        <f t="shared" si="496"/>
        <v>Red</v>
      </c>
      <c r="S1566" t="str">
        <f t="shared" si="497"/>
        <v>Green</v>
      </c>
      <c r="T1566" t="str">
        <f t="shared" si="498"/>
        <v>Green</v>
      </c>
      <c r="U1566" t="str">
        <f t="shared" si="499"/>
        <v>Red</v>
      </c>
      <c r="V1566" t="str">
        <f t="shared" si="500"/>
        <v>Green</v>
      </c>
      <c r="W1566" t="str">
        <f t="shared" si="501"/>
        <v>Red</v>
      </c>
      <c r="X1566" t="str">
        <f t="shared" si="502"/>
        <v>Red</v>
      </c>
      <c r="Y1566" t="str">
        <f t="shared" si="503"/>
        <v>Green</v>
      </c>
      <c r="Z1566" t="str">
        <f t="shared" si="504"/>
        <v>Green</v>
      </c>
      <c r="AA1566" t="str">
        <f t="shared" si="505"/>
        <v>Red</v>
      </c>
      <c r="AB1566" t="str">
        <f t="shared" si="506"/>
        <v>Green</v>
      </c>
      <c r="AC1566" t="str">
        <f t="shared" si="507"/>
        <v>Red</v>
      </c>
      <c r="AD1566" t="str">
        <f t="shared" si="508"/>
        <v>Green</v>
      </c>
    </row>
    <row r="1567" spans="1:30" x14ac:dyDescent="0.2">
      <c r="A1567" t="str">
        <f>L1566&amp;F1567&amp;G1567</f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490"/>
        <v>25/07/2026</v>
      </c>
      <c r="M1567" s="23">
        <f t="shared" si="491"/>
        <v>0.625</v>
      </c>
      <c r="N1567" t="str">
        <f t="shared" si="492"/>
        <v>1 - 2</v>
      </c>
      <c r="O1567" t="str">
        <f t="shared" si="493"/>
        <v>Red</v>
      </c>
      <c r="P1567" t="str">
        <f t="shared" si="494"/>
        <v>Red</v>
      </c>
      <c r="Q1567" t="str">
        <f t="shared" si="495"/>
        <v>Green</v>
      </c>
      <c r="R1567" t="str">
        <f t="shared" si="496"/>
        <v>Red</v>
      </c>
      <c r="S1567" t="str">
        <f t="shared" si="497"/>
        <v>Green</v>
      </c>
      <c r="T1567" t="str">
        <f t="shared" si="498"/>
        <v>Green</v>
      </c>
      <c r="U1567" t="str">
        <f t="shared" si="499"/>
        <v>Red</v>
      </c>
      <c r="V1567" t="str">
        <f t="shared" si="500"/>
        <v>Green</v>
      </c>
      <c r="W1567" t="str">
        <f t="shared" si="501"/>
        <v>Red</v>
      </c>
      <c r="X1567" t="str">
        <f t="shared" si="502"/>
        <v>Red</v>
      </c>
      <c r="Y1567" t="str">
        <f t="shared" si="503"/>
        <v>Green</v>
      </c>
      <c r="Z1567" t="str">
        <f t="shared" si="504"/>
        <v>Green</v>
      </c>
      <c r="AA1567" t="str">
        <f t="shared" si="505"/>
        <v>Red</v>
      </c>
      <c r="AB1567" t="str">
        <f t="shared" si="506"/>
        <v>Green</v>
      </c>
      <c r="AC1567" t="str">
        <f t="shared" si="507"/>
        <v>Green</v>
      </c>
      <c r="AD1567" t="str">
        <f t="shared" si="508"/>
        <v>Red</v>
      </c>
    </row>
    <row r="1568" spans="1:30" x14ac:dyDescent="0.2">
      <c r="A1568" t="str">
        <f>L1567&amp;F1568&amp;G1568</f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3070</v>
      </c>
      <c r="L1568" s="22" t="str">
        <f t="shared" si="490"/>
        <v>25/07/2026</v>
      </c>
      <c r="M1568" s="23">
        <f t="shared" si="491"/>
        <v>0.625</v>
      </c>
      <c r="N1568" t="str">
        <f t="shared" si="492"/>
        <v xml:space="preserve"> - </v>
      </c>
      <c r="O1568" t="str">
        <f t="shared" si="493"/>
        <v>Red</v>
      </c>
      <c r="P1568" t="str">
        <f t="shared" si="494"/>
        <v>Green</v>
      </c>
      <c r="Q1568" t="str">
        <f t="shared" si="495"/>
        <v>Red</v>
      </c>
      <c r="R1568" t="str">
        <f t="shared" si="496"/>
        <v>Green</v>
      </c>
      <c r="S1568" t="str">
        <f t="shared" si="497"/>
        <v>Green</v>
      </c>
      <c r="T1568" t="str">
        <f t="shared" si="498"/>
        <v>Red</v>
      </c>
      <c r="U1568" t="str">
        <f t="shared" si="499"/>
        <v>Red</v>
      </c>
      <c r="V1568" t="str">
        <f t="shared" si="500"/>
        <v>Green</v>
      </c>
      <c r="W1568" t="str">
        <f t="shared" si="501"/>
        <v>Red</v>
      </c>
      <c r="X1568" t="str">
        <f t="shared" si="502"/>
        <v>Red</v>
      </c>
      <c r="Y1568" t="str">
        <f t="shared" si="503"/>
        <v>Red</v>
      </c>
      <c r="Z1568" t="str">
        <f t="shared" si="504"/>
        <v>Red</v>
      </c>
      <c r="AA1568" t="str">
        <f t="shared" si="505"/>
        <v>Green</v>
      </c>
      <c r="AB1568" t="str">
        <f t="shared" si="506"/>
        <v>Green</v>
      </c>
      <c r="AC1568" t="str">
        <f t="shared" si="507"/>
        <v>Red</v>
      </c>
      <c r="AD1568" t="str">
        <f t="shared" si="508"/>
        <v>Green</v>
      </c>
    </row>
    <row r="1569" spans="1:30" x14ac:dyDescent="0.2">
      <c r="A1569" t="str">
        <f>L1568&amp;F1569&amp;G1569</f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490"/>
        <v>25/07/2026</v>
      </c>
      <c r="M1569" s="23">
        <f t="shared" si="491"/>
        <v>0.625</v>
      </c>
      <c r="N1569" t="str">
        <f t="shared" si="492"/>
        <v>2 - 2</v>
      </c>
      <c r="O1569" t="str">
        <f t="shared" si="493"/>
        <v>Red</v>
      </c>
      <c r="P1569" t="str">
        <f t="shared" si="494"/>
        <v>Green</v>
      </c>
      <c r="Q1569" t="str">
        <f t="shared" si="495"/>
        <v>Red</v>
      </c>
      <c r="R1569" t="str">
        <f t="shared" si="496"/>
        <v>Green</v>
      </c>
      <c r="S1569" t="str">
        <f t="shared" si="497"/>
        <v>Green</v>
      </c>
      <c r="T1569" t="str">
        <f t="shared" si="498"/>
        <v>Red</v>
      </c>
      <c r="U1569" t="str">
        <f t="shared" si="499"/>
        <v>Green</v>
      </c>
      <c r="V1569" t="str">
        <f t="shared" si="500"/>
        <v>Red</v>
      </c>
      <c r="W1569" t="str">
        <f t="shared" si="501"/>
        <v>Red</v>
      </c>
      <c r="X1569" t="str">
        <f t="shared" si="502"/>
        <v>Green</v>
      </c>
      <c r="Y1569" t="str">
        <f t="shared" si="503"/>
        <v>Green</v>
      </c>
      <c r="Z1569" t="str">
        <f t="shared" si="504"/>
        <v>Green</v>
      </c>
      <c r="AA1569" t="str">
        <f t="shared" si="505"/>
        <v>Red</v>
      </c>
      <c r="AB1569" t="str">
        <f t="shared" si="506"/>
        <v>Red</v>
      </c>
      <c r="AC1569" t="str">
        <f t="shared" si="507"/>
        <v>Green</v>
      </c>
      <c r="AD1569" t="str">
        <f t="shared" si="508"/>
        <v>Red</v>
      </c>
    </row>
    <row r="1570" spans="1:30" x14ac:dyDescent="0.2">
      <c r="A1570" t="str">
        <f>L1569&amp;F1570&amp;G1570</f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3076</v>
      </c>
      <c r="G1570" t="s">
        <v>3077</v>
      </c>
      <c r="H1570">
        <v>1</v>
      </c>
      <c r="I1570">
        <v>0</v>
      </c>
      <c r="J1570">
        <v>4</v>
      </c>
      <c r="K1570">
        <v>0</v>
      </c>
      <c r="L1570" s="22" t="str">
        <f t="shared" si="490"/>
        <v>25/07/2026</v>
      </c>
      <c r="M1570" s="23">
        <f t="shared" si="491"/>
        <v>0.625</v>
      </c>
      <c r="N1570" t="str">
        <f t="shared" si="492"/>
        <v>4 - 0</v>
      </c>
      <c r="O1570" t="str">
        <f t="shared" si="493"/>
        <v>Green</v>
      </c>
      <c r="P1570" t="str">
        <f t="shared" si="494"/>
        <v>Red</v>
      </c>
      <c r="Q1570" t="str">
        <f t="shared" si="495"/>
        <v>Red</v>
      </c>
      <c r="R1570" t="str">
        <f t="shared" si="496"/>
        <v>Green</v>
      </c>
      <c r="S1570" t="str">
        <f t="shared" si="497"/>
        <v>Red</v>
      </c>
      <c r="T1570" t="str">
        <f t="shared" si="498"/>
        <v>Green</v>
      </c>
      <c r="U1570" t="str">
        <f t="shared" si="499"/>
        <v>Green</v>
      </c>
      <c r="V1570" t="str">
        <f t="shared" si="500"/>
        <v>Red</v>
      </c>
      <c r="W1570" t="str">
        <f t="shared" si="501"/>
        <v>Red</v>
      </c>
      <c r="X1570" t="str">
        <f t="shared" si="502"/>
        <v>Green</v>
      </c>
      <c r="Y1570" t="str">
        <f t="shared" si="503"/>
        <v>Green</v>
      </c>
      <c r="Z1570" t="str">
        <f t="shared" si="504"/>
        <v>Green</v>
      </c>
      <c r="AA1570" t="str">
        <f t="shared" si="505"/>
        <v>Red</v>
      </c>
      <c r="AB1570" t="str">
        <f t="shared" si="506"/>
        <v>Red</v>
      </c>
      <c r="AC1570" t="str">
        <f t="shared" si="507"/>
        <v>Red</v>
      </c>
      <c r="AD1570" t="str">
        <f t="shared" si="508"/>
        <v>Green</v>
      </c>
    </row>
    <row r="1571" spans="1:30" x14ac:dyDescent="0.2">
      <c r="A1571" t="str">
        <f>L1570&amp;F1571&amp;G1571</f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3078</v>
      </c>
      <c r="G1571" t="s">
        <v>3079</v>
      </c>
      <c r="H1571">
        <v>0</v>
      </c>
      <c r="I1571">
        <v>0</v>
      </c>
      <c r="J1571">
        <v>0</v>
      </c>
      <c r="K1571">
        <v>0</v>
      </c>
      <c r="L1571" s="22" t="str">
        <f t="shared" si="490"/>
        <v>25/07/2026</v>
      </c>
      <c r="M1571" s="23">
        <f t="shared" si="491"/>
        <v>0.625</v>
      </c>
      <c r="N1571" t="str">
        <f t="shared" si="492"/>
        <v>0 - 0</v>
      </c>
      <c r="O1571" t="str">
        <f t="shared" si="493"/>
        <v>Red</v>
      </c>
      <c r="P1571" t="str">
        <f t="shared" si="494"/>
        <v>Green</v>
      </c>
      <c r="Q1571" t="str">
        <f t="shared" si="495"/>
        <v>Red</v>
      </c>
      <c r="R1571" t="str">
        <f t="shared" si="496"/>
        <v>Green</v>
      </c>
      <c r="S1571" t="str">
        <f t="shared" si="497"/>
        <v>Green</v>
      </c>
      <c r="T1571" t="str">
        <f t="shared" si="498"/>
        <v>Red</v>
      </c>
      <c r="U1571" t="str">
        <f t="shared" si="499"/>
        <v>Red</v>
      </c>
      <c r="V1571" t="str">
        <f t="shared" si="500"/>
        <v>Green</v>
      </c>
      <c r="W1571" t="str">
        <f t="shared" si="501"/>
        <v>Red</v>
      </c>
      <c r="X1571" t="str">
        <f t="shared" si="502"/>
        <v>Red</v>
      </c>
      <c r="Y1571" t="str">
        <f t="shared" si="503"/>
        <v>Red</v>
      </c>
      <c r="Z1571" t="str">
        <f t="shared" si="504"/>
        <v>Red</v>
      </c>
      <c r="AA1571" t="str">
        <f t="shared" si="505"/>
        <v>Green</v>
      </c>
      <c r="AB1571" t="str">
        <f t="shared" si="506"/>
        <v>Green</v>
      </c>
      <c r="AC1571" t="str">
        <f t="shared" si="507"/>
        <v>Red</v>
      </c>
      <c r="AD1571" t="str">
        <f t="shared" si="508"/>
        <v>Green</v>
      </c>
    </row>
    <row r="1572" spans="1:30" x14ac:dyDescent="0.2">
      <c r="A1572" t="str">
        <f>L1571&amp;F1572&amp;G1572</f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3080</v>
      </c>
      <c r="G1572" t="s">
        <v>3081</v>
      </c>
      <c r="H1572">
        <v>0</v>
      </c>
      <c r="I1572">
        <v>1</v>
      </c>
      <c r="J1572">
        <v>2</v>
      </c>
      <c r="K1572">
        <v>1</v>
      </c>
      <c r="L1572" s="22" t="str">
        <f t="shared" si="490"/>
        <v>25/07/2026</v>
      </c>
      <c r="M1572" s="23">
        <f t="shared" si="491"/>
        <v>0.625</v>
      </c>
      <c r="N1572" t="str">
        <f t="shared" si="492"/>
        <v>2 - 1</v>
      </c>
      <c r="O1572" t="str">
        <f t="shared" si="493"/>
        <v>Green</v>
      </c>
      <c r="P1572" t="str">
        <f t="shared" si="494"/>
        <v>Red</v>
      </c>
      <c r="Q1572" t="str">
        <f t="shared" si="495"/>
        <v>Red</v>
      </c>
      <c r="R1572" t="str">
        <f t="shared" si="496"/>
        <v>Green</v>
      </c>
      <c r="S1572" t="str">
        <f t="shared" si="497"/>
        <v>Red</v>
      </c>
      <c r="T1572" t="str">
        <f t="shared" si="498"/>
        <v>Green</v>
      </c>
      <c r="U1572" t="str">
        <f t="shared" si="499"/>
        <v>Red</v>
      </c>
      <c r="V1572" t="str">
        <f t="shared" si="500"/>
        <v>Red</v>
      </c>
      <c r="W1572" t="str">
        <f t="shared" si="501"/>
        <v>Green</v>
      </c>
      <c r="X1572" t="str">
        <f t="shared" si="502"/>
        <v>Green</v>
      </c>
      <c r="Y1572" t="str">
        <f t="shared" si="503"/>
        <v>Green</v>
      </c>
      <c r="Z1572" t="str">
        <f t="shared" si="504"/>
        <v>Green</v>
      </c>
      <c r="AA1572" t="str">
        <f t="shared" si="505"/>
        <v>Red</v>
      </c>
      <c r="AB1572" t="str">
        <f t="shared" si="506"/>
        <v>Green</v>
      </c>
      <c r="AC1572" t="str">
        <f t="shared" si="507"/>
        <v>Green</v>
      </c>
      <c r="AD1572" t="str">
        <f t="shared" si="508"/>
        <v>Red</v>
      </c>
    </row>
    <row r="1573" spans="1:30" x14ac:dyDescent="0.2">
      <c r="A1573" t="str">
        <f>L1572&amp;F1573&amp;G1573</f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3082</v>
      </c>
      <c r="H1573">
        <v>2</v>
      </c>
      <c r="I1573">
        <v>0</v>
      </c>
      <c r="J1573">
        <v>3</v>
      </c>
      <c r="K1573">
        <v>0</v>
      </c>
      <c r="L1573" s="22" t="str">
        <f t="shared" si="490"/>
        <v>25/07/2026</v>
      </c>
      <c r="M1573" s="23">
        <f t="shared" si="491"/>
        <v>0.625</v>
      </c>
      <c r="N1573" t="str">
        <f t="shared" si="492"/>
        <v>3 - 0</v>
      </c>
      <c r="O1573" t="str">
        <f t="shared" si="493"/>
        <v>Green</v>
      </c>
      <c r="P1573" t="str">
        <f t="shared" si="494"/>
        <v>Red</v>
      </c>
      <c r="Q1573" t="str">
        <f t="shared" si="495"/>
        <v>Red</v>
      </c>
      <c r="R1573" t="str">
        <f t="shared" si="496"/>
        <v>Green</v>
      </c>
      <c r="S1573" t="str">
        <f t="shared" si="497"/>
        <v>Red</v>
      </c>
      <c r="T1573" t="str">
        <f t="shared" si="498"/>
        <v>Green</v>
      </c>
      <c r="U1573" t="str">
        <f t="shared" si="499"/>
        <v>Green</v>
      </c>
      <c r="V1573" t="str">
        <f t="shared" si="500"/>
        <v>Red</v>
      </c>
      <c r="W1573" t="str">
        <f t="shared" si="501"/>
        <v>Red</v>
      </c>
      <c r="X1573" t="str">
        <f t="shared" si="502"/>
        <v>Green</v>
      </c>
      <c r="Y1573" t="str">
        <f t="shared" si="503"/>
        <v>Green</v>
      </c>
      <c r="Z1573" t="str">
        <f t="shared" si="504"/>
        <v>Green</v>
      </c>
      <c r="AA1573" t="str">
        <f t="shared" si="505"/>
        <v>Red</v>
      </c>
      <c r="AB1573" t="str">
        <f t="shared" si="506"/>
        <v>Green</v>
      </c>
      <c r="AC1573" t="str">
        <f t="shared" si="507"/>
        <v>Red</v>
      </c>
      <c r="AD1573" t="str">
        <f t="shared" si="508"/>
        <v>Green</v>
      </c>
    </row>
    <row r="1574" spans="1:30" x14ac:dyDescent="0.2">
      <c r="A1574" t="str">
        <f>L1573&amp;F1574&amp;G1574</f>
        <v>25/07/2026Canoense Al U20Jacyoba AC U20</v>
      </c>
      <c r="B1574" t="s">
        <v>804</v>
      </c>
      <c r="D1574" s="2">
        <v>46228</v>
      </c>
      <c r="E1574" s="3">
        <v>0.75</v>
      </c>
      <c r="F1574" t="s">
        <v>3087</v>
      </c>
      <c r="G1574" t="s">
        <v>3088</v>
      </c>
      <c r="L1574" s="22" t="str">
        <f t="shared" si="490"/>
        <v>25/07/2026</v>
      </c>
      <c r="M1574" s="23">
        <f t="shared" si="491"/>
        <v>0.625</v>
      </c>
      <c r="N1574" t="str">
        <f t="shared" si="492"/>
        <v xml:space="preserve"> - </v>
      </c>
      <c r="O1574" t="str">
        <f t="shared" si="493"/>
        <v>Red</v>
      </c>
      <c r="P1574" t="str">
        <f t="shared" si="494"/>
        <v>Green</v>
      </c>
      <c r="Q1574" t="str">
        <f t="shared" si="495"/>
        <v>Red</v>
      </c>
      <c r="R1574" t="str">
        <f t="shared" si="496"/>
        <v>Green</v>
      </c>
      <c r="S1574" t="str">
        <f t="shared" si="497"/>
        <v>Green</v>
      </c>
      <c r="T1574" t="str">
        <f t="shared" si="498"/>
        <v>Red</v>
      </c>
      <c r="U1574" t="str">
        <f t="shared" si="499"/>
        <v>Red</v>
      </c>
      <c r="V1574" t="str">
        <f t="shared" si="500"/>
        <v>Green</v>
      </c>
      <c r="W1574" t="str">
        <f t="shared" si="501"/>
        <v>Red</v>
      </c>
      <c r="X1574" t="str">
        <f t="shared" si="502"/>
        <v>Red</v>
      </c>
      <c r="Y1574" t="str">
        <f t="shared" si="503"/>
        <v>Red</v>
      </c>
      <c r="Z1574" t="str">
        <f t="shared" si="504"/>
        <v>Red</v>
      </c>
      <c r="AA1574" t="str">
        <f t="shared" si="505"/>
        <v>Green</v>
      </c>
      <c r="AB1574" t="str">
        <f t="shared" si="506"/>
        <v>Green</v>
      </c>
      <c r="AC1574" t="str">
        <f t="shared" si="507"/>
        <v>Red</v>
      </c>
      <c r="AD1574" t="str">
        <f t="shared" si="508"/>
        <v>Green</v>
      </c>
    </row>
    <row r="1575" spans="1:30" x14ac:dyDescent="0.2">
      <c r="A1575" t="str">
        <f>L1574&amp;F1575&amp;G1575</f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3089</v>
      </c>
      <c r="G1575" t="s">
        <v>1790</v>
      </c>
      <c r="L1575" s="22" t="str">
        <f t="shared" si="490"/>
        <v>25/07/2026</v>
      </c>
      <c r="M1575" s="23">
        <f t="shared" si="491"/>
        <v>0.625</v>
      </c>
      <c r="N1575" t="str">
        <f t="shared" si="492"/>
        <v xml:space="preserve"> - </v>
      </c>
      <c r="O1575" t="str">
        <f t="shared" si="493"/>
        <v>Red</v>
      </c>
      <c r="P1575" t="str">
        <f t="shared" si="494"/>
        <v>Green</v>
      </c>
      <c r="Q1575" t="str">
        <f t="shared" si="495"/>
        <v>Red</v>
      </c>
      <c r="R1575" t="str">
        <f t="shared" si="496"/>
        <v>Green</v>
      </c>
      <c r="S1575" t="str">
        <f t="shared" si="497"/>
        <v>Green</v>
      </c>
      <c r="T1575" t="str">
        <f t="shared" si="498"/>
        <v>Red</v>
      </c>
      <c r="U1575" t="str">
        <f t="shared" si="499"/>
        <v>Red</v>
      </c>
      <c r="V1575" t="str">
        <f t="shared" si="500"/>
        <v>Green</v>
      </c>
      <c r="W1575" t="str">
        <f t="shared" si="501"/>
        <v>Red</v>
      </c>
      <c r="X1575" t="str">
        <f t="shared" si="502"/>
        <v>Red</v>
      </c>
      <c r="Y1575" t="str">
        <f t="shared" si="503"/>
        <v>Red</v>
      </c>
      <c r="Z1575" t="str">
        <f t="shared" si="504"/>
        <v>Red</v>
      </c>
      <c r="AA1575" t="str">
        <f t="shared" si="505"/>
        <v>Green</v>
      </c>
      <c r="AB1575" t="str">
        <f t="shared" si="506"/>
        <v>Green</v>
      </c>
      <c r="AC1575" t="str">
        <f t="shared" si="507"/>
        <v>Red</v>
      </c>
      <c r="AD1575" t="str">
        <f t="shared" si="508"/>
        <v>Green</v>
      </c>
    </row>
    <row r="1576" spans="1:30" x14ac:dyDescent="0.2">
      <c r="A1576" t="str">
        <f>L1575&amp;F1576&amp;G1576</f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3090</v>
      </c>
      <c r="G1576" t="s">
        <v>3091</v>
      </c>
      <c r="L1576" s="22" t="str">
        <f t="shared" si="490"/>
        <v>25/07/2026</v>
      </c>
      <c r="M1576" s="23">
        <f t="shared" si="491"/>
        <v>0.625</v>
      </c>
      <c r="N1576" t="str">
        <f t="shared" si="492"/>
        <v xml:space="preserve"> - </v>
      </c>
      <c r="O1576" t="str">
        <f t="shared" si="493"/>
        <v>Red</v>
      </c>
      <c r="P1576" t="str">
        <f t="shared" si="494"/>
        <v>Green</v>
      </c>
      <c r="Q1576" t="str">
        <f t="shared" si="495"/>
        <v>Red</v>
      </c>
      <c r="R1576" t="str">
        <f t="shared" si="496"/>
        <v>Green</v>
      </c>
      <c r="S1576" t="str">
        <f t="shared" si="497"/>
        <v>Green</v>
      </c>
      <c r="T1576" t="str">
        <f t="shared" si="498"/>
        <v>Red</v>
      </c>
      <c r="U1576" t="str">
        <f t="shared" si="499"/>
        <v>Red</v>
      </c>
      <c r="V1576" t="str">
        <f t="shared" si="500"/>
        <v>Green</v>
      </c>
      <c r="W1576" t="str">
        <f t="shared" si="501"/>
        <v>Red</v>
      </c>
      <c r="X1576" t="str">
        <f t="shared" si="502"/>
        <v>Red</v>
      </c>
      <c r="Y1576" t="str">
        <f t="shared" si="503"/>
        <v>Red</v>
      </c>
      <c r="Z1576" t="str">
        <f t="shared" si="504"/>
        <v>Red</v>
      </c>
      <c r="AA1576" t="str">
        <f t="shared" si="505"/>
        <v>Green</v>
      </c>
      <c r="AB1576" t="str">
        <f t="shared" si="506"/>
        <v>Green</v>
      </c>
      <c r="AC1576" t="str">
        <f t="shared" si="507"/>
        <v>Red</v>
      </c>
      <c r="AD1576" t="str">
        <f t="shared" si="508"/>
        <v>Green</v>
      </c>
    </row>
    <row r="1577" spans="1:30" x14ac:dyDescent="0.2">
      <c r="A1577" t="str">
        <f>L1576&amp;F1577&amp;G1577</f>
        <v>25/07/2026Ponte Preta AL U20ASA U20</v>
      </c>
      <c r="B1577" t="s">
        <v>804</v>
      </c>
      <c r="D1577" s="2">
        <v>46228</v>
      </c>
      <c r="E1577" s="3">
        <v>0.75</v>
      </c>
      <c r="F1577" t="s">
        <v>3092</v>
      </c>
      <c r="G1577" t="s">
        <v>3093</v>
      </c>
      <c r="H1577">
        <v>0</v>
      </c>
      <c r="I1577">
        <v>0</v>
      </c>
      <c r="J1577">
        <v>0</v>
      </c>
      <c r="K1577">
        <v>1</v>
      </c>
      <c r="L1577" s="22" t="str">
        <f t="shared" si="490"/>
        <v>25/07/2026</v>
      </c>
      <c r="M1577" s="23">
        <f t="shared" si="491"/>
        <v>0.625</v>
      </c>
      <c r="N1577" t="str">
        <f t="shared" si="492"/>
        <v>0 - 1</v>
      </c>
      <c r="O1577" t="str">
        <f t="shared" si="493"/>
        <v>Red</v>
      </c>
      <c r="P1577" t="str">
        <f t="shared" si="494"/>
        <v>Red</v>
      </c>
      <c r="Q1577" t="str">
        <f t="shared" si="495"/>
        <v>Green</v>
      </c>
      <c r="R1577" t="str">
        <f t="shared" si="496"/>
        <v>Red</v>
      </c>
      <c r="S1577" t="str">
        <f t="shared" si="497"/>
        <v>Green</v>
      </c>
      <c r="T1577" t="str">
        <f t="shared" si="498"/>
        <v>Green</v>
      </c>
      <c r="U1577" t="str">
        <f t="shared" si="499"/>
        <v>Red</v>
      </c>
      <c r="V1577" t="str">
        <f t="shared" si="500"/>
        <v>Green</v>
      </c>
      <c r="W1577" t="str">
        <f t="shared" si="501"/>
        <v>Red</v>
      </c>
      <c r="X1577" t="str">
        <f t="shared" si="502"/>
        <v>Red</v>
      </c>
      <c r="Y1577" t="str">
        <f t="shared" si="503"/>
        <v>Red</v>
      </c>
      <c r="Z1577" t="str">
        <f t="shared" si="504"/>
        <v>Red</v>
      </c>
      <c r="AA1577" t="str">
        <f t="shared" si="505"/>
        <v>Green</v>
      </c>
      <c r="AB1577" t="str">
        <f t="shared" si="506"/>
        <v>Green</v>
      </c>
      <c r="AC1577" t="str">
        <f t="shared" si="507"/>
        <v>Red</v>
      </c>
      <c r="AD1577" t="str">
        <f t="shared" si="508"/>
        <v>Green</v>
      </c>
    </row>
    <row r="1578" spans="1:30" x14ac:dyDescent="0.2">
      <c r="A1578" t="str">
        <f>L1577&amp;F1578&amp;G1578</f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3094</v>
      </c>
      <c r="G1578" t="s">
        <v>3095</v>
      </c>
      <c r="H1578">
        <v>0</v>
      </c>
      <c r="I1578">
        <v>0</v>
      </c>
      <c r="J1578">
        <v>0</v>
      </c>
      <c r="K1578">
        <v>1</v>
      </c>
      <c r="L1578" s="22" t="str">
        <f t="shared" si="490"/>
        <v>25/07/2026</v>
      </c>
      <c r="M1578" s="23">
        <f t="shared" si="491"/>
        <v>0.625</v>
      </c>
      <c r="N1578" t="str">
        <f t="shared" si="492"/>
        <v>0 - 1</v>
      </c>
      <c r="O1578" t="str">
        <f t="shared" si="493"/>
        <v>Red</v>
      </c>
      <c r="P1578" t="str">
        <f t="shared" si="494"/>
        <v>Red</v>
      </c>
      <c r="Q1578" t="str">
        <f t="shared" si="495"/>
        <v>Green</v>
      </c>
      <c r="R1578" t="str">
        <f t="shared" si="496"/>
        <v>Red</v>
      </c>
      <c r="S1578" t="str">
        <f t="shared" si="497"/>
        <v>Green</v>
      </c>
      <c r="T1578" t="str">
        <f t="shared" si="498"/>
        <v>Green</v>
      </c>
      <c r="U1578" t="str">
        <f t="shared" si="499"/>
        <v>Red</v>
      </c>
      <c r="V1578" t="str">
        <f t="shared" si="500"/>
        <v>Green</v>
      </c>
      <c r="W1578" t="str">
        <f t="shared" si="501"/>
        <v>Red</v>
      </c>
      <c r="X1578" t="str">
        <f t="shared" si="502"/>
        <v>Red</v>
      </c>
      <c r="Y1578" t="str">
        <f t="shared" si="503"/>
        <v>Red</v>
      </c>
      <c r="Z1578" t="str">
        <f t="shared" si="504"/>
        <v>Red</v>
      </c>
      <c r="AA1578" t="str">
        <f t="shared" si="505"/>
        <v>Green</v>
      </c>
      <c r="AB1578" t="str">
        <f t="shared" si="506"/>
        <v>Green</v>
      </c>
      <c r="AC1578" t="str">
        <f t="shared" si="507"/>
        <v>Red</v>
      </c>
      <c r="AD1578" t="str">
        <f t="shared" si="508"/>
        <v>Green</v>
      </c>
    </row>
    <row r="1579" spans="1:30" x14ac:dyDescent="0.2">
      <c r="A1579" t="str">
        <f>L1578&amp;F1579&amp;G1579</f>
        <v>25/07/2026Brusque FC U20Figueirense U20</v>
      </c>
      <c r="B1579" t="s">
        <v>804</v>
      </c>
      <c r="D1579" s="2">
        <v>46228</v>
      </c>
      <c r="E1579" s="3">
        <v>0.75</v>
      </c>
      <c r="F1579" t="s">
        <v>3097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490"/>
        <v>25/07/2026</v>
      </c>
      <c r="M1579" s="23">
        <f t="shared" si="491"/>
        <v>0.625</v>
      </c>
      <c r="N1579" t="str">
        <f t="shared" si="492"/>
        <v>0 - 2</v>
      </c>
      <c r="O1579" t="str">
        <f t="shared" si="493"/>
        <v>Red</v>
      </c>
      <c r="P1579" t="str">
        <f t="shared" si="494"/>
        <v>Red</v>
      </c>
      <c r="Q1579" t="str">
        <f t="shared" si="495"/>
        <v>Green</v>
      </c>
      <c r="R1579" t="str">
        <f t="shared" si="496"/>
        <v>Red</v>
      </c>
      <c r="S1579" t="str">
        <f t="shared" si="497"/>
        <v>Green</v>
      </c>
      <c r="T1579" t="str">
        <f t="shared" si="498"/>
        <v>Green</v>
      </c>
      <c r="U1579" t="str">
        <f t="shared" si="499"/>
        <v>Red</v>
      </c>
      <c r="V1579" t="str">
        <f t="shared" si="500"/>
        <v>Green</v>
      </c>
      <c r="W1579" t="str">
        <f t="shared" si="501"/>
        <v>Red</v>
      </c>
      <c r="X1579" t="str">
        <f t="shared" si="502"/>
        <v>Red</v>
      </c>
      <c r="Y1579" t="str">
        <f t="shared" si="503"/>
        <v>Green</v>
      </c>
      <c r="Z1579" t="str">
        <f t="shared" si="504"/>
        <v>Red</v>
      </c>
      <c r="AA1579" t="str">
        <f t="shared" si="505"/>
        <v>Green</v>
      </c>
      <c r="AB1579" t="str">
        <f t="shared" si="506"/>
        <v>Green</v>
      </c>
      <c r="AC1579" t="str">
        <f t="shared" si="507"/>
        <v>Red</v>
      </c>
      <c r="AD1579" t="str">
        <f t="shared" si="508"/>
        <v>Green</v>
      </c>
    </row>
    <row r="1580" spans="1:30" x14ac:dyDescent="0.2">
      <c r="A1580" t="str">
        <f>L1579&amp;F1580&amp;G1580</f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3098</v>
      </c>
      <c r="G1580" t="s">
        <v>3099</v>
      </c>
      <c r="H1580">
        <v>0</v>
      </c>
      <c r="I1580">
        <v>0</v>
      </c>
      <c r="J1580">
        <v>0</v>
      </c>
      <c r="K1580">
        <v>3</v>
      </c>
      <c r="L1580" s="22" t="str">
        <f t="shared" si="490"/>
        <v>25/07/2026</v>
      </c>
      <c r="M1580" s="23">
        <f t="shared" si="491"/>
        <v>0.625</v>
      </c>
      <c r="N1580" t="str">
        <f t="shared" si="492"/>
        <v>0 - 3</v>
      </c>
      <c r="O1580" t="str">
        <f t="shared" si="493"/>
        <v>Red</v>
      </c>
      <c r="P1580" t="str">
        <f t="shared" si="494"/>
        <v>Red</v>
      </c>
      <c r="Q1580" t="str">
        <f t="shared" si="495"/>
        <v>Green</v>
      </c>
      <c r="R1580" t="str">
        <f t="shared" si="496"/>
        <v>Red</v>
      </c>
      <c r="S1580" t="str">
        <f t="shared" si="497"/>
        <v>Green</v>
      </c>
      <c r="T1580" t="str">
        <f t="shared" si="498"/>
        <v>Green</v>
      </c>
      <c r="U1580" t="str">
        <f t="shared" si="499"/>
        <v>Red</v>
      </c>
      <c r="V1580" t="str">
        <f t="shared" si="500"/>
        <v>Green</v>
      </c>
      <c r="W1580" t="str">
        <f t="shared" si="501"/>
        <v>Red</v>
      </c>
      <c r="X1580" t="str">
        <f t="shared" si="502"/>
        <v>Red</v>
      </c>
      <c r="Y1580" t="str">
        <f t="shared" si="503"/>
        <v>Green</v>
      </c>
      <c r="Z1580" t="str">
        <f t="shared" si="504"/>
        <v>Green</v>
      </c>
      <c r="AA1580" t="str">
        <f t="shared" si="505"/>
        <v>Red</v>
      </c>
      <c r="AB1580" t="str">
        <f t="shared" si="506"/>
        <v>Green</v>
      </c>
      <c r="AC1580" t="str">
        <f t="shared" si="507"/>
        <v>Red</v>
      </c>
      <c r="AD1580" t="str">
        <f t="shared" si="508"/>
        <v>Green</v>
      </c>
    </row>
    <row r="1581" spans="1:30" x14ac:dyDescent="0.2">
      <c r="A1581" t="str">
        <f>L1580&amp;F1581&amp;G1581</f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3100</v>
      </c>
      <c r="G1581" t="s">
        <v>3101</v>
      </c>
      <c r="H1581">
        <v>0</v>
      </c>
      <c r="I1581">
        <v>0</v>
      </c>
      <c r="J1581">
        <v>0</v>
      </c>
      <c r="K1581">
        <v>1</v>
      </c>
      <c r="L1581" s="22" t="str">
        <f t="shared" si="490"/>
        <v>25/07/2026</v>
      </c>
      <c r="M1581" s="23">
        <f t="shared" si="491"/>
        <v>0.625</v>
      </c>
      <c r="N1581" t="str">
        <f t="shared" si="492"/>
        <v>0 - 1</v>
      </c>
      <c r="O1581" t="str">
        <f t="shared" si="493"/>
        <v>Red</v>
      </c>
      <c r="P1581" t="str">
        <f t="shared" si="494"/>
        <v>Red</v>
      </c>
      <c r="Q1581" t="str">
        <f t="shared" si="495"/>
        <v>Green</v>
      </c>
      <c r="R1581" t="str">
        <f t="shared" si="496"/>
        <v>Red</v>
      </c>
      <c r="S1581" t="str">
        <f t="shared" si="497"/>
        <v>Green</v>
      </c>
      <c r="T1581" t="str">
        <f t="shared" si="498"/>
        <v>Green</v>
      </c>
      <c r="U1581" t="str">
        <f t="shared" si="499"/>
        <v>Red</v>
      </c>
      <c r="V1581" t="str">
        <f t="shared" si="500"/>
        <v>Green</v>
      </c>
      <c r="W1581" t="str">
        <f t="shared" si="501"/>
        <v>Red</v>
      </c>
      <c r="X1581" t="str">
        <f t="shared" si="502"/>
        <v>Red</v>
      </c>
      <c r="Y1581" t="str">
        <f t="shared" si="503"/>
        <v>Red</v>
      </c>
      <c r="Z1581" t="str">
        <f t="shared" si="504"/>
        <v>Red</v>
      </c>
      <c r="AA1581" t="str">
        <f t="shared" si="505"/>
        <v>Green</v>
      </c>
      <c r="AB1581" t="str">
        <f t="shared" si="506"/>
        <v>Green</v>
      </c>
      <c r="AC1581" t="str">
        <f t="shared" si="507"/>
        <v>Red</v>
      </c>
      <c r="AD1581" t="str">
        <f t="shared" si="508"/>
        <v>Green</v>
      </c>
    </row>
    <row r="1582" spans="1:30" x14ac:dyDescent="0.2">
      <c r="A1582" t="str">
        <f>L1581&amp;F1582&amp;G1582</f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3102</v>
      </c>
      <c r="G1582" t="s">
        <v>3103</v>
      </c>
      <c r="H1582">
        <v>1</v>
      </c>
      <c r="I1582">
        <v>0</v>
      </c>
      <c r="J1582">
        <v>2</v>
      </c>
      <c r="K1582">
        <v>0</v>
      </c>
      <c r="L1582" s="22" t="str">
        <f t="shared" si="490"/>
        <v>25/07/2026</v>
      </c>
      <c r="M1582" s="23">
        <f t="shared" si="491"/>
        <v>0.625</v>
      </c>
      <c r="N1582" t="str">
        <f t="shared" si="492"/>
        <v>2 - 0</v>
      </c>
      <c r="O1582" t="str">
        <f t="shared" si="493"/>
        <v>Green</v>
      </c>
      <c r="P1582" t="str">
        <f t="shared" si="494"/>
        <v>Red</v>
      </c>
      <c r="Q1582" t="str">
        <f t="shared" si="495"/>
        <v>Red</v>
      </c>
      <c r="R1582" t="str">
        <f t="shared" si="496"/>
        <v>Green</v>
      </c>
      <c r="S1582" t="str">
        <f t="shared" si="497"/>
        <v>Red</v>
      </c>
      <c r="T1582" t="str">
        <f t="shared" si="498"/>
        <v>Green</v>
      </c>
      <c r="U1582" t="str">
        <f t="shared" si="499"/>
        <v>Green</v>
      </c>
      <c r="V1582" t="str">
        <f t="shared" si="500"/>
        <v>Red</v>
      </c>
      <c r="W1582" t="str">
        <f t="shared" si="501"/>
        <v>Red</v>
      </c>
      <c r="X1582" t="str">
        <f t="shared" si="502"/>
        <v>Green</v>
      </c>
      <c r="Y1582" t="str">
        <f t="shared" si="503"/>
        <v>Green</v>
      </c>
      <c r="Z1582" t="str">
        <f t="shared" si="504"/>
        <v>Red</v>
      </c>
      <c r="AA1582" t="str">
        <f t="shared" si="505"/>
        <v>Green</v>
      </c>
      <c r="AB1582" t="str">
        <f t="shared" si="506"/>
        <v>Green</v>
      </c>
      <c r="AC1582" t="str">
        <f t="shared" si="507"/>
        <v>Red</v>
      </c>
      <c r="AD1582" t="str">
        <f t="shared" si="508"/>
        <v>Green</v>
      </c>
    </row>
    <row r="1583" spans="1:30" x14ac:dyDescent="0.2">
      <c r="A1583" t="str">
        <f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3106</v>
      </c>
      <c r="G1583" t="s">
        <v>3107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09">DAY(D1583)&amp;"/"&amp;"07"&amp;"/"&amp;YEAR(D1583)</f>
        <v>25/07/2026</v>
      </c>
      <c r="M1583" s="23">
        <f t="shared" ref="M1583:M1646" si="510">E1583-TIME(3,0,0)</f>
        <v>0.625</v>
      </c>
      <c r="N1583" t="str">
        <f t="shared" ref="N1583:N1646" si="511">J1583&amp;" - "&amp;K1583</f>
        <v>2 - 2</v>
      </c>
      <c r="O1583" t="str">
        <f t="shared" si="493"/>
        <v>Red</v>
      </c>
      <c r="P1583" t="str">
        <f t="shared" si="494"/>
        <v>Green</v>
      </c>
      <c r="Q1583" t="str">
        <f t="shared" si="495"/>
        <v>Red</v>
      </c>
      <c r="R1583" t="str">
        <f t="shared" si="496"/>
        <v>Green</v>
      </c>
      <c r="S1583" t="str">
        <f t="shared" si="497"/>
        <v>Green</v>
      </c>
      <c r="T1583" t="str">
        <f t="shared" si="498"/>
        <v>Red</v>
      </c>
      <c r="U1583" t="str">
        <f t="shared" si="499"/>
        <v>Red</v>
      </c>
      <c r="V1583" t="str">
        <f t="shared" si="500"/>
        <v>Green</v>
      </c>
      <c r="W1583" t="str">
        <f t="shared" si="501"/>
        <v>Red</v>
      </c>
      <c r="X1583" t="str">
        <f t="shared" si="502"/>
        <v>Green</v>
      </c>
      <c r="Y1583" t="str">
        <f t="shared" si="503"/>
        <v>Green</v>
      </c>
      <c r="Z1583" t="str">
        <f t="shared" si="504"/>
        <v>Green</v>
      </c>
      <c r="AA1583" t="str">
        <f t="shared" si="505"/>
        <v>Red</v>
      </c>
      <c r="AB1583" t="str">
        <f t="shared" si="506"/>
        <v>Red</v>
      </c>
      <c r="AC1583" t="str">
        <f t="shared" si="507"/>
        <v>Green</v>
      </c>
      <c r="AD1583" t="str">
        <f t="shared" si="508"/>
        <v>Red</v>
      </c>
    </row>
    <row r="1584" spans="1:30" x14ac:dyDescent="0.2">
      <c r="A1584" t="str">
        <f>L1583&amp;F1584&amp;G1584</f>
        <v>25/07/2026MFK KarvinaMlada Boleslav</v>
      </c>
      <c r="D1584" s="2">
        <v>46228</v>
      </c>
      <c r="E1584" s="3">
        <v>0.75</v>
      </c>
      <c r="F1584" t="s">
        <v>3160</v>
      </c>
      <c r="G1584" t="s">
        <v>3161</v>
      </c>
      <c r="L1584" s="22" t="str">
        <f t="shared" si="509"/>
        <v>25/07/2026</v>
      </c>
      <c r="M1584" s="23">
        <f t="shared" si="510"/>
        <v>0.625</v>
      </c>
      <c r="N1584" t="str">
        <f t="shared" si="511"/>
        <v xml:space="preserve"> - </v>
      </c>
      <c r="O1584" t="str">
        <f t="shared" si="493"/>
        <v>Red</v>
      </c>
      <c r="P1584" t="str">
        <f t="shared" si="494"/>
        <v>Green</v>
      </c>
      <c r="Q1584" t="str">
        <f t="shared" si="495"/>
        <v>Red</v>
      </c>
      <c r="R1584" t="str">
        <f t="shared" si="496"/>
        <v>Green</v>
      </c>
      <c r="S1584" t="str">
        <f t="shared" si="497"/>
        <v>Green</v>
      </c>
      <c r="T1584" t="str">
        <f t="shared" si="498"/>
        <v>Red</v>
      </c>
      <c r="U1584" t="str">
        <f t="shared" si="499"/>
        <v>Red</v>
      </c>
      <c r="V1584" t="str">
        <f t="shared" si="500"/>
        <v>Green</v>
      </c>
      <c r="W1584" t="str">
        <f t="shared" si="501"/>
        <v>Red</v>
      </c>
      <c r="X1584" t="str">
        <f t="shared" si="502"/>
        <v>Red</v>
      </c>
      <c r="Y1584" t="str">
        <f t="shared" si="503"/>
        <v>Red</v>
      </c>
      <c r="Z1584" t="str">
        <f t="shared" si="504"/>
        <v>Red</v>
      </c>
      <c r="AA1584" t="str">
        <f t="shared" si="505"/>
        <v>Green</v>
      </c>
      <c r="AB1584" t="str">
        <f t="shared" si="506"/>
        <v>Green</v>
      </c>
      <c r="AC1584" t="str">
        <f t="shared" si="507"/>
        <v>Red</v>
      </c>
      <c r="AD1584" t="str">
        <f t="shared" si="508"/>
        <v>Green</v>
      </c>
    </row>
    <row r="1585" spans="1:30" x14ac:dyDescent="0.2">
      <c r="A1585" t="str">
        <f>L1584&amp;F1585&amp;G1585</f>
        <v>25/07/2026Zbrojovka BrnoSparta Prague</v>
      </c>
      <c r="D1585" s="2">
        <v>46228</v>
      </c>
      <c r="E1585" s="3">
        <v>0.75</v>
      </c>
      <c r="F1585" t="s">
        <v>3162</v>
      </c>
      <c r="G1585" t="s">
        <v>3163</v>
      </c>
      <c r="H1585">
        <v>1</v>
      </c>
      <c r="I1585">
        <v>0</v>
      </c>
      <c r="J1585">
        <v>3</v>
      </c>
      <c r="K1585">
        <v>1</v>
      </c>
      <c r="L1585" s="22" t="str">
        <f t="shared" si="509"/>
        <v>25/07/2026</v>
      </c>
      <c r="M1585" s="23">
        <f t="shared" si="510"/>
        <v>0.625</v>
      </c>
      <c r="N1585" t="str">
        <f t="shared" si="511"/>
        <v>3 - 1</v>
      </c>
      <c r="O1585" t="str">
        <f t="shared" si="493"/>
        <v>Green</v>
      </c>
      <c r="P1585" t="str">
        <f t="shared" si="494"/>
        <v>Red</v>
      </c>
      <c r="Q1585" t="str">
        <f t="shared" si="495"/>
        <v>Red</v>
      </c>
      <c r="R1585" t="str">
        <f t="shared" si="496"/>
        <v>Green</v>
      </c>
      <c r="S1585" t="str">
        <f t="shared" si="497"/>
        <v>Red</v>
      </c>
      <c r="T1585" t="str">
        <f t="shared" si="498"/>
        <v>Green</v>
      </c>
      <c r="U1585" t="str">
        <f t="shared" si="499"/>
        <v>Green</v>
      </c>
      <c r="V1585" t="str">
        <f t="shared" si="500"/>
        <v>Red</v>
      </c>
      <c r="W1585" t="str">
        <f t="shared" si="501"/>
        <v>Red</v>
      </c>
      <c r="X1585" t="str">
        <f t="shared" si="502"/>
        <v>Green</v>
      </c>
      <c r="Y1585" t="str">
        <f t="shared" si="503"/>
        <v>Green</v>
      </c>
      <c r="Z1585" t="str">
        <f t="shared" si="504"/>
        <v>Green</v>
      </c>
      <c r="AA1585" t="str">
        <f t="shared" si="505"/>
        <v>Red</v>
      </c>
      <c r="AB1585" t="str">
        <f t="shared" si="506"/>
        <v>Red</v>
      </c>
      <c r="AC1585" t="str">
        <f t="shared" si="507"/>
        <v>Green</v>
      </c>
      <c r="AD1585" t="str">
        <f t="shared" si="508"/>
        <v>Red</v>
      </c>
    </row>
    <row r="1586" spans="1:30" x14ac:dyDescent="0.2">
      <c r="A1586" t="str">
        <f>L1585&amp;F1586&amp;G1586</f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09"/>
        <v>25/07/2026</v>
      </c>
      <c r="M1586" s="23">
        <f t="shared" si="510"/>
        <v>0.625</v>
      </c>
      <c r="N1586" t="str">
        <f t="shared" si="511"/>
        <v>2 - 0</v>
      </c>
      <c r="O1586" t="str">
        <f t="shared" si="493"/>
        <v>Green</v>
      </c>
      <c r="P1586" t="str">
        <f t="shared" si="494"/>
        <v>Red</v>
      </c>
      <c r="Q1586" t="str">
        <f t="shared" si="495"/>
        <v>Red</v>
      </c>
      <c r="R1586" t="str">
        <f t="shared" si="496"/>
        <v>Green</v>
      </c>
      <c r="S1586" t="str">
        <f t="shared" si="497"/>
        <v>Red</v>
      </c>
      <c r="T1586" t="str">
        <f t="shared" si="498"/>
        <v>Green</v>
      </c>
      <c r="U1586" t="str">
        <f t="shared" si="499"/>
        <v>Green</v>
      </c>
      <c r="V1586" t="str">
        <f t="shared" si="500"/>
        <v>Red</v>
      </c>
      <c r="W1586" t="str">
        <f t="shared" si="501"/>
        <v>Red</v>
      </c>
      <c r="X1586" t="str">
        <f t="shared" si="502"/>
        <v>Green</v>
      </c>
      <c r="Y1586" t="str">
        <f t="shared" si="503"/>
        <v>Green</v>
      </c>
      <c r="Z1586" t="str">
        <f t="shared" si="504"/>
        <v>Red</v>
      </c>
      <c r="AA1586" t="str">
        <f t="shared" si="505"/>
        <v>Green</v>
      </c>
      <c r="AB1586" t="str">
        <f t="shared" si="506"/>
        <v>Green</v>
      </c>
      <c r="AC1586" t="str">
        <f t="shared" si="507"/>
        <v>Red</v>
      </c>
      <c r="AD1586" t="str">
        <f t="shared" si="508"/>
        <v>Green</v>
      </c>
    </row>
    <row r="1587" spans="1:30" x14ac:dyDescent="0.2">
      <c r="A1587" t="str">
        <f>L1586&amp;F1587&amp;G1587</f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09"/>
        <v>25/07/2026</v>
      </c>
      <c r="M1587" s="23">
        <f t="shared" si="510"/>
        <v>0.625</v>
      </c>
      <c r="N1587" t="str">
        <f t="shared" si="511"/>
        <v>1 - 2</v>
      </c>
      <c r="O1587" t="str">
        <f t="shared" si="493"/>
        <v>Red</v>
      </c>
      <c r="P1587" t="str">
        <f t="shared" si="494"/>
        <v>Red</v>
      </c>
      <c r="Q1587" t="str">
        <f t="shared" si="495"/>
        <v>Green</v>
      </c>
      <c r="R1587" t="str">
        <f t="shared" si="496"/>
        <v>Red</v>
      </c>
      <c r="S1587" t="str">
        <f t="shared" si="497"/>
        <v>Green</v>
      </c>
      <c r="T1587" t="str">
        <f t="shared" si="498"/>
        <v>Green</v>
      </c>
      <c r="U1587" t="str">
        <f t="shared" si="499"/>
        <v>Green</v>
      </c>
      <c r="V1587" t="str">
        <f t="shared" si="500"/>
        <v>Red</v>
      </c>
      <c r="W1587" t="str">
        <f t="shared" si="501"/>
        <v>Red</v>
      </c>
      <c r="X1587" t="str">
        <f t="shared" si="502"/>
        <v>Green</v>
      </c>
      <c r="Y1587" t="str">
        <f t="shared" si="503"/>
        <v>Green</v>
      </c>
      <c r="Z1587" t="str">
        <f t="shared" si="504"/>
        <v>Green</v>
      </c>
      <c r="AA1587" t="str">
        <f t="shared" si="505"/>
        <v>Red</v>
      </c>
      <c r="AB1587" t="str">
        <f t="shared" si="506"/>
        <v>Green</v>
      </c>
      <c r="AC1587" t="str">
        <f t="shared" si="507"/>
        <v>Green</v>
      </c>
      <c r="AD1587" t="str">
        <f t="shared" si="508"/>
        <v>Red</v>
      </c>
    </row>
    <row r="1588" spans="1:30" x14ac:dyDescent="0.2">
      <c r="A1588" t="str">
        <f>L1587&amp;F1588&amp;G1588</f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3525</v>
      </c>
      <c r="H1588">
        <v>0</v>
      </c>
      <c r="I1588">
        <v>0</v>
      </c>
      <c r="J1588">
        <v>6</v>
      </c>
      <c r="K1588">
        <v>2</v>
      </c>
      <c r="L1588" s="22" t="str">
        <f t="shared" si="509"/>
        <v>25/07/2026</v>
      </c>
      <c r="M1588" s="23">
        <f t="shared" si="510"/>
        <v>0.625</v>
      </c>
      <c r="N1588" t="str">
        <f t="shared" si="511"/>
        <v>6 - 2</v>
      </c>
      <c r="O1588" t="str">
        <f t="shared" si="493"/>
        <v>Green</v>
      </c>
      <c r="P1588" t="str">
        <f t="shared" si="494"/>
        <v>Red</v>
      </c>
      <c r="Q1588" t="str">
        <f t="shared" si="495"/>
        <v>Red</v>
      </c>
      <c r="R1588" t="str">
        <f t="shared" si="496"/>
        <v>Green</v>
      </c>
      <c r="S1588" t="str">
        <f t="shared" si="497"/>
        <v>Red</v>
      </c>
      <c r="T1588" t="str">
        <f t="shared" si="498"/>
        <v>Green</v>
      </c>
      <c r="U1588" t="str">
        <f t="shared" si="499"/>
        <v>Red</v>
      </c>
      <c r="V1588" t="str">
        <f t="shared" si="500"/>
        <v>Green</v>
      </c>
      <c r="W1588" t="str">
        <f t="shared" si="501"/>
        <v>Red</v>
      </c>
      <c r="X1588" t="str">
        <f t="shared" si="502"/>
        <v>Red</v>
      </c>
      <c r="Y1588" t="str">
        <f t="shared" si="503"/>
        <v>Green</v>
      </c>
      <c r="Z1588" t="str">
        <f t="shared" si="504"/>
        <v>Green</v>
      </c>
      <c r="AA1588" t="str">
        <f t="shared" si="505"/>
        <v>Red</v>
      </c>
      <c r="AB1588" t="str">
        <f t="shared" si="506"/>
        <v>Red</v>
      </c>
      <c r="AC1588" t="str">
        <f t="shared" si="507"/>
        <v>Green</v>
      </c>
      <c r="AD1588" t="str">
        <f t="shared" si="508"/>
        <v>Red</v>
      </c>
    </row>
    <row r="1589" spans="1:30" x14ac:dyDescent="0.2">
      <c r="A1589" t="str">
        <f>L1588&amp;F1589&amp;G1589</f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09"/>
        <v>25/07/2026</v>
      </c>
      <c r="M1589" s="23">
        <f t="shared" si="510"/>
        <v>0.625</v>
      </c>
      <c r="N1589" t="str">
        <f t="shared" si="511"/>
        <v>2 - 0</v>
      </c>
      <c r="O1589" t="str">
        <f t="shared" si="493"/>
        <v>Green</v>
      </c>
      <c r="P1589" t="str">
        <f t="shared" si="494"/>
        <v>Red</v>
      </c>
      <c r="Q1589" t="str">
        <f t="shared" si="495"/>
        <v>Red</v>
      </c>
      <c r="R1589" t="str">
        <f t="shared" si="496"/>
        <v>Green</v>
      </c>
      <c r="S1589" t="str">
        <f t="shared" si="497"/>
        <v>Red</v>
      </c>
      <c r="T1589" t="str">
        <f t="shared" si="498"/>
        <v>Green</v>
      </c>
      <c r="U1589" t="str">
        <f t="shared" si="499"/>
        <v>Red</v>
      </c>
      <c r="V1589" t="str">
        <f t="shared" si="500"/>
        <v>Green</v>
      </c>
      <c r="W1589" t="str">
        <f t="shared" si="501"/>
        <v>Red</v>
      </c>
      <c r="X1589" t="str">
        <f t="shared" si="502"/>
        <v>Red</v>
      </c>
      <c r="Y1589" t="str">
        <f t="shared" si="503"/>
        <v>Green</v>
      </c>
      <c r="Z1589" t="str">
        <f t="shared" si="504"/>
        <v>Red</v>
      </c>
      <c r="AA1589" t="str">
        <f t="shared" si="505"/>
        <v>Green</v>
      </c>
      <c r="AB1589" t="str">
        <f t="shared" si="506"/>
        <v>Green</v>
      </c>
      <c r="AC1589" t="str">
        <f t="shared" si="507"/>
        <v>Red</v>
      </c>
      <c r="AD1589" t="str">
        <f t="shared" si="508"/>
        <v>Green</v>
      </c>
    </row>
    <row r="1590" spans="1:30" x14ac:dyDescent="0.2">
      <c r="A1590" t="str">
        <f>L1589&amp;F1590&amp;G1590</f>
        <v>25/07/2026UKP Zielona GoraRekord Bielsko Biala</v>
      </c>
      <c r="D1590" s="2">
        <v>46228</v>
      </c>
      <c r="E1590" s="3">
        <v>0.75</v>
      </c>
      <c r="F1590" t="s">
        <v>3557</v>
      </c>
      <c r="G1590" t="s">
        <v>3558</v>
      </c>
      <c r="H1590">
        <v>0</v>
      </c>
      <c r="I1590">
        <v>0</v>
      </c>
      <c r="J1590">
        <v>1</v>
      </c>
      <c r="K1590">
        <v>1</v>
      </c>
      <c r="L1590" s="22" t="str">
        <f t="shared" si="509"/>
        <v>25/07/2026</v>
      </c>
      <c r="M1590" s="23">
        <f t="shared" si="510"/>
        <v>0.625</v>
      </c>
      <c r="N1590" t="str">
        <f t="shared" si="511"/>
        <v>1 - 1</v>
      </c>
      <c r="O1590" t="str">
        <f t="shared" si="493"/>
        <v>Red</v>
      </c>
      <c r="P1590" t="str">
        <f t="shared" si="494"/>
        <v>Green</v>
      </c>
      <c r="Q1590" t="str">
        <f t="shared" si="495"/>
        <v>Red</v>
      </c>
      <c r="R1590" t="str">
        <f t="shared" si="496"/>
        <v>Green</v>
      </c>
      <c r="S1590" t="str">
        <f t="shared" si="497"/>
        <v>Green</v>
      </c>
      <c r="T1590" t="str">
        <f t="shared" si="498"/>
        <v>Red</v>
      </c>
      <c r="U1590" t="str">
        <f t="shared" si="499"/>
        <v>Red</v>
      </c>
      <c r="V1590" t="str">
        <f t="shared" si="500"/>
        <v>Green</v>
      </c>
      <c r="W1590" t="str">
        <f t="shared" si="501"/>
        <v>Red</v>
      </c>
      <c r="X1590" t="str">
        <f t="shared" si="502"/>
        <v>Red</v>
      </c>
      <c r="Y1590" t="str">
        <f t="shared" si="503"/>
        <v>Green</v>
      </c>
      <c r="Z1590" t="str">
        <f t="shared" si="504"/>
        <v>Red</v>
      </c>
      <c r="AA1590" t="str">
        <f t="shared" si="505"/>
        <v>Green</v>
      </c>
      <c r="AB1590" t="str">
        <f t="shared" si="506"/>
        <v>Green</v>
      </c>
      <c r="AC1590" t="str">
        <f t="shared" si="507"/>
        <v>Green</v>
      </c>
      <c r="AD1590" t="str">
        <f t="shared" si="508"/>
        <v>Red</v>
      </c>
    </row>
    <row r="1591" spans="1:30" x14ac:dyDescent="0.2">
      <c r="A1591" t="str">
        <f>L1590&amp;F1591&amp;G1591</f>
        <v>25/07/2026IMT Novi BelgradeFK Zemun</v>
      </c>
      <c r="D1591" s="2">
        <v>46228</v>
      </c>
      <c r="E1591" s="3">
        <v>0.75</v>
      </c>
      <c r="F1591" t="s">
        <v>3619</v>
      </c>
      <c r="G1591" t="s">
        <v>3620</v>
      </c>
      <c r="H1591">
        <v>1</v>
      </c>
      <c r="I1591">
        <v>0</v>
      </c>
      <c r="J1591">
        <v>4</v>
      </c>
      <c r="K1591">
        <v>0</v>
      </c>
      <c r="L1591" s="22" t="str">
        <f t="shared" si="509"/>
        <v>25/07/2026</v>
      </c>
      <c r="M1591" s="23">
        <f t="shared" si="510"/>
        <v>0.625</v>
      </c>
      <c r="N1591" t="str">
        <f t="shared" si="511"/>
        <v>4 - 0</v>
      </c>
      <c r="O1591" t="str">
        <f t="shared" si="493"/>
        <v>Green</v>
      </c>
      <c r="P1591" t="str">
        <f t="shared" si="494"/>
        <v>Red</v>
      </c>
      <c r="Q1591" t="str">
        <f t="shared" si="495"/>
        <v>Red</v>
      </c>
      <c r="R1591" t="str">
        <f t="shared" si="496"/>
        <v>Green</v>
      </c>
      <c r="S1591" t="str">
        <f t="shared" si="497"/>
        <v>Red</v>
      </c>
      <c r="T1591" t="str">
        <f t="shared" si="498"/>
        <v>Green</v>
      </c>
      <c r="U1591" t="str">
        <f t="shared" si="499"/>
        <v>Green</v>
      </c>
      <c r="V1591" t="str">
        <f t="shared" si="500"/>
        <v>Red</v>
      </c>
      <c r="W1591" t="str">
        <f t="shared" si="501"/>
        <v>Red</v>
      </c>
      <c r="X1591" t="str">
        <f t="shared" si="502"/>
        <v>Green</v>
      </c>
      <c r="Y1591" t="str">
        <f t="shared" si="503"/>
        <v>Green</v>
      </c>
      <c r="Z1591" t="str">
        <f t="shared" si="504"/>
        <v>Green</v>
      </c>
      <c r="AA1591" t="str">
        <f t="shared" si="505"/>
        <v>Red</v>
      </c>
      <c r="AB1591" t="str">
        <f t="shared" si="506"/>
        <v>Red</v>
      </c>
      <c r="AC1591" t="str">
        <f t="shared" si="507"/>
        <v>Red</v>
      </c>
      <c r="AD1591" t="str">
        <f t="shared" si="508"/>
        <v>Green</v>
      </c>
    </row>
    <row r="1592" spans="1:30" x14ac:dyDescent="0.2">
      <c r="A1592" t="str">
        <f>L1591&amp;F1592&amp;G1592</f>
        <v>25/07/2026OFK BelgradeRadnik Surdulica</v>
      </c>
      <c r="D1592" s="2">
        <v>46228</v>
      </c>
      <c r="E1592" s="3">
        <v>0.75</v>
      </c>
      <c r="F1592" t="s">
        <v>3621</v>
      </c>
      <c r="G1592" t="s">
        <v>3622</v>
      </c>
      <c r="H1592">
        <v>0</v>
      </c>
      <c r="I1592">
        <v>0</v>
      </c>
      <c r="J1592">
        <v>0</v>
      </c>
      <c r="K1592">
        <v>0</v>
      </c>
      <c r="L1592" s="22" t="str">
        <f t="shared" si="509"/>
        <v>25/07/2026</v>
      </c>
      <c r="M1592" s="23">
        <f t="shared" si="510"/>
        <v>0.625</v>
      </c>
      <c r="N1592" t="str">
        <f t="shared" si="511"/>
        <v>0 - 0</v>
      </c>
      <c r="O1592" t="str">
        <f t="shared" si="493"/>
        <v>Red</v>
      </c>
      <c r="P1592" t="str">
        <f t="shared" si="494"/>
        <v>Green</v>
      </c>
      <c r="Q1592" t="str">
        <f t="shared" si="495"/>
        <v>Red</v>
      </c>
      <c r="R1592" t="str">
        <f t="shared" si="496"/>
        <v>Green</v>
      </c>
      <c r="S1592" t="str">
        <f t="shared" si="497"/>
        <v>Green</v>
      </c>
      <c r="T1592" t="str">
        <f t="shared" si="498"/>
        <v>Red</v>
      </c>
      <c r="U1592" t="str">
        <f t="shared" si="499"/>
        <v>Red</v>
      </c>
      <c r="V1592" t="str">
        <f t="shared" si="500"/>
        <v>Green</v>
      </c>
      <c r="W1592" t="str">
        <f t="shared" si="501"/>
        <v>Red</v>
      </c>
      <c r="X1592" t="str">
        <f t="shared" si="502"/>
        <v>Red</v>
      </c>
      <c r="Y1592" t="str">
        <f t="shared" si="503"/>
        <v>Red</v>
      </c>
      <c r="Z1592" t="str">
        <f t="shared" si="504"/>
        <v>Red</v>
      </c>
      <c r="AA1592" t="str">
        <f t="shared" si="505"/>
        <v>Green</v>
      </c>
      <c r="AB1592" t="str">
        <f t="shared" si="506"/>
        <v>Green</v>
      </c>
      <c r="AC1592" t="str">
        <f t="shared" si="507"/>
        <v>Red</v>
      </c>
      <c r="AD1592" t="str">
        <f t="shared" si="508"/>
        <v>Green</v>
      </c>
    </row>
    <row r="1593" spans="1:30" x14ac:dyDescent="0.2">
      <c r="A1593" t="str">
        <f>L1592&amp;F1593&amp;G1593</f>
        <v>25/07/2026Central EspanolCerro Largo</v>
      </c>
      <c r="D1593" s="2">
        <v>46228</v>
      </c>
      <c r="E1593" s="3">
        <v>0.75</v>
      </c>
      <c r="F1593" t="s">
        <v>623</v>
      </c>
      <c r="G1593" t="s">
        <v>3689</v>
      </c>
      <c r="H1593">
        <v>0</v>
      </c>
      <c r="I1593">
        <v>1</v>
      </c>
      <c r="J1593">
        <v>0</v>
      </c>
      <c r="K1593">
        <v>1</v>
      </c>
      <c r="L1593" s="22" t="str">
        <f t="shared" si="509"/>
        <v>25/07/2026</v>
      </c>
      <c r="M1593" s="23">
        <f t="shared" si="510"/>
        <v>0.625</v>
      </c>
      <c r="N1593" t="str">
        <f t="shared" si="511"/>
        <v>0 - 1</v>
      </c>
      <c r="O1593" t="str">
        <f t="shared" si="493"/>
        <v>Red</v>
      </c>
      <c r="P1593" t="str">
        <f t="shared" si="494"/>
        <v>Red</v>
      </c>
      <c r="Q1593" t="str">
        <f t="shared" si="495"/>
        <v>Green</v>
      </c>
      <c r="R1593" t="str">
        <f t="shared" si="496"/>
        <v>Red</v>
      </c>
      <c r="S1593" t="str">
        <f t="shared" si="497"/>
        <v>Green</v>
      </c>
      <c r="T1593" t="str">
        <f t="shared" si="498"/>
        <v>Green</v>
      </c>
      <c r="U1593" t="str">
        <f t="shared" si="499"/>
        <v>Red</v>
      </c>
      <c r="V1593" t="str">
        <f t="shared" si="500"/>
        <v>Red</v>
      </c>
      <c r="W1593" t="str">
        <f t="shared" si="501"/>
        <v>Green</v>
      </c>
      <c r="X1593" t="str">
        <f t="shared" si="502"/>
        <v>Green</v>
      </c>
      <c r="Y1593" t="str">
        <f t="shared" si="503"/>
        <v>Red</v>
      </c>
      <c r="Z1593" t="str">
        <f t="shared" si="504"/>
        <v>Red</v>
      </c>
      <c r="AA1593" t="str">
        <f t="shared" si="505"/>
        <v>Green</v>
      </c>
      <c r="AB1593" t="str">
        <f t="shared" si="506"/>
        <v>Green</v>
      </c>
      <c r="AC1593" t="str">
        <f t="shared" si="507"/>
        <v>Red</v>
      </c>
      <c r="AD1593" t="str">
        <f t="shared" si="508"/>
        <v>Green</v>
      </c>
    </row>
    <row r="1594" spans="1:30" x14ac:dyDescent="0.2">
      <c r="A1594" t="str">
        <f>L1593&amp;F1594&amp;G1594</f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09"/>
        <v>25/07/2026</v>
      </c>
      <c r="M1594" s="23">
        <f t="shared" si="510"/>
        <v>0.625</v>
      </c>
      <c r="N1594" t="str">
        <f t="shared" si="511"/>
        <v xml:space="preserve"> - </v>
      </c>
      <c r="O1594" t="str">
        <f t="shared" si="493"/>
        <v>Red</v>
      </c>
      <c r="P1594" t="str">
        <f t="shared" si="494"/>
        <v>Green</v>
      </c>
      <c r="Q1594" t="str">
        <f t="shared" si="495"/>
        <v>Red</v>
      </c>
      <c r="R1594" t="str">
        <f t="shared" si="496"/>
        <v>Green</v>
      </c>
      <c r="S1594" t="str">
        <f t="shared" si="497"/>
        <v>Green</v>
      </c>
      <c r="T1594" t="str">
        <f t="shared" si="498"/>
        <v>Red</v>
      </c>
      <c r="U1594" t="str">
        <f t="shared" si="499"/>
        <v>Red</v>
      </c>
      <c r="V1594" t="str">
        <f t="shared" si="500"/>
        <v>Green</v>
      </c>
      <c r="W1594" t="str">
        <f t="shared" si="501"/>
        <v>Red</v>
      </c>
      <c r="X1594" t="str">
        <f t="shared" si="502"/>
        <v>Red</v>
      </c>
      <c r="Y1594" t="str">
        <f t="shared" si="503"/>
        <v>Red</v>
      </c>
      <c r="Z1594" t="str">
        <f t="shared" si="504"/>
        <v>Red</v>
      </c>
      <c r="AA1594" t="str">
        <f t="shared" si="505"/>
        <v>Green</v>
      </c>
      <c r="AB1594" t="str">
        <f t="shared" si="506"/>
        <v>Green</v>
      </c>
      <c r="AC1594" t="str">
        <f t="shared" si="507"/>
        <v>Red</v>
      </c>
      <c r="AD1594" t="str">
        <f t="shared" si="508"/>
        <v>Green</v>
      </c>
    </row>
    <row r="1595" spans="1:30" x14ac:dyDescent="0.2">
      <c r="A1595" t="str">
        <f>L1594&amp;F1595&amp;G1595</f>
        <v>25/07/2026Defensor SportingCA Cerro</v>
      </c>
      <c r="D1595" s="2">
        <v>46228</v>
      </c>
      <c r="E1595" s="3">
        <v>0.75</v>
      </c>
      <c r="F1595" t="s">
        <v>676</v>
      </c>
      <c r="G1595" t="s">
        <v>3690</v>
      </c>
      <c r="L1595" s="22" t="str">
        <f t="shared" si="509"/>
        <v>25/07/2026</v>
      </c>
      <c r="M1595" s="23">
        <f t="shared" si="510"/>
        <v>0.625</v>
      </c>
      <c r="N1595" t="str">
        <f t="shared" si="511"/>
        <v xml:space="preserve"> - </v>
      </c>
      <c r="O1595" t="str">
        <f t="shared" si="493"/>
        <v>Red</v>
      </c>
      <c r="P1595" t="str">
        <f t="shared" si="494"/>
        <v>Green</v>
      </c>
      <c r="Q1595" t="str">
        <f t="shared" si="495"/>
        <v>Red</v>
      </c>
      <c r="R1595" t="str">
        <f t="shared" si="496"/>
        <v>Green</v>
      </c>
      <c r="S1595" t="str">
        <f t="shared" si="497"/>
        <v>Green</v>
      </c>
      <c r="T1595" t="str">
        <f t="shared" si="498"/>
        <v>Red</v>
      </c>
      <c r="U1595" t="str">
        <f t="shared" si="499"/>
        <v>Red</v>
      </c>
      <c r="V1595" t="str">
        <f t="shared" si="500"/>
        <v>Green</v>
      </c>
      <c r="W1595" t="str">
        <f t="shared" si="501"/>
        <v>Red</v>
      </c>
      <c r="X1595" t="str">
        <f t="shared" si="502"/>
        <v>Red</v>
      </c>
      <c r="Y1595" t="str">
        <f t="shared" si="503"/>
        <v>Red</v>
      </c>
      <c r="Z1595" t="str">
        <f t="shared" si="504"/>
        <v>Red</v>
      </c>
      <c r="AA1595" t="str">
        <f t="shared" si="505"/>
        <v>Green</v>
      </c>
      <c r="AB1595" t="str">
        <f t="shared" si="506"/>
        <v>Green</v>
      </c>
      <c r="AC1595" t="str">
        <f t="shared" si="507"/>
        <v>Red</v>
      </c>
      <c r="AD1595" t="str">
        <f t="shared" si="508"/>
        <v>Green</v>
      </c>
    </row>
    <row r="1596" spans="1:30" x14ac:dyDescent="0.2">
      <c r="A1596" t="str">
        <f>L1595&amp;F1596&amp;G1596</f>
        <v>25/07/2026TacuaremboCA River Plate</v>
      </c>
      <c r="D1596" s="2">
        <v>46228</v>
      </c>
      <c r="E1596" s="3">
        <v>0.75</v>
      </c>
      <c r="F1596" t="s">
        <v>3693</v>
      </c>
      <c r="G1596" t="s">
        <v>3696</v>
      </c>
      <c r="L1596" s="22" t="str">
        <f t="shared" si="509"/>
        <v>25/07/2026</v>
      </c>
      <c r="M1596" s="23">
        <f t="shared" si="510"/>
        <v>0.625</v>
      </c>
      <c r="N1596" t="str">
        <f t="shared" si="511"/>
        <v xml:space="preserve"> - </v>
      </c>
      <c r="O1596" t="str">
        <f t="shared" si="493"/>
        <v>Red</v>
      </c>
      <c r="P1596" t="str">
        <f t="shared" si="494"/>
        <v>Green</v>
      </c>
      <c r="Q1596" t="str">
        <f t="shared" si="495"/>
        <v>Red</v>
      </c>
      <c r="R1596" t="str">
        <f t="shared" si="496"/>
        <v>Green</v>
      </c>
      <c r="S1596" t="str">
        <f t="shared" si="497"/>
        <v>Green</v>
      </c>
      <c r="T1596" t="str">
        <f t="shared" si="498"/>
        <v>Red</v>
      </c>
      <c r="U1596" t="str">
        <f t="shared" si="499"/>
        <v>Red</v>
      </c>
      <c r="V1596" t="str">
        <f t="shared" si="500"/>
        <v>Green</v>
      </c>
      <c r="W1596" t="str">
        <f t="shared" si="501"/>
        <v>Red</v>
      </c>
      <c r="X1596" t="str">
        <f t="shared" si="502"/>
        <v>Red</v>
      </c>
      <c r="Y1596" t="str">
        <f t="shared" si="503"/>
        <v>Red</v>
      </c>
      <c r="Z1596" t="str">
        <f t="shared" si="504"/>
        <v>Red</v>
      </c>
      <c r="AA1596" t="str">
        <f t="shared" si="505"/>
        <v>Green</v>
      </c>
      <c r="AB1596" t="str">
        <f t="shared" si="506"/>
        <v>Green</v>
      </c>
      <c r="AC1596" t="str">
        <f t="shared" si="507"/>
        <v>Red</v>
      </c>
      <c r="AD1596" t="str">
        <f t="shared" si="508"/>
        <v>Green</v>
      </c>
    </row>
    <row r="1597" spans="1:30" x14ac:dyDescent="0.2">
      <c r="A1597" t="str">
        <f>L1596&amp;F1597&amp;G1597</f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09"/>
        <v>25/07/2026</v>
      </c>
      <c r="M1597" s="23">
        <f t="shared" si="510"/>
        <v>0.625</v>
      </c>
      <c r="N1597" t="str">
        <f t="shared" si="511"/>
        <v>0 - 1</v>
      </c>
      <c r="O1597" t="str">
        <f t="shared" si="493"/>
        <v>Red</v>
      </c>
      <c r="P1597" t="str">
        <f t="shared" si="494"/>
        <v>Red</v>
      </c>
      <c r="Q1597" t="str">
        <f t="shared" si="495"/>
        <v>Green</v>
      </c>
      <c r="R1597" t="str">
        <f t="shared" si="496"/>
        <v>Red</v>
      </c>
      <c r="S1597" t="str">
        <f t="shared" si="497"/>
        <v>Green</v>
      </c>
      <c r="T1597" t="str">
        <f t="shared" si="498"/>
        <v>Green</v>
      </c>
      <c r="U1597" t="str">
        <f t="shared" si="499"/>
        <v>Red</v>
      </c>
      <c r="V1597" t="str">
        <f t="shared" si="500"/>
        <v>Green</v>
      </c>
      <c r="W1597" t="str">
        <f t="shared" si="501"/>
        <v>Red</v>
      </c>
      <c r="X1597" t="str">
        <f t="shared" si="502"/>
        <v>Red</v>
      </c>
      <c r="Y1597" t="str">
        <f t="shared" si="503"/>
        <v>Red</v>
      </c>
      <c r="Z1597" t="str">
        <f t="shared" si="504"/>
        <v>Red</v>
      </c>
      <c r="AA1597" t="str">
        <f t="shared" si="505"/>
        <v>Green</v>
      </c>
      <c r="AB1597" t="str">
        <f t="shared" si="506"/>
        <v>Green</v>
      </c>
      <c r="AC1597" t="str">
        <f t="shared" si="507"/>
        <v>Red</v>
      </c>
      <c r="AD1597" t="str">
        <f t="shared" si="508"/>
        <v>Green</v>
      </c>
    </row>
    <row r="1598" spans="1:30" x14ac:dyDescent="0.2">
      <c r="A1598" t="str">
        <f>L1597&amp;F1598&amp;G1598</f>
        <v>25/07/2026CD AguilasAlmeria</v>
      </c>
      <c r="D1598" s="2">
        <v>46228</v>
      </c>
      <c r="E1598" s="3">
        <v>0.75</v>
      </c>
      <c r="F1598" t="s">
        <v>4005</v>
      </c>
      <c r="G1598" t="s">
        <v>4006</v>
      </c>
      <c r="H1598">
        <v>0</v>
      </c>
      <c r="I1598">
        <v>0</v>
      </c>
      <c r="J1598">
        <v>0</v>
      </c>
      <c r="K1598">
        <v>1</v>
      </c>
      <c r="L1598" s="22" t="str">
        <f t="shared" si="509"/>
        <v>25/07/2026</v>
      </c>
      <c r="M1598" s="23">
        <f t="shared" si="510"/>
        <v>0.625</v>
      </c>
      <c r="N1598" t="str">
        <f t="shared" si="511"/>
        <v>0 - 1</v>
      </c>
      <c r="O1598" t="str">
        <f t="shared" si="493"/>
        <v>Red</v>
      </c>
      <c r="P1598" t="str">
        <f t="shared" si="494"/>
        <v>Red</v>
      </c>
      <c r="Q1598" t="str">
        <f t="shared" si="495"/>
        <v>Green</v>
      </c>
      <c r="R1598" t="str">
        <f t="shared" si="496"/>
        <v>Red</v>
      </c>
      <c r="S1598" t="str">
        <f t="shared" si="497"/>
        <v>Green</v>
      </c>
      <c r="T1598" t="str">
        <f t="shared" si="498"/>
        <v>Green</v>
      </c>
      <c r="U1598" t="str">
        <f t="shared" si="499"/>
        <v>Red</v>
      </c>
      <c r="V1598" t="str">
        <f t="shared" si="500"/>
        <v>Green</v>
      </c>
      <c r="W1598" t="str">
        <f t="shared" si="501"/>
        <v>Red</v>
      </c>
      <c r="X1598" t="str">
        <f t="shared" si="502"/>
        <v>Red</v>
      </c>
      <c r="Y1598" t="str">
        <f t="shared" si="503"/>
        <v>Red</v>
      </c>
      <c r="Z1598" t="str">
        <f t="shared" si="504"/>
        <v>Red</v>
      </c>
      <c r="AA1598" t="str">
        <f t="shared" si="505"/>
        <v>Green</v>
      </c>
      <c r="AB1598" t="str">
        <f t="shared" si="506"/>
        <v>Green</v>
      </c>
      <c r="AC1598" t="str">
        <f t="shared" si="507"/>
        <v>Red</v>
      </c>
      <c r="AD1598" t="str">
        <f t="shared" si="508"/>
        <v>Green</v>
      </c>
    </row>
    <row r="1599" spans="1:30" x14ac:dyDescent="0.2">
      <c r="A1599" t="str">
        <f>L1598&amp;F1599&amp;G1599</f>
        <v>25/07/2026EstorilUniao Torreense</v>
      </c>
      <c r="D1599" s="2">
        <v>46228</v>
      </c>
      <c r="E1599" s="3">
        <v>0.75</v>
      </c>
      <c r="F1599" t="s">
        <v>4007</v>
      </c>
      <c r="G1599" t="s">
        <v>4008</v>
      </c>
      <c r="H1599">
        <v>0</v>
      </c>
      <c r="I1599">
        <v>0</v>
      </c>
      <c r="J1599">
        <v>0</v>
      </c>
      <c r="K1599">
        <v>0</v>
      </c>
      <c r="L1599" s="22" t="str">
        <f t="shared" si="509"/>
        <v>25/07/2026</v>
      </c>
      <c r="M1599" s="23">
        <f t="shared" si="510"/>
        <v>0.625</v>
      </c>
      <c r="N1599" t="str">
        <f t="shared" si="511"/>
        <v>0 - 0</v>
      </c>
      <c r="O1599" t="str">
        <f t="shared" si="493"/>
        <v>Red</v>
      </c>
      <c r="P1599" t="str">
        <f t="shared" si="494"/>
        <v>Green</v>
      </c>
      <c r="Q1599" t="str">
        <f t="shared" si="495"/>
        <v>Red</v>
      </c>
      <c r="R1599" t="str">
        <f t="shared" si="496"/>
        <v>Green</v>
      </c>
      <c r="S1599" t="str">
        <f t="shared" si="497"/>
        <v>Green</v>
      </c>
      <c r="T1599" t="str">
        <f t="shared" si="498"/>
        <v>Red</v>
      </c>
      <c r="U1599" t="str">
        <f t="shared" si="499"/>
        <v>Red</v>
      </c>
      <c r="V1599" t="str">
        <f t="shared" si="500"/>
        <v>Green</v>
      </c>
      <c r="W1599" t="str">
        <f t="shared" si="501"/>
        <v>Red</v>
      </c>
      <c r="X1599" t="str">
        <f t="shared" si="502"/>
        <v>Red</v>
      </c>
      <c r="Y1599" t="str">
        <f t="shared" si="503"/>
        <v>Red</v>
      </c>
      <c r="Z1599" t="str">
        <f t="shared" si="504"/>
        <v>Red</v>
      </c>
      <c r="AA1599" t="str">
        <f t="shared" si="505"/>
        <v>Green</v>
      </c>
      <c r="AB1599" t="str">
        <f t="shared" si="506"/>
        <v>Green</v>
      </c>
      <c r="AC1599" t="str">
        <f t="shared" si="507"/>
        <v>Red</v>
      </c>
      <c r="AD1599" t="str">
        <f t="shared" si="508"/>
        <v>Green</v>
      </c>
    </row>
    <row r="1600" spans="1:30" x14ac:dyDescent="0.2">
      <c r="A1600" t="str">
        <f>L1599&amp;F1600&amp;G1600</f>
        <v>25/07/2026Gimnastic de TarragonaFC Andorra</v>
      </c>
      <c r="D1600" s="2">
        <v>46228</v>
      </c>
      <c r="E1600" s="3">
        <v>0.75</v>
      </c>
      <c r="F1600" t="s">
        <v>4009</v>
      </c>
      <c r="G1600" t="s">
        <v>4010</v>
      </c>
      <c r="H1600">
        <v>0</v>
      </c>
      <c r="I1600">
        <v>1</v>
      </c>
      <c r="J1600">
        <v>0</v>
      </c>
      <c r="K1600">
        <v>2</v>
      </c>
      <c r="L1600" s="22" t="str">
        <f t="shared" si="509"/>
        <v>25/07/2026</v>
      </c>
      <c r="M1600" s="23">
        <f t="shared" si="510"/>
        <v>0.625</v>
      </c>
      <c r="N1600" t="str">
        <f t="shared" si="511"/>
        <v>0 - 2</v>
      </c>
      <c r="O1600" t="str">
        <f t="shared" si="493"/>
        <v>Red</v>
      </c>
      <c r="P1600" t="str">
        <f t="shared" si="494"/>
        <v>Red</v>
      </c>
      <c r="Q1600" t="str">
        <f t="shared" si="495"/>
        <v>Green</v>
      </c>
      <c r="R1600" t="str">
        <f t="shared" si="496"/>
        <v>Red</v>
      </c>
      <c r="S1600" t="str">
        <f t="shared" si="497"/>
        <v>Green</v>
      </c>
      <c r="T1600" t="str">
        <f t="shared" si="498"/>
        <v>Green</v>
      </c>
      <c r="U1600" t="str">
        <f t="shared" si="499"/>
        <v>Red</v>
      </c>
      <c r="V1600" t="str">
        <f t="shared" si="500"/>
        <v>Red</v>
      </c>
      <c r="W1600" t="str">
        <f t="shared" si="501"/>
        <v>Green</v>
      </c>
      <c r="X1600" t="str">
        <f t="shared" si="502"/>
        <v>Green</v>
      </c>
      <c r="Y1600" t="str">
        <f t="shared" si="503"/>
        <v>Green</v>
      </c>
      <c r="Z1600" t="str">
        <f t="shared" si="504"/>
        <v>Red</v>
      </c>
      <c r="AA1600" t="str">
        <f t="shared" si="505"/>
        <v>Green</v>
      </c>
      <c r="AB1600" t="str">
        <f t="shared" si="506"/>
        <v>Green</v>
      </c>
      <c r="AC1600" t="str">
        <f t="shared" si="507"/>
        <v>Red</v>
      </c>
      <c r="AD1600" t="str">
        <f t="shared" si="508"/>
        <v>Green</v>
      </c>
    </row>
    <row r="1601" spans="1:30" x14ac:dyDescent="0.2">
      <c r="A1601" t="str">
        <f>L1600&amp;F1601&amp;G1601</f>
        <v>25/07/2026GranadaReal Betis</v>
      </c>
      <c r="D1601" s="2">
        <v>46228</v>
      </c>
      <c r="E1601" s="3">
        <v>0.75</v>
      </c>
      <c r="F1601" t="s">
        <v>4011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09"/>
        <v>25/07/2026</v>
      </c>
      <c r="M1601" s="23">
        <f t="shared" si="510"/>
        <v>0.625</v>
      </c>
      <c r="N1601" t="str">
        <f t="shared" si="511"/>
        <v>1 - 0</v>
      </c>
      <c r="O1601" t="str">
        <f t="shared" si="493"/>
        <v>Green</v>
      </c>
      <c r="P1601" t="str">
        <f t="shared" si="494"/>
        <v>Red</v>
      </c>
      <c r="Q1601" t="str">
        <f t="shared" si="495"/>
        <v>Red</v>
      </c>
      <c r="R1601" t="str">
        <f t="shared" si="496"/>
        <v>Green</v>
      </c>
      <c r="S1601" t="str">
        <f t="shared" si="497"/>
        <v>Red</v>
      </c>
      <c r="T1601" t="str">
        <f t="shared" si="498"/>
        <v>Green</v>
      </c>
      <c r="U1601" t="str">
        <f t="shared" si="499"/>
        <v>Green</v>
      </c>
      <c r="V1601" t="str">
        <f t="shared" si="500"/>
        <v>Red</v>
      </c>
      <c r="W1601" t="str">
        <f t="shared" si="501"/>
        <v>Red</v>
      </c>
      <c r="X1601" t="str">
        <f t="shared" si="502"/>
        <v>Green</v>
      </c>
      <c r="Y1601" t="str">
        <f t="shared" si="503"/>
        <v>Red</v>
      </c>
      <c r="Z1601" t="str">
        <f t="shared" si="504"/>
        <v>Red</v>
      </c>
      <c r="AA1601" t="str">
        <f t="shared" si="505"/>
        <v>Green</v>
      </c>
      <c r="AB1601" t="str">
        <f t="shared" si="506"/>
        <v>Green</v>
      </c>
      <c r="AC1601" t="str">
        <f t="shared" si="507"/>
        <v>Red</v>
      </c>
      <c r="AD1601" t="str">
        <f t="shared" si="508"/>
        <v>Green</v>
      </c>
    </row>
    <row r="1602" spans="1:30" x14ac:dyDescent="0.2">
      <c r="A1602" t="str">
        <f>L1601&amp;F1602&amp;G1602</f>
        <v>25/07/2026JuventusStandard Liege</v>
      </c>
      <c r="D1602" s="2">
        <v>46228</v>
      </c>
      <c r="E1602" s="3">
        <v>0.75</v>
      </c>
      <c r="F1602" t="s">
        <v>4012</v>
      </c>
      <c r="G1602" t="s">
        <v>4013</v>
      </c>
      <c r="H1602">
        <v>0</v>
      </c>
      <c r="I1602">
        <v>0</v>
      </c>
      <c r="J1602">
        <v>0</v>
      </c>
      <c r="K1602">
        <v>1</v>
      </c>
      <c r="L1602" s="22" t="str">
        <f t="shared" si="509"/>
        <v>25/07/2026</v>
      </c>
      <c r="M1602" s="23">
        <f t="shared" si="510"/>
        <v>0.625</v>
      </c>
      <c r="N1602" t="str">
        <f t="shared" si="511"/>
        <v>0 - 1</v>
      </c>
      <c r="O1602" t="str">
        <f t="shared" ref="O1602:O1665" si="512">IF($J1602&gt;$K1602,"Green","Red")</f>
        <v>Red</v>
      </c>
      <c r="P1602" t="str">
        <f t="shared" ref="P1602:P1665" si="513">IF($J1602=$K1602,"Green","Red")</f>
        <v>Red</v>
      </c>
      <c r="Q1602" t="str">
        <f t="shared" ref="Q1602:Q1665" si="514">IF($J1602&lt;$K1602,"Green","Red")</f>
        <v>Green</v>
      </c>
      <c r="R1602" t="str">
        <f t="shared" ref="R1602:R1665" si="515">IF($J1602&gt;=$K1602,"Green","Red")</f>
        <v>Red</v>
      </c>
      <c r="S1602" t="str">
        <f t="shared" ref="S1602:S1665" si="516">IF($J1602&lt;=$K1602,"Green","Red")</f>
        <v>Green</v>
      </c>
      <c r="T1602" t="str">
        <f t="shared" ref="T1602:T1665" si="517">IF(OR($J1602&gt;$K1602,$J1602&lt;$K1602),"Green","Red")</f>
        <v>Green</v>
      </c>
      <c r="U1602" t="str">
        <f t="shared" ref="U1602:U1665" si="518">IF($H1602&gt;$I1602,"Green","Red")</f>
        <v>Red</v>
      </c>
      <c r="V1602" t="str">
        <f t="shared" ref="V1602:V1665" si="519">IF($H1602=$I1602,"Green","Red")</f>
        <v>Green</v>
      </c>
      <c r="W1602" t="str">
        <f t="shared" ref="W1602:W1665" si="520">IF($H1602&lt;$I1602,"Green","Red")</f>
        <v>Red</v>
      </c>
      <c r="X1602" t="str">
        <f t="shared" ref="X1602:X1665" si="521">IF($H1602+$I1602&gt;0,"Green","Red")</f>
        <v>Red</v>
      </c>
      <c r="Y1602" t="str">
        <f t="shared" ref="Y1602:Y1665" si="522">IF($J1602+$K1602&gt;1.5,"Green","Red")</f>
        <v>Red</v>
      </c>
      <c r="Z1602" t="str">
        <f t="shared" ref="Z1602:Z1665" si="523">IF($J1602+$K1602&gt;2.5,"Green","Red")</f>
        <v>Red</v>
      </c>
      <c r="AA1602" t="str">
        <f t="shared" ref="AA1602:AA1665" si="524">IF($J1602+$K1602&lt;2.5,"Green","Red")</f>
        <v>Green</v>
      </c>
      <c r="AB1602" t="str">
        <f t="shared" ref="AB1602:AB1665" si="525">IF($J1602+$K1602&lt;3.5,"Green","Red")</f>
        <v>Green</v>
      </c>
      <c r="AC1602" t="str">
        <f t="shared" ref="AC1602:AC1665" si="526">IF(AND($J1602&gt;0,$K1602&gt;0),"Green","Red")</f>
        <v>Red</v>
      </c>
      <c r="AD1602" t="str">
        <f t="shared" ref="AD1602:AD1665" si="527">IF(OR($J1602=0,$K1602=0),"Green","Red")</f>
        <v>Green</v>
      </c>
    </row>
    <row r="1603" spans="1:30" x14ac:dyDescent="0.2">
      <c r="A1603" t="str">
        <f>L1602&amp;F1603&amp;G1603</f>
        <v>25/07/2026ValenciaCD Castellon</v>
      </c>
      <c r="D1603" s="2">
        <v>46228</v>
      </c>
      <c r="E1603" s="3">
        <v>0.75</v>
      </c>
      <c r="F1603" t="s">
        <v>1808</v>
      </c>
      <c r="G1603" t="s">
        <v>4014</v>
      </c>
      <c r="H1603">
        <v>0</v>
      </c>
      <c r="I1603">
        <v>0</v>
      </c>
      <c r="J1603">
        <v>1</v>
      </c>
      <c r="K1603">
        <v>2</v>
      </c>
      <c r="L1603" s="22" t="str">
        <f t="shared" si="509"/>
        <v>25/07/2026</v>
      </c>
      <c r="M1603" s="23">
        <f t="shared" si="510"/>
        <v>0.625</v>
      </c>
      <c r="N1603" t="str">
        <f t="shared" si="511"/>
        <v>1 - 2</v>
      </c>
      <c r="O1603" t="str">
        <f t="shared" si="512"/>
        <v>Red</v>
      </c>
      <c r="P1603" t="str">
        <f t="shared" si="513"/>
        <v>Red</v>
      </c>
      <c r="Q1603" t="str">
        <f t="shared" si="514"/>
        <v>Green</v>
      </c>
      <c r="R1603" t="str">
        <f t="shared" si="515"/>
        <v>Red</v>
      </c>
      <c r="S1603" t="str">
        <f t="shared" si="516"/>
        <v>Green</v>
      </c>
      <c r="T1603" t="str">
        <f t="shared" si="517"/>
        <v>Green</v>
      </c>
      <c r="U1603" t="str">
        <f t="shared" si="518"/>
        <v>Red</v>
      </c>
      <c r="V1603" t="str">
        <f t="shared" si="519"/>
        <v>Green</v>
      </c>
      <c r="W1603" t="str">
        <f t="shared" si="520"/>
        <v>Red</v>
      </c>
      <c r="X1603" t="str">
        <f t="shared" si="521"/>
        <v>Red</v>
      </c>
      <c r="Y1603" t="str">
        <f t="shared" si="522"/>
        <v>Green</v>
      </c>
      <c r="Z1603" t="str">
        <f t="shared" si="523"/>
        <v>Green</v>
      </c>
      <c r="AA1603" t="str">
        <f t="shared" si="524"/>
        <v>Red</v>
      </c>
      <c r="AB1603" t="str">
        <f t="shared" si="525"/>
        <v>Green</v>
      </c>
      <c r="AC1603" t="str">
        <f t="shared" si="526"/>
        <v>Green</v>
      </c>
      <c r="AD1603" t="str">
        <f t="shared" si="527"/>
        <v>Red</v>
      </c>
    </row>
    <row r="1604" spans="1:30" x14ac:dyDescent="0.2">
      <c r="A1604" t="str">
        <f>L1603&amp;F1604&amp;G1604</f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09"/>
        <v>25/07/2026</v>
      </c>
      <c r="M1604" s="23">
        <f t="shared" si="510"/>
        <v>0.63541666666666663</v>
      </c>
      <c r="N1604" t="str">
        <f t="shared" si="511"/>
        <v>1 - 2</v>
      </c>
      <c r="O1604" t="str">
        <f t="shared" si="512"/>
        <v>Red</v>
      </c>
      <c r="P1604" t="str">
        <f t="shared" si="513"/>
        <v>Red</v>
      </c>
      <c r="Q1604" t="str">
        <f t="shared" si="514"/>
        <v>Green</v>
      </c>
      <c r="R1604" t="str">
        <f t="shared" si="515"/>
        <v>Red</v>
      </c>
      <c r="S1604" t="str">
        <f t="shared" si="516"/>
        <v>Green</v>
      </c>
      <c r="T1604" t="str">
        <f t="shared" si="517"/>
        <v>Green</v>
      </c>
      <c r="U1604" t="str">
        <f t="shared" si="518"/>
        <v>Red</v>
      </c>
      <c r="V1604" t="str">
        <f t="shared" si="519"/>
        <v>Green</v>
      </c>
      <c r="W1604" t="str">
        <f t="shared" si="520"/>
        <v>Red</v>
      </c>
      <c r="X1604" t="str">
        <f t="shared" si="521"/>
        <v>Red</v>
      </c>
      <c r="Y1604" t="str">
        <f t="shared" si="522"/>
        <v>Green</v>
      </c>
      <c r="Z1604" t="str">
        <f t="shared" si="523"/>
        <v>Green</v>
      </c>
      <c r="AA1604" t="str">
        <f t="shared" si="524"/>
        <v>Red</v>
      </c>
      <c r="AB1604" t="str">
        <f t="shared" si="525"/>
        <v>Green</v>
      </c>
      <c r="AC1604" t="str">
        <f t="shared" si="526"/>
        <v>Green</v>
      </c>
      <c r="AD1604" t="str">
        <f t="shared" si="527"/>
        <v>Red</v>
      </c>
    </row>
    <row r="1605" spans="1:30" x14ac:dyDescent="0.2">
      <c r="A1605" t="str">
        <f>L1604&amp;F1605&amp;G1605</f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3540</v>
      </c>
      <c r="H1605">
        <v>0</v>
      </c>
      <c r="I1605">
        <v>0</v>
      </c>
      <c r="J1605">
        <v>0</v>
      </c>
      <c r="K1605">
        <v>0</v>
      </c>
      <c r="L1605" s="22" t="str">
        <f t="shared" si="509"/>
        <v>25/07/2026</v>
      </c>
      <c r="M1605" s="23">
        <f t="shared" si="510"/>
        <v>0.63541666666666663</v>
      </c>
      <c r="N1605" t="str">
        <f t="shared" si="511"/>
        <v>0 - 0</v>
      </c>
      <c r="O1605" t="str">
        <f t="shared" si="512"/>
        <v>Red</v>
      </c>
      <c r="P1605" t="str">
        <f t="shared" si="513"/>
        <v>Green</v>
      </c>
      <c r="Q1605" t="str">
        <f t="shared" si="514"/>
        <v>Red</v>
      </c>
      <c r="R1605" t="str">
        <f t="shared" si="515"/>
        <v>Green</v>
      </c>
      <c r="S1605" t="str">
        <f t="shared" si="516"/>
        <v>Green</v>
      </c>
      <c r="T1605" t="str">
        <f t="shared" si="517"/>
        <v>Red</v>
      </c>
      <c r="U1605" t="str">
        <f t="shared" si="518"/>
        <v>Red</v>
      </c>
      <c r="V1605" t="str">
        <f t="shared" si="519"/>
        <v>Green</v>
      </c>
      <c r="W1605" t="str">
        <f t="shared" si="520"/>
        <v>Red</v>
      </c>
      <c r="X1605" t="str">
        <f t="shared" si="521"/>
        <v>Red</v>
      </c>
      <c r="Y1605" t="str">
        <f t="shared" si="522"/>
        <v>Red</v>
      </c>
      <c r="Z1605" t="str">
        <f t="shared" si="523"/>
        <v>Red</v>
      </c>
      <c r="AA1605" t="str">
        <f t="shared" si="524"/>
        <v>Green</v>
      </c>
      <c r="AB1605" t="str">
        <f t="shared" si="525"/>
        <v>Green</v>
      </c>
      <c r="AC1605" t="str">
        <f t="shared" si="526"/>
        <v>Red</v>
      </c>
      <c r="AD1605" t="str">
        <f t="shared" si="527"/>
        <v>Green</v>
      </c>
    </row>
    <row r="1606" spans="1:30" x14ac:dyDescent="0.2">
      <c r="A1606" t="str">
        <f>L1605&amp;F1606&amp;G1606</f>
        <v>25/07/2026NK MariborNK Brinje Grosuplje</v>
      </c>
      <c r="D1606" s="2">
        <v>46228</v>
      </c>
      <c r="E1606" s="3">
        <v>0.76041666666666663</v>
      </c>
      <c r="F1606" t="s">
        <v>3640</v>
      </c>
      <c r="G1606" t="s">
        <v>3641</v>
      </c>
      <c r="H1606">
        <v>1</v>
      </c>
      <c r="I1606">
        <v>0</v>
      </c>
      <c r="J1606">
        <v>3</v>
      </c>
      <c r="K1606">
        <v>0</v>
      </c>
      <c r="L1606" s="22" t="str">
        <f t="shared" si="509"/>
        <v>25/07/2026</v>
      </c>
      <c r="M1606" s="23">
        <f t="shared" si="510"/>
        <v>0.63541666666666663</v>
      </c>
      <c r="N1606" t="str">
        <f t="shared" si="511"/>
        <v>3 - 0</v>
      </c>
      <c r="O1606" t="str">
        <f t="shared" si="512"/>
        <v>Green</v>
      </c>
      <c r="P1606" t="str">
        <f t="shared" si="513"/>
        <v>Red</v>
      </c>
      <c r="Q1606" t="str">
        <f t="shared" si="514"/>
        <v>Red</v>
      </c>
      <c r="R1606" t="str">
        <f t="shared" si="515"/>
        <v>Green</v>
      </c>
      <c r="S1606" t="str">
        <f t="shared" si="516"/>
        <v>Red</v>
      </c>
      <c r="T1606" t="str">
        <f t="shared" si="517"/>
        <v>Green</v>
      </c>
      <c r="U1606" t="str">
        <f t="shared" si="518"/>
        <v>Green</v>
      </c>
      <c r="V1606" t="str">
        <f t="shared" si="519"/>
        <v>Red</v>
      </c>
      <c r="W1606" t="str">
        <f t="shared" si="520"/>
        <v>Red</v>
      </c>
      <c r="X1606" t="str">
        <f t="shared" si="521"/>
        <v>Green</v>
      </c>
      <c r="Y1606" t="str">
        <f t="shared" si="522"/>
        <v>Green</v>
      </c>
      <c r="Z1606" t="str">
        <f t="shared" si="523"/>
        <v>Green</v>
      </c>
      <c r="AA1606" t="str">
        <f t="shared" si="524"/>
        <v>Red</v>
      </c>
      <c r="AB1606" t="str">
        <f t="shared" si="525"/>
        <v>Green</v>
      </c>
      <c r="AC1606" t="str">
        <f t="shared" si="526"/>
        <v>Red</v>
      </c>
      <c r="AD1606" t="str">
        <f t="shared" si="527"/>
        <v>Green</v>
      </c>
    </row>
    <row r="1607" spans="1:30" x14ac:dyDescent="0.2">
      <c r="A1607" t="str">
        <f>L1606&amp;F1607&amp;G1607</f>
        <v>25/07/2026Deportivo ArmenioArsenal de Sarandi</v>
      </c>
      <c r="B1607" t="s">
        <v>806</v>
      </c>
      <c r="C1607" t="s">
        <v>2771</v>
      </c>
      <c r="D1607" s="2">
        <v>46228</v>
      </c>
      <c r="E1607" s="3">
        <v>0.77083333333333337</v>
      </c>
      <c r="F1607" t="s">
        <v>716</v>
      </c>
      <c r="G1607" t="s">
        <v>2780</v>
      </c>
      <c r="H1607">
        <v>0</v>
      </c>
      <c r="I1607">
        <v>0</v>
      </c>
      <c r="J1607">
        <v>0</v>
      </c>
      <c r="K1607">
        <v>0</v>
      </c>
      <c r="L1607" s="22" t="str">
        <f t="shared" si="509"/>
        <v>25/07/2026</v>
      </c>
      <c r="M1607" s="23">
        <f t="shared" si="510"/>
        <v>0.64583333333333337</v>
      </c>
      <c r="N1607" t="str">
        <f t="shared" si="511"/>
        <v>0 - 0</v>
      </c>
      <c r="O1607" t="str">
        <f t="shared" si="512"/>
        <v>Red</v>
      </c>
      <c r="P1607" t="str">
        <f t="shared" si="513"/>
        <v>Green</v>
      </c>
      <c r="Q1607" t="str">
        <f t="shared" si="514"/>
        <v>Red</v>
      </c>
      <c r="R1607" t="str">
        <f t="shared" si="515"/>
        <v>Green</v>
      </c>
      <c r="S1607" t="str">
        <f t="shared" si="516"/>
        <v>Green</v>
      </c>
      <c r="T1607" t="str">
        <f t="shared" si="517"/>
        <v>Red</v>
      </c>
      <c r="U1607" t="str">
        <f t="shared" si="518"/>
        <v>Red</v>
      </c>
      <c r="V1607" t="str">
        <f t="shared" si="519"/>
        <v>Green</v>
      </c>
      <c r="W1607" t="str">
        <f t="shared" si="520"/>
        <v>Red</v>
      </c>
      <c r="X1607" t="str">
        <f t="shared" si="521"/>
        <v>Red</v>
      </c>
      <c r="Y1607" t="str">
        <f t="shared" si="522"/>
        <v>Red</v>
      </c>
      <c r="Z1607" t="str">
        <f t="shared" si="523"/>
        <v>Red</v>
      </c>
      <c r="AA1607" t="str">
        <f t="shared" si="524"/>
        <v>Green</v>
      </c>
      <c r="AB1607" t="str">
        <f t="shared" si="525"/>
        <v>Green</v>
      </c>
      <c r="AC1607" t="str">
        <f t="shared" si="526"/>
        <v>Red</v>
      </c>
      <c r="AD1607" t="str">
        <f t="shared" si="527"/>
        <v>Green</v>
      </c>
    </row>
    <row r="1608" spans="1:30" x14ac:dyDescent="0.2">
      <c r="A1608" t="str">
        <f>L1607&amp;F1608&amp;G1608</f>
        <v>25/07/2026Costa BravaDeportivo Rincon</v>
      </c>
      <c r="B1608" t="s">
        <v>806</v>
      </c>
      <c r="C1608" t="s">
        <v>2243</v>
      </c>
      <c r="D1608" s="2">
        <v>46228</v>
      </c>
      <c r="E1608" s="3">
        <v>0.77083333333333337</v>
      </c>
      <c r="F1608" t="s">
        <v>2791</v>
      </c>
      <c r="G1608" t="s">
        <v>2792</v>
      </c>
      <c r="H1608">
        <v>0</v>
      </c>
      <c r="I1608">
        <v>0</v>
      </c>
      <c r="J1608">
        <v>0</v>
      </c>
      <c r="K1608">
        <v>1</v>
      </c>
      <c r="L1608" s="22" t="str">
        <f t="shared" si="509"/>
        <v>25/07/2026</v>
      </c>
      <c r="M1608" s="23">
        <f t="shared" si="510"/>
        <v>0.64583333333333337</v>
      </c>
      <c r="N1608" t="str">
        <f t="shared" si="511"/>
        <v>0 - 1</v>
      </c>
      <c r="O1608" t="str">
        <f t="shared" si="512"/>
        <v>Red</v>
      </c>
      <c r="P1608" t="str">
        <f t="shared" si="513"/>
        <v>Red</v>
      </c>
      <c r="Q1608" t="str">
        <f t="shared" si="514"/>
        <v>Green</v>
      </c>
      <c r="R1608" t="str">
        <f t="shared" si="515"/>
        <v>Red</v>
      </c>
      <c r="S1608" t="str">
        <f t="shared" si="516"/>
        <v>Green</v>
      </c>
      <c r="T1608" t="str">
        <f t="shared" si="517"/>
        <v>Green</v>
      </c>
      <c r="U1608" t="str">
        <f t="shared" si="518"/>
        <v>Red</v>
      </c>
      <c r="V1608" t="str">
        <f t="shared" si="519"/>
        <v>Green</v>
      </c>
      <c r="W1608" t="str">
        <f t="shared" si="520"/>
        <v>Red</v>
      </c>
      <c r="X1608" t="str">
        <f t="shared" si="521"/>
        <v>Red</v>
      </c>
      <c r="Y1608" t="str">
        <f t="shared" si="522"/>
        <v>Red</v>
      </c>
      <c r="Z1608" t="str">
        <f t="shared" si="523"/>
        <v>Red</v>
      </c>
      <c r="AA1608" t="str">
        <f t="shared" si="524"/>
        <v>Green</v>
      </c>
      <c r="AB1608" t="str">
        <f t="shared" si="525"/>
        <v>Green</v>
      </c>
      <c r="AC1608" t="str">
        <f t="shared" si="526"/>
        <v>Red</v>
      </c>
      <c r="AD1608" t="str">
        <f t="shared" si="527"/>
        <v>Green</v>
      </c>
    </row>
    <row r="1609" spans="1:30" x14ac:dyDescent="0.2">
      <c r="A1609" t="str">
        <f>L1608&amp;F1609&amp;G1609</f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3064</v>
      </c>
      <c r="G1609" t="s">
        <v>3065</v>
      </c>
      <c r="H1609">
        <v>0</v>
      </c>
      <c r="I1609">
        <v>0</v>
      </c>
      <c r="J1609">
        <v>2</v>
      </c>
      <c r="K1609">
        <v>4</v>
      </c>
      <c r="L1609" s="22" t="str">
        <f t="shared" si="509"/>
        <v>25/07/2026</v>
      </c>
      <c r="M1609" s="23">
        <f t="shared" si="510"/>
        <v>0.64583333333333337</v>
      </c>
      <c r="N1609" t="str">
        <f t="shared" si="511"/>
        <v>2 - 4</v>
      </c>
      <c r="O1609" t="str">
        <f t="shared" si="512"/>
        <v>Red</v>
      </c>
      <c r="P1609" t="str">
        <f t="shared" si="513"/>
        <v>Red</v>
      </c>
      <c r="Q1609" t="str">
        <f t="shared" si="514"/>
        <v>Green</v>
      </c>
      <c r="R1609" t="str">
        <f t="shared" si="515"/>
        <v>Red</v>
      </c>
      <c r="S1609" t="str">
        <f t="shared" si="516"/>
        <v>Green</v>
      </c>
      <c r="T1609" t="str">
        <f t="shared" si="517"/>
        <v>Green</v>
      </c>
      <c r="U1609" t="str">
        <f t="shared" si="518"/>
        <v>Red</v>
      </c>
      <c r="V1609" t="str">
        <f t="shared" si="519"/>
        <v>Green</v>
      </c>
      <c r="W1609" t="str">
        <f t="shared" si="520"/>
        <v>Red</v>
      </c>
      <c r="X1609" t="str">
        <f t="shared" si="521"/>
        <v>Red</v>
      </c>
      <c r="Y1609" t="str">
        <f t="shared" si="522"/>
        <v>Green</v>
      </c>
      <c r="Z1609" t="str">
        <f t="shared" si="523"/>
        <v>Green</v>
      </c>
      <c r="AA1609" t="str">
        <f t="shared" si="524"/>
        <v>Red</v>
      </c>
      <c r="AB1609" t="str">
        <f t="shared" si="525"/>
        <v>Red</v>
      </c>
      <c r="AC1609" t="str">
        <f t="shared" si="526"/>
        <v>Green</v>
      </c>
      <c r="AD1609" t="str">
        <f t="shared" si="527"/>
        <v>Red</v>
      </c>
    </row>
    <row r="1610" spans="1:30" x14ac:dyDescent="0.2">
      <c r="A1610" t="str">
        <f>L1609&amp;F1610&amp;G1610</f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3066</v>
      </c>
      <c r="G1610" t="s">
        <v>3067</v>
      </c>
      <c r="H1610">
        <v>1</v>
      </c>
      <c r="I1610">
        <v>1</v>
      </c>
      <c r="J1610">
        <v>2</v>
      </c>
      <c r="K1610">
        <v>1</v>
      </c>
      <c r="L1610" s="22" t="str">
        <f t="shared" si="509"/>
        <v>25/07/2026</v>
      </c>
      <c r="M1610" s="23">
        <f t="shared" si="510"/>
        <v>0.64583333333333337</v>
      </c>
      <c r="N1610" t="str">
        <f t="shared" si="511"/>
        <v>2 - 1</v>
      </c>
      <c r="O1610" t="str">
        <f t="shared" si="512"/>
        <v>Green</v>
      </c>
      <c r="P1610" t="str">
        <f t="shared" si="513"/>
        <v>Red</v>
      </c>
      <c r="Q1610" t="str">
        <f t="shared" si="514"/>
        <v>Red</v>
      </c>
      <c r="R1610" t="str">
        <f t="shared" si="515"/>
        <v>Green</v>
      </c>
      <c r="S1610" t="str">
        <f t="shared" si="516"/>
        <v>Red</v>
      </c>
      <c r="T1610" t="str">
        <f t="shared" si="517"/>
        <v>Green</v>
      </c>
      <c r="U1610" t="str">
        <f t="shared" si="518"/>
        <v>Red</v>
      </c>
      <c r="V1610" t="str">
        <f t="shared" si="519"/>
        <v>Green</v>
      </c>
      <c r="W1610" t="str">
        <f t="shared" si="520"/>
        <v>Red</v>
      </c>
      <c r="X1610" t="str">
        <f t="shared" si="521"/>
        <v>Green</v>
      </c>
      <c r="Y1610" t="str">
        <f t="shared" si="522"/>
        <v>Green</v>
      </c>
      <c r="Z1610" t="str">
        <f t="shared" si="523"/>
        <v>Green</v>
      </c>
      <c r="AA1610" t="str">
        <f t="shared" si="524"/>
        <v>Red</v>
      </c>
      <c r="AB1610" t="str">
        <f t="shared" si="525"/>
        <v>Green</v>
      </c>
      <c r="AC1610" t="str">
        <f t="shared" si="526"/>
        <v>Green</v>
      </c>
      <c r="AD1610" t="str">
        <f t="shared" si="527"/>
        <v>Red</v>
      </c>
    </row>
    <row r="1611" spans="1:30" x14ac:dyDescent="0.2">
      <c r="A1611" t="str">
        <f>L1610&amp;F1611&amp;G1611</f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3083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09"/>
        <v>25/07/2026</v>
      </c>
      <c r="M1611" s="23">
        <f t="shared" si="510"/>
        <v>0.64583333333333337</v>
      </c>
      <c r="N1611" t="str">
        <f t="shared" si="511"/>
        <v>2 - 1</v>
      </c>
      <c r="O1611" t="str">
        <f t="shared" si="512"/>
        <v>Green</v>
      </c>
      <c r="P1611" t="str">
        <f t="shared" si="513"/>
        <v>Red</v>
      </c>
      <c r="Q1611" t="str">
        <f t="shared" si="514"/>
        <v>Red</v>
      </c>
      <c r="R1611" t="str">
        <f t="shared" si="515"/>
        <v>Green</v>
      </c>
      <c r="S1611" t="str">
        <f t="shared" si="516"/>
        <v>Red</v>
      </c>
      <c r="T1611" t="str">
        <f t="shared" si="517"/>
        <v>Green</v>
      </c>
      <c r="U1611" t="str">
        <f t="shared" si="518"/>
        <v>Green</v>
      </c>
      <c r="V1611" t="str">
        <f t="shared" si="519"/>
        <v>Red</v>
      </c>
      <c r="W1611" t="str">
        <f t="shared" si="520"/>
        <v>Red</v>
      </c>
      <c r="X1611" t="str">
        <f t="shared" si="521"/>
        <v>Green</v>
      </c>
      <c r="Y1611" t="str">
        <f t="shared" si="522"/>
        <v>Green</v>
      </c>
      <c r="Z1611" t="str">
        <f t="shared" si="523"/>
        <v>Green</v>
      </c>
      <c r="AA1611" t="str">
        <f t="shared" si="524"/>
        <v>Red</v>
      </c>
      <c r="AB1611" t="str">
        <f t="shared" si="525"/>
        <v>Green</v>
      </c>
      <c r="AC1611" t="str">
        <f t="shared" si="526"/>
        <v>Green</v>
      </c>
      <c r="AD1611" t="str">
        <f t="shared" si="527"/>
        <v>Red</v>
      </c>
    </row>
    <row r="1612" spans="1:30" x14ac:dyDescent="0.2">
      <c r="A1612" t="str">
        <f>L1611&amp;F1612&amp;G1612</f>
        <v>25/07/2026Union Espanola Guayaquil WomenColo Colo Women</v>
      </c>
      <c r="D1612" s="2">
        <v>46228</v>
      </c>
      <c r="E1612" s="3">
        <v>0.77083333333333337</v>
      </c>
      <c r="F1612" t="s">
        <v>3126</v>
      </c>
      <c r="G1612" t="s">
        <v>3127</v>
      </c>
      <c r="H1612">
        <v>0</v>
      </c>
      <c r="I1612">
        <v>0</v>
      </c>
      <c r="J1612">
        <v>0</v>
      </c>
      <c r="K1612">
        <v>2</v>
      </c>
      <c r="L1612" s="22" t="str">
        <f t="shared" si="509"/>
        <v>25/07/2026</v>
      </c>
      <c r="M1612" s="23">
        <f t="shared" si="510"/>
        <v>0.64583333333333337</v>
      </c>
      <c r="N1612" t="str">
        <f t="shared" si="511"/>
        <v>0 - 2</v>
      </c>
      <c r="O1612" t="str">
        <f t="shared" si="512"/>
        <v>Red</v>
      </c>
      <c r="P1612" t="str">
        <f t="shared" si="513"/>
        <v>Red</v>
      </c>
      <c r="Q1612" t="str">
        <f t="shared" si="514"/>
        <v>Green</v>
      </c>
      <c r="R1612" t="str">
        <f t="shared" si="515"/>
        <v>Red</v>
      </c>
      <c r="S1612" t="str">
        <f t="shared" si="516"/>
        <v>Green</v>
      </c>
      <c r="T1612" t="str">
        <f t="shared" si="517"/>
        <v>Green</v>
      </c>
      <c r="U1612" t="str">
        <f t="shared" si="518"/>
        <v>Red</v>
      </c>
      <c r="V1612" t="str">
        <f t="shared" si="519"/>
        <v>Green</v>
      </c>
      <c r="W1612" t="str">
        <f t="shared" si="520"/>
        <v>Red</v>
      </c>
      <c r="X1612" t="str">
        <f t="shared" si="521"/>
        <v>Red</v>
      </c>
      <c r="Y1612" t="str">
        <f t="shared" si="522"/>
        <v>Green</v>
      </c>
      <c r="Z1612" t="str">
        <f t="shared" si="523"/>
        <v>Red</v>
      </c>
      <c r="AA1612" t="str">
        <f t="shared" si="524"/>
        <v>Green</v>
      </c>
      <c r="AB1612" t="str">
        <f t="shared" si="525"/>
        <v>Green</v>
      </c>
      <c r="AC1612" t="str">
        <f t="shared" si="526"/>
        <v>Red</v>
      </c>
      <c r="AD1612" t="str">
        <f t="shared" si="527"/>
        <v>Green</v>
      </c>
    </row>
    <row r="1613" spans="1:30" x14ac:dyDescent="0.2">
      <c r="A1613" t="str">
        <f>L1612&amp;F1613&amp;G1613</f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3196</v>
      </c>
      <c r="H1613">
        <v>0</v>
      </c>
      <c r="I1613">
        <v>0</v>
      </c>
      <c r="J1613">
        <v>1</v>
      </c>
      <c r="K1613">
        <v>0</v>
      </c>
      <c r="L1613" s="22" t="str">
        <f t="shared" si="509"/>
        <v>25/07/2026</v>
      </c>
      <c r="M1613" s="23">
        <f t="shared" si="510"/>
        <v>0.64583333333333337</v>
      </c>
      <c r="N1613" t="str">
        <f t="shared" si="511"/>
        <v>1 - 0</v>
      </c>
      <c r="O1613" t="str">
        <f t="shared" si="512"/>
        <v>Green</v>
      </c>
      <c r="P1613" t="str">
        <f t="shared" si="513"/>
        <v>Red</v>
      </c>
      <c r="Q1613" t="str">
        <f t="shared" si="514"/>
        <v>Red</v>
      </c>
      <c r="R1613" t="str">
        <f t="shared" si="515"/>
        <v>Green</v>
      </c>
      <c r="S1613" t="str">
        <f t="shared" si="516"/>
        <v>Red</v>
      </c>
      <c r="T1613" t="str">
        <f t="shared" si="517"/>
        <v>Green</v>
      </c>
      <c r="U1613" t="str">
        <f t="shared" si="518"/>
        <v>Red</v>
      </c>
      <c r="V1613" t="str">
        <f t="shared" si="519"/>
        <v>Green</v>
      </c>
      <c r="W1613" t="str">
        <f t="shared" si="520"/>
        <v>Red</v>
      </c>
      <c r="X1613" t="str">
        <f t="shared" si="521"/>
        <v>Red</v>
      </c>
      <c r="Y1613" t="str">
        <f t="shared" si="522"/>
        <v>Red</v>
      </c>
      <c r="Z1613" t="str">
        <f t="shared" si="523"/>
        <v>Red</v>
      </c>
      <c r="AA1613" t="str">
        <f t="shared" si="524"/>
        <v>Green</v>
      </c>
      <c r="AB1613" t="str">
        <f t="shared" si="525"/>
        <v>Green</v>
      </c>
      <c r="AC1613" t="str">
        <f t="shared" si="526"/>
        <v>Red</v>
      </c>
      <c r="AD1613" t="str">
        <f t="shared" si="527"/>
        <v>Green</v>
      </c>
    </row>
    <row r="1614" spans="1:30" x14ac:dyDescent="0.2">
      <c r="A1614" t="str">
        <f>L1613&amp;F1614&amp;G1614</f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3372</v>
      </c>
      <c r="H1614">
        <v>0</v>
      </c>
      <c r="I1614">
        <v>1</v>
      </c>
      <c r="J1614">
        <v>1</v>
      </c>
      <c r="K1614">
        <v>2</v>
      </c>
      <c r="L1614" s="22" t="str">
        <f t="shared" si="509"/>
        <v>25/07/2026</v>
      </c>
      <c r="M1614" s="23">
        <f t="shared" si="510"/>
        <v>0.64583333333333337</v>
      </c>
      <c r="N1614" t="str">
        <f t="shared" si="511"/>
        <v>1 - 2</v>
      </c>
      <c r="O1614" t="str">
        <f t="shared" si="512"/>
        <v>Red</v>
      </c>
      <c r="P1614" t="str">
        <f t="shared" si="513"/>
        <v>Red</v>
      </c>
      <c r="Q1614" t="str">
        <f t="shared" si="514"/>
        <v>Green</v>
      </c>
      <c r="R1614" t="str">
        <f t="shared" si="515"/>
        <v>Red</v>
      </c>
      <c r="S1614" t="str">
        <f t="shared" si="516"/>
        <v>Green</v>
      </c>
      <c r="T1614" t="str">
        <f t="shared" si="517"/>
        <v>Green</v>
      </c>
      <c r="U1614" t="str">
        <f t="shared" si="518"/>
        <v>Red</v>
      </c>
      <c r="V1614" t="str">
        <f t="shared" si="519"/>
        <v>Red</v>
      </c>
      <c r="W1614" t="str">
        <f t="shared" si="520"/>
        <v>Green</v>
      </c>
      <c r="X1614" t="str">
        <f t="shared" si="521"/>
        <v>Green</v>
      </c>
      <c r="Y1614" t="str">
        <f t="shared" si="522"/>
        <v>Green</v>
      </c>
      <c r="Z1614" t="str">
        <f t="shared" si="523"/>
        <v>Green</v>
      </c>
      <c r="AA1614" t="str">
        <f t="shared" si="524"/>
        <v>Red</v>
      </c>
      <c r="AB1614" t="str">
        <f t="shared" si="525"/>
        <v>Green</v>
      </c>
      <c r="AC1614" t="str">
        <f t="shared" si="526"/>
        <v>Green</v>
      </c>
      <c r="AD1614" t="str">
        <f t="shared" si="527"/>
        <v>Red</v>
      </c>
    </row>
    <row r="1615" spans="1:30" x14ac:dyDescent="0.2">
      <c r="A1615" t="str">
        <f>L1614&amp;F1615&amp;G1615</f>
        <v>25/07/2026Sport PodbrezovaMFK Zemplin Michalovce</v>
      </c>
      <c r="D1615" s="2">
        <v>46228</v>
      </c>
      <c r="E1615" s="3">
        <v>0.77083333333333337</v>
      </c>
      <c r="F1615" t="s">
        <v>3626</v>
      </c>
      <c r="G1615" t="s">
        <v>3627</v>
      </c>
      <c r="H1615">
        <v>2</v>
      </c>
      <c r="I1615">
        <v>0</v>
      </c>
      <c r="J1615">
        <v>2</v>
      </c>
      <c r="K1615">
        <v>0</v>
      </c>
      <c r="L1615" s="22" t="str">
        <f t="shared" si="509"/>
        <v>25/07/2026</v>
      </c>
      <c r="M1615" s="23">
        <f t="shared" si="510"/>
        <v>0.64583333333333337</v>
      </c>
      <c r="N1615" t="str">
        <f t="shared" si="511"/>
        <v>2 - 0</v>
      </c>
      <c r="O1615" t="str">
        <f t="shared" si="512"/>
        <v>Green</v>
      </c>
      <c r="P1615" t="str">
        <f t="shared" si="513"/>
        <v>Red</v>
      </c>
      <c r="Q1615" t="str">
        <f t="shared" si="514"/>
        <v>Red</v>
      </c>
      <c r="R1615" t="str">
        <f t="shared" si="515"/>
        <v>Green</v>
      </c>
      <c r="S1615" t="str">
        <f t="shared" si="516"/>
        <v>Red</v>
      </c>
      <c r="T1615" t="str">
        <f t="shared" si="517"/>
        <v>Green</v>
      </c>
      <c r="U1615" t="str">
        <f t="shared" si="518"/>
        <v>Green</v>
      </c>
      <c r="V1615" t="str">
        <f t="shared" si="519"/>
        <v>Red</v>
      </c>
      <c r="W1615" t="str">
        <f t="shared" si="520"/>
        <v>Red</v>
      </c>
      <c r="X1615" t="str">
        <f t="shared" si="521"/>
        <v>Green</v>
      </c>
      <c r="Y1615" t="str">
        <f t="shared" si="522"/>
        <v>Green</v>
      </c>
      <c r="Z1615" t="str">
        <f t="shared" si="523"/>
        <v>Red</v>
      </c>
      <c r="AA1615" t="str">
        <f t="shared" si="524"/>
        <v>Green</v>
      </c>
      <c r="AB1615" t="str">
        <f t="shared" si="525"/>
        <v>Green</v>
      </c>
      <c r="AC1615" t="str">
        <f t="shared" si="526"/>
        <v>Red</v>
      </c>
      <c r="AD1615" t="str">
        <f t="shared" si="527"/>
        <v>Green</v>
      </c>
    </row>
    <row r="1616" spans="1:30" x14ac:dyDescent="0.2">
      <c r="A1616" t="str">
        <f>L1615&amp;F1616&amp;G1616</f>
        <v>25/07/2026LuzernFC Thun</v>
      </c>
      <c r="D1616" s="2">
        <v>46228</v>
      </c>
      <c r="E1616" s="3">
        <v>0.77083333333333337</v>
      </c>
      <c r="F1616" t="s">
        <v>3682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09"/>
        <v>25/07/2026</v>
      </c>
      <c r="M1616" s="23">
        <f t="shared" si="510"/>
        <v>0.64583333333333337</v>
      </c>
      <c r="N1616" t="str">
        <f t="shared" si="511"/>
        <v>1 - 3</v>
      </c>
      <c r="O1616" t="str">
        <f t="shared" si="512"/>
        <v>Red</v>
      </c>
      <c r="P1616" t="str">
        <f t="shared" si="513"/>
        <v>Red</v>
      </c>
      <c r="Q1616" t="str">
        <f t="shared" si="514"/>
        <v>Green</v>
      </c>
      <c r="R1616" t="str">
        <f t="shared" si="515"/>
        <v>Red</v>
      </c>
      <c r="S1616" t="str">
        <f t="shared" si="516"/>
        <v>Green</v>
      </c>
      <c r="T1616" t="str">
        <f t="shared" si="517"/>
        <v>Green</v>
      </c>
      <c r="U1616" t="str">
        <f t="shared" si="518"/>
        <v>Red</v>
      </c>
      <c r="V1616" t="str">
        <f t="shared" si="519"/>
        <v>Green</v>
      </c>
      <c r="W1616" t="str">
        <f t="shared" si="520"/>
        <v>Red</v>
      </c>
      <c r="X1616" t="str">
        <f t="shared" si="521"/>
        <v>Green</v>
      </c>
      <c r="Y1616" t="str">
        <f t="shared" si="522"/>
        <v>Green</v>
      </c>
      <c r="Z1616" t="str">
        <f t="shared" si="523"/>
        <v>Green</v>
      </c>
      <c r="AA1616" t="str">
        <f t="shared" si="524"/>
        <v>Red</v>
      </c>
      <c r="AB1616" t="str">
        <f t="shared" si="525"/>
        <v>Red</v>
      </c>
      <c r="AC1616" t="str">
        <f t="shared" si="526"/>
        <v>Green</v>
      </c>
      <c r="AD1616" t="str">
        <f t="shared" si="527"/>
        <v>Red</v>
      </c>
    </row>
    <row r="1617" spans="1:30" x14ac:dyDescent="0.2">
      <c r="A1617" t="str">
        <f>L1616&amp;F1617&amp;G1617</f>
        <v>25/07/2026SassuoloParma</v>
      </c>
      <c r="D1617" s="2">
        <v>46228</v>
      </c>
      <c r="E1617" s="3">
        <v>0.77083333333333337</v>
      </c>
      <c r="F1617" t="s">
        <v>1643</v>
      </c>
      <c r="G1617" t="s">
        <v>4015</v>
      </c>
      <c r="H1617">
        <v>0</v>
      </c>
      <c r="I1617">
        <v>0</v>
      </c>
      <c r="J1617">
        <v>0</v>
      </c>
      <c r="K1617">
        <v>0</v>
      </c>
      <c r="L1617" s="22" t="str">
        <f t="shared" si="509"/>
        <v>25/07/2026</v>
      </c>
      <c r="M1617" s="23">
        <f t="shared" si="510"/>
        <v>0.64583333333333337</v>
      </c>
      <c r="N1617" t="str">
        <f t="shared" si="511"/>
        <v>0 - 0</v>
      </c>
      <c r="O1617" t="str">
        <f t="shared" si="512"/>
        <v>Red</v>
      </c>
      <c r="P1617" t="str">
        <f t="shared" si="513"/>
        <v>Green</v>
      </c>
      <c r="Q1617" t="str">
        <f t="shared" si="514"/>
        <v>Red</v>
      </c>
      <c r="R1617" t="str">
        <f t="shared" si="515"/>
        <v>Green</v>
      </c>
      <c r="S1617" t="str">
        <f t="shared" si="516"/>
        <v>Green</v>
      </c>
      <c r="T1617" t="str">
        <f t="shared" si="517"/>
        <v>Red</v>
      </c>
      <c r="U1617" t="str">
        <f t="shared" si="518"/>
        <v>Red</v>
      </c>
      <c r="V1617" t="str">
        <f t="shared" si="519"/>
        <v>Green</v>
      </c>
      <c r="W1617" t="str">
        <f t="shared" si="520"/>
        <v>Red</v>
      </c>
      <c r="X1617" t="str">
        <f t="shared" si="521"/>
        <v>Red</v>
      </c>
      <c r="Y1617" t="str">
        <f t="shared" si="522"/>
        <v>Red</v>
      </c>
      <c r="Z1617" t="str">
        <f t="shared" si="523"/>
        <v>Red</v>
      </c>
      <c r="AA1617" t="str">
        <f t="shared" si="524"/>
        <v>Green</v>
      </c>
      <c r="AB1617" t="str">
        <f t="shared" si="525"/>
        <v>Green</v>
      </c>
      <c r="AC1617" t="str">
        <f t="shared" si="526"/>
        <v>Red</v>
      </c>
      <c r="AD1617" t="str">
        <f t="shared" si="527"/>
        <v>Green</v>
      </c>
    </row>
    <row r="1618" spans="1:30" x14ac:dyDescent="0.2">
      <c r="A1618" t="str">
        <f>L1617&amp;F1618&amp;G1618</f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4016</v>
      </c>
      <c r="H1618">
        <v>0</v>
      </c>
      <c r="I1618">
        <v>0</v>
      </c>
      <c r="J1618">
        <v>2</v>
      </c>
      <c r="K1618">
        <v>0</v>
      </c>
      <c r="L1618" s="22" t="str">
        <f t="shared" si="509"/>
        <v>25/07/2026</v>
      </c>
      <c r="M1618" s="23">
        <f t="shared" si="510"/>
        <v>0.64583333333333337</v>
      </c>
      <c r="N1618" t="str">
        <f t="shared" si="511"/>
        <v>2 - 0</v>
      </c>
      <c r="O1618" t="str">
        <f t="shared" si="512"/>
        <v>Green</v>
      </c>
      <c r="P1618" t="str">
        <f t="shared" si="513"/>
        <v>Red</v>
      </c>
      <c r="Q1618" t="str">
        <f t="shared" si="514"/>
        <v>Red</v>
      </c>
      <c r="R1618" t="str">
        <f t="shared" si="515"/>
        <v>Green</v>
      </c>
      <c r="S1618" t="str">
        <f t="shared" si="516"/>
        <v>Red</v>
      </c>
      <c r="T1618" t="str">
        <f t="shared" si="517"/>
        <v>Green</v>
      </c>
      <c r="U1618" t="str">
        <f t="shared" si="518"/>
        <v>Red</v>
      </c>
      <c r="V1618" t="str">
        <f t="shared" si="519"/>
        <v>Green</v>
      </c>
      <c r="W1618" t="str">
        <f t="shared" si="520"/>
        <v>Red</v>
      </c>
      <c r="X1618" t="str">
        <f t="shared" si="521"/>
        <v>Red</v>
      </c>
      <c r="Y1618" t="str">
        <f t="shared" si="522"/>
        <v>Green</v>
      </c>
      <c r="Z1618" t="str">
        <f t="shared" si="523"/>
        <v>Red</v>
      </c>
      <c r="AA1618" t="str">
        <f t="shared" si="524"/>
        <v>Green</v>
      </c>
      <c r="AB1618" t="str">
        <f t="shared" si="525"/>
        <v>Green</v>
      </c>
      <c r="AC1618" t="str">
        <f t="shared" si="526"/>
        <v>Red</v>
      </c>
      <c r="AD1618" t="str">
        <f t="shared" si="527"/>
        <v>Green</v>
      </c>
    </row>
    <row r="1619" spans="1:30" x14ac:dyDescent="0.2">
      <c r="A1619" t="str">
        <f>L1618&amp;F1619&amp;G1619</f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4017</v>
      </c>
      <c r="H1619">
        <v>2</v>
      </c>
      <c r="I1619">
        <v>1</v>
      </c>
      <c r="J1619">
        <v>3</v>
      </c>
      <c r="K1619">
        <v>2</v>
      </c>
      <c r="L1619" s="22" t="str">
        <f t="shared" si="509"/>
        <v>25/07/2026</v>
      </c>
      <c r="M1619" s="23">
        <f t="shared" si="510"/>
        <v>0.65555555555555556</v>
      </c>
      <c r="N1619" t="str">
        <f t="shared" si="511"/>
        <v>3 - 2</v>
      </c>
      <c r="O1619" t="str">
        <f t="shared" si="512"/>
        <v>Green</v>
      </c>
      <c r="P1619" t="str">
        <f t="shared" si="513"/>
        <v>Red</v>
      </c>
      <c r="Q1619" t="str">
        <f t="shared" si="514"/>
        <v>Red</v>
      </c>
      <c r="R1619" t="str">
        <f t="shared" si="515"/>
        <v>Green</v>
      </c>
      <c r="S1619" t="str">
        <f t="shared" si="516"/>
        <v>Red</v>
      </c>
      <c r="T1619" t="str">
        <f t="shared" si="517"/>
        <v>Green</v>
      </c>
      <c r="U1619" t="str">
        <f t="shared" si="518"/>
        <v>Green</v>
      </c>
      <c r="V1619" t="str">
        <f t="shared" si="519"/>
        <v>Red</v>
      </c>
      <c r="W1619" t="str">
        <f t="shared" si="520"/>
        <v>Red</v>
      </c>
      <c r="X1619" t="str">
        <f t="shared" si="521"/>
        <v>Green</v>
      </c>
      <c r="Y1619" t="str">
        <f t="shared" si="522"/>
        <v>Green</v>
      </c>
      <c r="Z1619" t="str">
        <f t="shared" si="523"/>
        <v>Green</v>
      </c>
      <c r="AA1619" t="str">
        <f t="shared" si="524"/>
        <v>Red</v>
      </c>
      <c r="AB1619" t="str">
        <f t="shared" si="525"/>
        <v>Red</v>
      </c>
      <c r="AC1619" t="str">
        <f t="shared" si="526"/>
        <v>Green</v>
      </c>
      <c r="AD1619" t="str">
        <f t="shared" si="527"/>
        <v>Red</v>
      </c>
    </row>
    <row r="1620" spans="1:30" x14ac:dyDescent="0.2">
      <c r="A1620" t="str">
        <f>L1619&amp;F1620&amp;G1620</f>
        <v>25/07/2026Sligo FCDrogheda United</v>
      </c>
      <c r="D1620" s="2">
        <v>46228</v>
      </c>
      <c r="E1620" s="3">
        <v>0.78125</v>
      </c>
      <c r="F1620" t="s">
        <v>3371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09"/>
        <v>25/07/2026</v>
      </c>
      <c r="M1620" s="23">
        <f t="shared" si="510"/>
        <v>0.65625</v>
      </c>
      <c r="N1620" t="str">
        <f t="shared" si="511"/>
        <v>2 - 2</v>
      </c>
      <c r="O1620" t="str">
        <f t="shared" si="512"/>
        <v>Red</v>
      </c>
      <c r="P1620" t="str">
        <f t="shared" si="513"/>
        <v>Green</v>
      </c>
      <c r="Q1620" t="str">
        <f t="shared" si="514"/>
        <v>Red</v>
      </c>
      <c r="R1620" t="str">
        <f t="shared" si="515"/>
        <v>Green</v>
      </c>
      <c r="S1620" t="str">
        <f t="shared" si="516"/>
        <v>Green</v>
      </c>
      <c r="T1620" t="str">
        <f t="shared" si="517"/>
        <v>Red</v>
      </c>
      <c r="U1620" t="str">
        <f t="shared" si="518"/>
        <v>Green</v>
      </c>
      <c r="V1620" t="str">
        <f t="shared" si="519"/>
        <v>Red</v>
      </c>
      <c r="W1620" t="str">
        <f t="shared" si="520"/>
        <v>Red</v>
      </c>
      <c r="X1620" t="str">
        <f t="shared" si="521"/>
        <v>Green</v>
      </c>
      <c r="Y1620" t="str">
        <f t="shared" si="522"/>
        <v>Green</v>
      </c>
      <c r="Z1620" t="str">
        <f t="shared" si="523"/>
        <v>Green</v>
      </c>
      <c r="AA1620" t="str">
        <f t="shared" si="524"/>
        <v>Red</v>
      </c>
      <c r="AB1620" t="str">
        <f t="shared" si="525"/>
        <v>Red</v>
      </c>
      <c r="AC1620" t="str">
        <f t="shared" si="526"/>
        <v>Green</v>
      </c>
      <c r="AD1620" t="str">
        <f t="shared" si="527"/>
        <v>Red</v>
      </c>
    </row>
    <row r="1621" spans="1:30" x14ac:dyDescent="0.2">
      <c r="A1621" t="str">
        <f>L1620&amp;F1621&amp;G1621</f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2768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09"/>
        <v>25/07/2026</v>
      </c>
      <c r="M1621" s="23">
        <f t="shared" si="510"/>
        <v>0.66666666666666663</v>
      </c>
      <c r="N1621" t="str">
        <f t="shared" si="511"/>
        <v>1 - 0</v>
      </c>
      <c r="O1621" t="str">
        <f t="shared" si="512"/>
        <v>Green</v>
      </c>
      <c r="P1621" t="str">
        <f t="shared" si="513"/>
        <v>Red</v>
      </c>
      <c r="Q1621" t="str">
        <f t="shared" si="514"/>
        <v>Red</v>
      </c>
      <c r="R1621" t="str">
        <f t="shared" si="515"/>
        <v>Green</v>
      </c>
      <c r="S1621" t="str">
        <f t="shared" si="516"/>
        <v>Red</v>
      </c>
      <c r="T1621" t="str">
        <f t="shared" si="517"/>
        <v>Green</v>
      </c>
      <c r="U1621" t="str">
        <f t="shared" si="518"/>
        <v>Red</v>
      </c>
      <c r="V1621" t="str">
        <f t="shared" si="519"/>
        <v>Green</v>
      </c>
      <c r="W1621" t="str">
        <f t="shared" si="520"/>
        <v>Red</v>
      </c>
      <c r="X1621" t="str">
        <f t="shared" si="521"/>
        <v>Red</v>
      </c>
      <c r="Y1621" t="str">
        <f t="shared" si="522"/>
        <v>Red</v>
      </c>
      <c r="Z1621" t="str">
        <f t="shared" si="523"/>
        <v>Red</v>
      </c>
      <c r="AA1621" t="str">
        <f t="shared" si="524"/>
        <v>Green</v>
      </c>
      <c r="AB1621" t="str">
        <f t="shared" si="525"/>
        <v>Green</v>
      </c>
      <c r="AC1621" t="str">
        <f t="shared" si="526"/>
        <v>Red</v>
      </c>
      <c r="AD1621" t="str">
        <f t="shared" si="527"/>
        <v>Green</v>
      </c>
    </row>
    <row r="1622" spans="1:30" x14ac:dyDescent="0.2">
      <c r="A1622" t="str">
        <f>L1621&amp;F1622&amp;G1622</f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09"/>
        <v>25/07/2026</v>
      </c>
      <c r="M1622" s="23">
        <f t="shared" si="510"/>
        <v>0.66666666666666663</v>
      </c>
      <c r="N1622" t="str">
        <f t="shared" si="511"/>
        <v>3 - 1</v>
      </c>
      <c r="O1622" t="str">
        <f t="shared" si="512"/>
        <v>Green</v>
      </c>
      <c r="P1622" t="str">
        <f t="shared" si="513"/>
        <v>Red</v>
      </c>
      <c r="Q1622" t="str">
        <f t="shared" si="514"/>
        <v>Red</v>
      </c>
      <c r="R1622" t="str">
        <f t="shared" si="515"/>
        <v>Green</v>
      </c>
      <c r="S1622" t="str">
        <f t="shared" si="516"/>
        <v>Red</v>
      </c>
      <c r="T1622" t="str">
        <f t="shared" si="517"/>
        <v>Green</v>
      </c>
      <c r="U1622" t="str">
        <f t="shared" si="518"/>
        <v>Green</v>
      </c>
      <c r="V1622" t="str">
        <f t="shared" si="519"/>
        <v>Red</v>
      </c>
      <c r="W1622" t="str">
        <f t="shared" si="520"/>
        <v>Red</v>
      </c>
      <c r="X1622" t="str">
        <f t="shared" si="521"/>
        <v>Green</v>
      </c>
      <c r="Y1622" t="str">
        <f t="shared" si="522"/>
        <v>Green</v>
      </c>
      <c r="Z1622" t="str">
        <f t="shared" si="523"/>
        <v>Green</v>
      </c>
      <c r="AA1622" t="str">
        <f t="shared" si="524"/>
        <v>Red</v>
      </c>
      <c r="AB1622" t="str">
        <f t="shared" si="525"/>
        <v>Red</v>
      </c>
      <c r="AC1622" t="str">
        <f t="shared" si="526"/>
        <v>Green</v>
      </c>
      <c r="AD1622" t="str">
        <f t="shared" si="527"/>
        <v>Red</v>
      </c>
    </row>
    <row r="1623" spans="1:30" x14ac:dyDescent="0.2">
      <c r="A1623" t="str">
        <f>L1622&amp;F1623&amp;G1623</f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3055</v>
      </c>
      <c r="H1623">
        <v>1</v>
      </c>
      <c r="I1623">
        <v>1</v>
      </c>
      <c r="J1623">
        <v>1</v>
      </c>
      <c r="K1623">
        <v>1</v>
      </c>
      <c r="L1623" s="22" t="str">
        <f t="shared" si="509"/>
        <v>25/07/2026</v>
      </c>
      <c r="M1623" s="23">
        <f t="shared" si="510"/>
        <v>0.66666666666666663</v>
      </c>
      <c r="N1623" t="str">
        <f t="shared" si="511"/>
        <v>1 - 1</v>
      </c>
      <c r="O1623" t="str">
        <f t="shared" si="512"/>
        <v>Red</v>
      </c>
      <c r="P1623" t="str">
        <f t="shared" si="513"/>
        <v>Green</v>
      </c>
      <c r="Q1623" t="str">
        <f t="shared" si="514"/>
        <v>Red</v>
      </c>
      <c r="R1623" t="str">
        <f t="shared" si="515"/>
        <v>Green</v>
      </c>
      <c r="S1623" t="str">
        <f t="shared" si="516"/>
        <v>Green</v>
      </c>
      <c r="T1623" t="str">
        <f t="shared" si="517"/>
        <v>Red</v>
      </c>
      <c r="U1623" t="str">
        <f t="shared" si="518"/>
        <v>Red</v>
      </c>
      <c r="V1623" t="str">
        <f t="shared" si="519"/>
        <v>Green</v>
      </c>
      <c r="W1623" t="str">
        <f t="shared" si="520"/>
        <v>Red</v>
      </c>
      <c r="X1623" t="str">
        <f t="shared" si="521"/>
        <v>Green</v>
      </c>
      <c r="Y1623" t="str">
        <f t="shared" si="522"/>
        <v>Green</v>
      </c>
      <c r="Z1623" t="str">
        <f t="shared" si="523"/>
        <v>Red</v>
      </c>
      <c r="AA1623" t="str">
        <f t="shared" si="524"/>
        <v>Green</v>
      </c>
      <c r="AB1623" t="str">
        <f t="shared" si="525"/>
        <v>Green</v>
      </c>
      <c r="AC1623" t="str">
        <f t="shared" si="526"/>
        <v>Green</v>
      </c>
      <c r="AD1623" t="str">
        <f t="shared" si="527"/>
        <v>Red</v>
      </c>
    </row>
    <row r="1624" spans="1:30" x14ac:dyDescent="0.2">
      <c r="A1624" t="str">
        <f>L1623&amp;F1624&amp;G1624</f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3056</v>
      </c>
      <c r="G1624" t="s">
        <v>3057</v>
      </c>
      <c r="H1624">
        <v>0</v>
      </c>
      <c r="I1624">
        <v>0</v>
      </c>
      <c r="J1624">
        <v>1</v>
      </c>
      <c r="K1624">
        <v>0</v>
      </c>
      <c r="L1624" s="22" t="str">
        <f t="shared" si="509"/>
        <v>25/07/2026</v>
      </c>
      <c r="M1624" s="23">
        <f t="shared" si="510"/>
        <v>0.66666666666666663</v>
      </c>
      <c r="N1624" t="str">
        <f t="shared" si="511"/>
        <v>1 - 0</v>
      </c>
      <c r="O1624" t="str">
        <f t="shared" si="512"/>
        <v>Green</v>
      </c>
      <c r="P1624" t="str">
        <f t="shared" si="513"/>
        <v>Red</v>
      </c>
      <c r="Q1624" t="str">
        <f t="shared" si="514"/>
        <v>Red</v>
      </c>
      <c r="R1624" t="str">
        <f t="shared" si="515"/>
        <v>Green</v>
      </c>
      <c r="S1624" t="str">
        <f t="shared" si="516"/>
        <v>Red</v>
      </c>
      <c r="T1624" t="str">
        <f t="shared" si="517"/>
        <v>Green</v>
      </c>
      <c r="U1624" t="str">
        <f t="shared" si="518"/>
        <v>Red</v>
      </c>
      <c r="V1624" t="str">
        <f t="shared" si="519"/>
        <v>Green</v>
      </c>
      <c r="W1624" t="str">
        <f t="shared" si="520"/>
        <v>Red</v>
      </c>
      <c r="X1624" t="str">
        <f t="shared" si="521"/>
        <v>Red</v>
      </c>
      <c r="Y1624" t="str">
        <f t="shared" si="522"/>
        <v>Red</v>
      </c>
      <c r="Z1624" t="str">
        <f t="shared" si="523"/>
        <v>Red</v>
      </c>
      <c r="AA1624" t="str">
        <f t="shared" si="524"/>
        <v>Green</v>
      </c>
      <c r="AB1624" t="str">
        <f t="shared" si="525"/>
        <v>Green</v>
      </c>
      <c r="AC1624" t="str">
        <f t="shared" si="526"/>
        <v>Red</v>
      </c>
      <c r="AD1624" t="str">
        <f t="shared" si="527"/>
        <v>Green</v>
      </c>
    </row>
    <row r="1625" spans="1:30" x14ac:dyDescent="0.2">
      <c r="A1625" t="str">
        <f>L1624&amp;F1625&amp;G1625</f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3058</v>
      </c>
      <c r="G1625" t="s">
        <v>3059</v>
      </c>
      <c r="H1625">
        <v>0</v>
      </c>
      <c r="I1625">
        <v>0</v>
      </c>
      <c r="J1625">
        <v>2</v>
      </c>
      <c r="K1625">
        <v>1</v>
      </c>
      <c r="L1625" s="22" t="str">
        <f t="shared" si="509"/>
        <v>25/07/2026</v>
      </c>
      <c r="M1625" s="23">
        <f t="shared" si="510"/>
        <v>0.66666666666666663</v>
      </c>
      <c r="N1625" t="str">
        <f t="shared" si="511"/>
        <v>2 - 1</v>
      </c>
      <c r="O1625" t="str">
        <f t="shared" si="512"/>
        <v>Green</v>
      </c>
      <c r="P1625" t="str">
        <f t="shared" si="513"/>
        <v>Red</v>
      </c>
      <c r="Q1625" t="str">
        <f t="shared" si="514"/>
        <v>Red</v>
      </c>
      <c r="R1625" t="str">
        <f t="shared" si="515"/>
        <v>Green</v>
      </c>
      <c r="S1625" t="str">
        <f t="shared" si="516"/>
        <v>Red</v>
      </c>
      <c r="T1625" t="str">
        <f t="shared" si="517"/>
        <v>Green</v>
      </c>
      <c r="U1625" t="str">
        <f t="shared" si="518"/>
        <v>Red</v>
      </c>
      <c r="V1625" t="str">
        <f t="shared" si="519"/>
        <v>Green</v>
      </c>
      <c r="W1625" t="str">
        <f t="shared" si="520"/>
        <v>Red</v>
      </c>
      <c r="X1625" t="str">
        <f t="shared" si="521"/>
        <v>Red</v>
      </c>
      <c r="Y1625" t="str">
        <f t="shared" si="522"/>
        <v>Green</v>
      </c>
      <c r="Z1625" t="str">
        <f t="shared" si="523"/>
        <v>Green</v>
      </c>
      <c r="AA1625" t="str">
        <f t="shared" si="524"/>
        <v>Red</v>
      </c>
      <c r="AB1625" t="str">
        <f t="shared" si="525"/>
        <v>Green</v>
      </c>
      <c r="AC1625" t="str">
        <f t="shared" si="526"/>
        <v>Green</v>
      </c>
      <c r="AD1625" t="str">
        <f t="shared" si="527"/>
        <v>Red</v>
      </c>
    </row>
    <row r="1626" spans="1:30" x14ac:dyDescent="0.2">
      <c r="A1626" t="str">
        <f>L1625&amp;F1626&amp;G1626</f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3068</v>
      </c>
      <c r="G1626" t="s">
        <v>3069</v>
      </c>
      <c r="H1626">
        <v>0</v>
      </c>
      <c r="I1626">
        <v>1</v>
      </c>
      <c r="J1626">
        <v>0</v>
      </c>
      <c r="K1626">
        <v>1</v>
      </c>
      <c r="L1626" s="22" t="str">
        <f t="shared" si="509"/>
        <v>25/07/2026</v>
      </c>
      <c r="M1626" s="23">
        <f t="shared" si="510"/>
        <v>0.66666666666666663</v>
      </c>
      <c r="N1626" t="str">
        <f t="shared" si="511"/>
        <v>0 - 1</v>
      </c>
      <c r="O1626" t="str">
        <f t="shared" si="512"/>
        <v>Red</v>
      </c>
      <c r="P1626" t="str">
        <f t="shared" si="513"/>
        <v>Red</v>
      </c>
      <c r="Q1626" t="str">
        <f t="shared" si="514"/>
        <v>Green</v>
      </c>
      <c r="R1626" t="str">
        <f t="shared" si="515"/>
        <v>Red</v>
      </c>
      <c r="S1626" t="str">
        <f t="shared" si="516"/>
        <v>Green</v>
      </c>
      <c r="T1626" t="str">
        <f t="shared" si="517"/>
        <v>Green</v>
      </c>
      <c r="U1626" t="str">
        <f t="shared" si="518"/>
        <v>Red</v>
      </c>
      <c r="V1626" t="str">
        <f t="shared" si="519"/>
        <v>Red</v>
      </c>
      <c r="W1626" t="str">
        <f t="shared" si="520"/>
        <v>Green</v>
      </c>
      <c r="X1626" t="str">
        <f t="shared" si="521"/>
        <v>Green</v>
      </c>
      <c r="Y1626" t="str">
        <f t="shared" si="522"/>
        <v>Red</v>
      </c>
      <c r="Z1626" t="str">
        <f t="shared" si="523"/>
        <v>Red</v>
      </c>
      <c r="AA1626" t="str">
        <f t="shared" si="524"/>
        <v>Green</v>
      </c>
      <c r="AB1626" t="str">
        <f t="shared" si="525"/>
        <v>Green</v>
      </c>
      <c r="AC1626" t="str">
        <f t="shared" si="526"/>
        <v>Red</v>
      </c>
      <c r="AD1626" t="str">
        <f t="shared" si="527"/>
        <v>Green</v>
      </c>
    </row>
    <row r="1627" spans="1:30" x14ac:dyDescent="0.2">
      <c r="A1627" t="str">
        <f>L1626&amp;F1627&amp;G1627</f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09"/>
        <v>25/07/2026</v>
      </c>
      <c r="M1627" s="23">
        <f t="shared" si="510"/>
        <v>0.66666666666666663</v>
      </c>
      <c r="N1627" t="str">
        <f t="shared" si="511"/>
        <v>0 - 1</v>
      </c>
      <c r="O1627" t="str">
        <f t="shared" si="512"/>
        <v>Red</v>
      </c>
      <c r="P1627" t="str">
        <f t="shared" si="513"/>
        <v>Red</v>
      </c>
      <c r="Q1627" t="str">
        <f t="shared" si="514"/>
        <v>Green</v>
      </c>
      <c r="R1627" t="str">
        <f t="shared" si="515"/>
        <v>Red</v>
      </c>
      <c r="S1627" t="str">
        <f t="shared" si="516"/>
        <v>Green</v>
      </c>
      <c r="T1627" t="str">
        <f t="shared" si="517"/>
        <v>Green</v>
      </c>
      <c r="U1627" t="str">
        <f t="shared" si="518"/>
        <v>Red</v>
      </c>
      <c r="V1627" t="str">
        <f t="shared" si="519"/>
        <v>Green</v>
      </c>
      <c r="W1627" t="str">
        <f t="shared" si="520"/>
        <v>Red</v>
      </c>
      <c r="X1627" t="str">
        <f t="shared" si="521"/>
        <v>Red</v>
      </c>
      <c r="Y1627" t="str">
        <f t="shared" si="522"/>
        <v>Red</v>
      </c>
      <c r="Z1627" t="str">
        <f t="shared" si="523"/>
        <v>Red</v>
      </c>
      <c r="AA1627" t="str">
        <f t="shared" si="524"/>
        <v>Green</v>
      </c>
      <c r="AB1627" t="str">
        <f t="shared" si="525"/>
        <v>Green</v>
      </c>
      <c r="AC1627" t="str">
        <f t="shared" si="526"/>
        <v>Red</v>
      </c>
      <c r="AD1627" t="str">
        <f t="shared" si="527"/>
        <v>Green</v>
      </c>
    </row>
    <row r="1628" spans="1:30" x14ac:dyDescent="0.2">
      <c r="A1628" t="str">
        <f>L1627&amp;F1628&amp;G1628</f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3074</v>
      </c>
      <c r="G1628" t="s">
        <v>3075</v>
      </c>
      <c r="H1628">
        <v>0</v>
      </c>
      <c r="I1628">
        <v>0</v>
      </c>
      <c r="J1628">
        <v>0</v>
      </c>
      <c r="K1628">
        <v>0</v>
      </c>
      <c r="L1628" s="22" t="str">
        <f t="shared" si="509"/>
        <v>25/07/2026</v>
      </c>
      <c r="M1628" s="23">
        <f t="shared" si="510"/>
        <v>0.66666666666666663</v>
      </c>
      <c r="N1628" t="str">
        <f t="shared" si="511"/>
        <v>0 - 0</v>
      </c>
      <c r="O1628" t="str">
        <f t="shared" si="512"/>
        <v>Red</v>
      </c>
      <c r="P1628" t="str">
        <f t="shared" si="513"/>
        <v>Green</v>
      </c>
      <c r="Q1628" t="str">
        <f t="shared" si="514"/>
        <v>Red</v>
      </c>
      <c r="R1628" t="str">
        <f t="shared" si="515"/>
        <v>Green</v>
      </c>
      <c r="S1628" t="str">
        <f t="shared" si="516"/>
        <v>Green</v>
      </c>
      <c r="T1628" t="str">
        <f t="shared" si="517"/>
        <v>Red</v>
      </c>
      <c r="U1628" t="str">
        <f t="shared" si="518"/>
        <v>Red</v>
      </c>
      <c r="V1628" t="str">
        <f t="shared" si="519"/>
        <v>Green</v>
      </c>
      <c r="W1628" t="str">
        <f t="shared" si="520"/>
        <v>Red</v>
      </c>
      <c r="X1628" t="str">
        <f t="shared" si="521"/>
        <v>Red</v>
      </c>
      <c r="Y1628" t="str">
        <f t="shared" si="522"/>
        <v>Red</v>
      </c>
      <c r="Z1628" t="str">
        <f t="shared" si="523"/>
        <v>Red</v>
      </c>
      <c r="AA1628" t="str">
        <f t="shared" si="524"/>
        <v>Green</v>
      </c>
      <c r="AB1628" t="str">
        <f t="shared" si="525"/>
        <v>Green</v>
      </c>
      <c r="AC1628" t="str">
        <f t="shared" si="526"/>
        <v>Red</v>
      </c>
      <c r="AD1628" t="str">
        <f t="shared" si="527"/>
        <v>Green</v>
      </c>
    </row>
    <row r="1629" spans="1:30" x14ac:dyDescent="0.2">
      <c r="A1629" t="str">
        <f>L1628&amp;F1629&amp;G1629</f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3084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09"/>
        <v>25/07/2026</v>
      </c>
      <c r="M1629" s="23">
        <f t="shared" si="510"/>
        <v>0.66666666666666663</v>
      </c>
      <c r="N1629" t="str">
        <f t="shared" si="511"/>
        <v>0 - 4</v>
      </c>
      <c r="O1629" t="str">
        <f t="shared" si="512"/>
        <v>Red</v>
      </c>
      <c r="P1629" t="str">
        <f t="shared" si="513"/>
        <v>Red</v>
      </c>
      <c r="Q1629" t="str">
        <f t="shared" si="514"/>
        <v>Green</v>
      </c>
      <c r="R1629" t="str">
        <f t="shared" si="515"/>
        <v>Red</v>
      </c>
      <c r="S1629" t="str">
        <f t="shared" si="516"/>
        <v>Green</v>
      </c>
      <c r="T1629" t="str">
        <f t="shared" si="517"/>
        <v>Green</v>
      </c>
      <c r="U1629" t="str">
        <f t="shared" si="518"/>
        <v>Red</v>
      </c>
      <c r="V1629" t="str">
        <f t="shared" si="519"/>
        <v>Red</v>
      </c>
      <c r="W1629" t="str">
        <f t="shared" si="520"/>
        <v>Green</v>
      </c>
      <c r="X1629" t="str">
        <f t="shared" si="521"/>
        <v>Green</v>
      </c>
      <c r="Y1629" t="str">
        <f t="shared" si="522"/>
        <v>Green</v>
      </c>
      <c r="Z1629" t="str">
        <f t="shared" si="523"/>
        <v>Green</v>
      </c>
      <c r="AA1629" t="str">
        <f t="shared" si="524"/>
        <v>Red</v>
      </c>
      <c r="AB1629" t="str">
        <f t="shared" si="525"/>
        <v>Red</v>
      </c>
      <c r="AC1629" t="str">
        <f t="shared" si="526"/>
        <v>Red</v>
      </c>
      <c r="AD1629" t="str">
        <f t="shared" si="527"/>
        <v>Green</v>
      </c>
    </row>
    <row r="1630" spans="1:30" x14ac:dyDescent="0.2">
      <c r="A1630" t="str">
        <f>L1629&amp;F1630&amp;G1630</f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3085</v>
      </c>
      <c r="G1630" t="s">
        <v>3086</v>
      </c>
      <c r="H1630">
        <v>0</v>
      </c>
      <c r="I1630">
        <v>0</v>
      </c>
      <c r="J1630">
        <v>0</v>
      </c>
      <c r="K1630">
        <v>0</v>
      </c>
      <c r="L1630" s="22" t="str">
        <f t="shared" si="509"/>
        <v>25/07/2026</v>
      </c>
      <c r="M1630" s="23">
        <f t="shared" si="510"/>
        <v>0.66666666666666663</v>
      </c>
      <c r="N1630" t="str">
        <f t="shared" si="511"/>
        <v>0 - 0</v>
      </c>
      <c r="O1630" t="str">
        <f t="shared" si="512"/>
        <v>Red</v>
      </c>
      <c r="P1630" t="str">
        <f t="shared" si="513"/>
        <v>Green</v>
      </c>
      <c r="Q1630" t="str">
        <f t="shared" si="514"/>
        <v>Red</v>
      </c>
      <c r="R1630" t="str">
        <f t="shared" si="515"/>
        <v>Green</v>
      </c>
      <c r="S1630" t="str">
        <f t="shared" si="516"/>
        <v>Green</v>
      </c>
      <c r="T1630" t="str">
        <f t="shared" si="517"/>
        <v>Red</v>
      </c>
      <c r="U1630" t="str">
        <f t="shared" si="518"/>
        <v>Red</v>
      </c>
      <c r="V1630" t="str">
        <f t="shared" si="519"/>
        <v>Green</v>
      </c>
      <c r="W1630" t="str">
        <f t="shared" si="520"/>
        <v>Red</v>
      </c>
      <c r="X1630" t="str">
        <f t="shared" si="521"/>
        <v>Red</v>
      </c>
      <c r="Y1630" t="str">
        <f t="shared" si="522"/>
        <v>Red</v>
      </c>
      <c r="Z1630" t="str">
        <f t="shared" si="523"/>
        <v>Red</v>
      </c>
      <c r="AA1630" t="str">
        <f t="shared" si="524"/>
        <v>Green</v>
      </c>
      <c r="AB1630" t="str">
        <f t="shared" si="525"/>
        <v>Green</v>
      </c>
      <c r="AC1630" t="str">
        <f t="shared" si="526"/>
        <v>Red</v>
      </c>
      <c r="AD1630" t="str">
        <f t="shared" si="527"/>
        <v>Green</v>
      </c>
    </row>
    <row r="1631" spans="1:30" x14ac:dyDescent="0.2">
      <c r="A1631" t="str">
        <f>L1630&amp;F1631&amp;G1631</f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3119</v>
      </c>
      <c r="L1631" s="22" t="str">
        <f t="shared" si="509"/>
        <v>25/07/2026</v>
      </c>
      <c r="M1631" s="23">
        <f t="shared" si="510"/>
        <v>0.66666666666666663</v>
      </c>
      <c r="N1631" t="str">
        <f t="shared" si="511"/>
        <v xml:space="preserve"> - </v>
      </c>
      <c r="O1631" t="str">
        <f t="shared" si="512"/>
        <v>Red</v>
      </c>
      <c r="P1631" t="str">
        <f t="shared" si="513"/>
        <v>Green</v>
      </c>
      <c r="Q1631" t="str">
        <f t="shared" si="514"/>
        <v>Red</v>
      </c>
      <c r="R1631" t="str">
        <f t="shared" si="515"/>
        <v>Green</v>
      </c>
      <c r="S1631" t="str">
        <f t="shared" si="516"/>
        <v>Green</v>
      </c>
      <c r="T1631" t="str">
        <f t="shared" si="517"/>
        <v>Red</v>
      </c>
      <c r="U1631" t="str">
        <f t="shared" si="518"/>
        <v>Red</v>
      </c>
      <c r="V1631" t="str">
        <f t="shared" si="519"/>
        <v>Green</v>
      </c>
      <c r="W1631" t="str">
        <f t="shared" si="520"/>
        <v>Red</v>
      </c>
      <c r="X1631" t="str">
        <f t="shared" si="521"/>
        <v>Red</v>
      </c>
      <c r="Y1631" t="str">
        <f t="shared" si="522"/>
        <v>Red</v>
      </c>
      <c r="Z1631" t="str">
        <f t="shared" si="523"/>
        <v>Red</v>
      </c>
      <c r="AA1631" t="str">
        <f t="shared" si="524"/>
        <v>Green</v>
      </c>
      <c r="AB1631" t="str">
        <f t="shared" si="525"/>
        <v>Green</v>
      </c>
      <c r="AC1631" t="str">
        <f t="shared" si="526"/>
        <v>Red</v>
      </c>
      <c r="AD1631" t="str">
        <f t="shared" si="527"/>
        <v>Green</v>
      </c>
    </row>
    <row r="1632" spans="1:30" x14ac:dyDescent="0.2">
      <c r="A1632" t="str">
        <f>L1631&amp;F1632&amp;G1632</f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3122</v>
      </c>
      <c r="H1632">
        <v>0</v>
      </c>
      <c r="I1632">
        <v>1</v>
      </c>
      <c r="J1632">
        <v>1</v>
      </c>
      <c r="K1632">
        <v>2</v>
      </c>
      <c r="L1632" s="22" t="str">
        <f t="shared" si="509"/>
        <v>25/07/2026</v>
      </c>
      <c r="M1632" s="23">
        <f t="shared" si="510"/>
        <v>0.66666666666666663</v>
      </c>
      <c r="N1632" t="str">
        <f t="shared" si="511"/>
        <v>1 - 2</v>
      </c>
      <c r="O1632" t="str">
        <f t="shared" si="512"/>
        <v>Red</v>
      </c>
      <c r="P1632" t="str">
        <f t="shared" si="513"/>
        <v>Red</v>
      </c>
      <c r="Q1632" t="str">
        <f t="shared" si="514"/>
        <v>Green</v>
      </c>
      <c r="R1632" t="str">
        <f t="shared" si="515"/>
        <v>Red</v>
      </c>
      <c r="S1632" t="str">
        <f t="shared" si="516"/>
        <v>Green</v>
      </c>
      <c r="T1632" t="str">
        <f t="shared" si="517"/>
        <v>Green</v>
      </c>
      <c r="U1632" t="str">
        <f t="shared" si="518"/>
        <v>Red</v>
      </c>
      <c r="V1632" t="str">
        <f t="shared" si="519"/>
        <v>Red</v>
      </c>
      <c r="W1632" t="str">
        <f t="shared" si="520"/>
        <v>Green</v>
      </c>
      <c r="X1632" t="str">
        <f t="shared" si="521"/>
        <v>Green</v>
      </c>
      <c r="Y1632" t="str">
        <f t="shared" si="522"/>
        <v>Green</v>
      </c>
      <c r="Z1632" t="str">
        <f t="shared" si="523"/>
        <v>Green</v>
      </c>
      <c r="AA1632" t="str">
        <f t="shared" si="524"/>
        <v>Red</v>
      </c>
      <c r="AB1632" t="str">
        <f t="shared" si="525"/>
        <v>Green</v>
      </c>
      <c r="AC1632" t="str">
        <f t="shared" si="526"/>
        <v>Green</v>
      </c>
      <c r="AD1632" t="str">
        <f t="shared" si="527"/>
        <v>Red</v>
      </c>
    </row>
    <row r="1633" spans="1:30" x14ac:dyDescent="0.2">
      <c r="A1633" t="str">
        <f>L1632&amp;F1633&amp;G1633</f>
        <v>25/07/2026Santiago Wanderers WomenUniversidad de Chile Women</v>
      </c>
      <c r="D1633" s="2">
        <v>46228</v>
      </c>
      <c r="E1633" s="3">
        <v>0.79166666666666663</v>
      </c>
      <c r="F1633" t="s">
        <v>3124</v>
      </c>
      <c r="G1633" t="s">
        <v>3125</v>
      </c>
      <c r="L1633" s="22" t="str">
        <f t="shared" si="509"/>
        <v>25/07/2026</v>
      </c>
      <c r="M1633" s="23">
        <f t="shared" si="510"/>
        <v>0.66666666666666663</v>
      </c>
      <c r="N1633" t="str">
        <f t="shared" si="511"/>
        <v xml:space="preserve"> - </v>
      </c>
      <c r="O1633" t="str">
        <f t="shared" si="512"/>
        <v>Red</v>
      </c>
      <c r="P1633" t="str">
        <f t="shared" si="513"/>
        <v>Green</v>
      </c>
      <c r="Q1633" t="str">
        <f t="shared" si="514"/>
        <v>Red</v>
      </c>
      <c r="R1633" t="str">
        <f t="shared" si="515"/>
        <v>Green</v>
      </c>
      <c r="S1633" t="str">
        <f t="shared" si="516"/>
        <v>Green</v>
      </c>
      <c r="T1633" t="str">
        <f t="shared" si="517"/>
        <v>Red</v>
      </c>
      <c r="U1633" t="str">
        <f t="shared" si="518"/>
        <v>Red</v>
      </c>
      <c r="V1633" t="str">
        <f t="shared" si="519"/>
        <v>Green</v>
      </c>
      <c r="W1633" t="str">
        <f t="shared" si="520"/>
        <v>Red</v>
      </c>
      <c r="X1633" t="str">
        <f t="shared" si="521"/>
        <v>Red</v>
      </c>
      <c r="Y1633" t="str">
        <f t="shared" si="522"/>
        <v>Red</v>
      </c>
      <c r="Z1633" t="str">
        <f t="shared" si="523"/>
        <v>Red</v>
      </c>
      <c r="AA1633" t="str">
        <f t="shared" si="524"/>
        <v>Green</v>
      </c>
      <c r="AB1633" t="str">
        <f t="shared" si="525"/>
        <v>Green</v>
      </c>
      <c r="AC1633" t="str">
        <f t="shared" si="526"/>
        <v>Red</v>
      </c>
      <c r="AD1633" t="str">
        <f t="shared" si="527"/>
        <v>Green</v>
      </c>
    </row>
    <row r="1634" spans="1:30" x14ac:dyDescent="0.2">
      <c r="A1634" t="str">
        <f>L1633&amp;F1634&amp;G1634</f>
        <v>25/07/2026San Pedro (GTM)Club Xelaju</v>
      </c>
      <c r="D1634" s="2">
        <v>46228</v>
      </c>
      <c r="E1634" s="3">
        <v>0.79166666666666663</v>
      </c>
      <c r="F1634" t="s">
        <v>3298</v>
      </c>
      <c r="G1634" t="s">
        <v>3299</v>
      </c>
      <c r="H1634">
        <v>0</v>
      </c>
      <c r="I1634">
        <v>0</v>
      </c>
      <c r="J1634">
        <v>1</v>
      </c>
      <c r="K1634">
        <v>0</v>
      </c>
      <c r="L1634" s="22" t="str">
        <f t="shared" si="509"/>
        <v>25/07/2026</v>
      </c>
      <c r="M1634" s="23">
        <f t="shared" si="510"/>
        <v>0.66666666666666663</v>
      </c>
      <c r="N1634" t="str">
        <f t="shared" si="511"/>
        <v>1 - 0</v>
      </c>
      <c r="O1634" t="str">
        <f t="shared" si="512"/>
        <v>Green</v>
      </c>
      <c r="P1634" t="str">
        <f t="shared" si="513"/>
        <v>Red</v>
      </c>
      <c r="Q1634" t="str">
        <f t="shared" si="514"/>
        <v>Red</v>
      </c>
      <c r="R1634" t="str">
        <f t="shared" si="515"/>
        <v>Green</v>
      </c>
      <c r="S1634" t="str">
        <f t="shared" si="516"/>
        <v>Red</v>
      </c>
      <c r="T1634" t="str">
        <f t="shared" si="517"/>
        <v>Green</v>
      </c>
      <c r="U1634" t="str">
        <f t="shared" si="518"/>
        <v>Red</v>
      </c>
      <c r="V1634" t="str">
        <f t="shared" si="519"/>
        <v>Green</v>
      </c>
      <c r="W1634" t="str">
        <f t="shared" si="520"/>
        <v>Red</v>
      </c>
      <c r="X1634" t="str">
        <f t="shared" si="521"/>
        <v>Red</v>
      </c>
      <c r="Y1634" t="str">
        <f t="shared" si="522"/>
        <v>Red</v>
      </c>
      <c r="Z1634" t="str">
        <f t="shared" si="523"/>
        <v>Red</v>
      </c>
      <c r="AA1634" t="str">
        <f t="shared" si="524"/>
        <v>Green</v>
      </c>
      <c r="AB1634" t="str">
        <f t="shared" si="525"/>
        <v>Green</v>
      </c>
      <c r="AC1634" t="str">
        <f t="shared" si="526"/>
        <v>Red</v>
      </c>
      <c r="AD1634" t="str">
        <f t="shared" si="527"/>
        <v>Green</v>
      </c>
    </row>
    <row r="1635" spans="1:30" x14ac:dyDescent="0.2">
      <c r="A1635" t="str">
        <f>L1634&amp;F1635&amp;G1635</f>
        <v>25/07/2026CD RecoletaSportivo San Lorenzo</v>
      </c>
      <c r="D1635" s="2">
        <v>46228</v>
      </c>
      <c r="E1635" s="3">
        <v>0.79166666666666663</v>
      </c>
      <c r="F1635" t="s">
        <v>3521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09"/>
        <v>25/07/2026</v>
      </c>
      <c r="M1635" s="23">
        <f t="shared" si="510"/>
        <v>0.66666666666666663</v>
      </c>
      <c r="N1635" t="str">
        <f t="shared" si="511"/>
        <v>1 - 1</v>
      </c>
      <c r="O1635" t="str">
        <f t="shared" si="512"/>
        <v>Red</v>
      </c>
      <c r="P1635" t="str">
        <f t="shared" si="513"/>
        <v>Green</v>
      </c>
      <c r="Q1635" t="str">
        <f t="shared" si="514"/>
        <v>Red</v>
      </c>
      <c r="R1635" t="str">
        <f t="shared" si="515"/>
        <v>Green</v>
      </c>
      <c r="S1635" t="str">
        <f t="shared" si="516"/>
        <v>Green</v>
      </c>
      <c r="T1635" t="str">
        <f t="shared" si="517"/>
        <v>Red</v>
      </c>
      <c r="U1635" t="str">
        <f t="shared" si="518"/>
        <v>Red</v>
      </c>
      <c r="V1635" t="str">
        <f t="shared" si="519"/>
        <v>Red</v>
      </c>
      <c r="W1635" t="str">
        <f t="shared" si="520"/>
        <v>Green</v>
      </c>
      <c r="X1635" t="str">
        <f t="shared" si="521"/>
        <v>Green</v>
      </c>
      <c r="Y1635" t="str">
        <f t="shared" si="522"/>
        <v>Green</v>
      </c>
      <c r="Z1635" t="str">
        <f t="shared" si="523"/>
        <v>Red</v>
      </c>
      <c r="AA1635" t="str">
        <f t="shared" si="524"/>
        <v>Green</v>
      </c>
      <c r="AB1635" t="str">
        <f t="shared" si="525"/>
        <v>Green</v>
      </c>
      <c r="AC1635" t="str">
        <f t="shared" si="526"/>
        <v>Green</v>
      </c>
      <c r="AD1635" t="str">
        <f t="shared" si="527"/>
        <v>Red</v>
      </c>
    </row>
    <row r="1636" spans="1:30" x14ac:dyDescent="0.2">
      <c r="A1636" t="str">
        <f>L1635&amp;F1636&amp;G1636</f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09"/>
        <v>25/07/2026</v>
      </c>
      <c r="M1636" s="23">
        <f t="shared" si="510"/>
        <v>0.66666666666666663</v>
      </c>
      <c r="N1636" t="str">
        <f t="shared" si="511"/>
        <v>2 - 1</v>
      </c>
      <c r="O1636" t="str">
        <f t="shared" si="512"/>
        <v>Green</v>
      </c>
      <c r="P1636" t="str">
        <f t="shared" si="513"/>
        <v>Red</v>
      </c>
      <c r="Q1636" t="str">
        <f t="shared" si="514"/>
        <v>Red</v>
      </c>
      <c r="R1636" t="str">
        <f t="shared" si="515"/>
        <v>Green</v>
      </c>
      <c r="S1636" t="str">
        <f t="shared" si="516"/>
        <v>Red</v>
      </c>
      <c r="T1636" t="str">
        <f t="shared" si="517"/>
        <v>Green</v>
      </c>
      <c r="U1636" t="str">
        <f t="shared" si="518"/>
        <v>Green</v>
      </c>
      <c r="V1636" t="str">
        <f t="shared" si="519"/>
        <v>Red</v>
      </c>
      <c r="W1636" t="str">
        <f t="shared" si="520"/>
        <v>Red</v>
      </c>
      <c r="X1636" t="str">
        <f t="shared" si="521"/>
        <v>Green</v>
      </c>
      <c r="Y1636" t="str">
        <f t="shared" si="522"/>
        <v>Green</v>
      </c>
      <c r="Z1636" t="str">
        <f t="shared" si="523"/>
        <v>Green</v>
      </c>
      <c r="AA1636" t="str">
        <f t="shared" si="524"/>
        <v>Red</v>
      </c>
      <c r="AB1636" t="str">
        <f t="shared" si="525"/>
        <v>Green</v>
      </c>
      <c r="AC1636" t="str">
        <f t="shared" si="526"/>
        <v>Green</v>
      </c>
      <c r="AD1636" t="str">
        <f t="shared" si="527"/>
        <v>Red</v>
      </c>
    </row>
    <row r="1637" spans="1:30" x14ac:dyDescent="0.2">
      <c r="A1637" t="str">
        <f>L1636&amp;F1637&amp;G1637</f>
        <v>25/07/2026Universidad Catolica del Ecuador WomenEmelec Women</v>
      </c>
      <c r="D1637" s="2">
        <v>46228</v>
      </c>
      <c r="E1637" s="3">
        <v>0.8125</v>
      </c>
      <c r="F1637" t="s">
        <v>3205</v>
      </c>
      <c r="G1637" t="s">
        <v>3206</v>
      </c>
      <c r="H1637">
        <v>0</v>
      </c>
      <c r="I1637">
        <v>0</v>
      </c>
      <c r="J1637">
        <v>7</v>
      </c>
      <c r="K1637">
        <v>0</v>
      </c>
      <c r="L1637" s="22" t="str">
        <f t="shared" si="509"/>
        <v>25/07/2026</v>
      </c>
      <c r="M1637" s="23">
        <f t="shared" si="510"/>
        <v>0.6875</v>
      </c>
      <c r="N1637" t="str">
        <f t="shared" si="511"/>
        <v>7 - 0</v>
      </c>
      <c r="O1637" t="str">
        <f t="shared" si="512"/>
        <v>Green</v>
      </c>
      <c r="P1637" t="str">
        <f t="shared" si="513"/>
        <v>Red</v>
      </c>
      <c r="Q1637" t="str">
        <f t="shared" si="514"/>
        <v>Red</v>
      </c>
      <c r="R1637" t="str">
        <f t="shared" si="515"/>
        <v>Green</v>
      </c>
      <c r="S1637" t="str">
        <f t="shared" si="516"/>
        <v>Red</v>
      </c>
      <c r="T1637" t="str">
        <f t="shared" si="517"/>
        <v>Green</v>
      </c>
      <c r="U1637" t="str">
        <f t="shared" si="518"/>
        <v>Red</v>
      </c>
      <c r="V1637" t="str">
        <f t="shared" si="519"/>
        <v>Green</v>
      </c>
      <c r="W1637" t="str">
        <f t="shared" si="520"/>
        <v>Red</v>
      </c>
      <c r="X1637" t="str">
        <f t="shared" si="521"/>
        <v>Red</v>
      </c>
      <c r="Y1637" t="str">
        <f t="shared" si="522"/>
        <v>Green</v>
      </c>
      <c r="Z1637" t="str">
        <f t="shared" si="523"/>
        <v>Green</v>
      </c>
      <c r="AA1637" t="str">
        <f t="shared" si="524"/>
        <v>Red</v>
      </c>
      <c r="AB1637" t="str">
        <f t="shared" si="525"/>
        <v>Red</v>
      </c>
      <c r="AC1637" t="str">
        <f t="shared" si="526"/>
        <v>Red</v>
      </c>
      <c r="AD1637" t="str">
        <f t="shared" si="527"/>
        <v>Green</v>
      </c>
    </row>
    <row r="1638" spans="1:30" x14ac:dyDescent="0.2">
      <c r="A1638" t="str">
        <f>L1637&amp;F1638&amp;G1638</f>
        <v>25/07/2026Academia Puerto Cabello IIBarquisimeto</v>
      </c>
      <c r="D1638" s="2">
        <v>46228</v>
      </c>
      <c r="E1638" s="3">
        <v>0.8125</v>
      </c>
      <c r="F1638" t="s">
        <v>3734</v>
      </c>
      <c r="G1638" t="s">
        <v>3735</v>
      </c>
      <c r="H1638">
        <v>1</v>
      </c>
      <c r="I1638">
        <v>1</v>
      </c>
      <c r="J1638">
        <v>2</v>
      </c>
      <c r="K1638">
        <v>2</v>
      </c>
      <c r="L1638" s="22" t="str">
        <f t="shared" si="509"/>
        <v>25/07/2026</v>
      </c>
      <c r="M1638" s="23">
        <f t="shared" si="510"/>
        <v>0.6875</v>
      </c>
      <c r="N1638" t="str">
        <f t="shared" si="511"/>
        <v>2 - 2</v>
      </c>
      <c r="O1638" t="str">
        <f t="shared" si="512"/>
        <v>Red</v>
      </c>
      <c r="P1638" t="str">
        <f t="shared" si="513"/>
        <v>Green</v>
      </c>
      <c r="Q1638" t="str">
        <f t="shared" si="514"/>
        <v>Red</v>
      </c>
      <c r="R1638" t="str">
        <f t="shared" si="515"/>
        <v>Green</v>
      </c>
      <c r="S1638" t="str">
        <f t="shared" si="516"/>
        <v>Green</v>
      </c>
      <c r="T1638" t="str">
        <f t="shared" si="517"/>
        <v>Red</v>
      </c>
      <c r="U1638" t="str">
        <f t="shared" si="518"/>
        <v>Red</v>
      </c>
      <c r="V1638" t="str">
        <f t="shared" si="519"/>
        <v>Green</v>
      </c>
      <c r="W1638" t="str">
        <f t="shared" si="520"/>
        <v>Red</v>
      </c>
      <c r="X1638" t="str">
        <f t="shared" si="521"/>
        <v>Green</v>
      </c>
      <c r="Y1638" t="str">
        <f t="shared" si="522"/>
        <v>Green</v>
      </c>
      <c r="Z1638" t="str">
        <f t="shared" si="523"/>
        <v>Green</v>
      </c>
      <c r="AA1638" t="str">
        <f t="shared" si="524"/>
        <v>Red</v>
      </c>
      <c r="AB1638" t="str">
        <f t="shared" si="525"/>
        <v>Red</v>
      </c>
      <c r="AC1638" t="str">
        <f t="shared" si="526"/>
        <v>Green</v>
      </c>
      <c r="AD1638" t="str">
        <f t="shared" si="527"/>
        <v>Red</v>
      </c>
    </row>
    <row r="1639" spans="1:30" x14ac:dyDescent="0.2">
      <c r="A1639" t="str">
        <f>L1638&amp;F1639&amp;G1639</f>
        <v>25/07/2026Real Frontera FCUrena</v>
      </c>
      <c r="D1639" s="2">
        <v>46228</v>
      </c>
      <c r="E1639" s="3">
        <v>0.8125</v>
      </c>
      <c r="F1639" t="s">
        <v>3736</v>
      </c>
      <c r="G1639" t="s">
        <v>3737</v>
      </c>
      <c r="H1639">
        <v>0</v>
      </c>
      <c r="I1639">
        <v>3</v>
      </c>
      <c r="J1639">
        <v>1</v>
      </c>
      <c r="K1639">
        <v>5</v>
      </c>
      <c r="L1639" s="22" t="str">
        <f t="shared" si="509"/>
        <v>25/07/2026</v>
      </c>
      <c r="M1639" s="23">
        <f t="shared" si="510"/>
        <v>0.6875</v>
      </c>
      <c r="N1639" t="str">
        <f t="shared" si="511"/>
        <v>1 - 5</v>
      </c>
      <c r="O1639" t="str">
        <f t="shared" si="512"/>
        <v>Red</v>
      </c>
      <c r="P1639" t="str">
        <f t="shared" si="513"/>
        <v>Red</v>
      </c>
      <c r="Q1639" t="str">
        <f t="shared" si="514"/>
        <v>Green</v>
      </c>
      <c r="R1639" t="str">
        <f t="shared" si="515"/>
        <v>Red</v>
      </c>
      <c r="S1639" t="str">
        <f t="shared" si="516"/>
        <v>Green</v>
      </c>
      <c r="T1639" t="str">
        <f t="shared" si="517"/>
        <v>Green</v>
      </c>
      <c r="U1639" t="str">
        <f t="shared" si="518"/>
        <v>Red</v>
      </c>
      <c r="V1639" t="str">
        <f t="shared" si="519"/>
        <v>Red</v>
      </c>
      <c r="W1639" t="str">
        <f t="shared" si="520"/>
        <v>Green</v>
      </c>
      <c r="X1639" t="str">
        <f t="shared" si="521"/>
        <v>Green</v>
      </c>
      <c r="Y1639" t="str">
        <f t="shared" si="522"/>
        <v>Green</v>
      </c>
      <c r="Z1639" t="str">
        <f t="shared" si="523"/>
        <v>Green</v>
      </c>
      <c r="AA1639" t="str">
        <f t="shared" si="524"/>
        <v>Red</v>
      </c>
      <c r="AB1639" t="str">
        <f t="shared" si="525"/>
        <v>Red</v>
      </c>
      <c r="AC1639" t="str">
        <f t="shared" si="526"/>
        <v>Green</v>
      </c>
      <c r="AD1639" t="str">
        <f t="shared" si="527"/>
        <v>Red</v>
      </c>
    </row>
    <row r="1640" spans="1:30" x14ac:dyDescent="0.2">
      <c r="A1640" t="str">
        <f>L1639&amp;F1640&amp;G1640</f>
        <v>25/07/2026Newell's Old BoysTalleres de Cordoba</v>
      </c>
      <c r="B1640" t="s">
        <v>806</v>
      </c>
      <c r="C1640" t="s">
        <v>2234</v>
      </c>
      <c r="D1640" s="2">
        <v>46228</v>
      </c>
      <c r="E1640" s="3">
        <v>0.83333333333333337</v>
      </c>
      <c r="F1640" t="s">
        <v>696</v>
      </c>
      <c r="G1640" t="s">
        <v>2765</v>
      </c>
      <c r="H1640">
        <v>0</v>
      </c>
      <c r="I1640">
        <v>0</v>
      </c>
      <c r="J1640">
        <v>1</v>
      </c>
      <c r="K1640">
        <v>0</v>
      </c>
      <c r="L1640" s="22" t="str">
        <f t="shared" si="509"/>
        <v>25/07/2026</v>
      </c>
      <c r="M1640" s="23">
        <f t="shared" si="510"/>
        <v>0.70833333333333337</v>
      </c>
      <c r="N1640" t="str">
        <f t="shared" si="511"/>
        <v>1 - 0</v>
      </c>
      <c r="O1640" t="str">
        <f t="shared" si="512"/>
        <v>Green</v>
      </c>
      <c r="P1640" t="str">
        <f t="shared" si="513"/>
        <v>Red</v>
      </c>
      <c r="Q1640" t="str">
        <f t="shared" si="514"/>
        <v>Red</v>
      </c>
      <c r="R1640" t="str">
        <f t="shared" si="515"/>
        <v>Green</v>
      </c>
      <c r="S1640" t="str">
        <f t="shared" si="516"/>
        <v>Red</v>
      </c>
      <c r="T1640" t="str">
        <f t="shared" si="517"/>
        <v>Green</v>
      </c>
      <c r="U1640" t="str">
        <f t="shared" si="518"/>
        <v>Red</v>
      </c>
      <c r="V1640" t="str">
        <f t="shared" si="519"/>
        <v>Green</v>
      </c>
      <c r="W1640" t="str">
        <f t="shared" si="520"/>
        <v>Red</v>
      </c>
      <c r="X1640" t="str">
        <f t="shared" si="521"/>
        <v>Red</v>
      </c>
      <c r="Y1640" t="str">
        <f t="shared" si="522"/>
        <v>Red</v>
      </c>
      <c r="Z1640" t="str">
        <f t="shared" si="523"/>
        <v>Red</v>
      </c>
      <c r="AA1640" t="str">
        <f t="shared" si="524"/>
        <v>Green</v>
      </c>
      <c r="AB1640" t="str">
        <f t="shared" si="525"/>
        <v>Green</v>
      </c>
      <c r="AC1640" t="str">
        <f t="shared" si="526"/>
        <v>Red</v>
      </c>
      <c r="AD1640" t="str">
        <f t="shared" si="527"/>
        <v>Green</v>
      </c>
    </row>
    <row r="1641" spans="1:30" x14ac:dyDescent="0.2">
      <c r="A1641" t="str">
        <f>L1640&amp;F1641&amp;G1641</f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09"/>
        <v>25/07/2026</v>
      </c>
      <c r="M1641" s="23">
        <f t="shared" si="510"/>
        <v>0.70833333333333337</v>
      </c>
      <c r="N1641" t="str">
        <f t="shared" si="511"/>
        <v xml:space="preserve"> - </v>
      </c>
      <c r="O1641" t="str">
        <f t="shared" si="512"/>
        <v>Red</v>
      </c>
      <c r="P1641" t="str">
        <f t="shared" si="513"/>
        <v>Green</v>
      </c>
      <c r="Q1641" t="str">
        <f t="shared" si="514"/>
        <v>Red</v>
      </c>
      <c r="R1641" t="str">
        <f t="shared" si="515"/>
        <v>Green</v>
      </c>
      <c r="S1641" t="str">
        <f t="shared" si="516"/>
        <v>Green</v>
      </c>
      <c r="T1641" t="str">
        <f t="shared" si="517"/>
        <v>Red</v>
      </c>
      <c r="U1641" t="str">
        <f t="shared" si="518"/>
        <v>Red</v>
      </c>
      <c r="V1641" t="str">
        <f t="shared" si="519"/>
        <v>Green</v>
      </c>
      <c r="W1641" t="str">
        <f t="shared" si="520"/>
        <v>Red</v>
      </c>
      <c r="X1641" t="str">
        <f t="shared" si="521"/>
        <v>Red</v>
      </c>
      <c r="Y1641" t="str">
        <f t="shared" si="522"/>
        <v>Red</v>
      </c>
      <c r="Z1641" t="str">
        <f t="shared" si="523"/>
        <v>Red</v>
      </c>
      <c r="AA1641" t="str">
        <f t="shared" si="524"/>
        <v>Green</v>
      </c>
      <c r="AB1641" t="str">
        <f t="shared" si="525"/>
        <v>Green</v>
      </c>
      <c r="AC1641" t="str">
        <f t="shared" si="526"/>
        <v>Red</v>
      </c>
      <c r="AD1641" t="str">
        <f t="shared" si="527"/>
        <v>Green</v>
      </c>
    </row>
    <row r="1642" spans="1:30" x14ac:dyDescent="0.2">
      <c r="A1642" t="str">
        <f>L1641&amp;F1642&amp;G1642</f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09"/>
        <v>25/07/2026</v>
      </c>
      <c r="M1642" s="23">
        <f t="shared" si="510"/>
        <v>0.70833333333333337</v>
      </c>
      <c r="N1642" t="str">
        <f t="shared" si="511"/>
        <v xml:space="preserve"> - </v>
      </c>
      <c r="O1642" t="str">
        <f t="shared" si="512"/>
        <v>Red</v>
      </c>
      <c r="P1642" t="str">
        <f t="shared" si="513"/>
        <v>Green</v>
      </c>
      <c r="Q1642" t="str">
        <f t="shared" si="514"/>
        <v>Red</v>
      </c>
      <c r="R1642" t="str">
        <f t="shared" si="515"/>
        <v>Green</v>
      </c>
      <c r="S1642" t="str">
        <f t="shared" si="516"/>
        <v>Green</v>
      </c>
      <c r="T1642" t="str">
        <f t="shared" si="517"/>
        <v>Red</v>
      </c>
      <c r="U1642" t="str">
        <f t="shared" si="518"/>
        <v>Red</v>
      </c>
      <c r="V1642" t="str">
        <f t="shared" si="519"/>
        <v>Green</v>
      </c>
      <c r="W1642" t="str">
        <f t="shared" si="520"/>
        <v>Red</v>
      </c>
      <c r="X1642" t="str">
        <f t="shared" si="521"/>
        <v>Red</v>
      </c>
      <c r="Y1642" t="str">
        <f t="shared" si="522"/>
        <v>Red</v>
      </c>
      <c r="Z1642" t="str">
        <f t="shared" si="523"/>
        <v>Red</v>
      </c>
      <c r="AA1642" t="str">
        <f t="shared" si="524"/>
        <v>Green</v>
      </c>
      <c r="AB1642" t="str">
        <f t="shared" si="525"/>
        <v>Green</v>
      </c>
      <c r="AC1642" t="str">
        <f t="shared" si="526"/>
        <v>Red</v>
      </c>
      <c r="AD1642" t="str">
        <f t="shared" si="527"/>
        <v>Green</v>
      </c>
    </row>
    <row r="1643" spans="1:30" x14ac:dyDescent="0.2">
      <c r="A1643" t="str">
        <f>L1642&amp;F1643&amp;G1643</f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2770</v>
      </c>
      <c r="L1643" s="22" t="str">
        <f t="shared" si="509"/>
        <v>25/07/2026</v>
      </c>
      <c r="M1643" s="23">
        <f t="shared" si="510"/>
        <v>0.70833333333333337</v>
      </c>
      <c r="N1643" t="str">
        <f t="shared" si="511"/>
        <v xml:space="preserve"> - </v>
      </c>
      <c r="O1643" t="str">
        <f t="shared" si="512"/>
        <v>Red</v>
      </c>
      <c r="P1643" t="str">
        <f t="shared" si="513"/>
        <v>Green</v>
      </c>
      <c r="Q1643" t="str">
        <f t="shared" si="514"/>
        <v>Red</v>
      </c>
      <c r="R1643" t="str">
        <f t="shared" si="515"/>
        <v>Green</v>
      </c>
      <c r="S1643" t="str">
        <f t="shared" si="516"/>
        <v>Green</v>
      </c>
      <c r="T1643" t="str">
        <f t="shared" si="517"/>
        <v>Red</v>
      </c>
      <c r="U1643" t="str">
        <f t="shared" si="518"/>
        <v>Red</v>
      </c>
      <c r="V1643" t="str">
        <f t="shared" si="519"/>
        <v>Green</v>
      </c>
      <c r="W1643" t="str">
        <f t="shared" si="520"/>
        <v>Red</v>
      </c>
      <c r="X1643" t="str">
        <f t="shared" si="521"/>
        <v>Red</v>
      </c>
      <c r="Y1643" t="str">
        <f t="shared" si="522"/>
        <v>Red</v>
      </c>
      <c r="Z1643" t="str">
        <f t="shared" si="523"/>
        <v>Red</v>
      </c>
      <c r="AA1643" t="str">
        <f t="shared" si="524"/>
        <v>Green</v>
      </c>
      <c r="AB1643" t="str">
        <f t="shared" si="525"/>
        <v>Green</v>
      </c>
      <c r="AC1643" t="str">
        <f t="shared" si="526"/>
        <v>Red</v>
      </c>
      <c r="AD1643" t="str">
        <f t="shared" si="527"/>
        <v>Green</v>
      </c>
    </row>
    <row r="1644" spans="1:30" x14ac:dyDescent="0.2">
      <c r="A1644" t="str">
        <f>L1643&amp;F1644&amp;G1644</f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09"/>
        <v>25/07/2026</v>
      </c>
      <c r="M1644" s="23">
        <f t="shared" si="510"/>
        <v>0.70833333333333337</v>
      </c>
      <c r="N1644" t="str">
        <f t="shared" si="511"/>
        <v xml:space="preserve"> - </v>
      </c>
      <c r="O1644" t="str">
        <f t="shared" si="512"/>
        <v>Red</v>
      </c>
      <c r="P1644" t="str">
        <f t="shared" si="513"/>
        <v>Green</v>
      </c>
      <c r="Q1644" t="str">
        <f t="shared" si="514"/>
        <v>Red</v>
      </c>
      <c r="R1644" t="str">
        <f t="shared" si="515"/>
        <v>Green</v>
      </c>
      <c r="S1644" t="str">
        <f t="shared" si="516"/>
        <v>Green</v>
      </c>
      <c r="T1644" t="str">
        <f t="shared" si="517"/>
        <v>Red</v>
      </c>
      <c r="U1644" t="str">
        <f t="shared" si="518"/>
        <v>Red</v>
      </c>
      <c r="V1644" t="str">
        <f t="shared" si="519"/>
        <v>Green</v>
      </c>
      <c r="W1644" t="str">
        <f t="shared" si="520"/>
        <v>Red</v>
      </c>
      <c r="X1644" t="str">
        <f t="shared" si="521"/>
        <v>Red</v>
      </c>
      <c r="Y1644" t="str">
        <f t="shared" si="522"/>
        <v>Red</v>
      </c>
      <c r="Z1644" t="str">
        <f t="shared" si="523"/>
        <v>Red</v>
      </c>
      <c r="AA1644" t="str">
        <f t="shared" si="524"/>
        <v>Green</v>
      </c>
      <c r="AB1644" t="str">
        <f t="shared" si="525"/>
        <v>Green</v>
      </c>
      <c r="AC1644" t="str">
        <f t="shared" si="526"/>
        <v>Red</v>
      </c>
      <c r="AD1644" t="str">
        <f t="shared" si="527"/>
        <v>Green</v>
      </c>
    </row>
    <row r="1645" spans="1:30" x14ac:dyDescent="0.2">
      <c r="A1645" t="str">
        <f>L1644&amp;F1645&amp;G1645</f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2768</v>
      </c>
      <c r="L1645" s="22" t="str">
        <f t="shared" si="509"/>
        <v>25/07/2026</v>
      </c>
      <c r="M1645" s="23">
        <f t="shared" si="510"/>
        <v>0.70833333333333337</v>
      </c>
      <c r="N1645" t="str">
        <f t="shared" si="511"/>
        <v xml:space="preserve"> - </v>
      </c>
      <c r="O1645" t="str">
        <f t="shared" si="512"/>
        <v>Red</v>
      </c>
      <c r="P1645" t="str">
        <f t="shared" si="513"/>
        <v>Green</v>
      </c>
      <c r="Q1645" t="str">
        <f t="shared" si="514"/>
        <v>Red</v>
      </c>
      <c r="R1645" t="str">
        <f t="shared" si="515"/>
        <v>Green</v>
      </c>
      <c r="S1645" t="str">
        <f t="shared" si="516"/>
        <v>Green</v>
      </c>
      <c r="T1645" t="str">
        <f t="shared" si="517"/>
        <v>Red</v>
      </c>
      <c r="U1645" t="str">
        <f t="shared" si="518"/>
        <v>Red</v>
      </c>
      <c r="V1645" t="str">
        <f t="shared" si="519"/>
        <v>Green</v>
      </c>
      <c r="W1645" t="str">
        <f t="shared" si="520"/>
        <v>Red</v>
      </c>
      <c r="X1645" t="str">
        <f t="shared" si="521"/>
        <v>Red</v>
      </c>
      <c r="Y1645" t="str">
        <f t="shared" si="522"/>
        <v>Red</v>
      </c>
      <c r="Z1645" t="str">
        <f t="shared" si="523"/>
        <v>Red</v>
      </c>
      <c r="AA1645" t="str">
        <f t="shared" si="524"/>
        <v>Green</v>
      </c>
      <c r="AB1645" t="str">
        <f t="shared" si="525"/>
        <v>Green</v>
      </c>
      <c r="AC1645" t="str">
        <f t="shared" si="526"/>
        <v>Red</v>
      </c>
      <c r="AD1645" t="str">
        <f t="shared" si="527"/>
        <v>Green</v>
      </c>
    </row>
    <row r="1646" spans="1:30" x14ac:dyDescent="0.2">
      <c r="A1646" t="str">
        <f>L1645&amp;F1646&amp;G1646</f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3050</v>
      </c>
      <c r="G1646" t="s">
        <v>3051</v>
      </c>
      <c r="H1646">
        <v>0</v>
      </c>
      <c r="I1646">
        <v>0</v>
      </c>
      <c r="J1646">
        <v>0</v>
      </c>
      <c r="K1646">
        <v>0</v>
      </c>
      <c r="L1646" s="22" t="str">
        <f t="shared" si="509"/>
        <v>25/07/2026</v>
      </c>
      <c r="M1646" s="23">
        <f t="shared" si="510"/>
        <v>0.70833333333333337</v>
      </c>
      <c r="N1646" t="str">
        <f t="shared" si="511"/>
        <v>0 - 0</v>
      </c>
      <c r="O1646" t="str">
        <f t="shared" si="512"/>
        <v>Red</v>
      </c>
      <c r="P1646" t="str">
        <f t="shared" si="513"/>
        <v>Green</v>
      </c>
      <c r="Q1646" t="str">
        <f t="shared" si="514"/>
        <v>Red</v>
      </c>
      <c r="R1646" t="str">
        <f t="shared" si="515"/>
        <v>Green</v>
      </c>
      <c r="S1646" t="str">
        <f t="shared" si="516"/>
        <v>Green</v>
      </c>
      <c r="T1646" t="str">
        <f t="shared" si="517"/>
        <v>Red</v>
      </c>
      <c r="U1646" t="str">
        <f t="shared" si="518"/>
        <v>Red</v>
      </c>
      <c r="V1646" t="str">
        <f t="shared" si="519"/>
        <v>Green</v>
      </c>
      <c r="W1646" t="str">
        <f t="shared" si="520"/>
        <v>Red</v>
      </c>
      <c r="X1646" t="str">
        <f t="shared" si="521"/>
        <v>Red</v>
      </c>
      <c r="Y1646" t="str">
        <f t="shared" si="522"/>
        <v>Red</v>
      </c>
      <c r="Z1646" t="str">
        <f t="shared" si="523"/>
        <v>Red</v>
      </c>
      <c r="AA1646" t="str">
        <f t="shared" si="524"/>
        <v>Green</v>
      </c>
      <c r="AB1646" t="str">
        <f t="shared" si="525"/>
        <v>Green</v>
      </c>
      <c r="AC1646" t="str">
        <f t="shared" si="526"/>
        <v>Red</v>
      </c>
      <c r="AD1646" t="str">
        <f t="shared" si="527"/>
        <v>Green</v>
      </c>
    </row>
    <row r="1647" spans="1:30" x14ac:dyDescent="0.2">
      <c r="A1647" t="str">
        <f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28">DAY(D1647)&amp;"/"&amp;"07"&amp;"/"&amp;YEAR(D1647)</f>
        <v>25/07/2026</v>
      </c>
      <c r="M1647" s="23">
        <f t="shared" ref="M1647:M1710" si="529">E1647-TIME(3,0,0)</f>
        <v>0.70833333333333337</v>
      </c>
      <c r="N1647" t="str">
        <f t="shared" ref="N1647:N1710" si="530">J1647&amp;" - "&amp;K1647</f>
        <v>0 - 1</v>
      </c>
      <c r="O1647" t="str">
        <f t="shared" si="512"/>
        <v>Red</v>
      </c>
      <c r="P1647" t="str">
        <f t="shared" si="513"/>
        <v>Red</v>
      </c>
      <c r="Q1647" t="str">
        <f t="shared" si="514"/>
        <v>Green</v>
      </c>
      <c r="R1647" t="str">
        <f t="shared" si="515"/>
        <v>Red</v>
      </c>
      <c r="S1647" t="str">
        <f t="shared" si="516"/>
        <v>Green</v>
      </c>
      <c r="T1647" t="str">
        <f t="shared" si="517"/>
        <v>Green</v>
      </c>
      <c r="U1647" t="str">
        <f t="shared" si="518"/>
        <v>Red</v>
      </c>
      <c r="V1647" t="str">
        <f t="shared" si="519"/>
        <v>Red</v>
      </c>
      <c r="W1647" t="str">
        <f t="shared" si="520"/>
        <v>Green</v>
      </c>
      <c r="X1647" t="str">
        <f t="shared" si="521"/>
        <v>Green</v>
      </c>
      <c r="Y1647" t="str">
        <f t="shared" si="522"/>
        <v>Red</v>
      </c>
      <c r="Z1647" t="str">
        <f t="shared" si="523"/>
        <v>Red</v>
      </c>
      <c r="AA1647" t="str">
        <f t="shared" si="524"/>
        <v>Green</v>
      </c>
      <c r="AB1647" t="str">
        <f t="shared" si="525"/>
        <v>Green</v>
      </c>
      <c r="AC1647" t="str">
        <f t="shared" si="526"/>
        <v>Red</v>
      </c>
      <c r="AD1647" t="str">
        <f t="shared" si="527"/>
        <v>Green</v>
      </c>
    </row>
    <row r="1648" spans="1:30" x14ac:dyDescent="0.2">
      <c r="A1648" t="str">
        <f>L1647&amp;F1648&amp;G1648</f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3062</v>
      </c>
      <c r="G1648" t="s">
        <v>3063</v>
      </c>
      <c r="H1648">
        <v>0</v>
      </c>
      <c r="I1648">
        <v>0</v>
      </c>
      <c r="J1648">
        <v>0</v>
      </c>
      <c r="K1648">
        <v>0</v>
      </c>
      <c r="L1648" s="22" t="str">
        <f t="shared" si="528"/>
        <v>25/07/2026</v>
      </c>
      <c r="M1648" s="23">
        <f t="shared" si="529"/>
        <v>0.70833333333333337</v>
      </c>
      <c r="N1648" t="str">
        <f t="shared" si="530"/>
        <v>0 - 0</v>
      </c>
      <c r="O1648" t="str">
        <f t="shared" si="512"/>
        <v>Red</v>
      </c>
      <c r="P1648" t="str">
        <f t="shared" si="513"/>
        <v>Green</v>
      </c>
      <c r="Q1648" t="str">
        <f t="shared" si="514"/>
        <v>Red</v>
      </c>
      <c r="R1648" t="str">
        <f t="shared" si="515"/>
        <v>Green</v>
      </c>
      <c r="S1648" t="str">
        <f t="shared" si="516"/>
        <v>Green</v>
      </c>
      <c r="T1648" t="str">
        <f t="shared" si="517"/>
        <v>Red</v>
      </c>
      <c r="U1648" t="str">
        <f t="shared" si="518"/>
        <v>Red</v>
      </c>
      <c r="V1648" t="str">
        <f t="shared" si="519"/>
        <v>Green</v>
      </c>
      <c r="W1648" t="str">
        <f t="shared" si="520"/>
        <v>Red</v>
      </c>
      <c r="X1648" t="str">
        <f t="shared" si="521"/>
        <v>Red</v>
      </c>
      <c r="Y1648" t="str">
        <f t="shared" si="522"/>
        <v>Red</v>
      </c>
      <c r="Z1648" t="str">
        <f t="shared" si="523"/>
        <v>Red</v>
      </c>
      <c r="AA1648" t="str">
        <f t="shared" si="524"/>
        <v>Green</v>
      </c>
      <c r="AB1648" t="str">
        <f t="shared" si="525"/>
        <v>Green</v>
      </c>
      <c r="AC1648" t="str">
        <f t="shared" si="526"/>
        <v>Red</v>
      </c>
      <c r="AD1648" t="str">
        <f t="shared" si="527"/>
        <v>Green</v>
      </c>
    </row>
    <row r="1649" spans="1:30" x14ac:dyDescent="0.2">
      <c r="A1649" t="str">
        <f>L1648&amp;F1649&amp;G1649</f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28"/>
        <v>25/07/2026</v>
      </c>
      <c r="M1649" s="23">
        <f t="shared" si="529"/>
        <v>0.70833333333333337</v>
      </c>
      <c r="N1649" t="str">
        <f t="shared" si="530"/>
        <v>2 - 0</v>
      </c>
      <c r="O1649" t="str">
        <f t="shared" si="512"/>
        <v>Green</v>
      </c>
      <c r="P1649" t="str">
        <f t="shared" si="513"/>
        <v>Red</v>
      </c>
      <c r="Q1649" t="str">
        <f t="shared" si="514"/>
        <v>Red</v>
      </c>
      <c r="R1649" t="str">
        <f t="shared" si="515"/>
        <v>Green</v>
      </c>
      <c r="S1649" t="str">
        <f t="shared" si="516"/>
        <v>Red</v>
      </c>
      <c r="T1649" t="str">
        <f t="shared" si="517"/>
        <v>Green</v>
      </c>
      <c r="U1649" t="str">
        <f t="shared" si="518"/>
        <v>Green</v>
      </c>
      <c r="V1649" t="str">
        <f t="shared" si="519"/>
        <v>Red</v>
      </c>
      <c r="W1649" t="str">
        <f t="shared" si="520"/>
        <v>Red</v>
      </c>
      <c r="X1649" t="str">
        <f t="shared" si="521"/>
        <v>Green</v>
      </c>
      <c r="Y1649" t="str">
        <f t="shared" si="522"/>
        <v>Green</v>
      </c>
      <c r="Z1649" t="str">
        <f t="shared" si="523"/>
        <v>Red</v>
      </c>
      <c r="AA1649" t="str">
        <f t="shared" si="524"/>
        <v>Green</v>
      </c>
      <c r="AB1649" t="str">
        <f t="shared" si="525"/>
        <v>Green</v>
      </c>
      <c r="AC1649" t="str">
        <f t="shared" si="526"/>
        <v>Red</v>
      </c>
      <c r="AD1649" t="str">
        <f t="shared" si="527"/>
        <v>Green</v>
      </c>
    </row>
    <row r="1650" spans="1:30" x14ac:dyDescent="0.2">
      <c r="A1650" t="str">
        <f>L1649&amp;F1650&amp;G1650</f>
        <v>25/07/2026Atletico Bucaramanga WomenLlaneros Women</v>
      </c>
      <c r="D1650" s="2">
        <v>46228</v>
      </c>
      <c r="E1650" s="3">
        <v>0.83333333333333337</v>
      </c>
      <c r="F1650" t="s">
        <v>3145</v>
      </c>
      <c r="G1650" t="s">
        <v>3146</v>
      </c>
      <c r="H1650">
        <v>1</v>
      </c>
      <c r="I1650">
        <v>0</v>
      </c>
      <c r="J1650">
        <v>3</v>
      </c>
      <c r="K1650">
        <v>0</v>
      </c>
      <c r="L1650" s="22" t="str">
        <f t="shared" si="528"/>
        <v>25/07/2026</v>
      </c>
      <c r="M1650" s="23">
        <f t="shared" si="529"/>
        <v>0.70833333333333337</v>
      </c>
      <c r="N1650" t="str">
        <f t="shared" si="530"/>
        <v>3 - 0</v>
      </c>
      <c r="O1650" t="str">
        <f t="shared" si="512"/>
        <v>Green</v>
      </c>
      <c r="P1650" t="str">
        <f t="shared" si="513"/>
        <v>Red</v>
      </c>
      <c r="Q1650" t="str">
        <f t="shared" si="514"/>
        <v>Red</v>
      </c>
      <c r="R1650" t="str">
        <f t="shared" si="515"/>
        <v>Green</v>
      </c>
      <c r="S1650" t="str">
        <f t="shared" si="516"/>
        <v>Red</v>
      </c>
      <c r="T1650" t="str">
        <f t="shared" si="517"/>
        <v>Green</v>
      </c>
      <c r="U1650" t="str">
        <f t="shared" si="518"/>
        <v>Green</v>
      </c>
      <c r="V1650" t="str">
        <f t="shared" si="519"/>
        <v>Red</v>
      </c>
      <c r="W1650" t="str">
        <f t="shared" si="520"/>
        <v>Red</v>
      </c>
      <c r="X1650" t="str">
        <f t="shared" si="521"/>
        <v>Green</v>
      </c>
      <c r="Y1650" t="str">
        <f t="shared" si="522"/>
        <v>Green</v>
      </c>
      <c r="Z1650" t="str">
        <f t="shared" si="523"/>
        <v>Green</v>
      </c>
      <c r="AA1650" t="str">
        <f t="shared" si="524"/>
        <v>Red</v>
      </c>
      <c r="AB1650" t="str">
        <f t="shared" si="525"/>
        <v>Green</v>
      </c>
      <c r="AC1650" t="str">
        <f t="shared" si="526"/>
        <v>Red</v>
      </c>
      <c r="AD1650" t="str">
        <f t="shared" si="527"/>
        <v>Green</v>
      </c>
    </row>
    <row r="1651" spans="1:30" x14ac:dyDescent="0.2">
      <c r="A1651" t="str">
        <f>L1650&amp;F1651&amp;G1651</f>
        <v>25/07/2026Universidad Cesar VallejoUnion Comercio</v>
      </c>
      <c r="D1651" s="2">
        <v>46228</v>
      </c>
      <c r="E1651" s="3">
        <v>0.83333333333333337</v>
      </c>
      <c r="F1651" t="s">
        <v>3531</v>
      </c>
      <c r="G1651" t="s">
        <v>3532</v>
      </c>
      <c r="H1651">
        <v>0</v>
      </c>
      <c r="I1651">
        <v>0</v>
      </c>
      <c r="J1651">
        <v>0</v>
      </c>
      <c r="K1651">
        <v>0</v>
      </c>
      <c r="L1651" s="22" t="str">
        <f t="shared" si="528"/>
        <v>25/07/2026</v>
      </c>
      <c r="M1651" s="23">
        <f t="shared" si="529"/>
        <v>0.70833333333333337</v>
      </c>
      <c r="N1651" t="str">
        <f t="shared" si="530"/>
        <v>0 - 0</v>
      </c>
      <c r="O1651" t="str">
        <f t="shared" si="512"/>
        <v>Red</v>
      </c>
      <c r="P1651" t="str">
        <f t="shared" si="513"/>
        <v>Green</v>
      </c>
      <c r="Q1651" t="str">
        <f t="shared" si="514"/>
        <v>Red</v>
      </c>
      <c r="R1651" t="str">
        <f t="shared" si="515"/>
        <v>Green</v>
      </c>
      <c r="S1651" t="str">
        <f t="shared" si="516"/>
        <v>Green</v>
      </c>
      <c r="T1651" t="str">
        <f t="shared" si="517"/>
        <v>Red</v>
      </c>
      <c r="U1651" t="str">
        <f t="shared" si="518"/>
        <v>Red</v>
      </c>
      <c r="V1651" t="str">
        <f t="shared" si="519"/>
        <v>Green</v>
      </c>
      <c r="W1651" t="str">
        <f t="shared" si="520"/>
        <v>Red</v>
      </c>
      <c r="X1651" t="str">
        <f t="shared" si="521"/>
        <v>Red</v>
      </c>
      <c r="Y1651" t="str">
        <f t="shared" si="522"/>
        <v>Red</v>
      </c>
      <c r="Z1651" t="str">
        <f t="shared" si="523"/>
        <v>Red</v>
      </c>
      <c r="AA1651" t="str">
        <f t="shared" si="524"/>
        <v>Green</v>
      </c>
      <c r="AB1651" t="str">
        <f t="shared" si="525"/>
        <v>Green</v>
      </c>
      <c r="AC1651" t="str">
        <f t="shared" si="526"/>
        <v>Red</v>
      </c>
      <c r="AD1651" t="str">
        <f t="shared" si="527"/>
        <v>Green</v>
      </c>
    </row>
    <row r="1652" spans="1:30" x14ac:dyDescent="0.2">
      <c r="A1652" t="str">
        <f>L1651&amp;F1652&amp;G1652</f>
        <v>25/07/2026YaracuyanosAtletico El Vigia</v>
      </c>
      <c r="D1652" s="2">
        <v>46228</v>
      </c>
      <c r="E1652" s="3">
        <v>0.83333333333333337</v>
      </c>
      <c r="F1652" t="s">
        <v>3738</v>
      </c>
      <c r="G1652" t="s">
        <v>3739</v>
      </c>
      <c r="H1652">
        <v>0</v>
      </c>
      <c r="I1652">
        <v>0</v>
      </c>
      <c r="J1652">
        <v>0</v>
      </c>
      <c r="K1652">
        <v>0</v>
      </c>
      <c r="L1652" s="22" t="str">
        <f t="shared" si="528"/>
        <v>25/07/2026</v>
      </c>
      <c r="M1652" s="23">
        <f t="shared" si="529"/>
        <v>0.70833333333333337</v>
      </c>
      <c r="N1652" t="str">
        <f t="shared" si="530"/>
        <v>0 - 0</v>
      </c>
      <c r="O1652" t="str">
        <f t="shared" si="512"/>
        <v>Red</v>
      </c>
      <c r="P1652" t="str">
        <f t="shared" si="513"/>
        <v>Green</v>
      </c>
      <c r="Q1652" t="str">
        <f t="shared" si="514"/>
        <v>Red</v>
      </c>
      <c r="R1652" t="str">
        <f t="shared" si="515"/>
        <v>Green</v>
      </c>
      <c r="S1652" t="str">
        <f t="shared" si="516"/>
        <v>Green</v>
      </c>
      <c r="T1652" t="str">
        <f t="shared" si="517"/>
        <v>Red</v>
      </c>
      <c r="U1652" t="str">
        <f t="shared" si="518"/>
        <v>Red</v>
      </c>
      <c r="V1652" t="str">
        <f t="shared" si="519"/>
        <v>Green</v>
      </c>
      <c r="W1652" t="str">
        <f t="shared" si="520"/>
        <v>Red</v>
      </c>
      <c r="X1652" t="str">
        <f t="shared" si="521"/>
        <v>Red</v>
      </c>
      <c r="Y1652" t="str">
        <f t="shared" si="522"/>
        <v>Red</v>
      </c>
      <c r="Z1652" t="str">
        <f t="shared" si="523"/>
        <v>Red</v>
      </c>
      <c r="AA1652" t="str">
        <f t="shared" si="524"/>
        <v>Green</v>
      </c>
      <c r="AB1652" t="str">
        <f t="shared" si="525"/>
        <v>Green</v>
      </c>
      <c r="AC1652" t="str">
        <f t="shared" si="526"/>
        <v>Red</v>
      </c>
      <c r="AD1652" t="str">
        <f t="shared" si="527"/>
        <v>Green</v>
      </c>
    </row>
    <row r="1653" spans="1:30" x14ac:dyDescent="0.2">
      <c r="A1653" t="str">
        <f>L1652&amp;F1653&amp;G1653</f>
        <v>25/07/2026Libertad Limpeno WomenCD Recoleta Women</v>
      </c>
      <c r="D1653" s="2">
        <v>46228</v>
      </c>
      <c r="E1653" s="3">
        <v>0.84375</v>
      </c>
      <c r="F1653" t="s">
        <v>3526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28"/>
        <v>25/07/2026</v>
      </c>
      <c r="M1653" s="23">
        <f t="shared" si="529"/>
        <v>0.71875</v>
      </c>
      <c r="N1653" t="str">
        <f t="shared" si="530"/>
        <v>4 - 0</v>
      </c>
      <c r="O1653" t="str">
        <f t="shared" si="512"/>
        <v>Green</v>
      </c>
      <c r="P1653" t="str">
        <f t="shared" si="513"/>
        <v>Red</v>
      </c>
      <c r="Q1653" t="str">
        <f t="shared" si="514"/>
        <v>Red</v>
      </c>
      <c r="R1653" t="str">
        <f t="shared" si="515"/>
        <v>Green</v>
      </c>
      <c r="S1653" t="str">
        <f t="shared" si="516"/>
        <v>Red</v>
      </c>
      <c r="T1653" t="str">
        <f t="shared" si="517"/>
        <v>Green</v>
      </c>
      <c r="U1653" t="str">
        <f t="shared" si="518"/>
        <v>Red</v>
      </c>
      <c r="V1653" t="str">
        <f t="shared" si="519"/>
        <v>Green</v>
      </c>
      <c r="W1653" t="str">
        <f t="shared" si="520"/>
        <v>Red</v>
      </c>
      <c r="X1653" t="str">
        <f t="shared" si="521"/>
        <v>Red</v>
      </c>
      <c r="Y1653" t="str">
        <f t="shared" si="522"/>
        <v>Green</v>
      </c>
      <c r="Z1653" t="str">
        <f t="shared" si="523"/>
        <v>Green</v>
      </c>
      <c r="AA1653" t="str">
        <f t="shared" si="524"/>
        <v>Red</v>
      </c>
      <c r="AB1653" t="str">
        <f t="shared" si="525"/>
        <v>Red</v>
      </c>
      <c r="AC1653" t="str">
        <f t="shared" si="526"/>
        <v>Red</v>
      </c>
      <c r="AD1653" t="str">
        <f t="shared" si="527"/>
        <v>Green</v>
      </c>
    </row>
    <row r="1654" spans="1:30" x14ac:dyDescent="0.2">
      <c r="A1654" t="str">
        <f>L1653&amp;F1654&amp;G1654</f>
        <v>25/07/2026Juan Pablo IICienciano</v>
      </c>
      <c r="D1654" s="2">
        <v>46228</v>
      </c>
      <c r="E1654" s="3">
        <v>0.84375</v>
      </c>
      <c r="F1654" t="s">
        <v>3528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28"/>
        <v>25/07/2026</v>
      </c>
      <c r="M1654" s="23">
        <f t="shared" si="529"/>
        <v>0.71875</v>
      </c>
      <c r="N1654" t="str">
        <f t="shared" si="530"/>
        <v>2 - 0</v>
      </c>
      <c r="O1654" t="str">
        <f t="shared" si="512"/>
        <v>Green</v>
      </c>
      <c r="P1654" t="str">
        <f t="shared" si="513"/>
        <v>Red</v>
      </c>
      <c r="Q1654" t="str">
        <f t="shared" si="514"/>
        <v>Red</v>
      </c>
      <c r="R1654" t="str">
        <f t="shared" si="515"/>
        <v>Green</v>
      </c>
      <c r="S1654" t="str">
        <f t="shared" si="516"/>
        <v>Red</v>
      </c>
      <c r="T1654" t="str">
        <f t="shared" si="517"/>
        <v>Green</v>
      </c>
      <c r="U1654" t="str">
        <f t="shared" si="518"/>
        <v>Red</v>
      </c>
      <c r="V1654" t="str">
        <f t="shared" si="519"/>
        <v>Green</v>
      </c>
      <c r="W1654" t="str">
        <f t="shared" si="520"/>
        <v>Red</v>
      </c>
      <c r="X1654" t="str">
        <f t="shared" si="521"/>
        <v>Red</v>
      </c>
      <c r="Y1654" t="str">
        <f t="shared" si="522"/>
        <v>Green</v>
      </c>
      <c r="Z1654" t="str">
        <f t="shared" si="523"/>
        <v>Red</v>
      </c>
      <c r="AA1654" t="str">
        <f t="shared" si="524"/>
        <v>Green</v>
      </c>
      <c r="AB1654" t="str">
        <f t="shared" si="525"/>
        <v>Green</v>
      </c>
      <c r="AC1654" t="str">
        <f t="shared" si="526"/>
        <v>Red</v>
      </c>
      <c r="AD1654" t="str">
        <f t="shared" si="527"/>
        <v>Green</v>
      </c>
    </row>
    <row r="1655" spans="1:30" x14ac:dyDescent="0.2">
      <c r="A1655" t="str">
        <f>L1654&amp;F1655&amp;G1655</f>
        <v>25/07/2026Defensores Del Ilucan WomenUNSAAC Women</v>
      </c>
      <c r="D1655" s="2">
        <v>46228</v>
      </c>
      <c r="E1655" s="3">
        <v>0.84375</v>
      </c>
      <c r="F1655" t="s">
        <v>3535</v>
      </c>
      <c r="G1655" t="s">
        <v>3536</v>
      </c>
      <c r="H1655">
        <v>0</v>
      </c>
      <c r="I1655">
        <v>0</v>
      </c>
      <c r="J1655">
        <v>1</v>
      </c>
      <c r="K1655">
        <v>0</v>
      </c>
      <c r="L1655" s="22" t="str">
        <f t="shared" si="528"/>
        <v>25/07/2026</v>
      </c>
      <c r="M1655" s="23">
        <f t="shared" si="529"/>
        <v>0.71875</v>
      </c>
      <c r="N1655" t="str">
        <f t="shared" si="530"/>
        <v>1 - 0</v>
      </c>
      <c r="O1655" t="str">
        <f t="shared" si="512"/>
        <v>Green</v>
      </c>
      <c r="P1655" t="str">
        <f t="shared" si="513"/>
        <v>Red</v>
      </c>
      <c r="Q1655" t="str">
        <f t="shared" si="514"/>
        <v>Red</v>
      </c>
      <c r="R1655" t="str">
        <f t="shared" si="515"/>
        <v>Green</v>
      </c>
      <c r="S1655" t="str">
        <f t="shared" si="516"/>
        <v>Red</v>
      </c>
      <c r="T1655" t="str">
        <f t="shared" si="517"/>
        <v>Green</v>
      </c>
      <c r="U1655" t="str">
        <f t="shared" si="518"/>
        <v>Red</v>
      </c>
      <c r="V1655" t="str">
        <f t="shared" si="519"/>
        <v>Green</v>
      </c>
      <c r="W1655" t="str">
        <f t="shared" si="520"/>
        <v>Red</v>
      </c>
      <c r="X1655" t="str">
        <f t="shared" si="521"/>
        <v>Red</v>
      </c>
      <c r="Y1655" t="str">
        <f t="shared" si="522"/>
        <v>Red</v>
      </c>
      <c r="Z1655" t="str">
        <f t="shared" si="523"/>
        <v>Red</v>
      </c>
      <c r="AA1655" t="str">
        <f t="shared" si="524"/>
        <v>Green</v>
      </c>
      <c r="AB1655" t="str">
        <f t="shared" si="525"/>
        <v>Green</v>
      </c>
      <c r="AC1655" t="str">
        <f t="shared" si="526"/>
        <v>Red</v>
      </c>
      <c r="AD1655" t="str">
        <f t="shared" si="527"/>
        <v>Green</v>
      </c>
    </row>
    <row r="1656" spans="1:30" x14ac:dyDescent="0.2">
      <c r="A1656" t="str">
        <f>L1655&amp;F1656&amp;G1656</f>
        <v>25/07/2026UberabaMamore MG</v>
      </c>
      <c r="B1656" t="s">
        <v>804</v>
      </c>
      <c r="D1656" s="2">
        <v>46228</v>
      </c>
      <c r="E1656" s="3">
        <v>0.875</v>
      </c>
      <c r="F1656" t="s">
        <v>3060</v>
      </c>
      <c r="G1656" t="s">
        <v>3061</v>
      </c>
      <c r="H1656">
        <v>0</v>
      </c>
      <c r="I1656">
        <v>0</v>
      </c>
      <c r="J1656">
        <v>0</v>
      </c>
      <c r="K1656">
        <v>0</v>
      </c>
      <c r="L1656" s="22" t="str">
        <f t="shared" si="528"/>
        <v>25/07/2026</v>
      </c>
      <c r="M1656" s="23">
        <f t="shared" si="529"/>
        <v>0.75</v>
      </c>
      <c r="N1656" t="str">
        <f t="shared" si="530"/>
        <v>0 - 0</v>
      </c>
      <c r="O1656" t="str">
        <f t="shared" si="512"/>
        <v>Red</v>
      </c>
      <c r="P1656" t="str">
        <f t="shared" si="513"/>
        <v>Green</v>
      </c>
      <c r="Q1656" t="str">
        <f t="shared" si="514"/>
        <v>Red</v>
      </c>
      <c r="R1656" t="str">
        <f t="shared" si="515"/>
        <v>Green</v>
      </c>
      <c r="S1656" t="str">
        <f t="shared" si="516"/>
        <v>Green</v>
      </c>
      <c r="T1656" t="str">
        <f t="shared" si="517"/>
        <v>Red</v>
      </c>
      <c r="U1656" t="str">
        <f t="shared" si="518"/>
        <v>Red</v>
      </c>
      <c r="V1656" t="str">
        <f t="shared" si="519"/>
        <v>Green</v>
      </c>
      <c r="W1656" t="str">
        <f t="shared" si="520"/>
        <v>Red</v>
      </c>
      <c r="X1656" t="str">
        <f t="shared" si="521"/>
        <v>Red</v>
      </c>
      <c r="Y1656" t="str">
        <f t="shared" si="522"/>
        <v>Red</v>
      </c>
      <c r="Z1656" t="str">
        <f t="shared" si="523"/>
        <v>Red</v>
      </c>
      <c r="AA1656" t="str">
        <f t="shared" si="524"/>
        <v>Green</v>
      </c>
      <c r="AB1656" t="str">
        <f t="shared" si="525"/>
        <v>Green</v>
      </c>
      <c r="AC1656" t="str">
        <f t="shared" si="526"/>
        <v>Red</v>
      </c>
      <c r="AD1656" t="str">
        <f t="shared" si="527"/>
        <v>Green</v>
      </c>
    </row>
    <row r="1657" spans="1:30" x14ac:dyDescent="0.2">
      <c r="A1657" t="str">
        <f>L1656&amp;F1657&amp;G1657</f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28"/>
        <v>25/07/2026</v>
      </c>
      <c r="M1657" s="23">
        <f t="shared" si="529"/>
        <v>0.75</v>
      </c>
      <c r="N1657" t="str">
        <f t="shared" si="530"/>
        <v>0 - 2</v>
      </c>
      <c r="O1657" t="str">
        <f t="shared" si="512"/>
        <v>Red</v>
      </c>
      <c r="P1657" t="str">
        <f t="shared" si="513"/>
        <v>Red</v>
      </c>
      <c r="Q1657" t="str">
        <f t="shared" si="514"/>
        <v>Green</v>
      </c>
      <c r="R1657" t="str">
        <f t="shared" si="515"/>
        <v>Red</v>
      </c>
      <c r="S1657" t="str">
        <f t="shared" si="516"/>
        <v>Green</v>
      </c>
      <c r="T1657" t="str">
        <f t="shared" si="517"/>
        <v>Green</v>
      </c>
      <c r="U1657" t="str">
        <f t="shared" si="518"/>
        <v>Red</v>
      </c>
      <c r="V1657" t="str">
        <f t="shared" si="519"/>
        <v>Red</v>
      </c>
      <c r="W1657" t="str">
        <f t="shared" si="520"/>
        <v>Green</v>
      </c>
      <c r="X1657" t="str">
        <f t="shared" si="521"/>
        <v>Green</v>
      </c>
      <c r="Y1657" t="str">
        <f t="shared" si="522"/>
        <v>Green</v>
      </c>
      <c r="Z1657" t="str">
        <f t="shared" si="523"/>
        <v>Red</v>
      </c>
      <c r="AA1657" t="str">
        <f t="shared" si="524"/>
        <v>Green</v>
      </c>
      <c r="AB1657" t="str">
        <f t="shared" si="525"/>
        <v>Green</v>
      </c>
      <c r="AC1657" t="str">
        <f t="shared" si="526"/>
        <v>Red</v>
      </c>
      <c r="AD1657" t="str">
        <f t="shared" si="527"/>
        <v>Green</v>
      </c>
    </row>
    <row r="1658" spans="1:30" x14ac:dyDescent="0.2">
      <c r="A1658" t="str">
        <f>L1657&amp;F1658&amp;G1658</f>
        <v>25/07/2026Universidad Catolica WomenPalestino Women</v>
      </c>
      <c r="D1658" s="2">
        <v>46228</v>
      </c>
      <c r="E1658" s="3">
        <v>0.875</v>
      </c>
      <c r="F1658" t="s">
        <v>3128</v>
      </c>
      <c r="G1658" t="s">
        <v>3129</v>
      </c>
      <c r="H1658">
        <v>0</v>
      </c>
      <c r="I1658">
        <v>0</v>
      </c>
      <c r="J1658">
        <v>5</v>
      </c>
      <c r="K1658">
        <v>0</v>
      </c>
      <c r="L1658" s="22" t="str">
        <f t="shared" si="528"/>
        <v>25/07/2026</v>
      </c>
      <c r="M1658" s="23">
        <f t="shared" si="529"/>
        <v>0.75</v>
      </c>
      <c r="N1658" t="str">
        <f t="shared" si="530"/>
        <v>5 - 0</v>
      </c>
      <c r="O1658" t="str">
        <f t="shared" si="512"/>
        <v>Green</v>
      </c>
      <c r="P1658" t="str">
        <f t="shared" si="513"/>
        <v>Red</v>
      </c>
      <c r="Q1658" t="str">
        <f t="shared" si="514"/>
        <v>Red</v>
      </c>
      <c r="R1658" t="str">
        <f t="shared" si="515"/>
        <v>Green</v>
      </c>
      <c r="S1658" t="str">
        <f t="shared" si="516"/>
        <v>Red</v>
      </c>
      <c r="T1658" t="str">
        <f t="shared" si="517"/>
        <v>Green</v>
      </c>
      <c r="U1658" t="str">
        <f t="shared" si="518"/>
        <v>Red</v>
      </c>
      <c r="V1658" t="str">
        <f t="shared" si="519"/>
        <v>Green</v>
      </c>
      <c r="W1658" t="str">
        <f t="shared" si="520"/>
        <v>Red</v>
      </c>
      <c r="X1658" t="str">
        <f t="shared" si="521"/>
        <v>Red</v>
      </c>
      <c r="Y1658" t="str">
        <f t="shared" si="522"/>
        <v>Green</v>
      </c>
      <c r="Z1658" t="str">
        <f t="shared" si="523"/>
        <v>Green</v>
      </c>
      <c r="AA1658" t="str">
        <f t="shared" si="524"/>
        <v>Red</v>
      </c>
      <c r="AB1658" t="str">
        <f t="shared" si="525"/>
        <v>Red</v>
      </c>
      <c r="AC1658" t="str">
        <f t="shared" si="526"/>
        <v>Red</v>
      </c>
      <c r="AD1658" t="str">
        <f t="shared" si="527"/>
        <v>Green</v>
      </c>
    </row>
    <row r="1659" spans="1:30" x14ac:dyDescent="0.2">
      <c r="A1659" t="str">
        <f>L1658&amp;F1659&amp;G1659</f>
        <v>25/07/2026Boyaca ChicoAtletico Nacional</v>
      </c>
      <c r="D1659" s="2">
        <v>46228</v>
      </c>
      <c r="E1659" s="3">
        <v>0.875</v>
      </c>
      <c r="F1659" t="s">
        <v>3142</v>
      </c>
      <c r="G1659" t="s">
        <v>416</v>
      </c>
      <c r="L1659" s="22" t="str">
        <f t="shared" si="528"/>
        <v>25/07/2026</v>
      </c>
      <c r="M1659" s="23">
        <f t="shared" si="529"/>
        <v>0.75</v>
      </c>
      <c r="N1659" t="str">
        <f t="shared" si="530"/>
        <v xml:space="preserve"> - </v>
      </c>
      <c r="O1659" t="str">
        <f t="shared" si="512"/>
        <v>Red</v>
      </c>
      <c r="P1659" t="str">
        <f t="shared" si="513"/>
        <v>Green</v>
      </c>
      <c r="Q1659" t="str">
        <f t="shared" si="514"/>
        <v>Red</v>
      </c>
      <c r="R1659" t="str">
        <f t="shared" si="515"/>
        <v>Green</v>
      </c>
      <c r="S1659" t="str">
        <f t="shared" si="516"/>
        <v>Green</v>
      </c>
      <c r="T1659" t="str">
        <f t="shared" si="517"/>
        <v>Red</v>
      </c>
      <c r="U1659" t="str">
        <f t="shared" si="518"/>
        <v>Red</v>
      </c>
      <c r="V1659" t="str">
        <f t="shared" si="519"/>
        <v>Green</v>
      </c>
      <c r="W1659" t="str">
        <f t="shared" si="520"/>
        <v>Red</v>
      </c>
      <c r="X1659" t="str">
        <f t="shared" si="521"/>
        <v>Red</v>
      </c>
      <c r="Y1659" t="str">
        <f t="shared" si="522"/>
        <v>Red</v>
      </c>
      <c r="Z1659" t="str">
        <f t="shared" si="523"/>
        <v>Red</v>
      </c>
      <c r="AA1659" t="str">
        <f t="shared" si="524"/>
        <v>Green</v>
      </c>
      <c r="AB1659" t="str">
        <f t="shared" si="525"/>
        <v>Green</v>
      </c>
      <c r="AC1659" t="str">
        <f t="shared" si="526"/>
        <v>Red</v>
      </c>
      <c r="AD1659" t="str">
        <f t="shared" si="527"/>
        <v>Green</v>
      </c>
    </row>
    <row r="1660" spans="1:30" x14ac:dyDescent="0.2">
      <c r="A1660" t="str">
        <f>L1659&amp;F1660&amp;G1660</f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28"/>
        <v>25/07/2026</v>
      </c>
      <c r="M1660" s="23">
        <f t="shared" si="529"/>
        <v>0.75</v>
      </c>
      <c r="N1660" t="str">
        <f t="shared" si="530"/>
        <v>1 - 0</v>
      </c>
      <c r="O1660" t="str">
        <f t="shared" si="512"/>
        <v>Green</v>
      </c>
      <c r="P1660" t="str">
        <f t="shared" si="513"/>
        <v>Red</v>
      </c>
      <c r="Q1660" t="str">
        <f t="shared" si="514"/>
        <v>Red</v>
      </c>
      <c r="R1660" t="str">
        <f t="shared" si="515"/>
        <v>Green</v>
      </c>
      <c r="S1660" t="str">
        <f t="shared" si="516"/>
        <v>Red</v>
      </c>
      <c r="T1660" t="str">
        <f t="shared" si="517"/>
        <v>Green</v>
      </c>
      <c r="U1660" t="str">
        <f t="shared" si="518"/>
        <v>Green</v>
      </c>
      <c r="V1660" t="str">
        <f t="shared" si="519"/>
        <v>Red</v>
      </c>
      <c r="W1660" t="str">
        <f t="shared" si="520"/>
        <v>Red</v>
      </c>
      <c r="X1660" t="str">
        <f t="shared" si="521"/>
        <v>Green</v>
      </c>
      <c r="Y1660" t="str">
        <f t="shared" si="522"/>
        <v>Red</v>
      </c>
      <c r="Z1660" t="str">
        <f t="shared" si="523"/>
        <v>Red</v>
      </c>
      <c r="AA1660" t="str">
        <f t="shared" si="524"/>
        <v>Green</v>
      </c>
      <c r="AB1660" t="str">
        <f t="shared" si="525"/>
        <v>Green</v>
      </c>
      <c r="AC1660" t="str">
        <f t="shared" si="526"/>
        <v>Red</v>
      </c>
      <c r="AD1660" t="str">
        <f t="shared" si="527"/>
        <v>Green</v>
      </c>
    </row>
    <row r="1661" spans="1:30" x14ac:dyDescent="0.2">
      <c r="A1661" t="str">
        <f>L1660&amp;F1661&amp;G1661</f>
        <v>25/07/2026Cortulua WomenOrsomarso Women</v>
      </c>
      <c r="D1661" s="2">
        <v>46228</v>
      </c>
      <c r="E1661" s="3">
        <v>0.875</v>
      </c>
      <c r="F1661" t="s">
        <v>3147</v>
      </c>
      <c r="G1661" t="s">
        <v>3148</v>
      </c>
      <c r="H1661">
        <v>0</v>
      </c>
      <c r="I1661">
        <v>1</v>
      </c>
      <c r="J1661">
        <v>1</v>
      </c>
      <c r="K1661">
        <v>1</v>
      </c>
      <c r="L1661" s="22" t="str">
        <f t="shared" si="528"/>
        <v>25/07/2026</v>
      </c>
      <c r="M1661" s="23">
        <f t="shared" si="529"/>
        <v>0.75</v>
      </c>
      <c r="N1661" t="str">
        <f t="shared" si="530"/>
        <v>1 - 1</v>
      </c>
      <c r="O1661" t="str">
        <f t="shared" si="512"/>
        <v>Red</v>
      </c>
      <c r="P1661" t="str">
        <f t="shared" si="513"/>
        <v>Green</v>
      </c>
      <c r="Q1661" t="str">
        <f t="shared" si="514"/>
        <v>Red</v>
      </c>
      <c r="R1661" t="str">
        <f t="shared" si="515"/>
        <v>Green</v>
      </c>
      <c r="S1661" t="str">
        <f t="shared" si="516"/>
        <v>Green</v>
      </c>
      <c r="T1661" t="str">
        <f t="shared" si="517"/>
        <v>Red</v>
      </c>
      <c r="U1661" t="str">
        <f t="shared" si="518"/>
        <v>Red</v>
      </c>
      <c r="V1661" t="str">
        <f t="shared" si="519"/>
        <v>Red</v>
      </c>
      <c r="W1661" t="str">
        <f t="shared" si="520"/>
        <v>Green</v>
      </c>
      <c r="X1661" t="str">
        <f t="shared" si="521"/>
        <v>Green</v>
      </c>
      <c r="Y1661" t="str">
        <f t="shared" si="522"/>
        <v>Green</v>
      </c>
      <c r="Z1661" t="str">
        <f t="shared" si="523"/>
        <v>Red</v>
      </c>
      <c r="AA1661" t="str">
        <f t="shared" si="524"/>
        <v>Green</v>
      </c>
      <c r="AB1661" t="str">
        <f t="shared" si="525"/>
        <v>Green</v>
      </c>
      <c r="AC1661" t="str">
        <f t="shared" si="526"/>
        <v>Green</v>
      </c>
      <c r="AD1661" t="str">
        <f t="shared" si="527"/>
        <v>Red</v>
      </c>
    </row>
    <row r="1662" spans="1:30" x14ac:dyDescent="0.2">
      <c r="A1662" t="str">
        <f>L1661&amp;F1662&amp;G1662</f>
        <v>25/07/2026Atletico BalboaInter FA</v>
      </c>
      <c r="D1662" s="2">
        <v>46228</v>
      </c>
      <c r="E1662" s="3">
        <v>0.875</v>
      </c>
      <c r="F1662" t="s">
        <v>3207</v>
      </c>
      <c r="G1662" t="s">
        <v>3208</v>
      </c>
      <c r="H1662">
        <v>0</v>
      </c>
      <c r="I1662">
        <v>0</v>
      </c>
      <c r="J1662">
        <v>0</v>
      </c>
      <c r="K1662">
        <v>0</v>
      </c>
      <c r="L1662" s="22" t="str">
        <f t="shared" si="528"/>
        <v>25/07/2026</v>
      </c>
      <c r="M1662" s="23">
        <f t="shared" si="529"/>
        <v>0.75</v>
      </c>
      <c r="N1662" t="str">
        <f t="shared" si="530"/>
        <v>0 - 0</v>
      </c>
      <c r="O1662" t="str">
        <f t="shared" si="512"/>
        <v>Red</v>
      </c>
      <c r="P1662" t="str">
        <f t="shared" si="513"/>
        <v>Green</v>
      </c>
      <c r="Q1662" t="str">
        <f t="shared" si="514"/>
        <v>Red</v>
      </c>
      <c r="R1662" t="str">
        <f t="shared" si="515"/>
        <v>Green</v>
      </c>
      <c r="S1662" t="str">
        <f t="shared" si="516"/>
        <v>Green</v>
      </c>
      <c r="T1662" t="str">
        <f t="shared" si="517"/>
        <v>Red</v>
      </c>
      <c r="U1662" t="str">
        <f t="shared" si="518"/>
        <v>Red</v>
      </c>
      <c r="V1662" t="str">
        <f t="shared" si="519"/>
        <v>Green</v>
      </c>
      <c r="W1662" t="str">
        <f t="shared" si="520"/>
        <v>Red</v>
      </c>
      <c r="X1662" t="str">
        <f t="shared" si="521"/>
        <v>Red</v>
      </c>
      <c r="Y1662" t="str">
        <f t="shared" si="522"/>
        <v>Red</v>
      </c>
      <c r="Z1662" t="str">
        <f t="shared" si="523"/>
        <v>Red</v>
      </c>
      <c r="AA1662" t="str">
        <f t="shared" si="524"/>
        <v>Green</v>
      </c>
      <c r="AB1662" t="str">
        <f t="shared" si="525"/>
        <v>Green</v>
      </c>
      <c r="AC1662" t="str">
        <f t="shared" si="526"/>
        <v>Red</v>
      </c>
      <c r="AD1662" t="str">
        <f t="shared" si="527"/>
        <v>Green</v>
      </c>
    </row>
    <row r="1663" spans="1:30" x14ac:dyDescent="0.2">
      <c r="A1663" t="str">
        <f>L1662&amp;F1663&amp;G1663</f>
        <v>25/07/2026CD CacahuatiqueAD Isidro Metapan</v>
      </c>
      <c r="D1663" s="2">
        <v>46228</v>
      </c>
      <c r="E1663" s="3">
        <v>0.875</v>
      </c>
      <c r="F1663" t="s">
        <v>3209</v>
      </c>
      <c r="G1663" t="s">
        <v>3210</v>
      </c>
      <c r="H1663">
        <v>1</v>
      </c>
      <c r="I1663">
        <v>0</v>
      </c>
      <c r="J1663">
        <v>2</v>
      </c>
      <c r="K1663">
        <v>4</v>
      </c>
      <c r="L1663" s="22" t="str">
        <f t="shared" si="528"/>
        <v>25/07/2026</v>
      </c>
      <c r="M1663" s="23">
        <f t="shared" si="529"/>
        <v>0.75</v>
      </c>
      <c r="N1663" t="str">
        <f t="shared" si="530"/>
        <v>2 - 4</v>
      </c>
      <c r="O1663" t="str">
        <f t="shared" si="512"/>
        <v>Red</v>
      </c>
      <c r="P1663" t="str">
        <f t="shared" si="513"/>
        <v>Red</v>
      </c>
      <c r="Q1663" t="str">
        <f t="shared" si="514"/>
        <v>Green</v>
      </c>
      <c r="R1663" t="str">
        <f t="shared" si="515"/>
        <v>Red</v>
      </c>
      <c r="S1663" t="str">
        <f t="shared" si="516"/>
        <v>Green</v>
      </c>
      <c r="T1663" t="str">
        <f t="shared" si="517"/>
        <v>Green</v>
      </c>
      <c r="U1663" t="str">
        <f t="shared" si="518"/>
        <v>Green</v>
      </c>
      <c r="V1663" t="str">
        <f t="shared" si="519"/>
        <v>Red</v>
      </c>
      <c r="W1663" t="str">
        <f t="shared" si="520"/>
        <v>Red</v>
      </c>
      <c r="X1663" t="str">
        <f t="shared" si="521"/>
        <v>Green</v>
      </c>
      <c r="Y1663" t="str">
        <f t="shared" si="522"/>
        <v>Green</v>
      </c>
      <c r="Z1663" t="str">
        <f t="shared" si="523"/>
        <v>Green</v>
      </c>
      <c r="AA1663" t="str">
        <f t="shared" si="524"/>
        <v>Red</v>
      </c>
      <c r="AB1663" t="str">
        <f t="shared" si="525"/>
        <v>Red</v>
      </c>
      <c r="AC1663" t="str">
        <f t="shared" si="526"/>
        <v>Green</v>
      </c>
      <c r="AD1663" t="str">
        <f t="shared" si="527"/>
        <v>Red</v>
      </c>
    </row>
    <row r="1664" spans="1:30" x14ac:dyDescent="0.2">
      <c r="A1664" t="str">
        <f>L1663&amp;F1664&amp;G1664</f>
        <v>25/07/2026Aurora FCDeportivo Guastatoya</v>
      </c>
      <c r="D1664" s="2">
        <v>46228</v>
      </c>
      <c r="E1664" s="3">
        <v>0.875</v>
      </c>
      <c r="F1664" t="s">
        <v>3300</v>
      </c>
      <c r="G1664" t="s">
        <v>3301</v>
      </c>
      <c r="H1664">
        <v>0</v>
      </c>
      <c r="I1664">
        <v>0</v>
      </c>
      <c r="J1664">
        <v>0</v>
      </c>
      <c r="K1664">
        <v>1</v>
      </c>
      <c r="L1664" s="22" t="str">
        <f t="shared" si="528"/>
        <v>25/07/2026</v>
      </c>
      <c r="M1664" s="23">
        <f t="shared" si="529"/>
        <v>0.75</v>
      </c>
      <c r="N1664" t="str">
        <f t="shared" si="530"/>
        <v>0 - 1</v>
      </c>
      <c r="O1664" t="str">
        <f t="shared" si="512"/>
        <v>Red</v>
      </c>
      <c r="P1664" t="str">
        <f t="shared" si="513"/>
        <v>Red</v>
      </c>
      <c r="Q1664" t="str">
        <f t="shared" si="514"/>
        <v>Green</v>
      </c>
      <c r="R1664" t="str">
        <f t="shared" si="515"/>
        <v>Red</v>
      </c>
      <c r="S1664" t="str">
        <f t="shared" si="516"/>
        <v>Green</v>
      </c>
      <c r="T1664" t="str">
        <f t="shared" si="517"/>
        <v>Green</v>
      </c>
      <c r="U1664" t="str">
        <f t="shared" si="518"/>
        <v>Red</v>
      </c>
      <c r="V1664" t="str">
        <f t="shared" si="519"/>
        <v>Green</v>
      </c>
      <c r="W1664" t="str">
        <f t="shared" si="520"/>
        <v>Red</v>
      </c>
      <c r="X1664" t="str">
        <f t="shared" si="521"/>
        <v>Red</v>
      </c>
      <c r="Y1664" t="str">
        <f t="shared" si="522"/>
        <v>Red</v>
      </c>
      <c r="Z1664" t="str">
        <f t="shared" si="523"/>
        <v>Red</v>
      </c>
      <c r="AA1664" t="str">
        <f t="shared" si="524"/>
        <v>Green</v>
      </c>
      <c r="AB1664" t="str">
        <f t="shared" si="525"/>
        <v>Green</v>
      </c>
      <c r="AC1664" t="str">
        <f t="shared" si="526"/>
        <v>Red</v>
      </c>
      <c r="AD1664" t="str">
        <f t="shared" si="527"/>
        <v>Green</v>
      </c>
    </row>
    <row r="1665" spans="1:30" x14ac:dyDescent="0.2">
      <c r="A1665" t="str">
        <f>L1664&amp;F1665&amp;G1665</f>
        <v>25/07/2026AFF PalinDeportivo Sacachispas</v>
      </c>
      <c r="D1665" s="2">
        <v>46228</v>
      </c>
      <c r="E1665" s="3">
        <v>0.875</v>
      </c>
      <c r="F1665" t="s">
        <v>3304</v>
      </c>
      <c r="G1665" t="s">
        <v>3305</v>
      </c>
      <c r="H1665">
        <v>0</v>
      </c>
      <c r="I1665">
        <v>0</v>
      </c>
      <c r="J1665">
        <v>0</v>
      </c>
      <c r="K1665">
        <v>1</v>
      </c>
      <c r="L1665" s="22" t="str">
        <f t="shared" si="528"/>
        <v>25/07/2026</v>
      </c>
      <c r="M1665" s="23">
        <f t="shared" si="529"/>
        <v>0.75</v>
      </c>
      <c r="N1665" t="str">
        <f t="shared" si="530"/>
        <v>0 - 1</v>
      </c>
      <c r="O1665" t="str">
        <f t="shared" si="512"/>
        <v>Red</v>
      </c>
      <c r="P1665" t="str">
        <f t="shared" si="513"/>
        <v>Red</v>
      </c>
      <c r="Q1665" t="str">
        <f t="shared" si="514"/>
        <v>Green</v>
      </c>
      <c r="R1665" t="str">
        <f t="shared" si="515"/>
        <v>Red</v>
      </c>
      <c r="S1665" t="str">
        <f t="shared" si="516"/>
        <v>Green</v>
      </c>
      <c r="T1665" t="str">
        <f t="shared" si="517"/>
        <v>Green</v>
      </c>
      <c r="U1665" t="str">
        <f t="shared" si="518"/>
        <v>Red</v>
      </c>
      <c r="V1665" t="str">
        <f t="shared" si="519"/>
        <v>Green</v>
      </c>
      <c r="W1665" t="str">
        <f t="shared" si="520"/>
        <v>Red</v>
      </c>
      <c r="X1665" t="str">
        <f t="shared" si="521"/>
        <v>Red</v>
      </c>
      <c r="Y1665" t="str">
        <f t="shared" si="522"/>
        <v>Red</v>
      </c>
      <c r="Z1665" t="str">
        <f t="shared" si="523"/>
        <v>Red</v>
      </c>
      <c r="AA1665" t="str">
        <f t="shared" si="524"/>
        <v>Green</v>
      </c>
      <c r="AB1665" t="str">
        <f t="shared" si="525"/>
        <v>Green</v>
      </c>
      <c r="AC1665" t="str">
        <f t="shared" si="526"/>
        <v>Red</v>
      </c>
      <c r="AD1665" t="str">
        <f t="shared" si="527"/>
        <v>Green</v>
      </c>
    </row>
    <row r="1666" spans="1:30" x14ac:dyDescent="0.2">
      <c r="A1666" t="str">
        <f>L1665&amp;F1666&amp;G1666</f>
        <v>25/07/2026Cuba U20El Salvador U20</v>
      </c>
      <c r="D1666" s="2">
        <v>46228</v>
      </c>
      <c r="E1666" s="3">
        <v>0.875</v>
      </c>
      <c r="F1666" t="s">
        <v>3442</v>
      </c>
      <c r="G1666" t="s">
        <v>3443</v>
      </c>
      <c r="H1666">
        <v>2</v>
      </c>
      <c r="I1666">
        <v>0</v>
      </c>
      <c r="J1666">
        <v>3</v>
      </c>
      <c r="K1666">
        <v>0</v>
      </c>
      <c r="L1666" s="22" t="str">
        <f t="shared" si="528"/>
        <v>25/07/2026</v>
      </c>
      <c r="M1666" s="23">
        <f t="shared" si="529"/>
        <v>0.75</v>
      </c>
      <c r="N1666" t="str">
        <f t="shared" si="530"/>
        <v>3 - 0</v>
      </c>
      <c r="O1666" t="str">
        <f t="shared" ref="O1666:O1729" si="531">IF($J1666&gt;$K1666,"Green","Red")</f>
        <v>Green</v>
      </c>
      <c r="P1666" t="str">
        <f t="shared" ref="P1666:P1729" si="532">IF($J1666=$K1666,"Green","Red")</f>
        <v>Red</v>
      </c>
      <c r="Q1666" t="str">
        <f t="shared" ref="Q1666:Q1729" si="533">IF($J1666&lt;$K1666,"Green","Red")</f>
        <v>Red</v>
      </c>
      <c r="R1666" t="str">
        <f t="shared" ref="R1666:R1729" si="534">IF($J1666&gt;=$K1666,"Green","Red")</f>
        <v>Green</v>
      </c>
      <c r="S1666" t="str">
        <f t="shared" ref="S1666:S1729" si="535">IF($J1666&lt;=$K1666,"Green","Red")</f>
        <v>Red</v>
      </c>
      <c r="T1666" t="str">
        <f t="shared" ref="T1666:T1729" si="536">IF(OR($J1666&gt;$K1666,$J1666&lt;$K1666),"Green","Red")</f>
        <v>Green</v>
      </c>
      <c r="U1666" t="str">
        <f t="shared" ref="U1666:U1729" si="537">IF($H1666&gt;$I1666,"Green","Red")</f>
        <v>Green</v>
      </c>
      <c r="V1666" t="str">
        <f t="shared" ref="V1666:V1729" si="538">IF($H1666=$I1666,"Green","Red")</f>
        <v>Red</v>
      </c>
      <c r="W1666" t="str">
        <f t="shared" ref="W1666:W1729" si="539">IF($H1666&lt;$I1666,"Green","Red")</f>
        <v>Red</v>
      </c>
      <c r="X1666" t="str">
        <f t="shared" ref="X1666:X1729" si="540">IF($H1666+$I1666&gt;0,"Green","Red")</f>
        <v>Green</v>
      </c>
      <c r="Y1666" t="str">
        <f t="shared" ref="Y1666:Y1729" si="541">IF($J1666+$K1666&gt;1.5,"Green","Red")</f>
        <v>Green</v>
      </c>
      <c r="Z1666" t="str">
        <f t="shared" ref="Z1666:Z1729" si="542">IF($J1666+$K1666&gt;2.5,"Green","Red")</f>
        <v>Green</v>
      </c>
      <c r="AA1666" t="str">
        <f t="shared" ref="AA1666:AA1729" si="543">IF($J1666+$K1666&lt;2.5,"Green","Red")</f>
        <v>Red</v>
      </c>
      <c r="AB1666" t="str">
        <f t="shared" ref="AB1666:AB1729" si="544">IF($J1666+$K1666&lt;3.5,"Green","Red")</f>
        <v>Green</v>
      </c>
      <c r="AC1666" t="str">
        <f t="shared" ref="AC1666:AC1729" si="545">IF(AND($J1666&gt;0,$K1666&gt;0),"Green","Red")</f>
        <v>Red</v>
      </c>
      <c r="AD1666" t="str">
        <f t="shared" ref="AD1666:AD1729" si="546">IF(OR($J1666=0,$K1666=0),"Green","Red")</f>
        <v>Green</v>
      </c>
    </row>
    <row r="1667" spans="1:30" x14ac:dyDescent="0.2">
      <c r="A1667" t="str">
        <f>L1666&amp;F1667&amp;G1667</f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28"/>
        <v>25/07/2026</v>
      </c>
      <c r="M1667" s="23">
        <f t="shared" si="529"/>
        <v>0.75</v>
      </c>
      <c r="N1667" t="str">
        <f t="shared" si="530"/>
        <v>1 - 2</v>
      </c>
      <c r="O1667" t="str">
        <f t="shared" si="531"/>
        <v>Red</v>
      </c>
      <c r="P1667" t="str">
        <f t="shared" si="532"/>
        <v>Red</v>
      </c>
      <c r="Q1667" t="str">
        <f t="shared" si="533"/>
        <v>Green</v>
      </c>
      <c r="R1667" t="str">
        <f t="shared" si="534"/>
        <v>Red</v>
      </c>
      <c r="S1667" t="str">
        <f t="shared" si="535"/>
        <v>Green</v>
      </c>
      <c r="T1667" t="str">
        <f t="shared" si="536"/>
        <v>Green</v>
      </c>
      <c r="U1667" t="str">
        <f t="shared" si="537"/>
        <v>Red</v>
      </c>
      <c r="V1667" t="str">
        <f t="shared" si="538"/>
        <v>Red</v>
      </c>
      <c r="W1667" t="str">
        <f t="shared" si="539"/>
        <v>Green</v>
      </c>
      <c r="X1667" t="str">
        <f t="shared" si="540"/>
        <v>Green</v>
      </c>
      <c r="Y1667" t="str">
        <f t="shared" si="541"/>
        <v>Green</v>
      </c>
      <c r="Z1667" t="str">
        <f t="shared" si="542"/>
        <v>Green</v>
      </c>
      <c r="AA1667" t="str">
        <f t="shared" si="543"/>
        <v>Red</v>
      </c>
      <c r="AB1667" t="str">
        <f t="shared" si="544"/>
        <v>Green</v>
      </c>
      <c r="AC1667" t="str">
        <f t="shared" si="545"/>
        <v>Green</v>
      </c>
      <c r="AD1667" t="str">
        <f t="shared" si="546"/>
        <v>Red</v>
      </c>
    </row>
    <row r="1668" spans="1:30" x14ac:dyDescent="0.2">
      <c r="A1668" t="str">
        <f>L1667&amp;F1668&amp;G1668</f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3691</v>
      </c>
      <c r="L1668" s="22" t="str">
        <f t="shared" si="528"/>
        <v>25/07/2026</v>
      </c>
      <c r="M1668" s="23">
        <f t="shared" si="529"/>
        <v>0.75</v>
      </c>
      <c r="N1668" t="str">
        <f t="shared" si="530"/>
        <v xml:space="preserve"> - </v>
      </c>
      <c r="O1668" t="str">
        <f t="shared" si="531"/>
        <v>Red</v>
      </c>
      <c r="P1668" t="str">
        <f t="shared" si="532"/>
        <v>Green</v>
      </c>
      <c r="Q1668" t="str">
        <f t="shared" si="533"/>
        <v>Red</v>
      </c>
      <c r="R1668" t="str">
        <f t="shared" si="534"/>
        <v>Green</v>
      </c>
      <c r="S1668" t="str">
        <f t="shared" si="535"/>
        <v>Green</v>
      </c>
      <c r="T1668" t="str">
        <f t="shared" si="536"/>
        <v>Red</v>
      </c>
      <c r="U1668" t="str">
        <f t="shared" si="537"/>
        <v>Red</v>
      </c>
      <c r="V1668" t="str">
        <f t="shared" si="538"/>
        <v>Green</v>
      </c>
      <c r="W1668" t="str">
        <f t="shared" si="539"/>
        <v>Red</v>
      </c>
      <c r="X1668" t="str">
        <f t="shared" si="540"/>
        <v>Red</v>
      </c>
      <c r="Y1668" t="str">
        <f t="shared" si="541"/>
        <v>Red</v>
      </c>
      <c r="Z1668" t="str">
        <f t="shared" si="542"/>
        <v>Red</v>
      </c>
      <c r="AA1668" t="str">
        <f t="shared" si="543"/>
        <v>Green</v>
      </c>
      <c r="AB1668" t="str">
        <f t="shared" si="544"/>
        <v>Green</v>
      </c>
      <c r="AC1668" t="str">
        <f t="shared" si="545"/>
        <v>Red</v>
      </c>
      <c r="AD1668" t="str">
        <f t="shared" si="546"/>
        <v>Green</v>
      </c>
    </row>
    <row r="1669" spans="1:30" x14ac:dyDescent="0.2">
      <c r="A1669" t="str">
        <f>L1668&amp;F1669&amp;G1669</f>
        <v>25/07/2026Plaza ColoniaMiramar Misiones</v>
      </c>
      <c r="D1669" s="2">
        <v>46228</v>
      </c>
      <c r="E1669" s="3">
        <v>0.875</v>
      </c>
      <c r="F1669" t="s">
        <v>3694</v>
      </c>
      <c r="G1669" t="s">
        <v>1204</v>
      </c>
      <c r="L1669" s="22" t="str">
        <f t="shared" si="528"/>
        <v>25/07/2026</v>
      </c>
      <c r="M1669" s="23">
        <f t="shared" si="529"/>
        <v>0.75</v>
      </c>
      <c r="N1669" t="str">
        <f t="shared" si="530"/>
        <v xml:space="preserve"> - </v>
      </c>
      <c r="O1669" t="str">
        <f t="shared" si="531"/>
        <v>Red</v>
      </c>
      <c r="P1669" t="str">
        <f t="shared" si="532"/>
        <v>Green</v>
      </c>
      <c r="Q1669" t="str">
        <f t="shared" si="533"/>
        <v>Red</v>
      </c>
      <c r="R1669" t="str">
        <f t="shared" si="534"/>
        <v>Green</v>
      </c>
      <c r="S1669" t="str">
        <f t="shared" si="535"/>
        <v>Green</v>
      </c>
      <c r="T1669" t="str">
        <f t="shared" si="536"/>
        <v>Red</v>
      </c>
      <c r="U1669" t="str">
        <f t="shared" si="537"/>
        <v>Red</v>
      </c>
      <c r="V1669" t="str">
        <f t="shared" si="538"/>
        <v>Green</v>
      </c>
      <c r="W1669" t="str">
        <f t="shared" si="539"/>
        <v>Red</v>
      </c>
      <c r="X1669" t="str">
        <f t="shared" si="540"/>
        <v>Red</v>
      </c>
      <c r="Y1669" t="str">
        <f t="shared" si="541"/>
        <v>Red</v>
      </c>
      <c r="Z1669" t="str">
        <f t="shared" si="542"/>
        <v>Red</v>
      </c>
      <c r="AA1669" t="str">
        <f t="shared" si="543"/>
        <v>Green</v>
      </c>
      <c r="AB1669" t="str">
        <f t="shared" si="544"/>
        <v>Green</v>
      </c>
      <c r="AC1669" t="str">
        <f t="shared" si="545"/>
        <v>Red</v>
      </c>
      <c r="AD1669" t="str">
        <f t="shared" si="546"/>
        <v>Green</v>
      </c>
    </row>
    <row r="1670" spans="1:30" x14ac:dyDescent="0.2">
      <c r="A1670" t="str">
        <f>L1669&amp;F1670&amp;G1670</f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28"/>
        <v>25/07/2026</v>
      </c>
      <c r="M1670" s="23">
        <f t="shared" si="529"/>
        <v>0.75</v>
      </c>
      <c r="N1670" t="str">
        <f t="shared" si="530"/>
        <v>2 - 1</v>
      </c>
      <c r="O1670" t="str">
        <f t="shared" si="531"/>
        <v>Green</v>
      </c>
      <c r="P1670" t="str">
        <f t="shared" si="532"/>
        <v>Red</v>
      </c>
      <c r="Q1670" t="str">
        <f t="shared" si="533"/>
        <v>Red</v>
      </c>
      <c r="R1670" t="str">
        <f t="shared" si="534"/>
        <v>Green</v>
      </c>
      <c r="S1670" t="str">
        <f t="shared" si="535"/>
        <v>Red</v>
      </c>
      <c r="T1670" t="str">
        <f t="shared" si="536"/>
        <v>Green</v>
      </c>
      <c r="U1670" t="str">
        <f t="shared" si="537"/>
        <v>Red</v>
      </c>
      <c r="V1670" t="str">
        <f t="shared" si="538"/>
        <v>Green</v>
      </c>
      <c r="W1670" t="str">
        <f t="shared" si="539"/>
        <v>Red</v>
      </c>
      <c r="X1670" t="str">
        <f t="shared" si="540"/>
        <v>Green</v>
      </c>
      <c r="Y1670" t="str">
        <f t="shared" si="541"/>
        <v>Green</v>
      </c>
      <c r="Z1670" t="str">
        <f t="shared" si="542"/>
        <v>Green</v>
      </c>
      <c r="AA1670" t="str">
        <f t="shared" si="543"/>
        <v>Red</v>
      </c>
      <c r="AB1670" t="str">
        <f t="shared" si="544"/>
        <v>Green</v>
      </c>
      <c r="AC1670" t="str">
        <f t="shared" si="545"/>
        <v>Green</v>
      </c>
      <c r="AD1670" t="str">
        <f t="shared" si="546"/>
        <v>Red</v>
      </c>
    </row>
    <row r="1671" spans="1:30" x14ac:dyDescent="0.2">
      <c r="A1671" t="str">
        <f>L1670&amp;F1671&amp;G1671</f>
        <v>25/07/2026Boston Legacy WomenKansas City Women</v>
      </c>
      <c r="D1671" s="2">
        <v>46228</v>
      </c>
      <c r="E1671" s="3">
        <v>0.875</v>
      </c>
      <c r="F1671" t="s">
        <v>3724</v>
      </c>
      <c r="G1671" t="s">
        <v>3725</v>
      </c>
      <c r="H1671">
        <v>1</v>
      </c>
      <c r="I1671">
        <v>0</v>
      </c>
      <c r="J1671">
        <v>1</v>
      </c>
      <c r="K1671">
        <v>0</v>
      </c>
      <c r="L1671" s="22" t="str">
        <f t="shared" si="528"/>
        <v>25/07/2026</v>
      </c>
      <c r="M1671" s="23">
        <f t="shared" si="529"/>
        <v>0.75</v>
      </c>
      <c r="N1671" t="str">
        <f t="shared" si="530"/>
        <v>1 - 0</v>
      </c>
      <c r="O1671" t="str">
        <f t="shared" si="531"/>
        <v>Green</v>
      </c>
      <c r="P1671" t="str">
        <f t="shared" si="532"/>
        <v>Red</v>
      </c>
      <c r="Q1671" t="str">
        <f t="shared" si="533"/>
        <v>Red</v>
      </c>
      <c r="R1671" t="str">
        <f t="shared" si="534"/>
        <v>Green</v>
      </c>
      <c r="S1671" t="str">
        <f t="shared" si="535"/>
        <v>Red</v>
      </c>
      <c r="T1671" t="str">
        <f t="shared" si="536"/>
        <v>Green</v>
      </c>
      <c r="U1671" t="str">
        <f t="shared" si="537"/>
        <v>Green</v>
      </c>
      <c r="V1671" t="str">
        <f t="shared" si="538"/>
        <v>Red</v>
      </c>
      <c r="W1671" t="str">
        <f t="shared" si="539"/>
        <v>Red</v>
      </c>
      <c r="X1671" t="str">
        <f t="shared" si="540"/>
        <v>Green</v>
      </c>
      <c r="Y1671" t="str">
        <f t="shared" si="541"/>
        <v>Red</v>
      </c>
      <c r="Z1671" t="str">
        <f t="shared" si="542"/>
        <v>Red</v>
      </c>
      <c r="AA1671" t="str">
        <f t="shared" si="543"/>
        <v>Green</v>
      </c>
      <c r="AB1671" t="str">
        <f t="shared" si="544"/>
        <v>Green</v>
      </c>
      <c r="AC1671" t="str">
        <f t="shared" si="545"/>
        <v>Red</v>
      </c>
      <c r="AD1671" t="str">
        <f t="shared" si="546"/>
        <v>Green</v>
      </c>
    </row>
    <row r="1672" spans="1:30" x14ac:dyDescent="0.2">
      <c r="A1672" t="str">
        <f>L1671&amp;F1672&amp;G1672</f>
        <v>25/07/2026Deportivo LaraCA Barinas</v>
      </c>
      <c r="D1672" s="2">
        <v>46228</v>
      </c>
      <c r="E1672" s="3">
        <v>0.875</v>
      </c>
      <c r="F1672" t="s">
        <v>3740</v>
      </c>
      <c r="G1672" t="s">
        <v>3741</v>
      </c>
      <c r="H1672">
        <v>0</v>
      </c>
      <c r="I1672">
        <v>1</v>
      </c>
      <c r="J1672">
        <v>4</v>
      </c>
      <c r="K1672">
        <v>1</v>
      </c>
      <c r="L1672" s="22" t="str">
        <f t="shared" si="528"/>
        <v>25/07/2026</v>
      </c>
      <c r="M1672" s="23">
        <f t="shared" si="529"/>
        <v>0.75</v>
      </c>
      <c r="N1672" t="str">
        <f t="shared" si="530"/>
        <v>4 - 1</v>
      </c>
      <c r="O1672" t="str">
        <f t="shared" si="531"/>
        <v>Green</v>
      </c>
      <c r="P1672" t="str">
        <f t="shared" si="532"/>
        <v>Red</v>
      </c>
      <c r="Q1672" t="str">
        <f t="shared" si="533"/>
        <v>Red</v>
      </c>
      <c r="R1672" t="str">
        <f t="shared" si="534"/>
        <v>Green</v>
      </c>
      <c r="S1672" t="str">
        <f t="shared" si="535"/>
        <v>Red</v>
      </c>
      <c r="T1672" t="str">
        <f t="shared" si="536"/>
        <v>Green</v>
      </c>
      <c r="U1672" t="str">
        <f t="shared" si="537"/>
        <v>Red</v>
      </c>
      <c r="V1672" t="str">
        <f t="shared" si="538"/>
        <v>Red</v>
      </c>
      <c r="W1672" t="str">
        <f t="shared" si="539"/>
        <v>Green</v>
      </c>
      <c r="X1672" t="str">
        <f t="shared" si="540"/>
        <v>Green</v>
      </c>
      <c r="Y1672" t="str">
        <f t="shared" si="541"/>
        <v>Green</v>
      </c>
      <c r="Z1672" t="str">
        <f t="shared" si="542"/>
        <v>Green</v>
      </c>
      <c r="AA1672" t="str">
        <f t="shared" si="543"/>
        <v>Red</v>
      </c>
      <c r="AB1672" t="str">
        <f t="shared" si="544"/>
        <v>Red</v>
      </c>
      <c r="AC1672" t="str">
        <f t="shared" si="545"/>
        <v>Green</v>
      </c>
      <c r="AD1672" t="str">
        <f t="shared" si="546"/>
        <v>Red</v>
      </c>
    </row>
    <row r="1673" spans="1:30" x14ac:dyDescent="0.2">
      <c r="A1673" t="str">
        <f>L1672&amp;F1673&amp;G1673</f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28"/>
        <v>25/07/2026</v>
      </c>
      <c r="M1673" s="23">
        <f t="shared" si="529"/>
        <v>0.75347222222222221</v>
      </c>
      <c r="N1673" t="str">
        <f t="shared" si="530"/>
        <v>3 - 2</v>
      </c>
      <c r="O1673" t="str">
        <f t="shared" si="531"/>
        <v>Green</v>
      </c>
      <c r="P1673" t="str">
        <f t="shared" si="532"/>
        <v>Red</v>
      </c>
      <c r="Q1673" t="str">
        <f t="shared" si="533"/>
        <v>Red</v>
      </c>
      <c r="R1673" t="str">
        <f t="shared" si="534"/>
        <v>Green</v>
      </c>
      <c r="S1673" t="str">
        <f t="shared" si="535"/>
        <v>Red</v>
      </c>
      <c r="T1673" t="str">
        <f t="shared" si="536"/>
        <v>Green</v>
      </c>
      <c r="U1673" t="str">
        <f t="shared" si="537"/>
        <v>Red</v>
      </c>
      <c r="V1673" t="str">
        <f t="shared" si="538"/>
        <v>Green</v>
      </c>
      <c r="W1673" t="str">
        <f t="shared" si="539"/>
        <v>Red</v>
      </c>
      <c r="X1673" t="str">
        <f t="shared" si="540"/>
        <v>Green</v>
      </c>
      <c r="Y1673" t="str">
        <f t="shared" si="541"/>
        <v>Green</v>
      </c>
      <c r="Z1673" t="str">
        <f t="shared" si="542"/>
        <v>Green</v>
      </c>
      <c r="AA1673" t="str">
        <f t="shared" si="543"/>
        <v>Red</v>
      </c>
      <c r="AB1673" t="str">
        <f t="shared" si="544"/>
        <v>Red</v>
      </c>
      <c r="AC1673" t="str">
        <f t="shared" si="545"/>
        <v>Green</v>
      </c>
      <c r="AD1673" t="str">
        <f t="shared" si="546"/>
        <v>Red</v>
      </c>
    </row>
    <row r="1674" spans="1:30" x14ac:dyDescent="0.2">
      <c r="A1674" t="str">
        <f>L1673&amp;F1674&amp;G1674</f>
        <v>25/07/2026GuabiraReal Oruro</v>
      </c>
      <c r="D1674" s="2">
        <v>46228</v>
      </c>
      <c r="E1674" s="3">
        <v>0.88541666666666663</v>
      </c>
      <c r="F1674" t="s">
        <v>3049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28"/>
        <v>25/07/2026</v>
      </c>
      <c r="M1674" s="23">
        <f t="shared" si="529"/>
        <v>0.76041666666666663</v>
      </c>
      <c r="N1674" t="str">
        <f t="shared" si="530"/>
        <v>4 - 1</v>
      </c>
      <c r="O1674" t="str">
        <f t="shared" si="531"/>
        <v>Green</v>
      </c>
      <c r="P1674" t="str">
        <f t="shared" si="532"/>
        <v>Red</v>
      </c>
      <c r="Q1674" t="str">
        <f t="shared" si="533"/>
        <v>Red</v>
      </c>
      <c r="R1674" t="str">
        <f t="shared" si="534"/>
        <v>Green</v>
      </c>
      <c r="S1674" t="str">
        <f t="shared" si="535"/>
        <v>Red</v>
      </c>
      <c r="T1674" t="str">
        <f t="shared" si="536"/>
        <v>Green</v>
      </c>
      <c r="U1674" t="str">
        <f t="shared" si="537"/>
        <v>Green</v>
      </c>
      <c r="V1674" t="str">
        <f t="shared" si="538"/>
        <v>Red</v>
      </c>
      <c r="W1674" t="str">
        <f t="shared" si="539"/>
        <v>Red</v>
      </c>
      <c r="X1674" t="str">
        <f t="shared" si="540"/>
        <v>Green</v>
      </c>
      <c r="Y1674" t="str">
        <f t="shared" si="541"/>
        <v>Green</v>
      </c>
      <c r="Z1674" t="str">
        <f t="shared" si="542"/>
        <v>Green</v>
      </c>
      <c r="AA1674" t="str">
        <f t="shared" si="543"/>
        <v>Red</v>
      </c>
      <c r="AB1674" t="str">
        <f t="shared" si="544"/>
        <v>Red</v>
      </c>
      <c r="AC1674" t="str">
        <f t="shared" si="545"/>
        <v>Green</v>
      </c>
      <c r="AD1674" t="str">
        <f t="shared" si="546"/>
        <v>Red</v>
      </c>
    </row>
    <row r="1675" spans="1:30" x14ac:dyDescent="0.2">
      <c r="A1675" t="str">
        <f>L1674&amp;F1675&amp;G1675</f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28"/>
        <v>25/07/2026</v>
      </c>
      <c r="M1675" s="23">
        <f t="shared" si="529"/>
        <v>0.77083333333333337</v>
      </c>
      <c r="N1675" t="str">
        <f t="shared" si="530"/>
        <v>2 - 0</v>
      </c>
      <c r="O1675" t="str">
        <f t="shared" si="531"/>
        <v>Green</v>
      </c>
      <c r="P1675" t="str">
        <f t="shared" si="532"/>
        <v>Red</v>
      </c>
      <c r="Q1675" t="str">
        <f t="shared" si="533"/>
        <v>Red</v>
      </c>
      <c r="R1675" t="str">
        <f t="shared" si="534"/>
        <v>Green</v>
      </c>
      <c r="S1675" t="str">
        <f t="shared" si="535"/>
        <v>Red</v>
      </c>
      <c r="T1675" t="str">
        <f t="shared" si="536"/>
        <v>Green</v>
      </c>
      <c r="U1675" t="str">
        <f t="shared" si="537"/>
        <v>Green</v>
      </c>
      <c r="V1675" t="str">
        <f t="shared" si="538"/>
        <v>Red</v>
      </c>
      <c r="W1675" t="str">
        <f t="shared" si="539"/>
        <v>Red</v>
      </c>
      <c r="X1675" t="str">
        <f t="shared" si="540"/>
        <v>Green</v>
      </c>
      <c r="Y1675" t="str">
        <f t="shared" si="541"/>
        <v>Green</v>
      </c>
      <c r="Z1675" t="str">
        <f t="shared" si="542"/>
        <v>Red</v>
      </c>
      <c r="AA1675" t="str">
        <f t="shared" si="543"/>
        <v>Green</v>
      </c>
      <c r="AB1675" t="str">
        <f t="shared" si="544"/>
        <v>Green</v>
      </c>
      <c r="AC1675" t="str">
        <f t="shared" si="545"/>
        <v>Red</v>
      </c>
      <c r="AD1675" t="str">
        <f t="shared" si="546"/>
        <v>Green</v>
      </c>
    </row>
    <row r="1676" spans="1:30" x14ac:dyDescent="0.2">
      <c r="A1676" t="str">
        <f>L1675&amp;F1676&amp;G1676</f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28"/>
        <v>25/07/2026</v>
      </c>
      <c r="M1676" s="23">
        <f t="shared" si="529"/>
        <v>0.77083333333333337</v>
      </c>
      <c r="N1676" t="str">
        <f t="shared" si="530"/>
        <v>2 - 2</v>
      </c>
      <c r="O1676" t="str">
        <f t="shared" si="531"/>
        <v>Red</v>
      </c>
      <c r="P1676" t="str">
        <f t="shared" si="532"/>
        <v>Green</v>
      </c>
      <c r="Q1676" t="str">
        <f t="shared" si="533"/>
        <v>Red</v>
      </c>
      <c r="R1676" t="str">
        <f t="shared" si="534"/>
        <v>Green</v>
      </c>
      <c r="S1676" t="str">
        <f t="shared" si="535"/>
        <v>Green</v>
      </c>
      <c r="T1676" t="str">
        <f t="shared" si="536"/>
        <v>Red</v>
      </c>
      <c r="U1676" t="str">
        <f t="shared" si="537"/>
        <v>Green</v>
      </c>
      <c r="V1676" t="str">
        <f t="shared" si="538"/>
        <v>Red</v>
      </c>
      <c r="W1676" t="str">
        <f t="shared" si="539"/>
        <v>Red</v>
      </c>
      <c r="X1676" t="str">
        <f t="shared" si="540"/>
        <v>Green</v>
      </c>
      <c r="Y1676" t="str">
        <f t="shared" si="541"/>
        <v>Green</v>
      </c>
      <c r="Z1676" t="str">
        <f t="shared" si="542"/>
        <v>Green</v>
      </c>
      <c r="AA1676" t="str">
        <f t="shared" si="543"/>
        <v>Red</v>
      </c>
      <c r="AB1676" t="str">
        <f t="shared" si="544"/>
        <v>Red</v>
      </c>
      <c r="AC1676" t="str">
        <f t="shared" si="545"/>
        <v>Green</v>
      </c>
      <c r="AD1676" t="str">
        <f t="shared" si="546"/>
        <v>Red</v>
      </c>
    </row>
    <row r="1677" spans="1:30" x14ac:dyDescent="0.2">
      <c r="A1677" t="str">
        <f>L1676&amp;F1677&amp;G1677</f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3052</v>
      </c>
      <c r="G1677" t="s">
        <v>3053</v>
      </c>
      <c r="H1677">
        <v>0</v>
      </c>
      <c r="I1677">
        <v>1</v>
      </c>
      <c r="J1677">
        <v>1</v>
      </c>
      <c r="K1677">
        <v>1</v>
      </c>
      <c r="L1677" s="22" t="str">
        <f t="shared" si="528"/>
        <v>25/07/2026</v>
      </c>
      <c r="M1677" s="23">
        <f t="shared" si="529"/>
        <v>0.77083333333333337</v>
      </c>
      <c r="N1677" t="str">
        <f t="shared" si="530"/>
        <v>1 - 1</v>
      </c>
      <c r="O1677" t="str">
        <f t="shared" si="531"/>
        <v>Red</v>
      </c>
      <c r="P1677" t="str">
        <f t="shared" si="532"/>
        <v>Green</v>
      </c>
      <c r="Q1677" t="str">
        <f t="shared" si="533"/>
        <v>Red</v>
      </c>
      <c r="R1677" t="str">
        <f t="shared" si="534"/>
        <v>Green</v>
      </c>
      <c r="S1677" t="str">
        <f t="shared" si="535"/>
        <v>Green</v>
      </c>
      <c r="T1677" t="str">
        <f t="shared" si="536"/>
        <v>Red</v>
      </c>
      <c r="U1677" t="str">
        <f t="shared" si="537"/>
        <v>Red</v>
      </c>
      <c r="V1677" t="str">
        <f t="shared" si="538"/>
        <v>Red</v>
      </c>
      <c r="W1677" t="str">
        <f t="shared" si="539"/>
        <v>Green</v>
      </c>
      <c r="X1677" t="str">
        <f t="shared" si="540"/>
        <v>Green</v>
      </c>
      <c r="Y1677" t="str">
        <f t="shared" si="541"/>
        <v>Green</v>
      </c>
      <c r="Z1677" t="str">
        <f t="shared" si="542"/>
        <v>Red</v>
      </c>
      <c r="AA1677" t="str">
        <f t="shared" si="543"/>
        <v>Green</v>
      </c>
      <c r="AB1677" t="str">
        <f t="shared" si="544"/>
        <v>Green</v>
      </c>
      <c r="AC1677" t="str">
        <f t="shared" si="545"/>
        <v>Green</v>
      </c>
      <c r="AD1677" t="str">
        <f t="shared" si="546"/>
        <v>Red</v>
      </c>
    </row>
    <row r="1678" spans="1:30" x14ac:dyDescent="0.2">
      <c r="A1678" t="str">
        <f>L1677&amp;F1678&amp;G1678</f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28"/>
        <v>25/07/2026</v>
      </c>
      <c r="M1678" s="23">
        <f t="shared" si="529"/>
        <v>0.77083333333333337</v>
      </c>
      <c r="N1678" t="str">
        <f t="shared" si="530"/>
        <v>3 - 3</v>
      </c>
      <c r="O1678" t="str">
        <f t="shared" si="531"/>
        <v>Red</v>
      </c>
      <c r="P1678" t="str">
        <f t="shared" si="532"/>
        <v>Green</v>
      </c>
      <c r="Q1678" t="str">
        <f t="shared" si="533"/>
        <v>Red</v>
      </c>
      <c r="R1678" t="str">
        <f t="shared" si="534"/>
        <v>Green</v>
      </c>
      <c r="S1678" t="str">
        <f t="shared" si="535"/>
        <v>Green</v>
      </c>
      <c r="T1678" t="str">
        <f t="shared" si="536"/>
        <v>Red</v>
      </c>
      <c r="U1678" t="str">
        <f t="shared" si="537"/>
        <v>Green</v>
      </c>
      <c r="V1678" t="str">
        <f t="shared" si="538"/>
        <v>Red</v>
      </c>
      <c r="W1678" t="str">
        <f t="shared" si="539"/>
        <v>Red</v>
      </c>
      <c r="X1678" t="str">
        <f t="shared" si="540"/>
        <v>Green</v>
      </c>
      <c r="Y1678" t="str">
        <f t="shared" si="541"/>
        <v>Green</v>
      </c>
      <c r="Z1678" t="str">
        <f t="shared" si="542"/>
        <v>Green</v>
      </c>
      <c r="AA1678" t="str">
        <f t="shared" si="543"/>
        <v>Red</v>
      </c>
      <c r="AB1678" t="str">
        <f t="shared" si="544"/>
        <v>Red</v>
      </c>
      <c r="AC1678" t="str">
        <f t="shared" si="545"/>
        <v>Green</v>
      </c>
      <c r="AD1678" t="str">
        <f t="shared" si="546"/>
        <v>Red</v>
      </c>
    </row>
    <row r="1679" spans="1:30" x14ac:dyDescent="0.2">
      <c r="A1679" t="str">
        <f>L1678&amp;F1679&amp;G1679</f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3123</v>
      </c>
      <c r="H1679">
        <v>2</v>
      </c>
      <c r="I1679">
        <v>1</v>
      </c>
      <c r="J1679">
        <v>4</v>
      </c>
      <c r="K1679">
        <v>2</v>
      </c>
      <c r="L1679" s="22" t="str">
        <f t="shared" si="528"/>
        <v>25/07/2026</v>
      </c>
      <c r="M1679" s="23">
        <f t="shared" si="529"/>
        <v>0.77083333333333337</v>
      </c>
      <c r="N1679" t="str">
        <f t="shared" si="530"/>
        <v>4 - 2</v>
      </c>
      <c r="O1679" t="str">
        <f t="shared" si="531"/>
        <v>Green</v>
      </c>
      <c r="P1679" t="str">
        <f t="shared" si="532"/>
        <v>Red</v>
      </c>
      <c r="Q1679" t="str">
        <f t="shared" si="533"/>
        <v>Red</v>
      </c>
      <c r="R1679" t="str">
        <f t="shared" si="534"/>
        <v>Green</v>
      </c>
      <c r="S1679" t="str">
        <f t="shared" si="535"/>
        <v>Red</v>
      </c>
      <c r="T1679" t="str">
        <f t="shared" si="536"/>
        <v>Green</v>
      </c>
      <c r="U1679" t="str">
        <f t="shared" si="537"/>
        <v>Green</v>
      </c>
      <c r="V1679" t="str">
        <f t="shared" si="538"/>
        <v>Red</v>
      </c>
      <c r="W1679" t="str">
        <f t="shared" si="539"/>
        <v>Red</v>
      </c>
      <c r="X1679" t="str">
        <f t="shared" si="540"/>
        <v>Green</v>
      </c>
      <c r="Y1679" t="str">
        <f t="shared" si="541"/>
        <v>Green</v>
      </c>
      <c r="Z1679" t="str">
        <f t="shared" si="542"/>
        <v>Green</v>
      </c>
      <c r="AA1679" t="str">
        <f t="shared" si="543"/>
        <v>Red</v>
      </c>
      <c r="AB1679" t="str">
        <f t="shared" si="544"/>
        <v>Red</v>
      </c>
      <c r="AC1679" t="str">
        <f t="shared" si="545"/>
        <v>Green</v>
      </c>
      <c r="AD1679" t="str">
        <f t="shared" si="546"/>
        <v>Red</v>
      </c>
    </row>
    <row r="1680" spans="1:30" x14ac:dyDescent="0.2">
      <c r="A1680" t="str">
        <f>L1679&amp;F1680&amp;G1680</f>
        <v>25/07/2026Junior FC WomenMillonarios FC Women</v>
      </c>
      <c r="D1680" s="2">
        <v>46228</v>
      </c>
      <c r="E1680" s="3">
        <v>0.89583333333333337</v>
      </c>
      <c r="F1680" t="s">
        <v>3149</v>
      </c>
      <c r="G1680" t="s">
        <v>3150</v>
      </c>
      <c r="H1680">
        <v>0</v>
      </c>
      <c r="I1680">
        <v>0</v>
      </c>
      <c r="J1680">
        <v>0</v>
      </c>
      <c r="K1680">
        <v>0</v>
      </c>
      <c r="L1680" s="22" t="str">
        <f t="shared" si="528"/>
        <v>25/07/2026</v>
      </c>
      <c r="M1680" s="23">
        <f t="shared" si="529"/>
        <v>0.77083333333333337</v>
      </c>
      <c r="N1680" t="str">
        <f t="shared" si="530"/>
        <v>0 - 0</v>
      </c>
      <c r="O1680" t="str">
        <f t="shared" si="531"/>
        <v>Red</v>
      </c>
      <c r="P1680" t="str">
        <f t="shared" si="532"/>
        <v>Green</v>
      </c>
      <c r="Q1680" t="str">
        <f t="shared" si="533"/>
        <v>Red</v>
      </c>
      <c r="R1680" t="str">
        <f t="shared" si="534"/>
        <v>Green</v>
      </c>
      <c r="S1680" t="str">
        <f t="shared" si="535"/>
        <v>Green</v>
      </c>
      <c r="T1680" t="str">
        <f t="shared" si="536"/>
        <v>Red</v>
      </c>
      <c r="U1680" t="str">
        <f t="shared" si="537"/>
        <v>Red</v>
      </c>
      <c r="V1680" t="str">
        <f t="shared" si="538"/>
        <v>Green</v>
      </c>
      <c r="W1680" t="str">
        <f t="shared" si="539"/>
        <v>Red</v>
      </c>
      <c r="X1680" t="str">
        <f t="shared" si="540"/>
        <v>Red</v>
      </c>
      <c r="Y1680" t="str">
        <f t="shared" si="541"/>
        <v>Red</v>
      </c>
      <c r="Z1680" t="str">
        <f t="shared" si="542"/>
        <v>Red</v>
      </c>
      <c r="AA1680" t="str">
        <f t="shared" si="543"/>
        <v>Green</v>
      </c>
      <c r="AB1680" t="str">
        <f t="shared" si="544"/>
        <v>Green</v>
      </c>
      <c r="AC1680" t="str">
        <f t="shared" si="545"/>
        <v>Red</v>
      </c>
      <c r="AD1680" t="str">
        <f t="shared" si="546"/>
        <v>Green</v>
      </c>
    </row>
    <row r="1681" spans="1:30" x14ac:dyDescent="0.2">
      <c r="A1681" t="str">
        <f>L1680&amp;F1681&amp;G1681</f>
        <v>25/07/2026Club Sportivo AmelianoClub Nacional</v>
      </c>
      <c r="D1681" s="2">
        <v>46228</v>
      </c>
      <c r="E1681" s="3">
        <v>0.89583333333333337</v>
      </c>
      <c r="F1681" t="s">
        <v>3522</v>
      </c>
      <c r="G1681" t="s">
        <v>3523</v>
      </c>
      <c r="H1681">
        <v>0</v>
      </c>
      <c r="I1681">
        <v>0</v>
      </c>
      <c r="J1681">
        <v>1</v>
      </c>
      <c r="K1681">
        <v>1</v>
      </c>
      <c r="L1681" s="22" t="str">
        <f t="shared" si="528"/>
        <v>25/07/2026</v>
      </c>
      <c r="M1681" s="23">
        <f t="shared" si="529"/>
        <v>0.77083333333333337</v>
      </c>
      <c r="N1681" t="str">
        <f t="shared" si="530"/>
        <v>1 - 1</v>
      </c>
      <c r="O1681" t="str">
        <f t="shared" si="531"/>
        <v>Red</v>
      </c>
      <c r="P1681" t="str">
        <f t="shared" si="532"/>
        <v>Green</v>
      </c>
      <c r="Q1681" t="str">
        <f t="shared" si="533"/>
        <v>Red</v>
      </c>
      <c r="R1681" t="str">
        <f t="shared" si="534"/>
        <v>Green</v>
      </c>
      <c r="S1681" t="str">
        <f t="shared" si="535"/>
        <v>Green</v>
      </c>
      <c r="T1681" t="str">
        <f t="shared" si="536"/>
        <v>Red</v>
      </c>
      <c r="U1681" t="str">
        <f t="shared" si="537"/>
        <v>Red</v>
      </c>
      <c r="V1681" t="str">
        <f t="shared" si="538"/>
        <v>Green</v>
      </c>
      <c r="W1681" t="str">
        <f t="shared" si="539"/>
        <v>Red</v>
      </c>
      <c r="X1681" t="str">
        <f t="shared" si="540"/>
        <v>Red</v>
      </c>
      <c r="Y1681" t="str">
        <f t="shared" si="541"/>
        <v>Green</v>
      </c>
      <c r="Z1681" t="str">
        <f t="shared" si="542"/>
        <v>Red</v>
      </c>
      <c r="AA1681" t="str">
        <f t="shared" si="543"/>
        <v>Green</v>
      </c>
      <c r="AB1681" t="str">
        <f t="shared" si="544"/>
        <v>Green</v>
      </c>
      <c r="AC1681" t="str">
        <f t="shared" si="545"/>
        <v>Green</v>
      </c>
      <c r="AD1681" t="str">
        <f t="shared" si="546"/>
        <v>Red</v>
      </c>
    </row>
    <row r="1682" spans="1:30" x14ac:dyDescent="0.2">
      <c r="A1682" t="str">
        <f>L1681&amp;F1682&amp;G1682</f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2769</v>
      </c>
      <c r="H1682">
        <v>0</v>
      </c>
      <c r="I1682">
        <v>1</v>
      </c>
      <c r="J1682">
        <v>1</v>
      </c>
      <c r="K1682">
        <v>2</v>
      </c>
      <c r="L1682" s="22" t="str">
        <f t="shared" si="528"/>
        <v>25/07/2026</v>
      </c>
      <c r="M1682" s="23">
        <f t="shared" si="529"/>
        <v>0.79166666666666663</v>
      </c>
      <c r="N1682" t="str">
        <f t="shared" si="530"/>
        <v>1 - 2</v>
      </c>
      <c r="O1682" t="str">
        <f t="shared" si="531"/>
        <v>Red</v>
      </c>
      <c r="P1682" t="str">
        <f t="shared" si="532"/>
        <v>Red</v>
      </c>
      <c r="Q1682" t="str">
        <f t="shared" si="533"/>
        <v>Green</v>
      </c>
      <c r="R1682" t="str">
        <f t="shared" si="534"/>
        <v>Red</v>
      </c>
      <c r="S1682" t="str">
        <f t="shared" si="535"/>
        <v>Green</v>
      </c>
      <c r="T1682" t="str">
        <f t="shared" si="536"/>
        <v>Green</v>
      </c>
      <c r="U1682" t="str">
        <f t="shared" si="537"/>
        <v>Red</v>
      </c>
      <c r="V1682" t="str">
        <f t="shared" si="538"/>
        <v>Red</v>
      </c>
      <c r="W1682" t="str">
        <f t="shared" si="539"/>
        <v>Green</v>
      </c>
      <c r="X1682" t="str">
        <f t="shared" si="540"/>
        <v>Green</v>
      </c>
      <c r="Y1682" t="str">
        <f t="shared" si="541"/>
        <v>Green</v>
      </c>
      <c r="Z1682" t="str">
        <f t="shared" si="542"/>
        <v>Green</v>
      </c>
      <c r="AA1682" t="str">
        <f t="shared" si="543"/>
        <v>Red</v>
      </c>
      <c r="AB1682" t="str">
        <f t="shared" si="544"/>
        <v>Green</v>
      </c>
      <c r="AC1682" t="str">
        <f t="shared" si="545"/>
        <v>Green</v>
      </c>
      <c r="AD1682" t="str">
        <f t="shared" si="546"/>
        <v>Red</v>
      </c>
    </row>
    <row r="1683" spans="1:30" x14ac:dyDescent="0.2">
      <c r="A1683" t="str">
        <f>L1682&amp;F1683&amp;G1683</f>
        <v>25/07/2026Deportivo MerloCA Villa San Carlos</v>
      </c>
      <c r="B1683" t="s">
        <v>806</v>
      </c>
      <c r="C1683" t="s">
        <v>2771</v>
      </c>
      <c r="D1683" s="2">
        <v>46228</v>
      </c>
      <c r="E1683" s="3">
        <v>0.91666666666666663</v>
      </c>
      <c r="F1683" t="s">
        <v>2781</v>
      </c>
      <c r="G1683" t="s">
        <v>2782</v>
      </c>
      <c r="H1683">
        <v>1</v>
      </c>
      <c r="I1683">
        <v>1</v>
      </c>
      <c r="J1683">
        <v>1</v>
      </c>
      <c r="K1683">
        <v>2</v>
      </c>
      <c r="L1683" s="22" t="str">
        <f t="shared" si="528"/>
        <v>25/07/2026</v>
      </c>
      <c r="M1683" s="23">
        <f t="shared" si="529"/>
        <v>0.79166666666666663</v>
      </c>
      <c r="N1683" t="str">
        <f t="shared" si="530"/>
        <v>1 - 2</v>
      </c>
      <c r="O1683" t="str">
        <f t="shared" si="531"/>
        <v>Red</v>
      </c>
      <c r="P1683" t="str">
        <f t="shared" si="532"/>
        <v>Red</v>
      </c>
      <c r="Q1683" t="str">
        <f t="shared" si="533"/>
        <v>Green</v>
      </c>
      <c r="R1683" t="str">
        <f t="shared" si="534"/>
        <v>Red</v>
      </c>
      <c r="S1683" t="str">
        <f t="shared" si="535"/>
        <v>Green</v>
      </c>
      <c r="T1683" t="str">
        <f t="shared" si="536"/>
        <v>Green</v>
      </c>
      <c r="U1683" t="str">
        <f t="shared" si="537"/>
        <v>Red</v>
      </c>
      <c r="V1683" t="str">
        <f t="shared" si="538"/>
        <v>Green</v>
      </c>
      <c r="W1683" t="str">
        <f t="shared" si="539"/>
        <v>Red</v>
      </c>
      <c r="X1683" t="str">
        <f t="shared" si="540"/>
        <v>Green</v>
      </c>
      <c r="Y1683" t="str">
        <f t="shared" si="541"/>
        <v>Green</v>
      </c>
      <c r="Z1683" t="str">
        <f t="shared" si="542"/>
        <v>Green</v>
      </c>
      <c r="AA1683" t="str">
        <f t="shared" si="543"/>
        <v>Red</v>
      </c>
      <c r="AB1683" t="str">
        <f t="shared" si="544"/>
        <v>Green</v>
      </c>
      <c r="AC1683" t="str">
        <f t="shared" si="545"/>
        <v>Green</v>
      </c>
      <c r="AD1683" t="str">
        <f t="shared" si="546"/>
        <v>Red</v>
      </c>
    </row>
    <row r="1684" spans="1:30" x14ac:dyDescent="0.2">
      <c r="A1684" t="str">
        <f>L1683&amp;F1684&amp;G1684</f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3054</v>
      </c>
      <c r="H1684">
        <v>1</v>
      </c>
      <c r="I1684">
        <v>1</v>
      </c>
      <c r="J1684">
        <v>1</v>
      </c>
      <c r="K1684">
        <v>4</v>
      </c>
      <c r="L1684" s="22" t="str">
        <f t="shared" si="528"/>
        <v>25/07/2026</v>
      </c>
      <c r="M1684" s="23">
        <f t="shared" si="529"/>
        <v>0.79166666666666663</v>
      </c>
      <c r="N1684" t="str">
        <f t="shared" si="530"/>
        <v>1 - 4</v>
      </c>
      <c r="O1684" t="str">
        <f t="shared" si="531"/>
        <v>Red</v>
      </c>
      <c r="P1684" t="str">
        <f t="shared" si="532"/>
        <v>Red</v>
      </c>
      <c r="Q1684" t="str">
        <f t="shared" si="533"/>
        <v>Green</v>
      </c>
      <c r="R1684" t="str">
        <f t="shared" si="534"/>
        <v>Red</v>
      </c>
      <c r="S1684" t="str">
        <f t="shared" si="535"/>
        <v>Green</v>
      </c>
      <c r="T1684" t="str">
        <f t="shared" si="536"/>
        <v>Green</v>
      </c>
      <c r="U1684" t="str">
        <f t="shared" si="537"/>
        <v>Red</v>
      </c>
      <c r="V1684" t="str">
        <f t="shared" si="538"/>
        <v>Green</v>
      </c>
      <c r="W1684" t="str">
        <f t="shared" si="539"/>
        <v>Red</v>
      </c>
      <c r="X1684" t="str">
        <f t="shared" si="540"/>
        <v>Green</v>
      </c>
      <c r="Y1684" t="str">
        <f t="shared" si="541"/>
        <v>Green</v>
      </c>
      <c r="Z1684" t="str">
        <f t="shared" si="542"/>
        <v>Green</v>
      </c>
      <c r="AA1684" t="str">
        <f t="shared" si="543"/>
        <v>Red</v>
      </c>
      <c r="AB1684" t="str">
        <f t="shared" si="544"/>
        <v>Red</v>
      </c>
      <c r="AC1684" t="str">
        <f t="shared" si="545"/>
        <v>Green</v>
      </c>
      <c r="AD1684" t="str">
        <f t="shared" si="546"/>
        <v>Red</v>
      </c>
    </row>
    <row r="1685" spans="1:30" x14ac:dyDescent="0.2">
      <c r="A1685" t="str">
        <f>L1684&amp;F1685&amp;G1685</f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3071</v>
      </c>
      <c r="G1685" t="s">
        <v>3072</v>
      </c>
      <c r="H1685">
        <v>2</v>
      </c>
      <c r="I1685">
        <v>0</v>
      </c>
      <c r="J1685">
        <v>2</v>
      </c>
      <c r="K1685">
        <v>0</v>
      </c>
      <c r="L1685" s="22" t="str">
        <f t="shared" si="528"/>
        <v>25/07/2026</v>
      </c>
      <c r="M1685" s="23">
        <f t="shared" si="529"/>
        <v>0.79166666666666663</v>
      </c>
      <c r="N1685" t="str">
        <f t="shared" si="530"/>
        <v>2 - 0</v>
      </c>
      <c r="O1685" t="str">
        <f t="shared" si="531"/>
        <v>Green</v>
      </c>
      <c r="P1685" t="str">
        <f t="shared" si="532"/>
        <v>Red</v>
      </c>
      <c r="Q1685" t="str">
        <f t="shared" si="533"/>
        <v>Red</v>
      </c>
      <c r="R1685" t="str">
        <f t="shared" si="534"/>
        <v>Green</v>
      </c>
      <c r="S1685" t="str">
        <f t="shared" si="535"/>
        <v>Red</v>
      </c>
      <c r="T1685" t="str">
        <f t="shared" si="536"/>
        <v>Green</v>
      </c>
      <c r="U1685" t="str">
        <f t="shared" si="537"/>
        <v>Green</v>
      </c>
      <c r="V1685" t="str">
        <f t="shared" si="538"/>
        <v>Red</v>
      </c>
      <c r="W1685" t="str">
        <f t="shared" si="539"/>
        <v>Red</v>
      </c>
      <c r="X1685" t="str">
        <f t="shared" si="540"/>
        <v>Green</v>
      </c>
      <c r="Y1685" t="str">
        <f t="shared" si="541"/>
        <v>Green</v>
      </c>
      <c r="Z1685" t="str">
        <f t="shared" si="542"/>
        <v>Red</v>
      </c>
      <c r="AA1685" t="str">
        <f t="shared" si="543"/>
        <v>Green</v>
      </c>
      <c r="AB1685" t="str">
        <f t="shared" si="544"/>
        <v>Green</v>
      </c>
      <c r="AC1685" t="str">
        <f t="shared" si="545"/>
        <v>Red</v>
      </c>
      <c r="AD1685" t="str">
        <f t="shared" si="546"/>
        <v>Green</v>
      </c>
    </row>
    <row r="1686" spans="1:30" x14ac:dyDescent="0.2">
      <c r="A1686" t="str">
        <f>L1685&amp;F1686&amp;G1686</f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3073</v>
      </c>
      <c r="H1686">
        <v>1</v>
      </c>
      <c r="I1686">
        <v>0</v>
      </c>
      <c r="J1686">
        <v>2</v>
      </c>
      <c r="K1686">
        <v>1</v>
      </c>
      <c r="L1686" s="22" t="str">
        <f t="shared" si="528"/>
        <v>25/07/2026</v>
      </c>
      <c r="M1686" s="23">
        <f t="shared" si="529"/>
        <v>0.79166666666666663</v>
      </c>
      <c r="N1686" t="str">
        <f t="shared" si="530"/>
        <v>2 - 1</v>
      </c>
      <c r="O1686" t="str">
        <f t="shared" si="531"/>
        <v>Green</v>
      </c>
      <c r="P1686" t="str">
        <f t="shared" si="532"/>
        <v>Red</v>
      </c>
      <c r="Q1686" t="str">
        <f t="shared" si="533"/>
        <v>Red</v>
      </c>
      <c r="R1686" t="str">
        <f t="shared" si="534"/>
        <v>Green</v>
      </c>
      <c r="S1686" t="str">
        <f t="shared" si="535"/>
        <v>Red</v>
      </c>
      <c r="T1686" t="str">
        <f t="shared" si="536"/>
        <v>Green</v>
      </c>
      <c r="U1686" t="str">
        <f t="shared" si="537"/>
        <v>Green</v>
      </c>
      <c r="V1686" t="str">
        <f t="shared" si="538"/>
        <v>Red</v>
      </c>
      <c r="W1686" t="str">
        <f t="shared" si="539"/>
        <v>Red</v>
      </c>
      <c r="X1686" t="str">
        <f t="shared" si="540"/>
        <v>Green</v>
      </c>
      <c r="Y1686" t="str">
        <f t="shared" si="541"/>
        <v>Green</v>
      </c>
      <c r="Z1686" t="str">
        <f t="shared" si="542"/>
        <v>Green</v>
      </c>
      <c r="AA1686" t="str">
        <f t="shared" si="543"/>
        <v>Red</v>
      </c>
      <c r="AB1686" t="str">
        <f t="shared" si="544"/>
        <v>Green</v>
      </c>
      <c r="AC1686" t="str">
        <f t="shared" si="545"/>
        <v>Green</v>
      </c>
      <c r="AD1686" t="str">
        <f t="shared" si="546"/>
        <v>Red</v>
      </c>
    </row>
    <row r="1687" spans="1:30" x14ac:dyDescent="0.2">
      <c r="A1687" t="str">
        <f>L1686&amp;F1687&amp;G1687</f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3104</v>
      </c>
      <c r="G1687" t="s">
        <v>3105</v>
      </c>
      <c r="H1687">
        <v>3</v>
      </c>
      <c r="I1687">
        <v>0</v>
      </c>
      <c r="J1687">
        <v>4</v>
      </c>
      <c r="K1687">
        <v>0</v>
      </c>
      <c r="L1687" s="22" t="str">
        <f t="shared" si="528"/>
        <v>25/07/2026</v>
      </c>
      <c r="M1687" s="23">
        <f t="shared" si="529"/>
        <v>0.79166666666666663</v>
      </c>
      <c r="N1687" t="str">
        <f t="shared" si="530"/>
        <v>4 - 0</v>
      </c>
      <c r="O1687" t="str">
        <f t="shared" si="531"/>
        <v>Green</v>
      </c>
      <c r="P1687" t="str">
        <f t="shared" si="532"/>
        <v>Red</v>
      </c>
      <c r="Q1687" t="str">
        <f t="shared" si="533"/>
        <v>Red</v>
      </c>
      <c r="R1687" t="str">
        <f t="shared" si="534"/>
        <v>Green</v>
      </c>
      <c r="S1687" t="str">
        <f t="shared" si="535"/>
        <v>Red</v>
      </c>
      <c r="T1687" t="str">
        <f t="shared" si="536"/>
        <v>Green</v>
      </c>
      <c r="U1687" t="str">
        <f t="shared" si="537"/>
        <v>Green</v>
      </c>
      <c r="V1687" t="str">
        <f t="shared" si="538"/>
        <v>Red</v>
      </c>
      <c r="W1687" t="str">
        <f t="shared" si="539"/>
        <v>Red</v>
      </c>
      <c r="X1687" t="str">
        <f t="shared" si="540"/>
        <v>Green</v>
      </c>
      <c r="Y1687" t="str">
        <f t="shared" si="541"/>
        <v>Green</v>
      </c>
      <c r="Z1687" t="str">
        <f t="shared" si="542"/>
        <v>Green</v>
      </c>
      <c r="AA1687" t="str">
        <f t="shared" si="543"/>
        <v>Red</v>
      </c>
      <c r="AB1687" t="str">
        <f t="shared" si="544"/>
        <v>Red</v>
      </c>
      <c r="AC1687" t="str">
        <f t="shared" si="545"/>
        <v>Red</v>
      </c>
      <c r="AD1687" t="str">
        <f t="shared" si="546"/>
        <v>Green</v>
      </c>
    </row>
    <row r="1688" spans="1:30" x14ac:dyDescent="0.2">
      <c r="A1688" t="str">
        <f>L1687&amp;F1688&amp;G1688</f>
        <v>25/07/2026Tlaxcala FCUniversidad de Guadalajara</v>
      </c>
      <c r="D1688" s="2">
        <v>46228</v>
      </c>
      <c r="E1688" s="3">
        <v>0.91666666666666663</v>
      </c>
      <c r="F1688" t="s">
        <v>3416</v>
      </c>
      <c r="G1688" t="s">
        <v>3417</v>
      </c>
      <c r="H1688">
        <v>0</v>
      </c>
      <c r="I1688">
        <v>2</v>
      </c>
      <c r="J1688">
        <v>2</v>
      </c>
      <c r="K1688">
        <v>4</v>
      </c>
      <c r="L1688" s="22" t="str">
        <f t="shared" si="528"/>
        <v>25/07/2026</v>
      </c>
      <c r="M1688" s="23">
        <f t="shared" si="529"/>
        <v>0.79166666666666663</v>
      </c>
      <c r="N1688" t="str">
        <f t="shared" si="530"/>
        <v>2 - 4</v>
      </c>
      <c r="O1688" t="str">
        <f t="shared" si="531"/>
        <v>Red</v>
      </c>
      <c r="P1688" t="str">
        <f t="shared" si="532"/>
        <v>Red</v>
      </c>
      <c r="Q1688" t="str">
        <f t="shared" si="533"/>
        <v>Green</v>
      </c>
      <c r="R1688" t="str">
        <f t="shared" si="534"/>
        <v>Red</v>
      </c>
      <c r="S1688" t="str">
        <f t="shared" si="535"/>
        <v>Green</v>
      </c>
      <c r="T1688" t="str">
        <f t="shared" si="536"/>
        <v>Green</v>
      </c>
      <c r="U1688" t="str">
        <f t="shared" si="537"/>
        <v>Red</v>
      </c>
      <c r="V1688" t="str">
        <f t="shared" si="538"/>
        <v>Red</v>
      </c>
      <c r="W1688" t="str">
        <f t="shared" si="539"/>
        <v>Green</v>
      </c>
      <c r="X1688" t="str">
        <f t="shared" si="540"/>
        <v>Green</v>
      </c>
      <c r="Y1688" t="str">
        <f t="shared" si="541"/>
        <v>Green</v>
      </c>
      <c r="Z1688" t="str">
        <f t="shared" si="542"/>
        <v>Green</v>
      </c>
      <c r="AA1688" t="str">
        <f t="shared" si="543"/>
        <v>Red</v>
      </c>
      <c r="AB1688" t="str">
        <f t="shared" si="544"/>
        <v>Red</v>
      </c>
      <c r="AC1688" t="str">
        <f t="shared" si="545"/>
        <v>Green</v>
      </c>
      <c r="AD1688" t="str">
        <f t="shared" si="546"/>
        <v>Red</v>
      </c>
    </row>
    <row r="1689" spans="1:30" x14ac:dyDescent="0.2">
      <c r="A1689" t="str">
        <f>L1688&amp;F1689&amp;G1689</f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4018</v>
      </c>
      <c r="H1689">
        <v>1</v>
      </c>
      <c r="I1689">
        <v>1</v>
      </c>
      <c r="J1689">
        <v>4</v>
      </c>
      <c r="K1689">
        <v>2</v>
      </c>
      <c r="L1689" s="22" t="str">
        <f t="shared" si="528"/>
        <v>25/07/2026</v>
      </c>
      <c r="M1689" s="23">
        <f t="shared" si="529"/>
        <v>0.79166666666666663</v>
      </c>
      <c r="N1689" t="str">
        <f t="shared" si="530"/>
        <v>4 - 2</v>
      </c>
      <c r="O1689" t="str">
        <f t="shared" si="531"/>
        <v>Green</v>
      </c>
      <c r="P1689" t="str">
        <f t="shared" si="532"/>
        <v>Red</v>
      </c>
      <c r="Q1689" t="str">
        <f t="shared" si="533"/>
        <v>Red</v>
      </c>
      <c r="R1689" t="str">
        <f t="shared" si="534"/>
        <v>Green</v>
      </c>
      <c r="S1689" t="str">
        <f t="shared" si="535"/>
        <v>Red</v>
      </c>
      <c r="T1689" t="str">
        <f t="shared" si="536"/>
        <v>Green</v>
      </c>
      <c r="U1689" t="str">
        <f t="shared" si="537"/>
        <v>Red</v>
      </c>
      <c r="V1689" t="str">
        <f t="shared" si="538"/>
        <v>Green</v>
      </c>
      <c r="W1689" t="str">
        <f t="shared" si="539"/>
        <v>Red</v>
      </c>
      <c r="X1689" t="str">
        <f t="shared" si="540"/>
        <v>Green</v>
      </c>
      <c r="Y1689" t="str">
        <f t="shared" si="541"/>
        <v>Green</v>
      </c>
      <c r="Z1689" t="str">
        <f t="shared" si="542"/>
        <v>Green</v>
      </c>
      <c r="AA1689" t="str">
        <f t="shared" si="543"/>
        <v>Red</v>
      </c>
      <c r="AB1689" t="str">
        <f t="shared" si="544"/>
        <v>Red</v>
      </c>
      <c r="AC1689" t="str">
        <f t="shared" si="545"/>
        <v>Green</v>
      </c>
      <c r="AD1689" t="str">
        <f t="shared" si="546"/>
        <v>Red</v>
      </c>
    </row>
    <row r="1690" spans="1:30" x14ac:dyDescent="0.2">
      <c r="A1690" t="str">
        <f>L1689&amp;F1690&amp;G1690</f>
        <v>25/07/2026River PlateBarracas Central</v>
      </c>
      <c r="B1690" t="s">
        <v>806</v>
      </c>
      <c r="C1690" t="s">
        <v>2234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28"/>
        <v>25/07/2026</v>
      </c>
      <c r="M1690" s="23">
        <f t="shared" si="529"/>
        <v>0.80208333333333337</v>
      </c>
      <c r="N1690" t="str">
        <f t="shared" si="530"/>
        <v>0 - 1</v>
      </c>
      <c r="O1690" t="str">
        <f t="shared" si="531"/>
        <v>Red</v>
      </c>
      <c r="P1690" t="str">
        <f t="shared" si="532"/>
        <v>Red</v>
      </c>
      <c r="Q1690" t="str">
        <f t="shared" si="533"/>
        <v>Green</v>
      </c>
      <c r="R1690" t="str">
        <f t="shared" si="534"/>
        <v>Red</v>
      </c>
      <c r="S1690" t="str">
        <f t="shared" si="535"/>
        <v>Green</v>
      </c>
      <c r="T1690" t="str">
        <f t="shared" si="536"/>
        <v>Green</v>
      </c>
      <c r="U1690" t="str">
        <f t="shared" si="537"/>
        <v>Red</v>
      </c>
      <c r="V1690" t="str">
        <f t="shared" si="538"/>
        <v>Red</v>
      </c>
      <c r="W1690" t="str">
        <f t="shared" si="539"/>
        <v>Green</v>
      </c>
      <c r="X1690" t="str">
        <f t="shared" si="540"/>
        <v>Green</v>
      </c>
      <c r="Y1690" t="str">
        <f t="shared" si="541"/>
        <v>Red</v>
      </c>
      <c r="Z1690" t="str">
        <f t="shared" si="542"/>
        <v>Red</v>
      </c>
      <c r="AA1690" t="str">
        <f t="shared" si="543"/>
        <v>Green</v>
      </c>
      <c r="AB1690" t="str">
        <f t="shared" si="544"/>
        <v>Green</v>
      </c>
      <c r="AC1690" t="str">
        <f t="shared" si="545"/>
        <v>Red</v>
      </c>
      <c r="AD1690" t="str">
        <f t="shared" si="546"/>
        <v>Green</v>
      </c>
    </row>
    <row r="1691" spans="1:30" x14ac:dyDescent="0.2">
      <c r="A1691" t="str">
        <f>L1690&amp;F1691&amp;G1691</f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3527</v>
      </c>
      <c r="H1691">
        <v>0</v>
      </c>
      <c r="I1691">
        <v>0</v>
      </c>
      <c r="J1691">
        <v>2</v>
      </c>
      <c r="K1691">
        <v>3</v>
      </c>
      <c r="L1691" s="22" t="str">
        <f t="shared" si="528"/>
        <v>25/07/2026</v>
      </c>
      <c r="M1691" s="23">
        <f t="shared" si="529"/>
        <v>0.8125</v>
      </c>
      <c r="N1691" t="str">
        <f t="shared" si="530"/>
        <v>2 - 3</v>
      </c>
      <c r="O1691" t="str">
        <f t="shared" si="531"/>
        <v>Red</v>
      </c>
      <c r="P1691" t="str">
        <f t="shared" si="532"/>
        <v>Red</v>
      </c>
      <c r="Q1691" t="str">
        <f t="shared" si="533"/>
        <v>Green</v>
      </c>
      <c r="R1691" t="str">
        <f t="shared" si="534"/>
        <v>Red</v>
      </c>
      <c r="S1691" t="str">
        <f t="shared" si="535"/>
        <v>Green</v>
      </c>
      <c r="T1691" t="str">
        <f t="shared" si="536"/>
        <v>Green</v>
      </c>
      <c r="U1691" t="str">
        <f t="shared" si="537"/>
        <v>Red</v>
      </c>
      <c r="V1691" t="str">
        <f t="shared" si="538"/>
        <v>Green</v>
      </c>
      <c r="W1691" t="str">
        <f t="shared" si="539"/>
        <v>Red</v>
      </c>
      <c r="X1691" t="str">
        <f t="shared" si="540"/>
        <v>Red</v>
      </c>
      <c r="Y1691" t="str">
        <f t="shared" si="541"/>
        <v>Green</v>
      </c>
      <c r="Z1691" t="str">
        <f t="shared" si="542"/>
        <v>Green</v>
      </c>
      <c r="AA1691" t="str">
        <f t="shared" si="543"/>
        <v>Red</v>
      </c>
      <c r="AB1691" t="str">
        <f t="shared" si="544"/>
        <v>Red</v>
      </c>
      <c r="AC1691" t="str">
        <f t="shared" si="545"/>
        <v>Green</v>
      </c>
      <c r="AD1691" t="str">
        <f t="shared" si="546"/>
        <v>Red</v>
      </c>
    </row>
    <row r="1692" spans="1:30" x14ac:dyDescent="0.2">
      <c r="A1692" t="str">
        <f>L1691&amp;F1692&amp;G1692</f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28"/>
        <v>25/07/2026</v>
      </c>
      <c r="M1692" s="23">
        <f t="shared" si="529"/>
        <v>0.8125</v>
      </c>
      <c r="N1692" t="str">
        <f t="shared" si="530"/>
        <v>0 - 2</v>
      </c>
      <c r="O1692" t="str">
        <f t="shared" si="531"/>
        <v>Red</v>
      </c>
      <c r="P1692" t="str">
        <f t="shared" si="532"/>
        <v>Red</v>
      </c>
      <c r="Q1692" t="str">
        <f t="shared" si="533"/>
        <v>Green</v>
      </c>
      <c r="R1692" t="str">
        <f t="shared" si="534"/>
        <v>Red</v>
      </c>
      <c r="S1692" t="str">
        <f t="shared" si="535"/>
        <v>Green</v>
      </c>
      <c r="T1692" t="str">
        <f t="shared" si="536"/>
        <v>Green</v>
      </c>
      <c r="U1692" t="str">
        <f t="shared" si="537"/>
        <v>Red</v>
      </c>
      <c r="V1692" t="str">
        <f t="shared" si="538"/>
        <v>Red</v>
      </c>
      <c r="W1692" t="str">
        <f t="shared" si="539"/>
        <v>Green</v>
      </c>
      <c r="X1692" t="str">
        <f t="shared" si="540"/>
        <v>Green</v>
      </c>
      <c r="Y1692" t="str">
        <f t="shared" si="541"/>
        <v>Green</v>
      </c>
      <c r="Z1692" t="str">
        <f t="shared" si="542"/>
        <v>Red</v>
      </c>
      <c r="AA1692" t="str">
        <f t="shared" si="543"/>
        <v>Green</v>
      </c>
      <c r="AB1692" t="str">
        <f t="shared" si="544"/>
        <v>Green</v>
      </c>
      <c r="AC1692" t="str">
        <f t="shared" si="545"/>
        <v>Red</v>
      </c>
      <c r="AD1692" t="str">
        <f t="shared" si="546"/>
        <v>Green</v>
      </c>
    </row>
    <row r="1693" spans="1:30" x14ac:dyDescent="0.2">
      <c r="A1693" t="str">
        <f>L1692&amp;F1693&amp;G1693</f>
        <v>25/07/2026CS CartaginesInter San Carlos</v>
      </c>
      <c r="D1693" s="2">
        <v>46228</v>
      </c>
      <c r="E1693" s="3">
        <v>0.95833333333333337</v>
      </c>
      <c r="F1693" t="s">
        <v>3151</v>
      </c>
      <c r="G1693" t="s">
        <v>3152</v>
      </c>
      <c r="H1693">
        <v>1</v>
      </c>
      <c r="I1693">
        <v>0</v>
      </c>
      <c r="J1693">
        <v>3</v>
      </c>
      <c r="K1693">
        <v>1</v>
      </c>
      <c r="L1693" s="22" t="str">
        <f t="shared" si="528"/>
        <v>25/07/2026</v>
      </c>
      <c r="M1693" s="23">
        <f t="shared" si="529"/>
        <v>0.83333333333333337</v>
      </c>
      <c r="N1693" t="str">
        <f t="shared" si="530"/>
        <v>3 - 1</v>
      </c>
      <c r="O1693" t="str">
        <f t="shared" si="531"/>
        <v>Green</v>
      </c>
      <c r="P1693" t="str">
        <f t="shared" si="532"/>
        <v>Red</v>
      </c>
      <c r="Q1693" t="str">
        <f t="shared" si="533"/>
        <v>Red</v>
      </c>
      <c r="R1693" t="str">
        <f t="shared" si="534"/>
        <v>Green</v>
      </c>
      <c r="S1693" t="str">
        <f t="shared" si="535"/>
        <v>Red</v>
      </c>
      <c r="T1693" t="str">
        <f t="shared" si="536"/>
        <v>Green</v>
      </c>
      <c r="U1693" t="str">
        <f t="shared" si="537"/>
        <v>Green</v>
      </c>
      <c r="V1693" t="str">
        <f t="shared" si="538"/>
        <v>Red</v>
      </c>
      <c r="W1693" t="str">
        <f t="shared" si="539"/>
        <v>Red</v>
      </c>
      <c r="X1693" t="str">
        <f t="shared" si="540"/>
        <v>Green</v>
      </c>
      <c r="Y1693" t="str">
        <f t="shared" si="541"/>
        <v>Green</v>
      </c>
      <c r="Z1693" t="str">
        <f t="shared" si="542"/>
        <v>Green</v>
      </c>
      <c r="AA1693" t="str">
        <f t="shared" si="543"/>
        <v>Red</v>
      </c>
      <c r="AB1693" t="str">
        <f t="shared" si="544"/>
        <v>Red</v>
      </c>
      <c r="AC1693" t="str">
        <f t="shared" si="545"/>
        <v>Green</v>
      </c>
      <c r="AD1693" t="str">
        <f t="shared" si="546"/>
        <v>Red</v>
      </c>
    </row>
    <row r="1694" spans="1:30" x14ac:dyDescent="0.2">
      <c r="A1694" t="str">
        <f>L1693&amp;F1694&amp;G1694</f>
        <v>25/07/2026VenadosAlebrijes de Oaxaca</v>
      </c>
      <c r="D1694" s="2">
        <v>46228</v>
      </c>
      <c r="E1694" s="3">
        <v>0.95833333333333337</v>
      </c>
      <c r="F1694" t="s">
        <v>3418</v>
      </c>
      <c r="G1694" t="s">
        <v>3419</v>
      </c>
      <c r="H1694">
        <v>0</v>
      </c>
      <c r="I1694">
        <v>0</v>
      </c>
      <c r="J1694">
        <v>3</v>
      </c>
      <c r="K1694">
        <v>0</v>
      </c>
      <c r="L1694" s="22" t="str">
        <f t="shared" si="528"/>
        <v>25/07/2026</v>
      </c>
      <c r="M1694" s="23">
        <f t="shared" si="529"/>
        <v>0.83333333333333337</v>
      </c>
      <c r="N1694" t="str">
        <f t="shared" si="530"/>
        <v>3 - 0</v>
      </c>
      <c r="O1694" t="str">
        <f t="shared" si="531"/>
        <v>Green</v>
      </c>
      <c r="P1694" t="str">
        <f t="shared" si="532"/>
        <v>Red</v>
      </c>
      <c r="Q1694" t="str">
        <f t="shared" si="533"/>
        <v>Red</v>
      </c>
      <c r="R1694" t="str">
        <f t="shared" si="534"/>
        <v>Green</v>
      </c>
      <c r="S1694" t="str">
        <f t="shared" si="535"/>
        <v>Red</v>
      </c>
      <c r="T1694" t="str">
        <f t="shared" si="536"/>
        <v>Green</v>
      </c>
      <c r="U1694" t="str">
        <f t="shared" si="537"/>
        <v>Red</v>
      </c>
      <c r="V1694" t="str">
        <f t="shared" si="538"/>
        <v>Green</v>
      </c>
      <c r="W1694" t="str">
        <f t="shared" si="539"/>
        <v>Red</v>
      </c>
      <c r="X1694" t="str">
        <f t="shared" si="540"/>
        <v>Red</v>
      </c>
      <c r="Y1694" t="str">
        <f t="shared" si="541"/>
        <v>Green</v>
      </c>
      <c r="Z1694" t="str">
        <f t="shared" si="542"/>
        <v>Green</v>
      </c>
      <c r="AA1694" t="str">
        <f t="shared" si="543"/>
        <v>Red</v>
      </c>
      <c r="AB1694" t="str">
        <f t="shared" si="544"/>
        <v>Green</v>
      </c>
      <c r="AC1694" t="str">
        <f t="shared" si="545"/>
        <v>Red</v>
      </c>
      <c r="AD1694" t="str">
        <f t="shared" si="546"/>
        <v>Green</v>
      </c>
    </row>
    <row r="1695" spans="1:30" x14ac:dyDescent="0.2">
      <c r="A1695" t="str">
        <f>L1694&amp;F1695&amp;G1695</f>
        <v>25/07/2026Birmingham LegionNew Mexico</v>
      </c>
      <c r="D1695" s="2">
        <v>46228</v>
      </c>
      <c r="E1695" s="3">
        <v>0.95833333333333337</v>
      </c>
      <c r="F1695" t="s">
        <v>3697</v>
      </c>
      <c r="G1695" t="s">
        <v>3698</v>
      </c>
      <c r="L1695" s="22" t="str">
        <f t="shared" si="528"/>
        <v>25/07/2026</v>
      </c>
      <c r="M1695" s="23">
        <f t="shared" si="529"/>
        <v>0.83333333333333337</v>
      </c>
      <c r="N1695" t="str">
        <f t="shared" si="530"/>
        <v xml:space="preserve"> - </v>
      </c>
      <c r="O1695" t="str">
        <f t="shared" si="531"/>
        <v>Red</v>
      </c>
      <c r="P1695" t="str">
        <f t="shared" si="532"/>
        <v>Green</v>
      </c>
      <c r="Q1695" t="str">
        <f t="shared" si="533"/>
        <v>Red</v>
      </c>
      <c r="R1695" t="str">
        <f t="shared" si="534"/>
        <v>Green</v>
      </c>
      <c r="S1695" t="str">
        <f t="shared" si="535"/>
        <v>Green</v>
      </c>
      <c r="T1695" t="str">
        <f t="shared" si="536"/>
        <v>Red</v>
      </c>
      <c r="U1695" t="str">
        <f t="shared" si="537"/>
        <v>Red</v>
      </c>
      <c r="V1695" t="str">
        <f t="shared" si="538"/>
        <v>Green</v>
      </c>
      <c r="W1695" t="str">
        <f t="shared" si="539"/>
        <v>Red</v>
      </c>
      <c r="X1695" t="str">
        <f t="shared" si="540"/>
        <v>Red</v>
      </c>
      <c r="Y1695" t="str">
        <f t="shared" si="541"/>
        <v>Red</v>
      </c>
      <c r="Z1695" t="str">
        <f t="shared" si="542"/>
        <v>Red</v>
      </c>
      <c r="AA1695" t="str">
        <f t="shared" si="543"/>
        <v>Green</v>
      </c>
      <c r="AB1695" t="str">
        <f t="shared" si="544"/>
        <v>Green</v>
      </c>
      <c r="AC1695" t="str">
        <f t="shared" si="545"/>
        <v>Red</v>
      </c>
      <c r="AD1695" t="str">
        <f t="shared" si="546"/>
        <v>Green</v>
      </c>
    </row>
    <row r="1696" spans="1:30" x14ac:dyDescent="0.2">
      <c r="A1696" t="str">
        <f>L1695&amp;F1696&amp;G1696</f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28"/>
        <v>25/07/2026</v>
      </c>
      <c r="M1696" s="23">
        <f t="shared" si="529"/>
        <v>0.83333333333333337</v>
      </c>
      <c r="N1696" t="str">
        <f t="shared" si="530"/>
        <v>0 - 1</v>
      </c>
      <c r="O1696" t="str">
        <f t="shared" si="531"/>
        <v>Red</v>
      </c>
      <c r="P1696" t="str">
        <f t="shared" si="532"/>
        <v>Red</v>
      </c>
      <c r="Q1696" t="str">
        <f t="shared" si="533"/>
        <v>Green</v>
      </c>
      <c r="R1696" t="str">
        <f t="shared" si="534"/>
        <v>Red</v>
      </c>
      <c r="S1696" t="str">
        <f t="shared" si="535"/>
        <v>Green</v>
      </c>
      <c r="T1696" t="str">
        <f t="shared" si="536"/>
        <v>Green</v>
      </c>
      <c r="U1696" t="str">
        <f t="shared" si="537"/>
        <v>Red</v>
      </c>
      <c r="V1696" t="str">
        <f t="shared" si="538"/>
        <v>Red</v>
      </c>
      <c r="W1696" t="str">
        <f t="shared" si="539"/>
        <v>Green</v>
      </c>
      <c r="X1696" t="str">
        <f t="shared" si="540"/>
        <v>Green</v>
      </c>
      <c r="Y1696" t="str">
        <f t="shared" si="541"/>
        <v>Red</v>
      </c>
      <c r="Z1696" t="str">
        <f t="shared" si="542"/>
        <v>Red</v>
      </c>
      <c r="AA1696" t="str">
        <f t="shared" si="543"/>
        <v>Green</v>
      </c>
      <c r="AB1696" t="str">
        <f t="shared" si="544"/>
        <v>Green</v>
      </c>
      <c r="AC1696" t="str">
        <f t="shared" si="545"/>
        <v>Red</v>
      </c>
      <c r="AD1696" t="str">
        <f t="shared" si="546"/>
        <v>Green</v>
      </c>
    </row>
    <row r="1697" spans="1:30" x14ac:dyDescent="0.2">
      <c r="A1697" t="str">
        <f>L1696&amp;F1697&amp;G1697</f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3699</v>
      </c>
      <c r="H1697">
        <v>0</v>
      </c>
      <c r="I1697">
        <v>1</v>
      </c>
      <c r="J1697">
        <v>0</v>
      </c>
      <c r="K1697">
        <v>1</v>
      </c>
      <c r="L1697" s="22" t="str">
        <f t="shared" si="528"/>
        <v>25/07/2026</v>
      </c>
      <c r="M1697" s="23">
        <f t="shared" si="529"/>
        <v>0.83333333333333337</v>
      </c>
      <c r="N1697" t="str">
        <f t="shared" si="530"/>
        <v>0 - 1</v>
      </c>
      <c r="O1697" t="str">
        <f t="shared" si="531"/>
        <v>Red</v>
      </c>
      <c r="P1697" t="str">
        <f t="shared" si="532"/>
        <v>Red</v>
      </c>
      <c r="Q1697" t="str">
        <f t="shared" si="533"/>
        <v>Green</v>
      </c>
      <c r="R1697" t="str">
        <f t="shared" si="534"/>
        <v>Red</v>
      </c>
      <c r="S1697" t="str">
        <f t="shared" si="535"/>
        <v>Green</v>
      </c>
      <c r="T1697" t="str">
        <f t="shared" si="536"/>
        <v>Green</v>
      </c>
      <c r="U1697" t="str">
        <f t="shared" si="537"/>
        <v>Red</v>
      </c>
      <c r="V1697" t="str">
        <f t="shared" si="538"/>
        <v>Red</v>
      </c>
      <c r="W1697" t="str">
        <f t="shared" si="539"/>
        <v>Green</v>
      </c>
      <c r="X1697" t="str">
        <f t="shared" si="540"/>
        <v>Green</v>
      </c>
      <c r="Y1697" t="str">
        <f t="shared" si="541"/>
        <v>Red</v>
      </c>
      <c r="Z1697" t="str">
        <f t="shared" si="542"/>
        <v>Red</v>
      </c>
      <c r="AA1697" t="str">
        <f t="shared" si="543"/>
        <v>Green</v>
      </c>
      <c r="AB1697" t="str">
        <f t="shared" si="544"/>
        <v>Green</v>
      </c>
      <c r="AC1697" t="str">
        <f t="shared" si="545"/>
        <v>Red</v>
      </c>
      <c r="AD1697" t="str">
        <f t="shared" si="546"/>
        <v>Green</v>
      </c>
    </row>
    <row r="1698" spans="1:30" x14ac:dyDescent="0.2">
      <c r="A1698" t="str">
        <f>L1697&amp;F1698&amp;G1698</f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3700</v>
      </c>
      <c r="H1698">
        <v>0</v>
      </c>
      <c r="I1698">
        <v>0</v>
      </c>
      <c r="J1698">
        <v>0</v>
      </c>
      <c r="K1698">
        <v>1</v>
      </c>
      <c r="L1698" s="22" t="str">
        <f t="shared" si="528"/>
        <v>25/07/2026</v>
      </c>
      <c r="M1698" s="23">
        <f t="shared" si="529"/>
        <v>0.83333333333333337</v>
      </c>
      <c r="N1698" t="str">
        <f t="shared" si="530"/>
        <v>0 - 1</v>
      </c>
      <c r="O1698" t="str">
        <f t="shared" si="531"/>
        <v>Red</v>
      </c>
      <c r="P1698" t="str">
        <f t="shared" si="532"/>
        <v>Red</v>
      </c>
      <c r="Q1698" t="str">
        <f t="shared" si="533"/>
        <v>Green</v>
      </c>
      <c r="R1698" t="str">
        <f t="shared" si="534"/>
        <v>Red</v>
      </c>
      <c r="S1698" t="str">
        <f t="shared" si="535"/>
        <v>Green</v>
      </c>
      <c r="T1698" t="str">
        <f t="shared" si="536"/>
        <v>Green</v>
      </c>
      <c r="U1698" t="str">
        <f t="shared" si="537"/>
        <v>Red</v>
      </c>
      <c r="V1698" t="str">
        <f t="shared" si="538"/>
        <v>Green</v>
      </c>
      <c r="W1698" t="str">
        <f t="shared" si="539"/>
        <v>Red</v>
      </c>
      <c r="X1698" t="str">
        <f t="shared" si="540"/>
        <v>Red</v>
      </c>
      <c r="Y1698" t="str">
        <f t="shared" si="541"/>
        <v>Red</v>
      </c>
      <c r="Z1698" t="str">
        <f t="shared" si="542"/>
        <v>Red</v>
      </c>
      <c r="AA1698" t="str">
        <f t="shared" si="543"/>
        <v>Green</v>
      </c>
      <c r="AB1698" t="str">
        <f t="shared" si="544"/>
        <v>Green</v>
      </c>
      <c r="AC1698" t="str">
        <f t="shared" si="545"/>
        <v>Red</v>
      </c>
      <c r="AD1698" t="str">
        <f t="shared" si="546"/>
        <v>Green</v>
      </c>
    </row>
    <row r="1699" spans="1:30" x14ac:dyDescent="0.2">
      <c r="A1699" t="str">
        <f>L1698&amp;F1699&amp;G1699</f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28"/>
        <v>25/07/2026</v>
      </c>
      <c r="M1699" s="23">
        <f t="shared" si="529"/>
        <v>0.83333333333333337</v>
      </c>
      <c r="N1699" t="str">
        <f t="shared" si="530"/>
        <v>2 - 3</v>
      </c>
      <c r="O1699" t="str">
        <f t="shared" si="531"/>
        <v>Red</v>
      </c>
      <c r="P1699" t="str">
        <f t="shared" si="532"/>
        <v>Red</v>
      </c>
      <c r="Q1699" t="str">
        <f t="shared" si="533"/>
        <v>Green</v>
      </c>
      <c r="R1699" t="str">
        <f t="shared" si="534"/>
        <v>Red</v>
      </c>
      <c r="S1699" t="str">
        <f t="shared" si="535"/>
        <v>Green</v>
      </c>
      <c r="T1699" t="str">
        <f t="shared" si="536"/>
        <v>Green</v>
      </c>
      <c r="U1699" t="str">
        <f t="shared" si="537"/>
        <v>Red</v>
      </c>
      <c r="V1699" t="str">
        <f t="shared" si="538"/>
        <v>Red</v>
      </c>
      <c r="W1699" t="str">
        <f t="shared" si="539"/>
        <v>Green</v>
      </c>
      <c r="X1699" t="str">
        <f t="shared" si="540"/>
        <v>Green</v>
      </c>
      <c r="Y1699" t="str">
        <f t="shared" si="541"/>
        <v>Green</v>
      </c>
      <c r="Z1699" t="str">
        <f t="shared" si="542"/>
        <v>Green</v>
      </c>
      <c r="AA1699" t="str">
        <f t="shared" si="543"/>
        <v>Red</v>
      </c>
      <c r="AB1699" t="str">
        <f t="shared" si="544"/>
        <v>Red</v>
      </c>
      <c r="AC1699" t="str">
        <f t="shared" si="545"/>
        <v>Green</v>
      </c>
      <c r="AD1699" t="str">
        <f t="shared" si="546"/>
        <v>Red</v>
      </c>
    </row>
    <row r="1700" spans="1:30" x14ac:dyDescent="0.2">
      <c r="A1700" t="str">
        <f>L1699&amp;F1700&amp;G1700</f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3701</v>
      </c>
      <c r="H1700">
        <v>0</v>
      </c>
      <c r="I1700">
        <v>0</v>
      </c>
      <c r="J1700">
        <v>0</v>
      </c>
      <c r="K1700">
        <v>1</v>
      </c>
      <c r="L1700" s="22" t="str">
        <f t="shared" si="528"/>
        <v>25/07/2026</v>
      </c>
      <c r="M1700" s="23">
        <f t="shared" si="529"/>
        <v>0.83333333333333337</v>
      </c>
      <c r="N1700" t="str">
        <f t="shared" si="530"/>
        <v>0 - 1</v>
      </c>
      <c r="O1700" t="str">
        <f t="shared" si="531"/>
        <v>Red</v>
      </c>
      <c r="P1700" t="str">
        <f t="shared" si="532"/>
        <v>Red</v>
      </c>
      <c r="Q1700" t="str">
        <f t="shared" si="533"/>
        <v>Green</v>
      </c>
      <c r="R1700" t="str">
        <f t="shared" si="534"/>
        <v>Red</v>
      </c>
      <c r="S1700" t="str">
        <f t="shared" si="535"/>
        <v>Green</v>
      </c>
      <c r="T1700" t="str">
        <f t="shared" si="536"/>
        <v>Green</v>
      </c>
      <c r="U1700" t="str">
        <f t="shared" si="537"/>
        <v>Red</v>
      </c>
      <c r="V1700" t="str">
        <f t="shared" si="538"/>
        <v>Green</v>
      </c>
      <c r="W1700" t="str">
        <f t="shared" si="539"/>
        <v>Red</v>
      </c>
      <c r="X1700" t="str">
        <f t="shared" si="540"/>
        <v>Red</v>
      </c>
      <c r="Y1700" t="str">
        <f t="shared" si="541"/>
        <v>Red</v>
      </c>
      <c r="Z1700" t="str">
        <f t="shared" si="542"/>
        <v>Red</v>
      </c>
      <c r="AA1700" t="str">
        <f t="shared" si="543"/>
        <v>Green</v>
      </c>
      <c r="AB1700" t="str">
        <f t="shared" si="544"/>
        <v>Green</v>
      </c>
      <c r="AC1700" t="str">
        <f t="shared" si="545"/>
        <v>Red</v>
      </c>
      <c r="AD1700" t="str">
        <f t="shared" si="546"/>
        <v>Green</v>
      </c>
    </row>
    <row r="1701" spans="1:30" x14ac:dyDescent="0.2">
      <c r="A1701" t="str">
        <f>L1700&amp;F1701&amp;G1701</f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3708</v>
      </c>
      <c r="H1701">
        <v>2</v>
      </c>
      <c r="I1701">
        <v>0</v>
      </c>
      <c r="J1701">
        <v>3</v>
      </c>
      <c r="K1701">
        <v>1</v>
      </c>
      <c r="L1701" s="22" t="str">
        <f t="shared" si="528"/>
        <v>25/07/2026</v>
      </c>
      <c r="M1701" s="23">
        <f t="shared" si="529"/>
        <v>0.83333333333333337</v>
      </c>
      <c r="N1701" t="str">
        <f t="shared" si="530"/>
        <v>3 - 1</v>
      </c>
      <c r="O1701" t="str">
        <f t="shared" si="531"/>
        <v>Green</v>
      </c>
      <c r="P1701" t="str">
        <f t="shared" si="532"/>
        <v>Red</v>
      </c>
      <c r="Q1701" t="str">
        <f t="shared" si="533"/>
        <v>Red</v>
      </c>
      <c r="R1701" t="str">
        <f t="shared" si="534"/>
        <v>Green</v>
      </c>
      <c r="S1701" t="str">
        <f t="shared" si="535"/>
        <v>Red</v>
      </c>
      <c r="T1701" t="str">
        <f t="shared" si="536"/>
        <v>Green</v>
      </c>
      <c r="U1701" t="str">
        <f t="shared" si="537"/>
        <v>Green</v>
      </c>
      <c r="V1701" t="str">
        <f t="shared" si="538"/>
        <v>Red</v>
      </c>
      <c r="W1701" t="str">
        <f t="shared" si="539"/>
        <v>Red</v>
      </c>
      <c r="X1701" t="str">
        <f t="shared" si="540"/>
        <v>Green</v>
      </c>
      <c r="Y1701" t="str">
        <f t="shared" si="541"/>
        <v>Green</v>
      </c>
      <c r="Z1701" t="str">
        <f t="shared" si="542"/>
        <v>Green</v>
      </c>
      <c r="AA1701" t="str">
        <f t="shared" si="543"/>
        <v>Red</v>
      </c>
      <c r="AB1701" t="str">
        <f t="shared" si="544"/>
        <v>Red</v>
      </c>
      <c r="AC1701" t="str">
        <f t="shared" si="545"/>
        <v>Green</v>
      </c>
      <c r="AD1701" t="str">
        <f t="shared" si="546"/>
        <v>Red</v>
      </c>
    </row>
    <row r="1702" spans="1:30" x14ac:dyDescent="0.2">
      <c r="A1702" t="str">
        <f>L1701&amp;F1702&amp;G1702</f>
        <v>25/07/2026Chattanooga Red Wolves FCOne Knoxville SC</v>
      </c>
      <c r="D1702" s="2">
        <v>46228</v>
      </c>
      <c r="E1702" s="3">
        <v>0.95833333333333337</v>
      </c>
      <c r="F1702" t="s">
        <v>3709</v>
      </c>
      <c r="G1702" t="s">
        <v>3710</v>
      </c>
      <c r="H1702">
        <v>0</v>
      </c>
      <c r="I1702">
        <v>0</v>
      </c>
      <c r="J1702">
        <v>1</v>
      </c>
      <c r="K1702">
        <v>0</v>
      </c>
      <c r="L1702" s="22" t="str">
        <f t="shared" si="528"/>
        <v>25/07/2026</v>
      </c>
      <c r="M1702" s="23">
        <f t="shared" si="529"/>
        <v>0.83333333333333337</v>
      </c>
      <c r="N1702" t="str">
        <f t="shared" si="530"/>
        <v>1 - 0</v>
      </c>
      <c r="O1702" t="str">
        <f t="shared" si="531"/>
        <v>Green</v>
      </c>
      <c r="P1702" t="str">
        <f t="shared" si="532"/>
        <v>Red</v>
      </c>
      <c r="Q1702" t="str">
        <f t="shared" si="533"/>
        <v>Red</v>
      </c>
      <c r="R1702" t="str">
        <f t="shared" si="534"/>
        <v>Green</v>
      </c>
      <c r="S1702" t="str">
        <f t="shared" si="535"/>
        <v>Red</v>
      </c>
      <c r="T1702" t="str">
        <f t="shared" si="536"/>
        <v>Green</v>
      </c>
      <c r="U1702" t="str">
        <f t="shared" si="537"/>
        <v>Red</v>
      </c>
      <c r="V1702" t="str">
        <f t="shared" si="538"/>
        <v>Green</v>
      </c>
      <c r="W1702" t="str">
        <f t="shared" si="539"/>
        <v>Red</v>
      </c>
      <c r="X1702" t="str">
        <f t="shared" si="540"/>
        <v>Red</v>
      </c>
      <c r="Y1702" t="str">
        <f t="shared" si="541"/>
        <v>Red</v>
      </c>
      <c r="Z1702" t="str">
        <f t="shared" si="542"/>
        <v>Red</v>
      </c>
      <c r="AA1702" t="str">
        <f t="shared" si="543"/>
        <v>Green</v>
      </c>
      <c r="AB1702" t="str">
        <f t="shared" si="544"/>
        <v>Green</v>
      </c>
      <c r="AC1702" t="str">
        <f t="shared" si="545"/>
        <v>Red</v>
      </c>
      <c r="AD1702" t="str">
        <f t="shared" si="546"/>
        <v>Green</v>
      </c>
    </row>
    <row r="1703" spans="1:30" x14ac:dyDescent="0.2">
      <c r="A1703" t="str">
        <f>L1702&amp;F1703&amp;G1703</f>
        <v>25/07/2026Forward MadisonFC Naples</v>
      </c>
      <c r="D1703" s="2">
        <v>46228</v>
      </c>
      <c r="E1703" s="3">
        <v>0.95833333333333337</v>
      </c>
      <c r="F1703" t="s">
        <v>3711</v>
      </c>
      <c r="G1703" t="s">
        <v>3712</v>
      </c>
      <c r="H1703">
        <v>1</v>
      </c>
      <c r="I1703">
        <v>0</v>
      </c>
      <c r="J1703">
        <v>3</v>
      </c>
      <c r="K1703">
        <v>1</v>
      </c>
      <c r="L1703" s="22" t="str">
        <f t="shared" si="528"/>
        <v>25/07/2026</v>
      </c>
      <c r="M1703" s="23">
        <f t="shared" si="529"/>
        <v>0.83333333333333337</v>
      </c>
      <c r="N1703" t="str">
        <f t="shared" si="530"/>
        <v>3 - 1</v>
      </c>
      <c r="O1703" t="str">
        <f t="shared" si="531"/>
        <v>Green</v>
      </c>
      <c r="P1703" t="str">
        <f t="shared" si="532"/>
        <v>Red</v>
      </c>
      <c r="Q1703" t="str">
        <f t="shared" si="533"/>
        <v>Red</v>
      </c>
      <c r="R1703" t="str">
        <f t="shared" si="534"/>
        <v>Green</v>
      </c>
      <c r="S1703" t="str">
        <f t="shared" si="535"/>
        <v>Red</v>
      </c>
      <c r="T1703" t="str">
        <f t="shared" si="536"/>
        <v>Green</v>
      </c>
      <c r="U1703" t="str">
        <f t="shared" si="537"/>
        <v>Green</v>
      </c>
      <c r="V1703" t="str">
        <f t="shared" si="538"/>
        <v>Red</v>
      </c>
      <c r="W1703" t="str">
        <f t="shared" si="539"/>
        <v>Red</v>
      </c>
      <c r="X1703" t="str">
        <f t="shared" si="540"/>
        <v>Green</v>
      </c>
      <c r="Y1703" t="str">
        <f t="shared" si="541"/>
        <v>Green</v>
      </c>
      <c r="Z1703" t="str">
        <f t="shared" si="542"/>
        <v>Green</v>
      </c>
      <c r="AA1703" t="str">
        <f t="shared" si="543"/>
        <v>Red</v>
      </c>
      <c r="AB1703" t="str">
        <f t="shared" si="544"/>
        <v>Red</v>
      </c>
      <c r="AC1703" t="str">
        <f t="shared" si="545"/>
        <v>Green</v>
      </c>
      <c r="AD1703" t="str">
        <f t="shared" si="546"/>
        <v>Red</v>
      </c>
    </row>
    <row r="1704" spans="1:30" x14ac:dyDescent="0.2">
      <c r="A1704" t="str">
        <f>L1703&amp;F1704&amp;G1704</f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3713</v>
      </c>
      <c r="H1704">
        <v>0</v>
      </c>
      <c r="I1704">
        <v>0</v>
      </c>
      <c r="J1704">
        <v>1</v>
      </c>
      <c r="K1704">
        <v>2</v>
      </c>
      <c r="L1704" s="22" t="str">
        <f t="shared" si="528"/>
        <v>25/07/2026</v>
      </c>
      <c r="M1704" s="23">
        <f t="shared" si="529"/>
        <v>0.83333333333333337</v>
      </c>
      <c r="N1704" t="str">
        <f t="shared" si="530"/>
        <v>1 - 2</v>
      </c>
      <c r="O1704" t="str">
        <f t="shared" si="531"/>
        <v>Red</v>
      </c>
      <c r="P1704" t="str">
        <f t="shared" si="532"/>
        <v>Red</v>
      </c>
      <c r="Q1704" t="str">
        <f t="shared" si="533"/>
        <v>Green</v>
      </c>
      <c r="R1704" t="str">
        <f t="shared" si="534"/>
        <v>Red</v>
      </c>
      <c r="S1704" t="str">
        <f t="shared" si="535"/>
        <v>Green</v>
      </c>
      <c r="T1704" t="str">
        <f t="shared" si="536"/>
        <v>Green</v>
      </c>
      <c r="U1704" t="str">
        <f t="shared" si="537"/>
        <v>Red</v>
      </c>
      <c r="V1704" t="str">
        <f t="shared" si="538"/>
        <v>Green</v>
      </c>
      <c r="W1704" t="str">
        <f t="shared" si="539"/>
        <v>Red</v>
      </c>
      <c r="X1704" t="str">
        <f t="shared" si="540"/>
        <v>Red</v>
      </c>
      <c r="Y1704" t="str">
        <f t="shared" si="541"/>
        <v>Green</v>
      </c>
      <c r="Z1704" t="str">
        <f t="shared" si="542"/>
        <v>Green</v>
      </c>
      <c r="AA1704" t="str">
        <f t="shared" si="543"/>
        <v>Red</v>
      </c>
      <c r="AB1704" t="str">
        <f t="shared" si="544"/>
        <v>Green</v>
      </c>
      <c r="AC1704" t="str">
        <f t="shared" si="545"/>
        <v>Green</v>
      </c>
      <c r="AD1704" t="str">
        <f t="shared" si="546"/>
        <v>Red</v>
      </c>
    </row>
    <row r="1705" spans="1:30" x14ac:dyDescent="0.2">
      <c r="A1705" t="str">
        <f>L1704&amp;F1705&amp;G1705</f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3714</v>
      </c>
      <c r="L1705" s="22" t="str">
        <f t="shared" si="528"/>
        <v>25/07/2026</v>
      </c>
      <c r="M1705" s="23">
        <f t="shared" si="529"/>
        <v>0.83333333333333337</v>
      </c>
      <c r="N1705" t="str">
        <f t="shared" si="530"/>
        <v xml:space="preserve"> - </v>
      </c>
      <c r="O1705" t="str">
        <f t="shared" si="531"/>
        <v>Red</v>
      </c>
      <c r="P1705" t="str">
        <f t="shared" si="532"/>
        <v>Green</v>
      </c>
      <c r="Q1705" t="str">
        <f t="shared" si="533"/>
        <v>Red</v>
      </c>
      <c r="R1705" t="str">
        <f t="shared" si="534"/>
        <v>Green</v>
      </c>
      <c r="S1705" t="str">
        <f t="shared" si="535"/>
        <v>Green</v>
      </c>
      <c r="T1705" t="str">
        <f t="shared" si="536"/>
        <v>Red</v>
      </c>
      <c r="U1705" t="str">
        <f t="shared" si="537"/>
        <v>Red</v>
      </c>
      <c r="V1705" t="str">
        <f t="shared" si="538"/>
        <v>Green</v>
      </c>
      <c r="W1705" t="str">
        <f t="shared" si="539"/>
        <v>Red</v>
      </c>
      <c r="X1705" t="str">
        <f t="shared" si="540"/>
        <v>Red</v>
      </c>
      <c r="Y1705" t="str">
        <f t="shared" si="541"/>
        <v>Red</v>
      </c>
      <c r="Z1705" t="str">
        <f t="shared" si="542"/>
        <v>Red</v>
      </c>
      <c r="AA1705" t="str">
        <f t="shared" si="543"/>
        <v>Green</v>
      </c>
      <c r="AB1705" t="str">
        <f t="shared" si="544"/>
        <v>Green</v>
      </c>
      <c r="AC1705" t="str">
        <f t="shared" si="545"/>
        <v>Red</v>
      </c>
      <c r="AD1705" t="str">
        <f t="shared" si="546"/>
        <v>Green</v>
      </c>
    </row>
    <row r="1706" spans="1:30" x14ac:dyDescent="0.2">
      <c r="A1706" t="str">
        <f>L1705&amp;F1706&amp;G1706</f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28"/>
        <v>25/07/2026</v>
      </c>
      <c r="M1706" s="23">
        <f t="shared" si="529"/>
        <v>0.83333333333333337</v>
      </c>
      <c r="N1706" t="str">
        <f t="shared" si="530"/>
        <v>4 - 0</v>
      </c>
      <c r="O1706" t="str">
        <f t="shared" si="531"/>
        <v>Green</v>
      </c>
      <c r="P1706" t="str">
        <f t="shared" si="532"/>
        <v>Red</v>
      </c>
      <c r="Q1706" t="str">
        <f t="shared" si="533"/>
        <v>Red</v>
      </c>
      <c r="R1706" t="str">
        <f t="shared" si="534"/>
        <v>Green</v>
      </c>
      <c r="S1706" t="str">
        <f t="shared" si="535"/>
        <v>Red</v>
      </c>
      <c r="T1706" t="str">
        <f t="shared" si="536"/>
        <v>Green</v>
      </c>
      <c r="U1706" t="str">
        <f t="shared" si="537"/>
        <v>Green</v>
      </c>
      <c r="V1706" t="str">
        <f t="shared" si="538"/>
        <v>Red</v>
      </c>
      <c r="W1706" t="str">
        <f t="shared" si="539"/>
        <v>Red</v>
      </c>
      <c r="X1706" t="str">
        <f t="shared" si="540"/>
        <v>Green</v>
      </c>
      <c r="Y1706" t="str">
        <f t="shared" si="541"/>
        <v>Green</v>
      </c>
      <c r="Z1706" t="str">
        <f t="shared" si="542"/>
        <v>Green</v>
      </c>
      <c r="AA1706" t="str">
        <f t="shared" si="543"/>
        <v>Red</v>
      </c>
      <c r="AB1706" t="str">
        <f t="shared" si="544"/>
        <v>Red</v>
      </c>
      <c r="AC1706" t="str">
        <f t="shared" si="545"/>
        <v>Red</v>
      </c>
      <c r="AD1706" t="str">
        <f t="shared" si="546"/>
        <v>Green</v>
      </c>
    </row>
    <row r="1707" spans="1:30" x14ac:dyDescent="0.2">
      <c r="A1707" t="str">
        <f>L1706&amp;F1707&amp;G1707</f>
        <v>25/07/2026Bristol RhythmNew Haven United</v>
      </c>
      <c r="D1707" s="2">
        <v>46228</v>
      </c>
      <c r="E1707" s="3">
        <v>0.95833333333333337</v>
      </c>
      <c r="F1707" t="s">
        <v>3722</v>
      </c>
      <c r="G1707" t="s">
        <v>3723</v>
      </c>
      <c r="H1707">
        <v>0</v>
      </c>
      <c r="I1707">
        <v>0</v>
      </c>
      <c r="J1707">
        <v>2</v>
      </c>
      <c r="K1707">
        <v>0</v>
      </c>
      <c r="L1707" s="22" t="str">
        <f t="shared" si="528"/>
        <v>25/07/2026</v>
      </c>
      <c r="M1707" s="23">
        <f t="shared" si="529"/>
        <v>0.83333333333333337</v>
      </c>
      <c r="N1707" t="str">
        <f t="shared" si="530"/>
        <v>2 - 0</v>
      </c>
      <c r="O1707" t="str">
        <f t="shared" si="531"/>
        <v>Green</v>
      </c>
      <c r="P1707" t="str">
        <f t="shared" si="532"/>
        <v>Red</v>
      </c>
      <c r="Q1707" t="str">
        <f t="shared" si="533"/>
        <v>Red</v>
      </c>
      <c r="R1707" t="str">
        <f t="shared" si="534"/>
        <v>Green</v>
      </c>
      <c r="S1707" t="str">
        <f t="shared" si="535"/>
        <v>Red</v>
      </c>
      <c r="T1707" t="str">
        <f t="shared" si="536"/>
        <v>Green</v>
      </c>
      <c r="U1707" t="str">
        <f t="shared" si="537"/>
        <v>Red</v>
      </c>
      <c r="V1707" t="str">
        <f t="shared" si="538"/>
        <v>Green</v>
      </c>
      <c r="W1707" t="str">
        <f t="shared" si="539"/>
        <v>Red</v>
      </c>
      <c r="X1707" t="str">
        <f t="shared" si="540"/>
        <v>Red</v>
      </c>
      <c r="Y1707" t="str">
        <f t="shared" si="541"/>
        <v>Green</v>
      </c>
      <c r="Z1707" t="str">
        <f t="shared" si="542"/>
        <v>Red</v>
      </c>
      <c r="AA1707" t="str">
        <f t="shared" si="543"/>
        <v>Green</v>
      </c>
      <c r="AB1707" t="str">
        <f t="shared" si="544"/>
        <v>Green</v>
      </c>
      <c r="AC1707" t="str">
        <f t="shared" si="545"/>
        <v>Red</v>
      </c>
      <c r="AD1707" t="str">
        <f t="shared" si="546"/>
        <v>Green</v>
      </c>
    </row>
    <row r="1708" spans="1:30" x14ac:dyDescent="0.2">
      <c r="A1708" t="str">
        <f>L1707&amp;F1708&amp;G1708</f>
        <v>25/07/2026GuadalajaraFC Juarez</v>
      </c>
      <c r="D1708" s="2">
        <v>46228</v>
      </c>
      <c r="E1708" s="3">
        <v>0.96319444444444446</v>
      </c>
      <c r="F1708" t="s">
        <v>3411</v>
      </c>
      <c r="G1708" t="s">
        <v>3412</v>
      </c>
      <c r="H1708">
        <v>0</v>
      </c>
      <c r="I1708">
        <v>0</v>
      </c>
      <c r="J1708">
        <v>1</v>
      </c>
      <c r="K1708">
        <v>0</v>
      </c>
      <c r="L1708" s="22" t="str">
        <f t="shared" si="528"/>
        <v>25/07/2026</v>
      </c>
      <c r="M1708" s="23">
        <f t="shared" si="529"/>
        <v>0.83819444444444446</v>
      </c>
      <c r="N1708" t="str">
        <f t="shared" si="530"/>
        <v>1 - 0</v>
      </c>
      <c r="O1708" t="str">
        <f t="shared" si="531"/>
        <v>Green</v>
      </c>
      <c r="P1708" t="str">
        <f t="shared" si="532"/>
        <v>Red</v>
      </c>
      <c r="Q1708" t="str">
        <f t="shared" si="533"/>
        <v>Red</v>
      </c>
      <c r="R1708" t="str">
        <f t="shared" si="534"/>
        <v>Green</v>
      </c>
      <c r="S1708" t="str">
        <f t="shared" si="535"/>
        <v>Red</v>
      </c>
      <c r="T1708" t="str">
        <f t="shared" si="536"/>
        <v>Green</v>
      </c>
      <c r="U1708" t="str">
        <f t="shared" si="537"/>
        <v>Red</v>
      </c>
      <c r="V1708" t="str">
        <f t="shared" si="538"/>
        <v>Green</v>
      </c>
      <c r="W1708" t="str">
        <f t="shared" si="539"/>
        <v>Red</v>
      </c>
      <c r="X1708" t="str">
        <f t="shared" si="540"/>
        <v>Red</v>
      </c>
      <c r="Y1708" t="str">
        <f t="shared" si="541"/>
        <v>Red</v>
      </c>
      <c r="Z1708" t="str">
        <f t="shared" si="542"/>
        <v>Red</v>
      </c>
      <c r="AA1708" t="str">
        <f t="shared" si="543"/>
        <v>Green</v>
      </c>
      <c r="AB1708" t="str">
        <f t="shared" si="544"/>
        <v>Green</v>
      </c>
      <c r="AC1708" t="str">
        <f t="shared" si="545"/>
        <v>Red</v>
      </c>
      <c r="AD1708" t="str">
        <f t="shared" si="546"/>
        <v>Green</v>
      </c>
    </row>
    <row r="1709" spans="1:30" x14ac:dyDescent="0.2">
      <c r="A1709" t="str">
        <f>L1708&amp;F1709&amp;G1709</f>
        <v>25/07/2026Millonarios FCAtletico Bucaramanga</v>
      </c>
      <c r="D1709" s="2">
        <v>46228</v>
      </c>
      <c r="E1709" s="3">
        <v>0.96527777777777779</v>
      </c>
      <c r="F1709" t="s">
        <v>3143</v>
      </c>
      <c r="G1709" t="s">
        <v>3144</v>
      </c>
      <c r="H1709">
        <v>0</v>
      </c>
      <c r="I1709">
        <v>0</v>
      </c>
      <c r="J1709">
        <v>0</v>
      </c>
      <c r="K1709">
        <v>1</v>
      </c>
      <c r="L1709" s="22" t="str">
        <f t="shared" si="528"/>
        <v>25/07/2026</v>
      </c>
      <c r="M1709" s="23">
        <f t="shared" si="529"/>
        <v>0.84027777777777779</v>
      </c>
      <c r="N1709" t="str">
        <f t="shared" si="530"/>
        <v>0 - 1</v>
      </c>
      <c r="O1709" t="str">
        <f t="shared" si="531"/>
        <v>Red</v>
      </c>
      <c r="P1709" t="str">
        <f t="shared" si="532"/>
        <v>Red</v>
      </c>
      <c r="Q1709" t="str">
        <f t="shared" si="533"/>
        <v>Green</v>
      </c>
      <c r="R1709" t="str">
        <f t="shared" si="534"/>
        <v>Red</v>
      </c>
      <c r="S1709" t="str">
        <f t="shared" si="535"/>
        <v>Green</v>
      </c>
      <c r="T1709" t="str">
        <f t="shared" si="536"/>
        <v>Green</v>
      </c>
      <c r="U1709" t="str">
        <f t="shared" si="537"/>
        <v>Red</v>
      </c>
      <c r="V1709" t="str">
        <f t="shared" si="538"/>
        <v>Green</v>
      </c>
      <c r="W1709" t="str">
        <f t="shared" si="539"/>
        <v>Red</v>
      </c>
      <c r="X1709" t="str">
        <f t="shared" si="540"/>
        <v>Red</v>
      </c>
      <c r="Y1709" t="str">
        <f t="shared" si="541"/>
        <v>Red</v>
      </c>
      <c r="Z1709" t="str">
        <f t="shared" si="542"/>
        <v>Red</v>
      </c>
      <c r="AA1709" t="str">
        <f t="shared" si="543"/>
        <v>Green</v>
      </c>
      <c r="AB1709" t="str">
        <f t="shared" si="544"/>
        <v>Green</v>
      </c>
      <c r="AC1709" t="str">
        <f t="shared" si="545"/>
        <v>Red</v>
      </c>
      <c r="AD1709" t="str">
        <f t="shared" si="546"/>
        <v>Green</v>
      </c>
    </row>
    <row r="1710" spans="1:30" x14ac:dyDescent="0.2">
      <c r="A1710" t="str">
        <f>L1709&amp;F1710&amp;G1710</f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28"/>
        <v>25/07/2026</v>
      </c>
      <c r="M1710" s="23">
        <f t="shared" si="529"/>
        <v>0.84375</v>
      </c>
      <c r="N1710" t="str">
        <f t="shared" si="530"/>
        <v>0 - 0</v>
      </c>
      <c r="O1710" t="str">
        <f t="shared" si="531"/>
        <v>Red</v>
      </c>
      <c r="P1710" t="str">
        <f t="shared" si="532"/>
        <v>Green</v>
      </c>
      <c r="Q1710" t="str">
        <f t="shared" si="533"/>
        <v>Red</v>
      </c>
      <c r="R1710" t="str">
        <f t="shared" si="534"/>
        <v>Green</v>
      </c>
      <c r="S1710" t="str">
        <f t="shared" si="535"/>
        <v>Green</v>
      </c>
      <c r="T1710" t="str">
        <f t="shared" si="536"/>
        <v>Red</v>
      </c>
      <c r="U1710" t="str">
        <f t="shared" si="537"/>
        <v>Red</v>
      </c>
      <c r="V1710" t="str">
        <f t="shared" si="538"/>
        <v>Green</v>
      </c>
      <c r="W1710" t="str">
        <f t="shared" si="539"/>
        <v>Red</v>
      </c>
      <c r="X1710" t="str">
        <f t="shared" si="540"/>
        <v>Red</v>
      </c>
      <c r="Y1710" t="str">
        <f t="shared" si="541"/>
        <v>Red</v>
      </c>
      <c r="Z1710" t="str">
        <f t="shared" si="542"/>
        <v>Red</v>
      </c>
      <c r="AA1710" t="str">
        <f t="shared" si="543"/>
        <v>Green</v>
      </c>
      <c r="AB1710" t="str">
        <f t="shared" si="544"/>
        <v>Green</v>
      </c>
      <c r="AC1710" t="str">
        <f t="shared" si="545"/>
        <v>Red</v>
      </c>
      <c r="AD1710" t="str">
        <f t="shared" si="546"/>
        <v>Green</v>
      </c>
    </row>
    <row r="1711" spans="1:30" x14ac:dyDescent="0.2">
      <c r="A1711" t="str">
        <f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47">DAY(D1711)&amp;"/"&amp;"07"&amp;"/"&amp;YEAR(D1711)</f>
        <v>25/07/2026</v>
      </c>
      <c r="M1711" s="23">
        <f t="shared" ref="M1711:M1772" si="548">E1711-TIME(3,0,0)</f>
        <v>0.84375</v>
      </c>
      <c r="N1711" t="str">
        <f t="shared" ref="N1711:N1772" si="549">J1711&amp;" - "&amp;K1711</f>
        <v>2 - 1</v>
      </c>
      <c r="O1711" t="str">
        <f t="shared" si="531"/>
        <v>Green</v>
      </c>
      <c r="P1711" t="str">
        <f t="shared" si="532"/>
        <v>Red</v>
      </c>
      <c r="Q1711" t="str">
        <f t="shared" si="533"/>
        <v>Red</v>
      </c>
      <c r="R1711" t="str">
        <f t="shared" si="534"/>
        <v>Green</v>
      </c>
      <c r="S1711" t="str">
        <f t="shared" si="535"/>
        <v>Red</v>
      </c>
      <c r="T1711" t="str">
        <f t="shared" si="536"/>
        <v>Green</v>
      </c>
      <c r="U1711" t="str">
        <f t="shared" si="537"/>
        <v>Green</v>
      </c>
      <c r="V1711" t="str">
        <f t="shared" si="538"/>
        <v>Red</v>
      </c>
      <c r="W1711" t="str">
        <f t="shared" si="539"/>
        <v>Red</v>
      </c>
      <c r="X1711" t="str">
        <f t="shared" si="540"/>
        <v>Green</v>
      </c>
      <c r="Y1711" t="str">
        <f t="shared" si="541"/>
        <v>Green</v>
      </c>
      <c r="Z1711" t="str">
        <f t="shared" si="542"/>
        <v>Green</v>
      </c>
      <c r="AA1711" t="str">
        <f t="shared" si="543"/>
        <v>Red</v>
      </c>
      <c r="AB1711" t="str">
        <f t="shared" si="544"/>
        <v>Green</v>
      </c>
      <c r="AC1711" t="str">
        <f t="shared" si="545"/>
        <v>Green</v>
      </c>
      <c r="AD1711" t="str">
        <f t="shared" si="546"/>
        <v>Red</v>
      </c>
    </row>
    <row r="1712" spans="1:30" x14ac:dyDescent="0.2">
      <c r="A1712" t="str">
        <f>L1711&amp;F1712&amp;G1712</f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2764</v>
      </c>
      <c r="H1712">
        <v>0</v>
      </c>
      <c r="I1712">
        <v>1</v>
      </c>
      <c r="J1712">
        <v>1</v>
      </c>
      <c r="K1712">
        <v>1</v>
      </c>
      <c r="L1712" s="22" t="str">
        <f t="shared" si="547"/>
        <v>25/07/2026</v>
      </c>
      <c r="M1712" s="23">
        <f t="shared" si="548"/>
        <v>0.85416666666666663</v>
      </c>
      <c r="N1712" t="str">
        <f t="shared" si="549"/>
        <v>1 - 1</v>
      </c>
      <c r="O1712" t="str">
        <f t="shared" si="531"/>
        <v>Red</v>
      </c>
      <c r="P1712" t="str">
        <f t="shared" si="532"/>
        <v>Green</v>
      </c>
      <c r="Q1712" t="str">
        <f t="shared" si="533"/>
        <v>Red</v>
      </c>
      <c r="R1712" t="str">
        <f t="shared" si="534"/>
        <v>Green</v>
      </c>
      <c r="S1712" t="str">
        <f t="shared" si="535"/>
        <v>Green</v>
      </c>
      <c r="T1712" t="str">
        <f t="shared" si="536"/>
        <v>Red</v>
      </c>
      <c r="U1712" t="str">
        <f t="shared" si="537"/>
        <v>Red</v>
      </c>
      <c r="V1712" t="str">
        <f t="shared" si="538"/>
        <v>Red</v>
      </c>
      <c r="W1712" t="str">
        <f t="shared" si="539"/>
        <v>Green</v>
      </c>
      <c r="X1712" t="str">
        <f t="shared" si="540"/>
        <v>Green</v>
      </c>
      <c r="Y1712" t="str">
        <f t="shared" si="541"/>
        <v>Green</v>
      </c>
      <c r="Z1712" t="str">
        <f t="shared" si="542"/>
        <v>Red</v>
      </c>
      <c r="AA1712" t="str">
        <f t="shared" si="543"/>
        <v>Green</v>
      </c>
      <c r="AB1712" t="str">
        <f t="shared" si="544"/>
        <v>Green</v>
      </c>
      <c r="AC1712" t="str">
        <f t="shared" si="545"/>
        <v>Green</v>
      </c>
      <c r="AD1712" t="str">
        <f t="shared" si="546"/>
        <v>Red</v>
      </c>
    </row>
    <row r="1713" spans="1:30" x14ac:dyDescent="0.2">
      <c r="A1713" t="str">
        <f>L1712&amp;F1713&amp;G1713</f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47"/>
        <v>25/07/2026</v>
      </c>
      <c r="M1713" s="23">
        <f t="shared" si="548"/>
        <v>0.85416666666666663</v>
      </c>
      <c r="N1713" t="str">
        <f t="shared" si="549"/>
        <v>1 - 2</v>
      </c>
      <c r="O1713" t="str">
        <f t="shared" si="531"/>
        <v>Red</v>
      </c>
      <c r="P1713" t="str">
        <f t="shared" si="532"/>
        <v>Red</v>
      </c>
      <c r="Q1713" t="str">
        <f t="shared" si="533"/>
        <v>Green</v>
      </c>
      <c r="R1713" t="str">
        <f t="shared" si="534"/>
        <v>Red</v>
      </c>
      <c r="S1713" t="str">
        <f t="shared" si="535"/>
        <v>Green</v>
      </c>
      <c r="T1713" t="str">
        <f t="shared" si="536"/>
        <v>Green</v>
      </c>
      <c r="U1713" t="str">
        <f t="shared" si="537"/>
        <v>Red</v>
      </c>
      <c r="V1713" t="str">
        <f t="shared" si="538"/>
        <v>Red</v>
      </c>
      <c r="W1713" t="str">
        <f t="shared" si="539"/>
        <v>Green</v>
      </c>
      <c r="X1713" t="str">
        <f t="shared" si="540"/>
        <v>Green</v>
      </c>
      <c r="Y1713" t="str">
        <f t="shared" si="541"/>
        <v>Green</v>
      </c>
      <c r="Z1713" t="str">
        <f t="shared" si="542"/>
        <v>Green</v>
      </c>
      <c r="AA1713" t="str">
        <f t="shared" si="543"/>
        <v>Red</v>
      </c>
      <c r="AB1713" t="str">
        <f t="shared" si="544"/>
        <v>Green</v>
      </c>
      <c r="AC1713" t="str">
        <f t="shared" si="545"/>
        <v>Green</v>
      </c>
      <c r="AD1713" t="str">
        <f t="shared" si="546"/>
        <v>Red</v>
      </c>
    </row>
    <row r="1714" spans="1:30" x14ac:dyDescent="0.2">
      <c r="A1714" t="str">
        <f>L1713&amp;F1714&amp;G1714</f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47"/>
        <v>25/07/2026</v>
      </c>
      <c r="M1714" s="23">
        <f t="shared" si="548"/>
        <v>0.85416666666666663</v>
      </c>
      <c r="N1714" t="str">
        <f t="shared" si="549"/>
        <v>2 - 1</v>
      </c>
      <c r="O1714" t="str">
        <f t="shared" si="531"/>
        <v>Green</v>
      </c>
      <c r="P1714" t="str">
        <f t="shared" si="532"/>
        <v>Red</v>
      </c>
      <c r="Q1714" t="str">
        <f t="shared" si="533"/>
        <v>Red</v>
      </c>
      <c r="R1714" t="str">
        <f t="shared" si="534"/>
        <v>Green</v>
      </c>
      <c r="S1714" t="str">
        <f t="shared" si="535"/>
        <v>Red</v>
      </c>
      <c r="T1714" t="str">
        <f t="shared" si="536"/>
        <v>Green</v>
      </c>
      <c r="U1714" t="str">
        <f t="shared" si="537"/>
        <v>Green</v>
      </c>
      <c r="V1714" t="str">
        <f t="shared" si="538"/>
        <v>Red</v>
      </c>
      <c r="W1714" t="str">
        <f t="shared" si="539"/>
        <v>Red</v>
      </c>
      <c r="X1714" t="str">
        <f t="shared" si="540"/>
        <v>Green</v>
      </c>
      <c r="Y1714" t="str">
        <f t="shared" si="541"/>
        <v>Green</v>
      </c>
      <c r="Z1714" t="str">
        <f t="shared" si="542"/>
        <v>Green</v>
      </c>
      <c r="AA1714" t="str">
        <f t="shared" si="543"/>
        <v>Red</v>
      </c>
      <c r="AB1714" t="str">
        <f t="shared" si="544"/>
        <v>Green</v>
      </c>
      <c r="AC1714" t="str">
        <f t="shared" si="545"/>
        <v>Green</v>
      </c>
      <c r="AD1714" t="str">
        <f t="shared" si="546"/>
        <v>Red</v>
      </c>
    </row>
    <row r="1715" spans="1:30" x14ac:dyDescent="0.2">
      <c r="A1715" t="str">
        <f>L1714&amp;F1715&amp;G1715</f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47"/>
        <v>25/07/2026</v>
      </c>
      <c r="M1715" s="23">
        <f t="shared" si="548"/>
        <v>0.85416666666666663</v>
      </c>
      <c r="N1715" t="str">
        <f t="shared" si="549"/>
        <v>0 - 1</v>
      </c>
      <c r="O1715" t="str">
        <f t="shared" si="531"/>
        <v>Red</v>
      </c>
      <c r="P1715" t="str">
        <f t="shared" si="532"/>
        <v>Red</v>
      </c>
      <c r="Q1715" t="str">
        <f t="shared" si="533"/>
        <v>Green</v>
      </c>
      <c r="R1715" t="str">
        <f t="shared" si="534"/>
        <v>Red</v>
      </c>
      <c r="S1715" t="str">
        <f t="shared" si="535"/>
        <v>Green</v>
      </c>
      <c r="T1715" t="str">
        <f t="shared" si="536"/>
        <v>Green</v>
      </c>
      <c r="U1715" t="str">
        <f t="shared" si="537"/>
        <v>Red</v>
      </c>
      <c r="V1715" t="str">
        <f t="shared" si="538"/>
        <v>Green</v>
      </c>
      <c r="W1715" t="str">
        <f t="shared" si="539"/>
        <v>Red</v>
      </c>
      <c r="X1715" t="str">
        <f t="shared" si="540"/>
        <v>Red</v>
      </c>
      <c r="Y1715" t="str">
        <f t="shared" si="541"/>
        <v>Red</v>
      </c>
      <c r="Z1715" t="str">
        <f t="shared" si="542"/>
        <v>Red</v>
      </c>
      <c r="AA1715" t="str">
        <f t="shared" si="543"/>
        <v>Green</v>
      </c>
      <c r="AB1715" t="str">
        <f t="shared" si="544"/>
        <v>Green</v>
      </c>
      <c r="AC1715" t="str">
        <f t="shared" si="545"/>
        <v>Red</v>
      </c>
      <c r="AD1715" t="str">
        <f t="shared" si="546"/>
        <v>Green</v>
      </c>
    </row>
    <row r="1716" spans="1:30" x14ac:dyDescent="0.2">
      <c r="A1716" t="str">
        <f>L1715&amp;F1716&amp;G1716</f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47"/>
        <v>25/07/2026</v>
      </c>
      <c r="M1716" s="23">
        <f t="shared" si="548"/>
        <v>0.85416666666666663</v>
      </c>
      <c r="N1716" t="str">
        <f t="shared" si="549"/>
        <v>4 - 1</v>
      </c>
      <c r="O1716" t="str">
        <f t="shared" si="531"/>
        <v>Green</v>
      </c>
      <c r="P1716" t="str">
        <f t="shared" si="532"/>
        <v>Red</v>
      </c>
      <c r="Q1716" t="str">
        <f t="shared" si="533"/>
        <v>Red</v>
      </c>
      <c r="R1716" t="str">
        <f t="shared" si="534"/>
        <v>Green</v>
      </c>
      <c r="S1716" t="str">
        <f t="shared" si="535"/>
        <v>Red</v>
      </c>
      <c r="T1716" t="str">
        <f t="shared" si="536"/>
        <v>Green</v>
      </c>
      <c r="U1716" t="str">
        <f t="shared" si="537"/>
        <v>Green</v>
      </c>
      <c r="V1716" t="str">
        <f t="shared" si="538"/>
        <v>Red</v>
      </c>
      <c r="W1716" t="str">
        <f t="shared" si="539"/>
        <v>Red</v>
      </c>
      <c r="X1716" t="str">
        <f t="shared" si="540"/>
        <v>Green</v>
      </c>
      <c r="Y1716" t="str">
        <f t="shared" si="541"/>
        <v>Green</v>
      </c>
      <c r="Z1716" t="str">
        <f t="shared" si="542"/>
        <v>Green</v>
      </c>
      <c r="AA1716" t="str">
        <f t="shared" si="543"/>
        <v>Red</v>
      </c>
      <c r="AB1716" t="str">
        <f t="shared" si="544"/>
        <v>Red</v>
      </c>
      <c r="AC1716" t="str">
        <f t="shared" si="545"/>
        <v>Green</v>
      </c>
      <c r="AD1716" t="str">
        <f t="shared" si="546"/>
        <v>Red</v>
      </c>
    </row>
    <row r="1717" spans="1:30" x14ac:dyDescent="0.2">
      <c r="A1717" t="str">
        <f>L1716&amp;F1717&amp;G1717</f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47"/>
        <v>25/07/2026</v>
      </c>
      <c r="M1717" s="23">
        <f t="shared" si="548"/>
        <v>0.85416666666666663</v>
      </c>
      <c r="N1717" t="str">
        <f t="shared" si="549"/>
        <v>3 - 1</v>
      </c>
      <c r="O1717" t="str">
        <f t="shared" si="531"/>
        <v>Green</v>
      </c>
      <c r="P1717" t="str">
        <f t="shared" si="532"/>
        <v>Red</v>
      </c>
      <c r="Q1717" t="str">
        <f t="shared" si="533"/>
        <v>Red</v>
      </c>
      <c r="R1717" t="str">
        <f t="shared" si="534"/>
        <v>Green</v>
      </c>
      <c r="S1717" t="str">
        <f t="shared" si="535"/>
        <v>Red</v>
      </c>
      <c r="T1717" t="str">
        <f t="shared" si="536"/>
        <v>Green</v>
      </c>
      <c r="U1717" t="str">
        <f t="shared" si="537"/>
        <v>Green</v>
      </c>
      <c r="V1717" t="str">
        <f t="shared" si="538"/>
        <v>Red</v>
      </c>
      <c r="W1717" t="str">
        <f t="shared" si="539"/>
        <v>Red</v>
      </c>
      <c r="X1717" t="str">
        <f t="shared" si="540"/>
        <v>Green</v>
      </c>
      <c r="Y1717" t="str">
        <f t="shared" si="541"/>
        <v>Green</v>
      </c>
      <c r="Z1717" t="str">
        <f t="shared" si="542"/>
        <v>Green</v>
      </c>
      <c r="AA1717" t="str">
        <f t="shared" si="543"/>
        <v>Red</v>
      </c>
      <c r="AB1717" t="str">
        <f t="shared" si="544"/>
        <v>Red</v>
      </c>
      <c r="AC1717" t="str">
        <f t="shared" si="545"/>
        <v>Green</v>
      </c>
      <c r="AD1717" t="str">
        <f t="shared" si="546"/>
        <v>Red</v>
      </c>
    </row>
    <row r="1718" spans="1:30" x14ac:dyDescent="0.2">
      <c r="A1718" t="str">
        <f>L1717&amp;F1718&amp;G1718</f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47"/>
        <v>25/07/2026</v>
      </c>
      <c r="M1718" s="23">
        <f t="shared" si="548"/>
        <v>0.85416666666666663</v>
      </c>
      <c r="N1718" t="str">
        <f t="shared" si="549"/>
        <v>1 - 0</v>
      </c>
      <c r="O1718" t="str">
        <f t="shared" si="531"/>
        <v>Green</v>
      </c>
      <c r="P1718" t="str">
        <f t="shared" si="532"/>
        <v>Red</v>
      </c>
      <c r="Q1718" t="str">
        <f t="shared" si="533"/>
        <v>Red</v>
      </c>
      <c r="R1718" t="str">
        <f t="shared" si="534"/>
        <v>Green</v>
      </c>
      <c r="S1718" t="str">
        <f t="shared" si="535"/>
        <v>Red</v>
      </c>
      <c r="T1718" t="str">
        <f t="shared" si="536"/>
        <v>Green</v>
      </c>
      <c r="U1718" t="str">
        <f t="shared" si="537"/>
        <v>Green</v>
      </c>
      <c r="V1718" t="str">
        <f t="shared" si="538"/>
        <v>Red</v>
      </c>
      <c r="W1718" t="str">
        <f t="shared" si="539"/>
        <v>Red</v>
      </c>
      <c r="X1718" t="str">
        <f t="shared" si="540"/>
        <v>Green</v>
      </c>
      <c r="Y1718" t="str">
        <f t="shared" si="541"/>
        <v>Red</v>
      </c>
      <c r="Z1718" t="str">
        <f t="shared" si="542"/>
        <v>Red</v>
      </c>
      <c r="AA1718" t="str">
        <f t="shared" si="543"/>
        <v>Green</v>
      </c>
      <c r="AB1718" t="str">
        <f t="shared" si="544"/>
        <v>Green</v>
      </c>
      <c r="AC1718" t="str">
        <f t="shared" si="545"/>
        <v>Red</v>
      </c>
      <c r="AD1718" t="str">
        <f t="shared" si="546"/>
        <v>Green</v>
      </c>
    </row>
    <row r="1719" spans="1:30" x14ac:dyDescent="0.2">
      <c r="A1719" t="str">
        <f>L1718&amp;F1719&amp;G1719</f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47"/>
        <v>25/07/2026</v>
      </c>
      <c r="M1719" s="23">
        <f t="shared" si="548"/>
        <v>0.85416666666666663</v>
      </c>
      <c r="N1719" t="str">
        <f t="shared" si="549"/>
        <v>1 - 5</v>
      </c>
      <c r="O1719" t="str">
        <f t="shared" si="531"/>
        <v>Red</v>
      </c>
      <c r="P1719" t="str">
        <f t="shared" si="532"/>
        <v>Red</v>
      </c>
      <c r="Q1719" t="str">
        <f t="shared" si="533"/>
        <v>Green</v>
      </c>
      <c r="R1719" t="str">
        <f t="shared" si="534"/>
        <v>Red</v>
      </c>
      <c r="S1719" t="str">
        <f t="shared" si="535"/>
        <v>Green</v>
      </c>
      <c r="T1719" t="str">
        <f t="shared" si="536"/>
        <v>Green</v>
      </c>
      <c r="U1719" t="str">
        <f t="shared" si="537"/>
        <v>Red</v>
      </c>
      <c r="V1719" t="str">
        <f t="shared" si="538"/>
        <v>Red</v>
      </c>
      <c r="W1719" t="str">
        <f t="shared" si="539"/>
        <v>Green</v>
      </c>
      <c r="X1719" t="str">
        <f t="shared" si="540"/>
        <v>Green</v>
      </c>
      <c r="Y1719" t="str">
        <f t="shared" si="541"/>
        <v>Green</v>
      </c>
      <c r="Z1719" t="str">
        <f t="shared" si="542"/>
        <v>Green</v>
      </c>
      <c r="AA1719" t="str">
        <f t="shared" si="543"/>
        <v>Red</v>
      </c>
      <c r="AB1719" t="str">
        <f t="shared" si="544"/>
        <v>Red</v>
      </c>
      <c r="AC1719" t="str">
        <f t="shared" si="545"/>
        <v>Green</v>
      </c>
      <c r="AD1719" t="str">
        <f t="shared" si="546"/>
        <v>Red</v>
      </c>
    </row>
    <row r="1720" spans="1:30" x14ac:dyDescent="0.2">
      <c r="A1720" t="str">
        <f>L1719&amp;F1720&amp;G1720</f>
        <v>25/07/2026LeedsWrexham</v>
      </c>
      <c r="D1720" s="2">
        <v>46228</v>
      </c>
      <c r="E1720" s="3">
        <v>0.97916666666666663</v>
      </c>
      <c r="F1720" t="s">
        <v>4019</v>
      </c>
      <c r="G1720" t="s">
        <v>4020</v>
      </c>
      <c r="H1720">
        <v>2</v>
      </c>
      <c r="I1720">
        <v>2</v>
      </c>
      <c r="J1720">
        <v>2</v>
      </c>
      <c r="K1720">
        <v>3</v>
      </c>
      <c r="L1720" s="22" t="str">
        <f t="shared" si="547"/>
        <v>25/07/2026</v>
      </c>
      <c r="M1720" s="23">
        <f t="shared" si="548"/>
        <v>0.85416666666666663</v>
      </c>
      <c r="N1720" t="str">
        <f t="shared" si="549"/>
        <v>2 - 3</v>
      </c>
      <c r="O1720" t="str">
        <f t="shared" si="531"/>
        <v>Red</v>
      </c>
      <c r="P1720" t="str">
        <f t="shared" si="532"/>
        <v>Red</v>
      </c>
      <c r="Q1720" t="str">
        <f t="shared" si="533"/>
        <v>Green</v>
      </c>
      <c r="R1720" t="str">
        <f t="shared" si="534"/>
        <v>Red</v>
      </c>
      <c r="S1720" t="str">
        <f t="shared" si="535"/>
        <v>Green</v>
      </c>
      <c r="T1720" t="str">
        <f t="shared" si="536"/>
        <v>Green</v>
      </c>
      <c r="U1720" t="str">
        <f t="shared" si="537"/>
        <v>Red</v>
      </c>
      <c r="V1720" t="str">
        <f t="shared" si="538"/>
        <v>Green</v>
      </c>
      <c r="W1720" t="str">
        <f t="shared" si="539"/>
        <v>Red</v>
      </c>
      <c r="X1720" t="str">
        <f t="shared" si="540"/>
        <v>Green</v>
      </c>
      <c r="Y1720" t="str">
        <f t="shared" si="541"/>
        <v>Green</v>
      </c>
      <c r="Z1720" t="str">
        <f t="shared" si="542"/>
        <v>Green</v>
      </c>
      <c r="AA1720" t="str">
        <f t="shared" si="543"/>
        <v>Red</v>
      </c>
      <c r="AB1720" t="str">
        <f t="shared" si="544"/>
        <v>Red</v>
      </c>
      <c r="AC1720" t="str">
        <f t="shared" si="545"/>
        <v>Green</v>
      </c>
      <c r="AD1720" t="str">
        <f t="shared" si="546"/>
        <v>Red</v>
      </c>
    </row>
    <row r="1721" spans="1:30" x14ac:dyDescent="0.2">
      <c r="A1721" t="str">
        <f>L1720&amp;F1721&amp;G1721</f>
        <v>25/07/2026North Carolina WomenUtah Royals Women</v>
      </c>
      <c r="D1721" s="2">
        <v>46228</v>
      </c>
      <c r="E1721" s="3">
        <v>0.98958333333333337</v>
      </c>
      <c r="F1721" t="s">
        <v>3726</v>
      </c>
      <c r="G1721" t="s">
        <v>3727</v>
      </c>
      <c r="H1721">
        <v>0</v>
      </c>
      <c r="I1721">
        <v>2</v>
      </c>
      <c r="J1721">
        <v>1</v>
      </c>
      <c r="K1721">
        <v>4</v>
      </c>
      <c r="L1721" s="22" t="str">
        <f t="shared" si="547"/>
        <v>25/07/2026</v>
      </c>
      <c r="M1721" s="23">
        <f t="shared" si="548"/>
        <v>0.86458333333333337</v>
      </c>
      <c r="N1721" t="str">
        <f t="shared" si="549"/>
        <v>1 - 4</v>
      </c>
      <c r="O1721" t="str">
        <f t="shared" si="531"/>
        <v>Red</v>
      </c>
      <c r="P1721" t="str">
        <f t="shared" si="532"/>
        <v>Red</v>
      </c>
      <c r="Q1721" t="str">
        <f t="shared" si="533"/>
        <v>Green</v>
      </c>
      <c r="R1721" t="str">
        <f t="shared" si="534"/>
        <v>Red</v>
      </c>
      <c r="S1721" t="str">
        <f t="shared" si="535"/>
        <v>Green</v>
      </c>
      <c r="T1721" t="str">
        <f t="shared" si="536"/>
        <v>Green</v>
      </c>
      <c r="U1721" t="str">
        <f t="shared" si="537"/>
        <v>Red</v>
      </c>
      <c r="V1721" t="str">
        <f t="shared" si="538"/>
        <v>Red</v>
      </c>
      <c r="W1721" t="str">
        <f t="shared" si="539"/>
        <v>Green</v>
      </c>
      <c r="X1721" t="str">
        <f t="shared" si="540"/>
        <v>Green</v>
      </c>
      <c r="Y1721" t="str">
        <f t="shared" si="541"/>
        <v>Green</v>
      </c>
      <c r="Z1721" t="str">
        <f t="shared" si="542"/>
        <v>Green</v>
      </c>
      <c r="AA1721" t="str">
        <f t="shared" si="543"/>
        <v>Red</v>
      </c>
      <c r="AB1721" t="str">
        <f t="shared" si="544"/>
        <v>Red</v>
      </c>
      <c r="AC1721" t="str">
        <f t="shared" si="545"/>
        <v>Green</v>
      </c>
      <c r="AD1721" t="str">
        <f t="shared" si="546"/>
        <v>Red</v>
      </c>
    </row>
    <row r="1722" spans="1:30" x14ac:dyDescent="0.2">
      <c r="A1722" t="str">
        <f>L1721&amp;F1722&amp;G1722</f>
        <v>25/07/2026CD Uni Catolica SantiagoCD La Serena</v>
      </c>
      <c r="D1722" s="2">
        <v>46229</v>
      </c>
      <c r="E1722" s="3">
        <v>0</v>
      </c>
      <c r="F1722" t="s">
        <v>3120</v>
      </c>
      <c r="G1722" t="s">
        <v>3121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50">DAY(D1722)-1&amp;"/"&amp;"07"&amp;"/"&amp;YEAR(D1722)</f>
        <v>25/07/2026</v>
      </c>
      <c r="M1722" s="31">
        <f t="shared" ref="M1722:M1759" si="551">E1722-TIME(3,0,0)+TIME(12,0,0)+TIME(12,0,0)</f>
        <v>0.875</v>
      </c>
      <c r="N1722" t="str">
        <f t="shared" si="549"/>
        <v>3 - 3</v>
      </c>
      <c r="O1722" t="str">
        <f t="shared" si="531"/>
        <v>Red</v>
      </c>
      <c r="P1722" t="str">
        <f t="shared" si="532"/>
        <v>Green</v>
      </c>
      <c r="Q1722" t="str">
        <f t="shared" si="533"/>
        <v>Red</v>
      </c>
      <c r="R1722" t="str">
        <f t="shared" si="534"/>
        <v>Green</v>
      </c>
      <c r="S1722" t="str">
        <f t="shared" si="535"/>
        <v>Green</v>
      </c>
      <c r="T1722" t="str">
        <f t="shared" si="536"/>
        <v>Red</v>
      </c>
      <c r="U1722" t="str">
        <f t="shared" si="537"/>
        <v>Green</v>
      </c>
      <c r="V1722" t="str">
        <f t="shared" si="538"/>
        <v>Red</v>
      </c>
      <c r="W1722" t="str">
        <f t="shared" si="539"/>
        <v>Red</v>
      </c>
      <c r="X1722" t="str">
        <f t="shared" si="540"/>
        <v>Green</v>
      </c>
      <c r="Y1722" t="str">
        <f t="shared" si="541"/>
        <v>Green</v>
      </c>
      <c r="Z1722" t="str">
        <f t="shared" si="542"/>
        <v>Green</v>
      </c>
      <c r="AA1722" t="str">
        <f t="shared" si="543"/>
        <v>Red</v>
      </c>
      <c r="AB1722" t="str">
        <f t="shared" si="544"/>
        <v>Red</v>
      </c>
      <c r="AC1722" t="str">
        <f t="shared" si="545"/>
        <v>Green</v>
      </c>
      <c r="AD1722" t="str">
        <f t="shared" si="546"/>
        <v>Red</v>
      </c>
    </row>
    <row r="1723" spans="1:30" x14ac:dyDescent="0.2">
      <c r="A1723" t="str">
        <f>L1722&amp;F1723&amp;G1723</f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50"/>
        <v>25/07/2026</v>
      </c>
      <c r="M1723" s="31">
        <f t="shared" si="551"/>
        <v>0.875</v>
      </c>
      <c r="N1723" t="str">
        <f t="shared" si="549"/>
        <v>5 - 1</v>
      </c>
      <c r="O1723" t="str">
        <f t="shared" si="531"/>
        <v>Green</v>
      </c>
      <c r="P1723" t="str">
        <f t="shared" si="532"/>
        <v>Red</v>
      </c>
      <c r="Q1723" t="str">
        <f t="shared" si="533"/>
        <v>Red</v>
      </c>
      <c r="R1723" t="str">
        <f t="shared" si="534"/>
        <v>Green</v>
      </c>
      <c r="S1723" t="str">
        <f t="shared" si="535"/>
        <v>Red</v>
      </c>
      <c r="T1723" t="str">
        <f t="shared" si="536"/>
        <v>Green</v>
      </c>
      <c r="U1723" t="str">
        <f t="shared" si="537"/>
        <v>Green</v>
      </c>
      <c r="V1723" t="str">
        <f t="shared" si="538"/>
        <v>Red</v>
      </c>
      <c r="W1723" t="str">
        <f t="shared" si="539"/>
        <v>Red</v>
      </c>
      <c r="X1723" t="str">
        <f t="shared" si="540"/>
        <v>Green</v>
      </c>
      <c r="Y1723" t="str">
        <f t="shared" si="541"/>
        <v>Green</v>
      </c>
      <c r="Z1723" t="str">
        <f t="shared" si="542"/>
        <v>Green</v>
      </c>
      <c r="AA1723" t="str">
        <f t="shared" si="543"/>
        <v>Red</v>
      </c>
      <c r="AB1723" t="str">
        <f t="shared" si="544"/>
        <v>Red</v>
      </c>
      <c r="AC1723" t="str">
        <f t="shared" si="545"/>
        <v>Green</v>
      </c>
      <c r="AD1723" t="str">
        <f t="shared" si="546"/>
        <v>Red</v>
      </c>
    </row>
    <row r="1724" spans="1:30" x14ac:dyDescent="0.2">
      <c r="A1724" t="str">
        <f>L1723&amp;F1724&amp;G1724</f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50"/>
        <v>25/07/2026</v>
      </c>
      <c r="M1724" s="31">
        <f t="shared" si="551"/>
        <v>0.875</v>
      </c>
      <c r="N1724" t="str">
        <f t="shared" si="549"/>
        <v>1 - 0</v>
      </c>
      <c r="O1724" t="str">
        <f t="shared" si="531"/>
        <v>Green</v>
      </c>
      <c r="P1724" t="str">
        <f t="shared" si="532"/>
        <v>Red</v>
      </c>
      <c r="Q1724" t="str">
        <f t="shared" si="533"/>
        <v>Red</v>
      </c>
      <c r="R1724" t="str">
        <f t="shared" si="534"/>
        <v>Green</v>
      </c>
      <c r="S1724" t="str">
        <f t="shared" si="535"/>
        <v>Red</v>
      </c>
      <c r="T1724" t="str">
        <f t="shared" si="536"/>
        <v>Green</v>
      </c>
      <c r="U1724" t="str">
        <f t="shared" si="537"/>
        <v>Red</v>
      </c>
      <c r="V1724" t="str">
        <f t="shared" si="538"/>
        <v>Green</v>
      </c>
      <c r="W1724" t="str">
        <f t="shared" si="539"/>
        <v>Red</v>
      </c>
      <c r="X1724" t="str">
        <f t="shared" si="540"/>
        <v>Red</v>
      </c>
      <c r="Y1724" t="str">
        <f t="shared" si="541"/>
        <v>Red</v>
      </c>
      <c r="Z1724" t="str">
        <f t="shared" si="542"/>
        <v>Red</v>
      </c>
      <c r="AA1724" t="str">
        <f t="shared" si="543"/>
        <v>Green</v>
      </c>
      <c r="AB1724" t="str">
        <f t="shared" si="544"/>
        <v>Green</v>
      </c>
      <c r="AC1724" t="str">
        <f t="shared" si="545"/>
        <v>Red</v>
      </c>
      <c r="AD1724" t="str">
        <f t="shared" si="546"/>
        <v>Green</v>
      </c>
    </row>
    <row r="1725" spans="1:30" x14ac:dyDescent="0.2">
      <c r="A1725" t="str">
        <f>L1724&amp;F1725&amp;G1725</f>
        <v>25/07/2026CD IncaAlianza El Salvador</v>
      </c>
      <c r="D1725" s="2">
        <v>46229</v>
      </c>
      <c r="E1725" s="3">
        <v>0</v>
      </c>
      <c r="F1725" t="s">
        <v>3211</v>
      </c>
      <c r="G1725" t="s">
        <v>3212</v>
      </c>
      <c r="H1725">
        <v>0</v>
      </c>
      <c r="I1725">
        <v>1</v>
      </c>
      <c r="J1725">
        <v>1</v>
      </c>
      <c r="K1725">
        <v>3</v>
      </c>
      <c r="L1725" s="30" t="str">
        <f t="shared" si="550"/>
        <v>25/07/2026</v>
      </c>
      <c r="M1725" s="31">
        <f t="shared" si="551"/>
        <v>0.875</v>
      </c>
      <c r="N1725" t="str">
        <f t="shared" si="549"/>
        <v>1 - 3</v>
      </c>
      <c r="O1725" t="str">
        <f t="shared" si="531"/>
        <v>Red</v>
      </c>
      <c r="P1725" t="str">
        <f t="shared" si="532"/>
        <v>Red</v>
      </c>
      <c r="Q1725" t="str">
        <f t="shared" si="533"/>
        <v>Green</v>
      </c>
      <c r="R1725" t="str">
        <f t="shared" si="534"/>
        <v>Red</v>
      </c>
      <c r="S1725" t="str">
        <f t="shared" si="535"/>
        <v>Green</v>
      </c>
      <c r="T1725" t="str">
        <f t="shared" si="536"/>
        <v>Green</v>
      </c>
      <c r="U1725" t="str">
        <f t="shared" si="537"/>
        <v>Red</v>
      </c>
      <c r="V1725" t="str">
        <f t="shared" si="538"/>
        <v>Red</v>
      </c>
      <c r="W1725" t="str">
        <f t="shared" si="539"/>
        <v>Green</v>
      </c>
      <c r="X1725" t="str">
        <f t="shared" si="540"/>
        <v>Green</v>
      </c>
      <c r="Y1725" t="str">
        <f t="shared" si="541"/>
        <v>Green</v>
      </c>
      <c r="Z1725" t="str">
        <f t="shared" si="542"/>
        <v>Green</v>
      </c>
      <c r="AA1725" t="str">
        <f t="shared" si="543"/>
        <v>Red</v>
      </c>
      <c r="AB1725" t="str">
        <f t="shared" si="544"/>
        <v>Red</v>
      </c>
      <c r="AC1725" t="str">
        <f t="shared" si="545"/>
        <v>Green</v>
      </c>
      <c r="AD1725" t="str">
        <f t="shared" si="546"/>
        <v>Red</v>
      </c>
    </row>
    <row r="1726" spans="1:30" x14ac:dyDescent="0.2">
      <c r="A1726" t="str">
        <f>L1725&amp;F1726&amp;G1726</f>
        <v>25/07/2026LanusSan Lorenzo</v>
      </c>
      <c r="B1726" t="s">
        <v>806</v>
      </c>
      <c r="C1726" t="s">
        <v>2234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50"/>
        <v>25/07/2026</v>
      </c>
      <c r="M1726" s="31">
        <f t="shared" si="551"/>
        <v>0.89583333333333326</v>
      </c>
      <c r="N1726" t="str">
        <f t="shared" si="549"/>
        <v>1 - 0</v>
      </c>
      <c r="O1726" t="str">
        <f t="shared" si="531"/>
        <v>Green</v>
      </c>
      <c r="P1726" t="str">
        <f t="shared" si="532"/>
        <v>Red</v>
      </c>
      <c r="Q1726" t="str">
        <f t="shared" si="533"/>
        <v>Red</v>
      </c>
      <c r="R1726" t="str">
        <f t="shared" si="534"/>
        <v>Green</v>
      </c>
      <c r="S1726" t="str">
        <f t="shared" si="535"/>
        <v>Red</v>
      </c>
      <c r="T1726" t="str">
        <f t="shared" si="536"/>
        <v>Green</v>
      </c>
      <c r="U1726" t="str">
        <f t="shared" si="537"/>
        <v>Red</v>
      </c>
      <c r="V1726" t="str">
        <f t="shared" si="538"/>
        <v>Green</v>
      </c>
      <c r="W1726" t="str">
        <f t="shared" si="539"/>
        <v>Red</v>
      </c>
      <c r="X1726" t="str">
        <f t="shared" si="540"/>
        <v>Red</v>
      </c>
      <c r="Y1726" t="str">
        <f t="shared" si="541"/>
        <v>Red</v>
      </c>
      <c r="Z1726" t="str">
        <f t="shared" si="542"/>
        <v>Red</v>
      </c>
      <c r="AA1726" t="str">
        <f t="shared" si="543"/>
        <v>Green</v>
      </c>
      <c r="AB1726" t="str">
        <f t="shared" si="544"/>
        <v>Green</v>
      </c>
      <c r="AC1726" t="str">
        <f t="shared" si="545"/>
        <v>Red</v>
      </c>
      <c r="AD1726" t="str">
        <f t="shared" si="546"/>
        <v>Green</v>
      </c>
    </row>
    <row r="1727" spans="1:30" x14ac:dyDescent="0.2">
      <c r="A1727" t="str">
        <f>L1726&amp;F1727&amp;G1727</f>
        <v>25/07/2026Cashmere TechnicalMiramar Rangers</v>
      </c>
      <c r="D1727" s="2">
        <v>46229</v>
      </c>
      <c r="E1727" s="3">
        <v>2.0833333333333332E-2</v>
      </c>
      <c r="F1727" t="s">
        <v>3436</v>
      </c>
      <c r="G1727" t="s">
        <v>3437</v>
      </c>
      <c r="H1727">
        <v>1</v>
      </c>
      <c r="I1727">
        <v>0</v>
      </c>
      <c r="J1727">
        <v>2</v>
      </c>
      <c r="K1727">
        <v>1</v>
      </c>
      <c r="L1727" s="30" t="str">
        <f t="shared" si="550"/>
        <v>25/07/2026</v>
      </c>
      <c r="M1727" s="31">
        <f t="shared" si="551"/>
        <v>0.89583333333333326</v>
      </c>
      <c r="N1727" t="str">
        <f t="shared" si="549"/>
        <v>2 - 1</v>
      </c>
      <c r="O1727" t="str">
        <f t="shared" si="531"/>
        <v>Green</v>
      </c>
      <c r="P1727" t="str">
        <f t="shared" si="532"/>
        <v>Red</v>
      </c>
      <c r="Q1727" t="str">
        <f t="shared" si="533"/>
        <v>Red</v>
      </c>
      <c r="R1727" t="str">
        <f t="shared" si="534"/>
        <v>Green</v>
      </c>
      <c r="S1727" t="str">
        <f t="shared" si="535"/>
        <v>Red</v>
      </c>
      <c r="T1727" t="str">
        <f t="shared" si="536"/>
        <v>Green</v>
      </c>
      <c r="U1727" t="str">
        <f t="shared" si="537"/>
        <v>Green</v>
      </c>
      <c r="V1727" t="str">
        <f t="shared" si="538"/>
        <v>Red</v>
      </c>
      <c r="W1727" t="str">
        <f t="shared" si="539"/>
        <v>Red</v>
      </c>
      <c r="X1727" t="str">
        <f t="shared" si="540"/>
        <v>Green</v>
      </c>
      <c r="Y1727" t="str">
        <f t="shared" si="541"/>
        <v>Green</v>
      </c>
      <c r="Z1727" t="str">
        <f t="shared" si="542"/>
        <v>Green</v>
      </c>
      <c r="AA1727" t="str">
        <f t="shared" si="543"/>
        <v>Red</v>
      </c>
      <c r="AB1727" t="str">
        <f t="shared" si="544"/>
        <v>Green</v>
      </c>
      <c r="AC1727" t="str">
        <f t="shared" si="545"/>
        <v>Green</v>
      </c>
      <c r="AD1727" t="str">
        <f t="shared" si="546"/>
        <v>Red</v>
      </c>
    </row>
    <row r="1728" spans="1:30" x14ac:dyDescent="0.2">
      <c r="A1728" t="str">
        <f>L1727&amp;F1728&amp;G1728</f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50"/>
        <v>25/07/2026</v>
      </c>
      <c r="M1728" s="31">
        <f t="shared" si="551"/>
        <v>0.89583333333333326</v>
      </c>
      <c r="N1728" t="str">
        <f t="shared" si="549"/>
        <v>3 - 0</v>
      </c>
      <c r="O1728" t="str">
        <f t="shared" si="531"/>
        <v>Green</v>
      </c>
      <c r="P1728" t="str">
        <f t="shared" si="532"/>
        <v>Red</v>
      </c>
      <c r="Q1728" t="str">
        <f t="shared" si="533"/>
        <v>Red</v>
      </c>
      <c r="R1728" t="str">
        <f t="shared" si="534"/>
        <v>Green</v>
      </c>
      <c r="S1728" t="str">
        <f t="shared" si="535"/>
        <v>Red</v>
      </c>
      <c r="T1728" t="str">
        <f t="shared" si="536"/>
        <v>Green</v>
      </c>
      <c r="U1728" t="str">
        <f t="shared" si="537"/>
        <v>Green</v>
      </c>
      <c r="V1728" t="str">
        <f t="shared" si="538"/>
        <v>Red</v>
      </c>
      <c r="W1728" t="str">
        <f t="shared" si="539"/>
        <v>Red</v>
      </c>
      <c r="X1728" t="str">
        <f t="shared" si="540"/>
        <v>Green</v>
      </c>
      <c r="Y1728" t="str">
        <f t="shared" si="541"/>
        <v>Green</v>
      </c>
      <c r="Z1728" t="str">
        <f t="shared" si="542"/>
        <v>Green</v>
      </c>
      <c r="AA1728" t="str">
        <f t="shared" si="543"/>
        <v>Red</v>
      </c>
      <c r="AB1728" t="str">
        <f t="shared" si="544"/>
        <v>Green</v>
      </c>
      <c r="AC1728" t="str">
        <f t="shared" si="545"/>
        <v>Red</v>
      </c>
      <c r="AD1728" t="str">
        <f t="shared" si="546"/>
        <v>Green</v>
      </c>
    </row>
    <row r="1729" spans="1:30" x14ac:dyDescent="0.2">
      <c r="A1729" t="str">
        <f>L1728&amp;F1729&amp;G1729</f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50"/>
        <v>25/07/2026</v>
      </c>
      <c r="M1729" s="31">
        <f t="shared" si="551"/>
        <v>0.89583333333333326</v>
      </c>
      <c r="N1729" t="str">
        <f t="shared" si="549"/>
        <v>0 - 0</v>
      </c>
      <c r="O1729" t="str">
        <f t="shared" si="531"/>
        <v>Red</v>
      </c>
      <c r="P1729" t="str">
        <f t="shared" si="532"/>
        <v>Green</v>
      </c>
      <c r="Q1729" t="str">
        <f t="shared" si="533"/>
        <v>Red</v>
      </c>
      <c r="R1729" t="str">
        <f t="shared" si="534"/>
        <v>Green</v>
      </c>
      <c r="S1729" t="str">
        <f t="shared" si="535"/>
        <v>Green</v>
      </c>
      <c r="T1729" t="str">
        <f t="shared" si="536"/>
        <v>Red</v>
      </c>
      <c r="U1729" t="str">
        <f t="shared" si="537"/>
        <v>Red</v>
      </c>
      <c r="V1729" t="str">
        <f t="shared" si="538"/>
        <v>Green</v>
      </c>
      <c r="W1729" t="str">
        <f t="shared" si="539"/>
        <v>Red</v>
      </c>
      <c r="X1729" t="str">
        <f t="shared" si="540"/>
        <v>Red</v>
      </c>
      <c r="Y1729" t="str">
        <f t="shared" si="541"/>
        <v>Red</v>
      </c>
      <c r="Z1729" t="str">
        <f t="shared" si="542"/>
        <v>Red</v>
      </c>
      <c r="AA1729" t="str">
        <f t="shared" si="543"/>
        <v>Green</v>
      </c>
      <c r="AB1729" t="str">
        <f t="shared" si="544"/>
        <v>Green</v>
      </c>
      <c r="AC1729" t="str">
        <f t="shared" si="545"/>
        <v>Red</v>
      </c>
      <c r="AD1729" t="str">
        <f t="shared" si="546"/>
        <v>Green</v>
      </c>
    </row>
    <row r="1730" spans="1:30" x14ac:dyDescent="0.2">
      <c r="A1730" t="str">
        <f>L1729&amp;F1730&amp;G1730</f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50"/>
        <v>25/07/2026</v>
      </c>
      <c r="M1730" s="31">
        <f t="shared" si="551"/>
        <v>0.89583333333333326</v>
      </c>
      <c r="N1730" t="str">
        <f t="shared" si="549"/>
        <v>1 - 0</v>
      </c>
      <c r="O1730" t="str">
        <f t="shared" ref="O1730:O1772" si="552">IF($J1730&gt;$K1730,"Green","Red")</f>
        <v>Green</v>
      </c>
      <c r="P1730" t="str">
        <f t="shared" ref="P1730:P1772" si="553">IF($J1730=$K1730,"Green","Red")</f>
        <v>Red</v>
      </c>
      <c r="Q1730" t="str">
        <f t="shared" ref="Q1730:Q1772" si="554">IF($J1730&lt;$K1730,"Green","Red")</f>
        <v>Red</v>
      </c>
      <c r="R1730" t="str">
        <f t="shared" ref="R1730:R1772" si="555">IF($J1730&gt;=$K1730,"Green","Red")</f>
        <v>Green</v>
      </c>
      <c r="S1730" t="str">
        <f t="shared" ref="S1730:S1772" si="556">IF($J1730&lt;=$K1730,"Green","Red")</f>
        <v>Red</v>
      </c>
      <c r="T1730" t="str">
        <f t="shared" ref="T1730:T1772" si="557">IF(OR($J1730&gt;$K1730,$J1730&lt;$K1730),"Green","Red")</f>
        <v>Green</v>
      </c>
      <c r="U1730" t="str">
        <f t="shared" ref="U1730:U1772" si="558">IF($H1730&gt;$I1730,"Green","Red")</f>
        <v>Red</v>
      </c>
      <c r="V1730" t="str">
        <f t="shared" ref="V1730:V1772" si="559">IF($H1730=$I1730,"Green","Red")</f>
        <v>Green</v>
      </c>
      <c r="W1730" t="str">
        <f t="shared" ref="W1730:W1772" si="560">IF($H1730&lt;$I1730,"Green","Red")</f>
        <v>Red</v>
      </c>
      <c r="X1730" t="str">
        <f t="shared" ref="X1730:X1772" si="561">IF($H1730+$I1730&gt;0,"Green","Red")</f>
        <v>Red</v>
      </c>
      <c r="Y1730" t="str">
        <f t="shared" ref="Y1730:Y1772" si="562">IF($J1730+$K1730&gt;1.5,"Green","Red")</f>
        <v>Red</v>
      </c>
      <c r="Z1730" t="str">
        <f t="shared" ref="Z1730:Z1772" si="563">IF($J1730+$K1730&gt;2.5,"Green","Red")</f>
        <v>Red</v>
      </c>
      <c r="AA1730" t="str">
        <f t="shared" ref="AA1730:AA1772" si="564">IF($J1730+$K1730&lt;2.5,"Green","Red")</f>
        <v>Green</v>
      </c>
      <c r="AB1730" t="str">
        <f t="shared" ref="AB1730:AB1772" si="565">IF($J1730+$K1730&lt;3.5,"Green","Red")</f>
        <v>Green</v>
      </c>
      <c r="AC1730" t="str">
        <f t="shared" ref="AC1730:AC1772" si="566">IF(AND($J1730&gt;0,$K1730&gt;0),"Green","Red")</f>
        <v>Red</v>
      </c>
      <c r="AD1730" t="str">
        <f t="shared" ref="AD1730:AD1772" si="567">IF(OR($J1730=0,$K1730=0),"Green","Red")</f>
        <v>Green</v>
      </c>
    </row>
    <row r="1731" spans="1:30" x14ac:dyDescent="0.2">
      <c r="A1731" t="str">
        <f>L1730&amp;F1731&amp;G1731</f>
        <v>25/07/2026Tulsa RoughnecksLexington SC</v>
      </c>
      <c r="D1731" s="2">
        <v>46229</v>
      </c>
      <c r="E1731" s="3">
        <v>2.0833333333333332E-2</v>
      </c>
      <c r="F1731" t="s">
        <v>3702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50"/>
        <v>25/07/2026</v>
      </c>
      <c r="M1731" s="31">
        <f t="shared" si="551"/>
        <v>0.89583333333333326</v>
      </c>
      <c r="N1731" t="str">
        <f t="shared" si="549"/>
        <v>0 - 0</v>
      </c>
      <c r="O1731" t="str">
        <f t="shared" si="552"/>
        <v>Red</v>
      </c>
      <c r="P1731" t="str">
        <f t="shared" si="553"/>
        <v>Green</v>
      </c>
      <c r="Q1731" t="str">
        <f t="shared" si="554"/>
        <v>Red</v>
      </c>
      <c r="R1731" t="str">
        <f t="shared" si="555"/>
        <v>Green</v>
      </c>
      <c r="S1731" t="str">
        <f t="shared" si="556"/>
        <v>Green</v>
      </c>
      <c r="T1731" t="str">
        <f t="shared" si="557"/>
        <v>Red</v>
      </c>
      <c r="U1731" t="str">
        <f t="shared" si="558"/>
        <v>Red</v>
      </c>
      <c r="V1731" t="str">
        <f t="shared" si="559"/>
        <v>Green</v>
      </c>
      <c r="W1731" t="str">
        <f t="shared" si="560"/>
        <v>Red</v>
      </c>
      <c r="X1731" t="str">
        <f t="shared" si="561"/>
        <v>Red</v>
      </c>
      <c r="Y1731" t="str">
        <f t="shared" si="562"/>
        <v>Red</v>
      </c>
      <c r="Z1731" t="str">
        <f t="shared" si="563"/>
        <v>Red</v>
      </c>
      <c r="AA1731" t="str">
        <f t="shared" si="564"/>
        <v>Green</v>
      </c>
      <c r="AB1731" t="str">
        <f t="shared" si="565"/>
        <v>Green</v>
      </c>
      <c r="AC1731" t="str">
        <f t="shared" si="566"/>
        <v>Red</v>
      </c>
      <c r="AD1731" t="str">
        <f t="shared" si="567"/>
        <v>Green</v>
      </c>
    </row>
    <row r="1732" spans="1:30" x14ac:dyDescent="0.2">
      <c r="A1732" t="str">
        <f>L1731&amp;F1732&amp;G1732</f>
        <v>25/07/2026Corpus Christi FCGreenville Triumph</v>
      </c>
      <c r="D1732" s="2">
        <v>46229</v>
      </c>
      <c r="E1732" s="3">
        <v>2.0833333333333332E-2</v>
      </c>
      <c r="F1732" t="s">
        <v>3715</v>
      </c>
      <c r="G1732" t="s">
        <v>3716</v>
      </c>
      <c r="H1732">
        <v>1</v>
      </c>
      <c r="I1732">
        <v>0</v>
      </c>
      <c r="J1732">
        <v>1</v>
      </c>
      <c r="K1732">
        <v>0</v>
      </c>
      <c r="L1732" s="30" t="str">
        <f t="shared" si="550"/>
        <v>25/07/2026</v>
      </c>
      <c r="M1732" s="31">
        <f t="shared" si="551"/>
        <v>0.89583333333333326</v>
      </c>
      <c r="N1732" t="str">
        <f t="shared" si="549"/>
        <v>1 - 0</v>
      </c>
      <c r="O1732" t="str">
        <f t="shared" si="552"/>
        <v>Green</v>
      </c>
      <c r="P1732" t="str">
        <f t="shared" si="553"/>
        <v>Red</v>
      </c>
      <c r="Q1732" t="str">
        <f t="shared" si="554"/>
        <v>Red</v>
      </c>
      <c r="R1732" t="str">
        <f t="shared" si="555"/>
        <v>Green</v>
      </c>
      <c r="S1732" t="str">
        <f t="shared" si="556"/>
        <v>Red</v>
      </c>
      <c r="T1732" t="str">
        <f t="shared" si="557"/>
        <v>Green</v>
      </c>
      <c r="U1732" t="str">
        <f t="shared" si="558"/>
        <v>Green</v>
      </c>
      <c r="V1732" t="str">
        <f t="shared" si="559"/>
        <v>Red</v>
      </c>
      <c r="W1732" t="str">
        <f t="shared" si="560"/>
        <v>Red</v>
      </c>
      <c r="X1732" t="str">
        <f t="shared" si="561"/>
        <v>Green</v>
      </c>
      <c r="Y1732" t="str">
        <f t="shared" si="562"/>
        <v>Red</v>
      </c>
      <c r="Z1732" t="str">
        <f t="shared" si="563"/>
        <v>Red</v>
      </c>
      <c r="AA1732" t="str">
        <f t="shared" si="564"/>
        <v>Green</v>
      </c>
      <c r="AB1732" t="str">
        <f t="shared" si="565"/>
        <v>Green</v>
      </c>
      <c r="AC1732" t="str">
        <f t="shared" si="566"/>
        <v>Red</v>
      </c>
      <c r="AD1732" t="str">
        <f t="shared" si="567"/>
        <v>Green</v>
      </c>
    </row>
    <row r="1733" spans="1:30" x14ac:dyDescent="0.2">
      <c r="A1733" t="str">
        <f>L1732&amp;F1733&amp;G1733</f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50"/>
        <v>25/07/2026</v>
      </c>
      <c r="M1733" s="31">
        <f t="shared" si="551"/>
        <v>0.90625</v>
      </c>
      <c r="N1733" t="str">
        <f t="shared" si="549"/>
        <v>2 - 2</v>
      </c>
      <c r="O1733" t="str">
        <f t="shared" si="552"/>
        <v>Red</v>
      </c>
      <c r="P1733" t="str">
        <f t="shared" si="553"/>
        <v>Green</v>
      </c>
      <c r="Q1733" t="str">
        <f t="shared" si="554"/>
        <v>Red</v>
      </c>
      <c r="R1733" t="str">
        <f t="shared" si="555"/>
        <v>Green</v>
      </c>
      <c r="S1733" t="str">
        <f t="shared" si="556"/>
        <v>Green</v>
      </c>
      <c r="T1733" t="str">
        <f t="shared" si="557"/>
        <v>Red</v>
      </c>
      <c r="U1733" t="str">
        <f t="shared" si="558"/>
        <v>Red</v>
      </c>
      <c r="V1733" t="str">
        <f t="shared" si="559"/>
        <v>Red</v>
      </c>
      <c r="W1733" t="str">
        <f t="shared" si="560"/>
        <v>Green</v>
      </c>
      <c r="X1733" t="str">
        <f t="shared" si="561"/>
        <v>Green</v>
      </c>
      <c r="Y1733" t="str">
        <f t="shared" si="562"/>
        <v>Green</v>
      </c>
      <c r="Z1733" t="str">
        <f t="shared" si="563"/>
        <v>Green</v>
      </c>
      <c r="AA1733" t="str">
        <f t="shared" si="564"/>
        <v>Red</v>
      </c>
      <c r="AB1733" t="str">
        <f t="shared" si="565"/>
        <v>Red</v>
      </c>
      <c r="AC1733" t="str">
        <f t="shared" si="566"/>
        <v>Green</v>
      </c>
      <c r="AD1733" t="str">
        <f t="shared" si="567"/>
        <v>Red</v>
      </c>
    </row>
    <row r="1734" spans="1:30" x14ac:dyDescent="0.2">
      <c r="A1734" t="str">
        <f>L1733&amp;F1734&amp;G1734</f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50"/>
        <v>25/07/2026</v>
      </c>
      <c r="M1734" s="31">
        <f t="shared" si="551"/>
        <v>0.90694444444444444</v>
      </c>
      <c r="N1734" t="str">
        <f t="shared" si="549"/>
        <v>1 - 0</v>
      </c>
      <c r="O1734" t="str">
        <f t="shared" si="552"/>
        <v>Green</v>
      </c>
      <c r="P1734" t="str">
        <f t="shared" si="553"/>
        <v>Red</v>
      </c>
      <c r="Q1734" t="str">
        <f t="shared" si="554"/>
        <v>Red</v>
      </c>
      <c r="R1734" t="str">
        <f t="shared" si="555"/>
        <v>Green</v>
      </c>
      <c r="S1734" t="str">
        <f t="shared" si="556"/>
        <v>Red</v>
      </c>
      <c r="T1734" t="str">
        <f t="shared" si="557"/>
        <v>Green</v>
      </c>
      <c r="U1734" t="str">
        <f t="shared" si="558"/>
        <v>Red</v>
      </c>
      <c r="V1734" t="str">
        <f t="shared" si="559"/>
        <v>Green</v>
      </c>
      <c r="W1734" t="str">
        <f t="shared" si="560"/>
        <v>Red</v>
      </c>
      <c r="X1734" t="str">
        <f t="shared" si="561"/>
        <v>Red</v>
      </c>
      <c r="Y1734" t="str">
        <f t="shared" si="562"/>
        <v>Red</v>
      </c>
      <c r="Z1734" t="str">
        <f t="shared" si="563"/>
        <v>Red</v>
      </c>
      <c r="AA1734" t="str">
        <f t="shared" si="564"/>
        <v>Green</v>
      </c>
      <c r="AB1734" t="str">
        <f t="shared" si="565"/>
        <v>Green</v>
      </c>
      <c r="AC1734" t="str">
        <f t="shared" si="566"/>
        <v>Red</v>
      </c>
      <c r="AD1734" t="str">
        <f t="shared" si="567"/>
        <v>Green</v>
      </c>
    </row>
    <row r="1735" spans="1:30" x14ac:dyDescent="0.2">
      <c r="A1735" t="str">
        <f>L1734&amp;F1735&amp;G1735</f>
        <v>25/07/2026Deportivo MalacatecoCoban Imperial</v>
      </c>
      <c r="D1735" s="2">
        <v>46229</v>
      </c>
      <c r="E1735" s="3">
        <v>4.1666666666666664E-2</v>
      </c>
      <c r="F1735" t="s">
        <v>3302</v>
      </c>
      <c r="G1735" t="s">
        <v>3303</v>
      </c>
      <c r="H1735">
        <v>0</v>
      </c>
      <c r="I1735">
        <v>1</v>
      </c>
      <c r="J1735">
        <v>1</v>
      </c>
      <c r="K1735">
        <v>1</v>
      </c>
      <c r="L1735" s="30" t="str">
        <f t="shared" si="550"/>
        <v>25/07/2026</v>
      </c>
      <c r="M1735" s="31">
        <f t="shared" si="551"/>
        <v>0.91666666666666663</v>
      </c>
      <c r="N1735" t="str">
        <f t="shared" si="549"/>
        <v>1 - 1</v>
      </c>
      <c r="O1735" t="str">
        <f t="shared" si="552"/>
        <v>Red</v>
      </c>
      <c r="P1735" t="str">
        <f t="shared" si="553"/>
        <v>Green</v>
      </c>
      <c r="Q1735" t="str">
        <f t="shared" si="554"/>
        <v>Red</v>
      </c>
      <c r="R1735" t="str">
        <f t="shared" si="555"/>
        <v>Green</v>
      </c>
      <c r="S1735" t="str">
        <f t="shared" si="556"/>
        <v>Green</v>
      </c>
      <c r="T1735" t="str">
        <f t="shared" si="557"/>
        <v>Red</v>
      </c>
      <c r="U1735" t="str">
        <f t="shared" si="558"/>
        <v>Red</v>
      </c>
      <c r="V1735" t="str">
        <f t="shared" si="559"/>
        <v>Red</v>
      </c>
      <c r="W1735" t="str">
        <f t="shared" si="560"/>
        <v>Green</v>
      </c>
      <c r="X1735" t="str">
        <f t="shared" si="561"/>
        <v>Green</v>
      </c>
      <c r="Y1735" t="str">
        <f t="shared" si="562"/>
        <v>Green</v>
      </c>
      <c r="Z1735" t="str">
        <f t="shared" si="563"/>
        <v>Red</v>
      </c>
      <c r="AA1735" t="str">
        <f t="shared" si="564"/>
        <v>Green</v>
      </c>
      <c r="AB1735" t="str">
        <f t="shared" si="565"/>
        <v>Green</v>
      </c>
      <c r="AC1735" t="str">
        <f t="shared" si="566"/>
        <v>Green</v>
      </c>
      <c r="AD1735" t="str">
        <f t="shared" si="567"/>
        <v>Red</v>
      </c>
    </row>
    <row r="1736" spans="1:30" x14ac:dyDescent="0.2">
      <c r="A1736" t="str">
        <f>L1735&amp;F1736&amp;G1736</f>
        <v>25/07/2026San BenitoCD Mictlan</v>
      </c>
      <c r="D1736" s="2">
        <v>46229</v>
      </c>
      <c r="E1736" s="3">
        <v>4.1666666666666664E-2</v>
      </c>
      <c r="F1736" t="s">
        <v>3306</v>
      </c>
      <c r="G1736" t="s">
        <v>3307</v>
      </c>
      <c r="H1736">
        <v>0</v>
      </c>
      <c r="I1736">
        <v>0</v>
      </c>
      <c r="J1736">
        <v>0</v>
      </c>
      <c r="K1736">
        <v>0</v>
      </c>
      <c r="L1736" s="30" t="str">
        <f t="shared" si="550"/>
        <v>25/07/2026</v>
      </c>
      <c r="M1736" s="31">
        <f t="shared" si="551"/>
        <v>0.91666666666666663</v>
      </c>
      <c r="N1736" t="str">
        <f t="shared" si="549"/>
        <v>0 - 0</v>
      </c>
      <c r="O1736" t="str">
        <f t="shared" si="552"/>
        <v>Red</v>
      </c>
      <c r="P1736" t="str">
        <f t="shared" si="553"/>
        <v>Green</v>
      </c>
      <c r="Q1736" t="str">
        <f t="shared" si="554"/>
        <v>Red</v>
      </c>
      <c r="R1736" t="str">
        <f t="shared" si="555"/>
        <v>Green</v>
      </c>
      <c r="S1736" t="str">
        <f t="shared" si="556"/>
        <v>Green</v>
      </c>
      <c r="T1736" t="str">
        <f t="shared" si="557"/>
        <v>Red</v>
      </c>
      <c r="U1736" t="str">
        <f t="shared" si="558"/>
        <v>Red</v>
      </c>
      <c r="V1736" t="str">
        <f t="shared" si="559"/>
        <v>Green</v>
      </c>
      <c r="W1736" t="str">
        <f t="shared" si="560"/>
        <v>Red</v>
      </c>
      <c r="X1736" t="str">
        <f t="shared" si="561"/>
        <v>Red</v>
      </c>
      <c r="Y1736" t="str">
        <f t="shared" si="562"/>
        <v>Red</v>
      </c>
      <c r="Z1736" t="str">
        <f t="shared" si="563"/>
        <v>Red</v>
      </c>
      <c r="AA1736" t="str">
        <f t="shared" si="564"/>
        <v>Green</v>
      </c>
      <c r="AB1736" t="str">
        <f t="shared" si="565"/>
        <v>Green</v>
      </c>
      <c r="AC1736" t="str">
        <f t="shared" si="566"/>
        <v>Red</v>
      </c>
      <c r="AD1736" t="str">
        <f t="shared" si="567"/>
        <v>Green</v>
      </c>
    </row>
    <row r="1737" spans="1:30" x14ac:dyDescent="0.2">
      <c r="A1737" t="str">
        <f>L1736&amp;F1737&amp;G1737</f>
        <v>25/07/2026Atletico MoreliaCA La Paz</v>
      </c>
      <c r="D1737" s="2">
        <v>46229</v>
      </c>
      <c r="E1737" s="3">
        <v>4.1666666666666664E-2</v>
      </c>
      <c r="F1737" t="s">
        <v>3420</v>
      </c>
      <c r="G1737" t="s">
        <v>3421</v>
      </c>
      <c r="H1737">
        <v>0</v>
      </c>
      <c r="I1737">
        <v>2</v>
      </c>
      <c r="J1737">
        <v>4</v>
      </c>
      <c r="K1737">
        <v>2</v>
      </c>
      <c r="L1737" s="30" t="str">
        <f t="shared" si="550"/>
        <v>25/07/2026</v>
      </c>
      <c r="M1737" s="31">
        <f t="shared" si="551"/>
        <v>0.91666666666666663</v>
      </c>
      <c r="N1737" t="str">
        <f t="shared" si="549"/>
        <v>4 - 2</v>
      </c>
      <c r="O1737" t="str">
        <f t="shared" si="552"/>
        <v>Green</v>
      </c>
      <c r="P1737" t="str">
        <f t="shared" si="553"/>
        <v>Red</v>
      </c>
      <c r="Q1737" t="str">
        <f t="shared" si="554"/>
        <v>Red</v>
      </c>
      <c r="R1737" t="str">
        <f t="shared" si="555"/>
        <v>Green</v>
      </c>
      <c r="S1737" t="str">
        <f t="shared" si="556"/>
        <v>Red</v>
      </c>
      <c r="T1737" t="str">
        <f t="shared" si="557"/>
        <v>Green</v>
      </c>
      <c r="U1737" t="str">
        <f t="shared" si="558"/>
        <v>Red</v>
      </c>
      <c r="V1737" t="str">
        <f t="shared" si="559"/>
        <v>Red</v>
      </c>
      <c r="W1737" t="str">
        <f t="shared" si="560"/>
        <v>Green</v>
      </c>
      <c r="X1737" t="str">
        <f t="shared" si="561"/>
        <v>Green</v>
      </c>
      <c r="Y1737" t="str">
        <f t="shared" si="562"/>
        <v>Green</v>
      </c>
      <c r="Z1737" t="str">
        <f t="shared" si="563"/>
        <v>Green</v>
      </c>
      <c r="AA1737" t="str">
        <f t="shared" si="564"/>
        <v>Red</v>
      </c>
      <c r="AB1737" t="str">
        <f t="shared" si="565"/>
        <v>Red</v>
      </c>
      <c r="AC1737" t="str">
        <f t="shared" si="566"/>
        <v>Green</v>
      </c>
      <c r="AD1737" t="str">
        <f t="shared" si="567"/>
        <v>Red</v>
      </c>
    </row>
    <row r="1738" spans="1:30" x14ac:dyDescent="0.2">
      <c r="A1738" t="str">
        <f>L1737&amp;F1738&amp;G1738</f>
        <v>25/07/2026Dorados de SinaloaArmadillos Cancun</v>
      </c>
      <c r="D1738" s="2">
        <v>46229</v>
      </c>
      <c r="E1738" s="3">
        <v>4.1666666666666664E-2</v>
      </c>
      <c r="F1738" t="s">
        <v>3422</v>
      </c>
      <c r="G1738" t="s">
        <v>3423</v>
      </c>
      <c r="L1738" s="30" t="str">
        <f t="shared" si="550"/>
        <v>25/07/2026</v>
      </c>
      <c r="M1738" s="31">
        <f t="shared" si="551"/>
        <v>0.91666666666666663</v>
      </c>
      <c r="N1738" t="str">
        <f t="shared" si="549"/>
        <v xml:space="preserve"> - </v>
      </c>
      <c r="O1738" t="str">
        <f t="shared" si="552"/>
        <v>Red</v>
      </c>
      <c r="P1738" t="str">
        <f t="shared" si="553"/>
        <v>Green</v>
      </c>
      <c r="Q1738" t="str">
        <f t="shared" si="554"/>
        <v>Red</v>
      </c>
      <c r="R1738" t="str">
        <f t="shared" si="555"/>
        <v>Green</v>
      </c>
      <c r="S1738" t="str">
        <f t="shared" si="556"/>
        <v>Green</v>
      </c>
      <c r="T1738" t="str">
        <f t="shared" si="557"/>
        <v>Red</v>
      </c>
      <c r="U1738" t="str">
        <f t="shared" si="558"/>
        <v>Red</v>
      </c>
      <c r="V1738" t="str">
        <f t="shared" si="559"/>
        <v>Green</v>
      </c>
      <c r="W1738" t="str">
        <f t="shared" si="560"/>
        <v>Red</v>
      </c>
      <c r="X1738" t="str">
        <f t="shared" si="561"/>
        <v>Red</v>
      </c>
      <c r="Y1738" t="str">
        <f t="shared" si="562"/>
        <v>Red</v>
      </c>
      <c r="Z1738" t="str">
        <f t="shared" si="563"/>
        <v>Red</v>
      </c>
      <c r="AA1738" t="str">
        <f t="shared" si="564"/>
        <v>Green</v>
      </c>
      <c r="AB1738" t="str">
        <f t="shared" si="565"/>
        <v>Green</v>
      </c>
      <c r="AC1738" t="str">
        <f t="shared" si="566"/>
        <v>Red</v>
      </c>
      <c r="AD1738" t="str">
        <f t="shared" si="567"/>
        <v>Green</v>
      </c>
    </row>
    <row r="1739" spans="1:30" x14ac:dyDescent="0.2">
      <c r="A1739" t="str">
        <f>L1738&amp;F1739&amp;G1739</f>
        <v>25/07/2026Tampico MaderoPiratas FC</v>
      </c>
      <c r="D1739" s="2">
        <v>46229</v>
      </c>
      <c r="E1739" s="3">
        <v>4.1666666666666664E-2</v>
      </c>
      <c r="F1739" t="s">
        <v>3424</v>
      </c>
      <c r="G1739" t="s">
        <v>3425</v>
      </c>
      <c r="H1739">
        <v>0</v>
      </c>
      <c r="I1739">
        <v>0</v>
      </c>
      <c r="J1739">
        <v>0</v>
      </c>
      <c r="K1739">
        <v>0</v>
      </c>
      <c r="L1739" s="30" t="str">
        <f t="shared" si="550"/>
        <v>25/07/2026</v>
      </c>
      <c r="M1739" s="31">
        <f t="shared" si="551"/>
        <v>0.91666666666666663</v>
      </c>
      <c r="N1739" t="str">
        <f t="shared" si="549"/>
        <v>0 - 0</v>
      </c>
      <c r="O1739" t="str">
        <f t="shared" si="552"/>
        <v>Red</v>
      </c>
      <c r="P1739" t="str">
        <f t="shared" si="553"/>
        <v>Green</v>
      </c>
      <c r="Q1739" t="str">
        <f t="shared" si="554"/>
        <v>Red</v>
      </c>
      <c r="R1739" t="str">
        <f t="shared" si="555"/>
        <v>Green</v>
      </c>
      <c r="S1739" t="str">
        <f t="shared" si="556"/>
        <v>Green</v>
      </c>
      <c r="T1739" t="str">
        <f t="shared" si="557"/>
        <v>Red</v>
      </c>
      <c r="U1739" t="str">
        <f t="shared" si="558"/>
        <v>Red</v>
      </c>
      <c r="V1739" t="str">
        <f t="shared" si="559"/>
        <v>Green</v>
      </c>
      <c r="W1739" t="str">
        <f t="shared" si="560"/>
        <v>Red</v>
      </c>
      <c r="X1739" t="str">
        <f t="shared" si="561"/>
        <v>Red</v>
      </c>
      <c r="Y1739" t="str">
        <f t="shared" si="562"/>
        <v>Red</v>
      </c>
      <c r="Z1739" t="str">
        <f t="shared" si="563"/>
        <v>Red</v>
      </c>
      <c r="AA1739" t="str">
        <f t="shared" si="564"/>
        <v>Green</v>
      </c>
      <c r="AB1739" t="str">
        <f t="shared" si="565"/>
        <v>Green</v>
      </c>
      <c r="AC1739" t="str">
        <f t="shared" si="566"/>
        <v>Red</v>
      </c>
      <c r="AD1739" t="str">
        <f t="shared" si="567"/>
        <v>Green</v>
      </c>
    </row>
    <row r="1740" spans="1:30" x14ac:dyDescent="0.2">
      <c r="A1740" t="str">
        <f>L1739&amp;F1740&amp;G1740</f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50"/>
        <v>25/07/2026</v>
      </c>
      <c r="M1740" s="31">
        <f t="shared" si="551"/>
        <v>0.91666666666666663</v>
      </c>
      <c r="N1740" t="str">
        <f t="shared" si="549"/>
        <v>1 - 3</v>
      </c>
      <c r="O1740" t="str">
        <f t="shared" si="552"/>
        <v>Red</v>
      </c>
      <c r="P1740" t="str">
        <f t="shared" si="553"/>
        <v>Red</v>
      </c>
      <c r="Q1740" t="str">
        <f t="shared" si="554"/>
        <v>Green</v>
      </c>
      <c r="R1740" t="str">
        <f t="shared" si="555"/>
        <v>Red</v>
      </c>
      <c r="S1740" t="str">
        <f t="shared" si="556"/>
        <v>Green</v>
      </c>
      <c r="T1740" t="str">
        <f t="shared" si="557"/>
        <v>Green</v>
      </c>
      <c r="U1740" t="str">
        <f t="shared" si="558"/>
        <v>Red</v>
      </c>
      <c r="V1740" t="str">
        <f t="shared" si="559"/>
        <v>Green</v>
      </c>
      <c r="W1740" t="str">
        <f t="shared" si="560"/>
        <v>Red</v>
      </c>
      <c r="X1740" t="str">
        <f t="shared" si="561"/>
        <v>Green</v>
      </c>
      <c r="Y1740" t="str">
        <f t="shared" si="562"/>
        <v>Green</v>
      </c>
      <c r="Z1740" t="str">
        <f t="shared" si="563"/>
        <v>Green</v>
      </c>
      <c r="AA1740" t="str">
        <f t="shared" si="564"/>
        <v>Red</v>
      </c>
      <c r="AB1740" t="str">
        <f t="shared" si="565"/>
        <v>Red</v>
      </c>
      <c r="AC1740" t="str">
        <f t="shared" si="566"/>
        <v>Green</v>
      </c>
      <c r="AD1740" t="str">
        <f t="shared" si="567"/>
        <v>Red</v>
      </c>
    </row>
    <row r="1741" spans="1:30" x14ac:dyDescent="0.2">
      <c r="A1741" t="str">
        <f>L1740&amp;F1741&amp;G1741</f>
        <v>25/07/2026Hibiscus CoastNapier City Rovers</v>
      </c>
      <c r="D1741" s="2">
        <v>46229</v>
      </c>
      <c r="E1741" s="3">
        <v>4.1666666666666664E-2</v>
      </c>
      <c r="F1741" t="s">
        <v>3438</v>
      </c>
      <c r="G1741" t="s">
        <v>3439</v>
      </c>
      <c r="H1741">
        <v>2</v>
      </c>
      <c r="I1741">
        <v>4</v>
      </c>
      <c r="J1741">
        <v>2</v>
      </c>
      <c r="K1741">
        <v>5</v>
      </c>
      <c r="L1741" s="30" t="str">
        <f t="shared" si="550"/>
        <v>25/07/2026</v>
      </c>
      <c r="M1741" s="31">
        <f t="shared" si="551"/>
        <v>0.91666666666666663</v>
      </c>
      <c r="N1741" t="str">
        <f t="shared" si="549"/>
        <v>2 - 5</v>
      </c>
      <c r="O1741" t="str">
        <f t="shared" si="552"/>
        <v>Red</v>
      </c>
      <c r="P1741" t="str">
        <f t="shared" si="553"/>
        <v>Red</v>
      </c>
      <c r="Q1741" t="str">
        <f t="shared" si="554"/>
        <v>Green</v>
      </c>
      <c r="R1741" t="str">
        <f t="shared" si="555"/>
        <v>Red</v>
      </c>
      <c r="S1741" t="str">
        <f t="shared" si="556"/>
        <v>Green</v>
      </c>
      <c r="T1741" t="str">
        <f t="shared" si="557"/>
        <v>Green</v>
      </c>
      <c r="U1741" t="str">
        <f t="shared" si="558"/>
        <v>Red</v>
      </c>
      <c r="V1741" t="str">
        <f t="shared" si="559"/>
        <v>Red</v>
      </c>
      <c r="W1741" t="str">
        <f t="shared" si="560"/>
        <v>Green</v>
      </c>
      <c r="X1741" t="str">
        <f t="shared" si="561"/>
        <v>Green</v>
      </c>
      <c r="Y1741" t="str">
        <f t="shared" si="562"/>
        <v>Green</v>
      </c>
      <c r="Z1741" t="str">
        <f t="shared" si="563"/>
        <v>Green</v>
      </c>
      <c r="AA1741" t="str">
        <f t="shared" si="564"/>
        <v>Red</v>
      </c>
      <c r="AB1741" t="str">
        <f t="shared" si="565"/>
        <v>Red</v>
      </c>
      <c r="AC1741" t="str">
        <f t="shared" si="566"/>
        <v>Green</v>
      </c>
      <c r="AD1741" t="str">
        <f t="shared" si="567"/>
        <v>Red</v>
      </c>
    </row>
    <row r="1742" spans="1:30" x14ac:dyDescent="0.2">
      <c r="A1742" t="str">
        <f>L1741&amp;F1742&amp;G1742</f>
        <v>25/07/2026FBC MelgarSporting Cristal</v>
      </c>
      <c r="D1742" s="2">
        <v>46229</v>
      </c>
      <c r="E1742" s="3">
        <v>4.1666666666666664E-2</v>
      </c>
      <c r="F1742" t="s">
        <v>3529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50"/>
        <v>25/07/2026</v>
      </c>
      <c r="M1742" s="31">
        <f t="shared" si="551"/>
        <v>0.91666666666666663</v>
      </c>
      <c r="N1742" t="str">
        <f t="shared" si="549"/>
        <v>2 - 1</v>
      </c>
      <c r="O1742" t="str">
        <f t="shared" si="552"/>
        <v>Green</v>
      </c>
      <c r="P1742" t="str">
        <f t="shared" si="553"/>
        <v>Red</v>
      </c>
      <c r="Q1742" t="str">
        <f t="shared" si="554"/>
        <v>Red</v>
      </c>
      <c r="R1742" t="str">
        <f t="shared" si="555"/>
        <v>Green</v>
      </c>
      <c r="S1742" t="str">
        <f t="shared" si="556"/>
        <v>Red</v>
      </c>
      <c r="T1742" t="str">
        <f t="shared" si="557"/>
        <v>Green</v>
      </c>
      <c r="U1742" t="str">
        <f t="shared" si="558"/>
        <v>Green</v>
      </c>
      <c r="V1742" t="str">
        <f t="shared" si="559"/>
        <v>Red</v>
      </c>
      <c r="W1742" t="str">
        <f t="shared" si="560"/>
        <v>Red</v>
      </c>
      <c r="X1742" t="str">
        <f t="shared" si="561"/>
        <v>Green</v>
      </c>
      <c r="Y1742" t="str">
        <f t="shared" si="562"/>
        <v>Green</v>
      </c>
      <c r="Z1742" t="str">
        <f t="shared" si="563"/>
        <v>Green</v>
      </c>
      <c r="AA1742" t="str">
        <f t="shared" si="564"/>
        <v>Red</v>
      </c>
      <c r="AB1742" t="str">
        <f t="shared" si="565"/>
        <v>Green</v>
      </c>
      <c r="AC1742" t="str">
        <f t="shared" si="566"/>
        <v>Green</v>
      </c>
      <c r="AD1742" t="str">
        <f t="shared" si="567"/>
        <v>Red</v>
      </c>
    </row>
    <row r="1743" spans="1:30" x14ac:dyDescent="0.2">
      <c r="A1743" t="str">
        <f>L1742&amp;F1743&amp;G1743</f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50"/>
        <v>25/07/2026</v>
      </c>
      <c r="M1743" s="31">
        <f t="shared" si="551"/>
        <v>0.91666666666666663</v>
      </c>
      <c r="N1743" t="str">
        <f t="shared" si="549"/>
        <v>2 - 1</v>
      </c>
      <c r="O1743" t="str">
        <f t="shared" si="552"/>
        <v>Green</v>
      </c>
      <c r="P1743" t="str">
        <f t="shared" si="553"/>
        <v>Red</v>
      </c>
      <c r="Q1743" t="str">
        <f t="shared" si="554"/>
        <v>Red</v>
      </c>
      <c r="R1743" t="str">
        <f t="shared" si="555"/>
        <v>Green</v>
      </c>
      <c r="S1743" t="str">
        <f t="shared" si="556"/>
        <v>Red</v>
      </c>
      <c r="T1743" t="str">
        <f t="shared" si="557"/>
        <v>Green</v>
      </c>
      <c r="U1743" t="str">
        <f t="shared" si="558"/>
        <v>Red</v>
      </c>
      <c r="V1743" t="str">
        <f t="shared" si="559"/>
        <v>Green</v>
      </c>
      <c r="W1743" t="str">
        <f t="shared" si="560"/>
        <v>Red</v>
      </c>
      <c r="X1743" t="str">
        <f t="shared" si="561"/>
        <v>Red</v>
      </c>
      <c r="Y1743" t="str">
        <f t="shared" si="562"/>
        <v>Green</v>
      </c>
      <c r="Z1743" t="str">
        <f t="shared" si="563"/>
        <v>Green</v>
      </c>
      <c r="AA1743" t="str">
        <f t="shared" si="564"/>
        <v>Red</v>
      </c>
      <c r="AB1743" t="str">
        <f t="shared" si="565"/>
        <v>Green</v>
      </c>
      <c r="AC1743" t="str">
        <f t="shared" si="566"/>
        <v>Green</v>
      </c>
      <c r="AD1743" t="str">
        <f t="shared" si="567"/>
        <v>Red</v>
      </c>
    </row>
    <row r="1744" spans="1:30" x14ac:dyDescent="0.2">
      <c r="A1744" t="str">
        <f>L1743&amp;F1744&amp;G1744</f>
        <v>25/07/2026El Paso LocomotiveSporting Jacksonville</v>
      </c>
      <c r="D1744" s="2">
        <v>46229</v>
      </c>
      <c r="E1744" s="3">
        <v>4.1666666666666664E-2</v>
      </c>
      <c r="F1744" t="s">
        <v>3703</v>
      </c>
      <c r="G1744" t="s">
        <v>3704</v>
      </c>
      <c r="H1744">
        <v>1</v>
      </c>
      <c r="I1744">
        <v>0</v>
      </c>
      <c r="J1744">
        <v>2</v>
      </c>
      <c r="K1744">
        <v>0</v>
      </c>
      <c r="L1744" s="30" t="str">
        <f t="shared" si="550"/>
        <v>25/07/2026</v>
      </c>
      <c r="M1744" s="31">
        <f t="shared" si="551"/>
        <v>0.91666666666666663</v>
      </c>
      <c r="N1744" t="str">
        <f t="shared" si="549"/>
        <v>2 - 0</v>
      </c>
      <c r="O1744" t="str">
        <f t="shared" si="552"/>
        <v>Green</v>
      </c>
      <c r="P1744" t="str">
        <f t="shared" si="553"/>
        <v>Red</v>
      </c>
      <c r="Q1744" t="str">
        <f t="shared" si="554"/>
        <v>Red</v>
      </c>
      <c r="R1744" t="str">
        <f t="shared" si="555"/>
        <v>Green</v>
      </c>
      <c r="S1744" t="str">
        <f t="shared" si="556"/>
        <v>Red</v>
      </c>
      <c r="T1744" t="str">
        <f t="shared" si="557"/>
        <v>Green</v>
      </c>
      <c r="U1744" t="str">
        <f t="shared" si="558"/>
        <v>Green</v>
      </c>
      <c r="V1744" t="str">
        <f t="shared" si="559"/>
        <v>Red</v>
      </c>
      <c r="W1744" t="str">
        <f t="shared" si="560"/>
        <v>Red</v>
      </c>
      <c r="X1744" t="str">
        <f t="shared" si="561"/>
        <v>Green</v>
      </c>
      <c r="Y1744" t="str">
        <f t="shared" si="562"/>
        <v>Green</v>
      </c>
      <c r="Z1744" t="str">
        <f t="shared" si="563"/>
        <v>Red</v>
      </c>
      <c r="AA1744" t="str">
        <f t="shared" si="564"/>
        <v>Green</v>
      </c>
      <c r="AB1744" t="str">
        <f t="shared" si="565"/>
        <v>Green</v>
      </c>
      <c r="AC1744" t="str">
        <f t="shared" si="566"/>
        <v>Red</v>
      </c>
      <c r="AD1744" t="str">
        <f t="shared" si="567"/>
        <v>Green</v>
      </c>
    </row>
    <row r="1745" spans="1:30" x14ac:dyDescent="0.2">
      <c r="A1745" t="str">
        <f>L1744&amp;F1745&amp;G1745</f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3717</v>
      </c>
      <c r="H1745">
        <v>0</v>
      </c>
      <c r="I1745">
        <v>1</v>
      </c>
      <c r="J1745">
        <v>3</v>
      </c>
      <c r="K1745">
        <v>1</v>
      </c>
      <c r="L1745" s="30" t="str">
        <f t="shared" si="550"/>
        <v>25/07/2026</v>
      </c>
      <c r="M1745" s="31">
        <f t="shared" si="551"/>
        <v>0.91666666666666663</v>
      </c>
      <c r="N1745" t="str">
        <f t="shared" si="549"/>
        <v>3 - 1</v>
      </c>
      <c r="O1745" t="str">
        <f t="shared" si="552"/>
        <v>Green</v>
      </c>
      <c r="P1745" t="str">
        <f t="shared" si="553"/>
        <v>Red</v>
      </c>
      <c r="Q1745" t="str">
        <f t="shared" si="554"/>
        <v>Red</v>
      </c>
      <c r="R1745" t="str">
        <f t="shared" si="555"/>
        <v>Green</v>
      </c>
      <c r="S1745" t="str">
        <f t="shared" si="556"/>
        <v>Red</v>
      </c>
      <c r="T1745" t="str">
        <f t="shared" si="557"/>
        <v>Green</v>
      </c>
      <c r="U1745" t="str">
        <f t="shared" si="558"/>
        <v>Red</v>
      </c>
      <c r="V1745" t="str">
        <f t="shared" si="559"/>
        <v>Red</v>
      </c>
      <c r="W1745" t="str">
        <f t="shared" si="560"/>
        <v>Green</v>
      </c>
      <c r="X1745" t="str">
        <f t="shared" si="561"/>
        <v>Green</v>
      </c>
      <c r="Y1745" t="str">
        <f t="shared" si="562"/>
        <v>Green</v>
      </c>
      <c r="Z1745" t="str">
        <f t="shared" si="563"/>
        <v>Green</v>
      </c>
      <c r="AA1745" t="str">
        <f t="shared" si="564"/>
        <v>Red</v>
      </c>
      <c r="AB1745" t="str">
        <f t="shared" si="565"/>
        <v>Red</v>
      </c>
      <c r="AC1745" t="str">
        <f t="shared" si="566"/>
        <v>Green</v>
      </c>
      <c r="AD1745" t="str">
        <f t="shared" si="567"/>
        <v>Red</v>
      </c>
    </row>
    <row r="1746" spans="1:30" x14ac:dyDescent="0.2">
      <c r="A1746" t="str">
        <f>L1745&amp;F1746&amp;G1746</f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50"/>
        <v>25/07/2026</v>
      </c>
      <c r="M1746" s="31">
        <f t="shared" si="551"/>
        <v>0.92708333333333337</v>
      </c>
      <c r="N1746" t="str">
        <f t="shared" si="549"/>
        <v>2 - 1</v>
      </c>
      <c r="O1746" t="str">
        <f t="shared" si="552"/>
        <v>Green</v>
      </c>
      <c r="P1746" t="str">
        <f t="shared" si="553"/>
        <v>Red</v>
      </c>
      <c r="Q1746" t="str">
        <f t="shared" si="554"/>
        <v>Red</v>
      </c>
      <c r="R1746" t="str">
        <f t="shared" si="555"/>
        <v>Green</v>
      </c>
      <c r="S1746" t="str">
        <f t="shared" si="556"/>
        <v>Red</v>
      </c>
      <c r="T1746" t="str">
        <f t="shared" si="557"/>
        <v>Green</v>
      </c>
      <c r="U1746" t="str">
        <f t="shared" si="558"/>
        <v>Green</v>
      </c>
      <c r="V1746" t="str">
        <f t="shared" si="559"/>
        <v>Red</v>
      </c>
      <c r="W1746" t="str">
        <f t="shared" si="560"/>
        <v>Red</v>
      </c>
      <c r="X1746" t="str">
        <f t="shared" si="561"/>
        <v>Green</v>
      </c>
      <c r="Y1746" t="str">
        <f t="shared" si="562"/>
        <v>Green</v>
      </c>
      <c r="Z1746" t="str">
        <f t="shared" si="563"/>
        <v>Green</v>
      </c>
      <c r="AA1746" t="str">
        <f t="shared" si="564"/>
        <v>Red</v>
      </c>
      <c r="AB1746" t="str">
        <f t="shared" si="565"/>
        <v>Green</v>
      </c>
      <c r="AC1746" t="str">
        <f t="shared" si="566"/>
        <v>Green</v>
      </c>
      <c r="AD1746" t="str">
        <f t="shared" si="567"/>
        <v>Red</v>
      </c>
    </row>
    <row r="1747" spans="1:30" x14ac:dyDescent="0.2">
      <c r="A1747" t="str">
        <f>L1746&amp;F1747&amp;G1747</f>
        <v>25/07/2026Nelson SuburbsAuckland United</v>
      </c>
      <c r="D1747" s="2">
        <v>46229</v>
      </c>
      <c r="E1747" s="3">
        <v>6.25E-2</v>
      </c>
      <c r="F1747" t="s">
        <v>3440</v>
      </c>
      <c r="G1747" t="s">
        <v>3441</v>
      </c>
      <c r="H1747">
        <v>0</v>
      </c>
      <c r="I1747">
        <v>1</v>
      </c>
      <c r="J1747">
        <v>2</v>
      </c>
      <c r="K1747">
        <v>1</v>
      </c>
      <c r="L1747" s="30" t="str">
        <f t="shared" si="550"/>
        <v>25/07/2026</v>
      </c>
      <c r="M1747" s="31">
        <f t="shared" si="551"/>
        <v>0.9375</v>
      </c>
      <c r="N1747" t="str">
        <f t="shared" si="549"/>
        <v>2 - 1</v>
      </c>
      <c r="O1747" t="str">
        <f t="shared" si="552"/>
        <v>Green</v>
      </c>
      <c r="P1747" t="str">
        <f t="shared" si="553"/>
        <v>Red</v>
      </c>
      <c r="Q1747" t="str">
        <f t="shared" si="554"/>
        <v>Red</v>
      </c>
      <c r="R1747" t="str">
        <f t="shared" si="555"/>
        <v>Green</v>
      </c>
      <c r="S1747" t="str">
        <f t="shared" si="556"/>
        <v>Red</v>
      </c>
      <c r="T1747" t="str">
        <f t="shared" si="557"/>
        <v>Green</v>
      </c>
      <c r="U1747" t="str">
        <f t="shared" si="558"/>
        <v>Red</v>
      </c>
      <c r="V1747" t="str">
        <f t="shared" si="559"/>
        <v>Red</v>
      </c>
      <c r="W1747" t="str">
        <f t="shared" si="560"/>
        <v>Green</v>
      </c>
      <c r="X1747" t="str">
        <f t="shared" si="561"/>
        <v>Green</v>
      </c>
      <c r="Y1747" t="str">
        <f t="shared" si="562"/>
        <v>Green</v>
      </c>
      <c r="Z1747" t="str">
        <f t="shared" si="563"/>
        <v>Green</v>
      </c>
      <c r="AA1747" t="str">
        <f t="shared" si="564"/>
        <v>Red</v>
      </c>
      <c r="AB1747" t="str">
        <f t="shared" si="565"/>
        <v>Green</v>
      </c>
      <c r="AC1747" t="str">
        <f t="shared" si="566"/>
        <v>Green</v>
      </c>
      <c r="AD1747" t="str">
        <f t="shared" si="567"/>
        <v>Red</v>
      </c>
    </row>
    <row r="1748" spans="1:30" x14ac:dyDescent="0.2">
      <c r="A1748" t="str">
        <f>L1747&amp;F1748&amp;G1748</f>
        <v>25/07/2026Union Deportivo UniversitarioSan Francisco FC</v>
      </c>
      <c r="D1748" s="2">
        <v>46229</v>
      </c>
      <c r="E1748" s="3">
        <v>6.25E-2</v>
      </c>
      <c r="F1748" t="s">
        <v>3520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50"/>
        <v>25/07/2026</v>
      </c>
      <c r="M1748" s="31">
        <f t="shared" si="551"/>
        <v>0.9375</v>
      </c>
      <c r="N1748" t="str">
        <f t="shared" si="549"/>
        <v>1 - 2</v>
      </c>
      <c r="O1748" t="str">
        <f t="shared" si="552"/>
        <v>Red</v>
      </c>
      <c r="P1748" t="str">
        <f t="shared" si="553"/>
        <v>Red</v>
      </c>
      <c r="Q1748" t="str">
        <f t="shared" si="554"/>
        <v>Green</v>
      </c>
      <c r="R1748" t="str">
        <f t="shared" si="555"/>
        <v>Red</v>
      </c>
      <c r="S1748" t="str">
        <f t="shared" si="556"/>
        <v>Green</v>
      </c>
      <c r="T1748" t="str">
        <f t="shared" si="557"/>
        <v>Green</v>
      </c>
      <c r="U1748" t="str">
        <f t="shared" si="558"/>
        <v>Red</v>
      </c>
      <c r="V1748" t="str">
        <f t="shared" si="559"/>
        <v>Red</v>
      </c>
      <c r="W1748" t="str">
        <f t="shared" si="560"/>
        <v>Green</v>
      </c>
      <c r="X1748" t="str">
        <f t="shared" si="561"/>
        <v>Green</v>
      </c>
      <c r="Y1748" t="str">
        <f t="shared" si="562"/>
        <v>Green</v>
      </c>
      <c r="Z1748" t="str">
        <f t="shared" si="563"/>
        <v>Green</v>
      </c>
      <c r="AA1748" t="str">
        <f t="shared" si="564"/>
        <v>Red</v>
      </c>
      <c r="AB1748" t="str">
        <f t="shared" si="565"/>
        <v>Green</v>
      </c>
      <c r="AC1748" t="str">
        <f t="shared" si="566"/>
        <v>Green</v>
      </c>
      <c r="AD1748" t="str">
        <f t="shared" si="567"/>
        <v>Red</v>
      </c>
    </row>
    <row r="1749" spans="1:30" x14ac:dyDescent="0.2">
      <c r="A1749" t="str">
        <f>L1748&amp;F1749&amp;G1749</f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50"/>
        <v>25/07/2026</v>
      </c>
      <c r="M1749" s="31">
        <f t="shared" si="551"/>
        <v>0.9375</v>
      </c>
      <c r="N1749" t="str">
        <f t="shared" si="549"/>
        <v>1 - 0</v>
      </c>
      <c r="O1749" t="str">
        <f t="shared" si="552"/>
        <v>Green</v>
      </c>
      <c r="P1749" t="str">
        <f t="shared" si="553"/>
        <v>Red</v>
      </c>
      <c r="Q1749" t="str">
        <f t="shared" si="554"/>
        <v>Red</v>
      </c>
      <c r="R1749" t="str">
        <f t="shared" si="555"/>
        <v>Green</v>
      </c>
      <c r="S1749" t="str">
        <f t="shared" si="556"/>
        <v>Red</v>
      </c>
      <c r="T1749" t="str">
        <f t="shared" si="557"/>
        <v>Green</v>
      </c>
      <c r="U1749" t="str">
        <f t="shared" si="558"/>
        <v>Red</v>
      </c>
      <c r="V1749" t="str">
        <f t="shared" si="559"/>
        <v>Green</v>
      </c>
      <c r="W1749" t="str">
        <f t="shared" si="560"/>
        <v>Red</v>
      </c>
      <c r="X1749" t="str">
        <f t="shared" si="561"/>
        <v>Red</v>
      </c>
      <c r="Y1749" t="str">
        <f t="shared" si="562"/>
        <v>Red</v>
      </c>
      <c r="Z1749" t="str">
        <f t="shared" si="563"/>
        <v>Red</v>
      </c>
      <c r="AA1749" t="str">
        <f t="shared" si="564"/>
        <v>Green</v>
      </c>
      <c r="AB1749" t="str">
        <f t="shared" si="565"/>
        <v>Green</v>
      </c>
      <c r="AC1749" t="str">
        <f t="shared" si="566"/>
        <v>Red</v>
      </c>
      <c r="AD1749" t="str">
        <f t="shared" si="567"/>
        <v>Green</v>
      </c>
    </row>
    <row r="1750" spans="1:30" x14ac:dyDescent="0.2">
      <c r="A1750" t="str">
        <f>L1749&amp;F1750&amp;G1750</f>
        <v>25/07/2026Sporting San JoseLD Alajuelense</v>
      </c>
      <c r="D1750" s="2">
        <v>46229</v>
      </c>
      <c r="E1750" s="3">
        <v>8.3333333333333329E-2</v>
      </c>
      <c r="F1750" t="s">
        <v>3153</v>
      </c>
      <c r="G1750" t="s">
        <v>3154</v>
      </c>
      <c r="H1750">
        <v>1</v>
      </c>
      <c r="I1750">
        <v>0</v>
      </c>
      <c r="J1750">
        <v>1</v>
      </c>
      <c r="K1750">
        <v>1</v>
      </c>
      <c r="L1750" s="30" t="str">
        <f t="shared" si="550"/>
        <v>25/07/2026</v>
      </c>
      <c r="M1750" s="31">
        <f t="shared" si="551"/>
        <v>0.95833333333333326</v>
      </c>
      <c r="N1750" t="str">
        <f t="shared" si="549"/>
        <v>1 - 1</v>
      </c>
      <c r="O1750" t="str">
        <f t="shared" si="552"/>
        <v>Red</v>
      </c>
      <c r="P1750" t="str">
        <f t="shared" si="553"/>
        <v>Green</v>
      </c>
      <c r="Q1750" t="str">
        <f t="shared" si="554"/>
        <v>Red</v>
      </c>
      <c r="R1750" t="str">
        <f t="shared" si="555"/>
        <v>Green</v>
      </c>
      <c r="S1750" t="str">
        <f t="shared" si="556"/>
        <v>Green</v>
      </c>
      <c r="T1750" t="str">
        <f t="shared" si="557"/>
        <v>Red</v>
      </c>
      <c r="U1750" t="str">
        <f t="shared" si="558"/>
        <v>Green</v>
      </c>
      <c r="V1750" t="str">
        <f t="shared" si="559"/>
        <v>Red</v>
      </c>
      <c r="W1750" t="str">
        <f t="shared" si="560"/>
        <v>Red</v>
      </c>
      <c r="X1750" t="str">
        <f t="shared" si="561"/>
        <v>Green</v>
      </c>
      <c r="Y1750" t="str">
        <f t="shared" si="562"/>
        <v>Green</v>
      </c>
      <c r="Z1750" t="str">
        <f t="shared" si="563"/>
        <v>Red</v>
      </c>
      <c r="AA1750" t="str">
        <f t="shared" si="564"/>
        <v>Green</v>
      </c>
      <c r="AB1750" t="str">
        <f t="shared" si="565"/>
        <v>Green</v>
      </c>
      <c r="AC1750" t="str">
        <f t="shared" si="566"/>
        <v>Green</v>
      </c>
      <c r="AD1750" t="str">
        <f t="shared" si="567"/>
        <v>Red</v>
      </c>
    </row>
    <row r="1751" spans="1:30" x14ac:dyDescent="0.2">
      <c r="A1751" t="str">
        <f>L1750&amp;F1751&amp;G1751</f>
        <v>25/07/2026QuicheJuventud Copalera</v>
      </c>
      <c r="D1751" s="2">
        <v>46229</v>
      </c>
      <c r="E1751" s="3">
        <v>8.3333333333333329E-2</v>
      </c>
      <c r="F1751" t="s">
        <v>3308</v>
      </c>
      <c r="G1751" t="s">
        <v>3309</v>
      </c>
      <c r="H1751">
        <v>0</v>
      </c>
      <c r="I1751">
        <v>0</v>
      </c>
      <c r="J1751">
        <v>0</v>
      </c>
      <c r="K1751">
        <v>0</v>
      </c>
      <c r="L1751" s="30" t="str">
        <f t="shared" si="550"/>
        <v>25/07/2026</v>
      </c>
      <c r="M1751" s="31">
        <f t="shared" si="551"/>
        <v>0.95833333333333326</v>
      </c>
      <c r="N1751" t="str">
        <f t="shared" si="549"/>
        <v>0 - 0</v>
      </c>
      <c r="O1751" t="str">
        <f t="shared" si="552"/>
        <v>Red</v>
      </c>
      <c r="P1751" t="str">
        <f t="shared" si="553"/>
        <v>Green</v>
      </c>
      <c r="Q1751" t="str">
        <f t="shared" si="554"/>
        <v>Red</v>
      </c>
      <c r="R1751" t="str">
        <f t="shared" si="555"/>
        <v>Green</v>
      </c>
      <c r="S1751" t="str">
        <f t="shared" si="556"/>
        <v>Green</v>
      </c>
      <c r="T1751" t="str">
        <f t="shared" si="557"/>
        <v>Red</v>
      </c>
      <c r="U1751" t="str">
        <f t="shared" si="558"/>
        <v>Red</v>
      </c>
      <c r="V1751" t="str">
        <f t="shared" si="559"/>
        <v>Green</v>
      </c>
      <c r="W1751" t="str">
        <f t="shared" si="560"/>
        <v>Red</v>
      </c>
      <c r="X1751" t="str">
        <f t="shared" si="561"/>
        <v>Red</v>
      </c>
      <c r="Y1751" t="str">
        <f t="shared" si="562"/>
        <v>Red</v>
      </c>
      <c r="Z1751" t="str">
        <f t="shared" si="563"/>
        <v>Red</v>
      </c>
      <c r="AA1751" t="str">
        <f t="shared" si="564"/>
        <v>Green</v>
      </c>
      <c r="AB1751" t="str">
        <f t="shared" si="565"/>
        <v>Green</v>
      </c>
      <c r="AC1751" t="str">
        <f t="shared" si="566"/>
        <v>Red</v>
      </c>
      <c r="AD1751" t="str">
        <f t="shared" si="567"/>
        <v>Green</v>
      </c>
    </row>
    <row r="1752" spans="1:30" x14ac:dyDescent="0.2">
      <c r="A1752" t="str">
        <f>L1751&amp;F1752&amp;G1752</f>
        <v>25/07/2026USA U20Haiti U20</v>
      </c>
      <c r="D1752" s="2">
        <v>46229</v>
      </c>
      <c r="E1752" s="3">
        <v>8.3333333333333329E-2</v>
      </c>
      <c r="F1752" t="s">
        <v>3444</v>
      </c>
      <c r="G1752" t="s">
        <v>3445</v>
      </c>
      <c r="H1752">
        <v>1</v>
      </c>
      <c r="I1752">
        <v>0</v>
      </c>
      <c r="J1752">
        <v>3</v>
      </c>
      <c r="K1752">
        <v>0</v>
      </c>
      <c r="L1752" s="30" t="str">
        <f t="shared" si="550"/>
        <v>25/07/2026</v>
      </c>
      <c r="M1752" s="31">
        <f t="shared" si="551"/>
        <v>0.95833333333333326</v>
      </c>
      <c r="N1752" t="str">
        <f t="shared" si="549"/>
        <v>3 - 0</v>
      </c>
      <c r="O1752" t="str">
        <f t="shared" si="552"/>
        <v>Green</v>
      </c>
      <c r="P1752" t="str">
        <f t="shared" si="553"/>
        <v>Red</v>
      </c>
      <c r="Q1752" t="str">
        <f t="shared" si="554"/>
        <v>Red</v>
      </c>
      <c r="R1752" t="str">
        <f t="shared" si="555"/>
        <v>Green</v>
      </c>
      <c r="S1752" t="str">
        <f t="shared" si="556"/>
        <v>Red</v>
      </c>
      <c r="T1752" t="str">
        <f t="shared" si="557"/>
        <v>Green</v>
      </c>
      <c r="U1752" t="str">
        <f t="shared" si="558"/>
        <v>Green</v>
      </c>
      <c r="V1752" t="str">
        <f t="shared" si="559"/>
        <v>Red</v>
      </c>
      <c r="W1752" t="str">
        <f t="shared" si="560"/>
        <v>Red</v>
      </c>
      <c r="X1752" t="str">
        <f t="shared" si="561"/>
        <v>Green</v>
      </c>
      <c r="Y1752" t="str">
        <f t="shared" si="562"/>
        <v>Green</v>
      </c>
      <c r="Z1752" t="str">
        <f t="shared" si="563"/>
        <v>Green</v>
      </c>
      <c r="AA1752" t="str">
        <f t="shared" si="564"/>
        <v>Red</v>
      </c>
      <c r="AB1752" t="str">
        <f t="shared" si="565"/>
        <v>Green</v>
      </c>
      <c r="AC1752" t="str">
        <f t="shared" si="566"/>
        <v>Red</v>
      </c>
      <c r="AD1752" t="str">
        <f t="shared" si="567"/>
        <v>Green</v>
      </c>
    </row>
    <row r="1753" spans="1:30" x14ac:dyDescent="0.2">
      <c r="A1753" t="str">
        <f>L1752&amp;F1753&amp;G1753</f>
        <v>25/07/2026Monterey BayOrange County Blues</v>
      </c>
      <c r="D1753" s="2">
        <v>46229</v>
      </c>
      <c r="E1753" s="3">
        <v>8.3333333333333329E-2</v>
      </c>
      <c r="F1753" t="s">
        <v>3705</v>
      </c>
      <c r="G1753" t="s">
        <v>3706</v>
      </c>
      <c r="H1753">
        <v>0</v>
      </c>
      <c r="I1753">
        <v>0</v>
      </c>
      <c r="J1753">
        <v>1</v>
      </c>
      <c r="K1753">
        <v>2</v>
      </c>
      <c r="L1753" s="30" t="str">
        <f t="shared" si="550"/>
        <v>25/07/2026</v>
      </c>
      <c r="M1753" s="31">
        <f t="shared" si="551"/>
        <v>0.95833333333333326</v>
      </c>
      <c r="N1753" t="str">
        <f t="shared" si="549"/>
        <v>1 - 2</v>
      </c>
      <c r="O1753" t="str">
        <f t="shared" si="552"/>
        <v>Red</v>
      </c>
      <c r="P1753" t="str">
        <f t="shared" si="553"/>
        <v>Red</v>
      </c>
      <c r="Q1753" t="str">
        <f t="shared" si="554"/>
        <v>Green</v>
      </c>
      <c r="R1753" t="str">
        <f t="shared" si="555"/>
        <v>Red</v>
      </c>
      <c r="S1753" t="str">
        <f t="shared" si="556"/>
        <v>Green</v>
      </c>
      <c r="T1753" t="str">
        <f t="shared" si="557"/>
        <v>Green</v>
      </c>
      <c r="U1753" t="str">
        <f t="shared" si="558"/>
        <v>Red</v>
      </c>
      <c r="V1753" t="str">
        <f t="shared" si="559"/>
        <v>Green</v>
      </c>
      <c r="W1753" t="str">
        <f t="shared" si="560"/>
        <v>Red</v>
      </c>
      <c r="X1753" t="str">
        <f t="shared" si="561"/>
        <v>Red</v>
      </c>
      <c r="Y1753" t="str">
        <f t="shared" si="562"/>
        <v>Green</v>
      </c>
      <c r="Z1753" t="str">
        <f t="shared" si="563"/>
        <v>Green</v>
      </c>
      <c r="AA1753" t="str">
        <f t="shared" si="564"/>
        <v>Red</v>
      </c>
      <c r="AB1753" t="str">
        <f t="shared" si="565"/>
        <v>Green</v>
      </c>
      <c r="AC1753" t="str">
        <f t="shared" si="566"/>
        <v>Green</v>
      </c>
      <c r="AD1753" t="str">
        <f t="shared" si="567"/>
        <v>Red</v>
      </c>
    </row>
    <row r="1754" spans="1:30" x14ac:dyDescent="0.2">
      <c r="A1754" t="str">
        <f>L1753&amp;F1754&amp;G1754</f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3707</v>
      </c>
      <c r="H1754">
        <v>1</v>
      </c>
      <c r="I1754">
        <v>1</v>
      </c>
      <c r="J1754">
        <v>1</v>
      </c>
      <c r="K1754">
        <v>3</v>
      </c>
      <c r="L1754" s="30" t="str">
        <f t="shared" si="550"/>
        <v>25/07/2026</v>
      </c>
      <c r="M1754" s="31">
        <f t="shared" si="551"/>
        <v>0.95833333333333326</v>
      </c>
      <c r="N1754" t="str">
        <f t="shared" si="549"/>
        <v>1 - 3</v>
      </c>
      <c r="O1754" t="str">
        <f t="shared" si="552"/>
        <v>Red</v>
      </c>
      <c r="P1754" t="str">
        <f t="shared" si="553"/>
        <v>Red</v>
      </c>
      <c r="Q1754" t="str">
        <f t="shared" si="554"/>
        <v>Green</v>
      </c>
      <c r="R1754" t="str">
        <f t="shared" si="555"/>
        <v>Red</v>
      </c>
      <c r="S1754" t="str">
        <f t="shared" si="556"/>
        <v>Green</v>
      </c>
      <c r="T1754" t="str">
        <f t="shared" si="557"/>
        <v>Green</v>
      </c>
      <c r="U1754" t="str">
        <f t="shared" si="558"/>
        <v>Red</v>
      </c>
      <c r="V1754" t="str">
        <f t="shared" si="559"/>
        <v>Green</v>
      </c>
      <c r="W1754" t="str">
        <f t="shared" si="560"/>
        <v>Red</v>
      </c>
      <c r="X1754" t="str">
        <f t="shared" si="561"/>
        <v>Green</v>
      </c>
      <c r="Y1754" t="str">
        <f t="shared" si="562"/>
        <v>Green</v>
      </c>
      <c r="Z1754" t="str">
        <f t="shared" si="563"/>
        <v>Green</v>
      </c>
      <c r="AA1754" t="str">
        <f t="shared" si="564"/>
        <v>Red</v>
      </c>
      <c r="AB1754" t="str">
        <f t="shared" si="565"/>
        <v>Red</v>
      </c>
      <c r="AC1754" t="str">
        <f t="shared" si="566"/>
        <v>Green</v>
      </c>
      <c r="AD1754" t="str">
        <f t="shared" si="567"/>
        <v>Red</v>
      </c>
    </row>
    <row r="1755" spans="1:30" x14ac:dyDescent="0.2">
      <c r="A1755" t="str">
        <f>L1754&amp;F1755&amp;G1755</f>
        <v>25/07/2026L.A Galaxy IIThe Town</v>
      </c>
      <c r="D1755" s="2">
        <v>46229</v>
      </c>
      <c r="E1755" s="3">
        <v>8.3333333333333329E-2</v>
      </c>
      <c r="F1755" t="s">
        <v>3719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50"/>
        <v>25/07/2026</v>
      </c>
      <c r="M1755" s="31">
        <f t="shared" si="551"/>
        <v>0.95833333333333326</v>
      </c>
      <c r="N1755" t="str">
        <f t="shared" si="549"/>
        <v>3 - 0</v>
      </c>
      <c r="O1755" t="str">
        <f t="shared" si="552"/>
        <v>Green</v>
      </c>
      <c r="P1755" t="str">
        <f t="shared" si="553"/>
        <v>Red</v>
      </c>
      <c r="Q1755" t="str">
        <f t="shared" si="554"/>
        <v>Red</v>
      </c>
      <c r="R1755" t="str">
        <f t="shared" si="555"/>
        <v>Green</v>
      </c>
      <c r="S1755" t="str">
        <f t="shared" si="556"/>
        <v>Red</v>
      </c>
      <c r="T1755" t="str">
        <f t="shared" si="557"/>
        <v>Green</v>
      </c>
      <c r="U1755" t="str">
        <f t="shared" si="558"/>
        <v>Red</v>
      </c>
      <c r="V1755" t="str">
        <f t="shared" si="559"/>
        <v>Green</v>
      </c>
      <c r="W1755" t="str">
        <f t="shared" si="560"/>
        <v>Red</v>
      </c>
      <c r="X1755" t="str">
        <f t="shared" si="561"/>
        <v>Red</v>
      </c>
      <c r="Y1755" t="str">
        <f t="shared" si="562"/>
        <v>Green</v>
      </c>
      <c r="Z1755" t="str">
        <f t="shared" si="563"/>
        <v>Green</v>
      </c>
      <c r="AA1755" t="str">
        <f t="shared" si="564"/>
        <v>Red</v>
      </c>
      <c r="AB1755" t="str">
        <f t="shared" si="565"/>
        <v>Green</v>
      </c>
      <c r="AC1755" t="str">
        <f t="shared" si="566"/>
        <v>Red</v>
      </c>
      <c r="AD1755" t="str">
        <f t="shared" si="567"/>
        <v>Green</v>
      </c>
    </row>
    <row r="1756" spans="1:30" x14ac:dyDescent="0.2">
      <c r="A1756" t="str">
        <f>L1755&amp;F1756&amp;G1756</f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50"/>
        <v>25/07/2026</v>
      </c>
      <c r="M1756" s="31">
        <f t="shared" si="551"/>
        <v>0.97916666666666674</v>
      </c>
      <c r="N1756" t="str">
        <f t="shared" si="549"/>
        <v>4 - 0</v>
      </c>
      <c r="O1756" t="str">
        <f t="shared" si="552"/>
        <v>Green</v>
      </c>
      <c r="P1756" t="str">
        <f t="shared" si="553"/>
        <v>Red</v>
      </c>
      <c r="Q1756" t="str">
        <f t="shared" si="554"/>
        <v>Red</v>
      </c>
      <c r="R1756" t="str">
        <f t="shared" si="555"/>
        <v>Green</v>
      </c>
      <c r="S1756" t="str">
        <f t="shared" si="556"/>
        <v>Red</v>
      </c>
      <c r="T1756" t="str">
        <f t="shared" si="557"/>
        <v>Green</v>
      </c>
      <c r="U1756" t="str">
        <f t="shared" si="558"/>
        <v>Green</v>
      </c>
      <c r="V1756" t="str">
        <f t="shared" si="559"/>
        <v>Red</v>
      </c>
      <c r="W1756" t="str">
        <f t="shared" si="560"/>
        <v>Red</v>
      </c>
      <c r="X1756" t="str">
        <f t="shared" si="561"/>
        <v>Green</v>
      </c>
      <c r="Y1756" t="str">
        <f t="shared" si="562"/>
        <v>Green</v>
      </c>
      <c r="Z1756" t="str">
        <f t="shared" si="563"/>
        <v>Green</v>
      </c>
      <c r="AA1756" t="str">
        <f t="shared" si="564"/>
        <v>Red</v>
      </c>
      <c r="AB1756" t="str">
        <f t="shared" si="565"/>
        <v>Red</v>
      </c>
      <c r="AC1756" t="str">
        <f t="shared" si="566"/>
        <v>Red</v>
      </c>
      <c r="AD1756" t="str">
        <f t="shared" si="567"/>
        <v>Green</v>
      </c>
    </row>
    <row r="1757" spans="1:30" x14ac:dyDescent="0.2">
      <c r="A1757" t="str">
        <f>L1756&amp;F1757&amp;G1757</f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50"/>
        <v>25/07/2026</v>
      </c>
      <c r="M1757" s="31">
        <f t="shared" si="551"/>
        <v>0.97916666666666674</v>
      </c>
      <c r="N1757" t="str">
        <f t="shared" si="549"/>
        <v>2 - 1</v>
      </c>
      <c r="O1757" t="str">
        <f t="shared" si="552"/>
        <v>Green</v>
      </c>
      <c r="P1757" t="str">
        <f t="shared" si="553"/>
        <v>Red</v>
      </c>
      <c r="Q1757" t="str">
        <f t="shared" si="554"/>
        <v>Red</v>
      </c>
      <c r="R1757" t="str">
        <f t="shared" si="555"/>
        <v>Green</v>
      </c>
      <c r="S1757" t="str">
        <f t="shared" si="556"/>
        <v>Red</v>
      </c>
      <c r="T1757" t="str">
        <f t="shared" si="557"/>
        <v>Green</v>
      </c>
      <c r="U1757" t="str">
        <f t="shared" si="558"/>
        <v>Red</v>
      </c>
      <c r="V1757" t="str">
        <f t="shared" si="559"/>
        <v>Red</v>
      </c>
      <c r="W1757" t="str">
        <f t="shared" si="560"/>
        <v>Green</v>
      </c>
      <c r="X1757" t="str">
        <f t="shared" si="561"/>
        <v>Green</v>
      </c>
      <c r="Y1757" t="str">
        <f t="shared" si="562"/>
        <v>Green</v>
      </c>
      <c r="Z1757" t="str">
        <f t="shared" si="563"/>
        <v>Green</v>
      </c>
      <c r="AA1757" t="str">
        <f t="shared" si="564"/>
        <v>Red</v>
      </c>
      <c r="AB1757" t="str">
        <f t="shared" si="565"/>
        <v>Green</v>
      </c>
      <c r="AC1757" t="str">
        <f t="shared" si="566"/>
        <v>Green</v>
      </c>
      <c r="AD1757" t="str">
        <f t="shared" si="567"/>
        <v>Red</v>
      </c>
    </row>
    <row r="1758" spans="1:30" x14ac:dyDescent="0.2">
      <c r="A1758" t="str">
        <f>L1757&amp;F1758&amp;G1758</f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50"/>
        <v>25/07/2026</v>
      </c>
      <c r="M1758" s="31">
        <f t="shared" si="551"/>
        <v>0.97916666666666674</v>
      </c>
      <c r="N1758" t="str">
        <f t="shared" si="549"/>
        <v>1 - 1</v>
      </c>
      <c r="O1758" t="str">
        <f t="shared" si="552"/>
        <v>Red</v>
      </c>
      <c r="P1758" t="str">
        <f t="shared" si="553"/>
        <v>Green</v>
      </c>
      <c r="Q1758" t="str">
        <f t="shared" si="554"/>
        <v>Red</v>
      </c>
      <c r="R1758" t="str">
        <f t="shared" si="555"/>
        <v>Green</v>
      </c>
      <c r="S1758" t="str">
        <f t="shared" si="556"/>
        <v>Green</v>
      </c>
      <c r="T1758" t="str">
        <f t="shared" si="557"/>
        <v>Red</v>
      </c>
      <c r="U1758" t="str">
        <f t="shared" si="558"/>
        <v>Red</v>
      </c>
      <c r="V1758" t="str">
        <f t="shared" si="559"/>
        <v>Red</v>
      </c>
      <c r="W1758" t="str">
        <f t="shared" si="560"/>
        <v>Green</v>
      </c>
      <c r="X1758" t="str">
        <f t="shared" si="561"/>
        <v>Green</v>
      </c>
      <c r="Y1758" t="str">
        <f t="shared" si="562"/>
        <v>Green</v>
      </c>
      <c r="Z1758" t="str">
        <f t="shared" si="563"/>
        <v>Red</v>
      </c>
      <c r="AA1758" t="str">
        <f t="shared" si="564"/>
        <v>Green</v>
      </c>
      <c r="AB1758" t="str">
        <f t="shared" si="565"/>
        <v>Green</v>
      </c>
      <c r="AC1758" t="str">
        <f t="shared" si="566"/>
        <v>Green</v>
      </c>
      <c r="AD1758" t="str">
        <f t="shared" si="567"/>
        <v>Red</v>
      </c>
    </row>
    <row r="1759" spans="1:30" x14ac:dyDescent="0.2">
      <c r="A1759" t="str">
        <f>L1758&amp;F1759&amp;G1759</f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50"/>
        <v>25/07/2026</v>
      </c>
      <c r="M1759" s="31">
        <f t="shared" si="551"/>
        <v>0.97916666666666674</v>
      </c>
      <c r="N1759" t="str">
        <f t="shared" si="549"/>
        <v>0 - 0</v>
      </c>
      <c r="O1759" t="str">
        <f t="shared" si="552"/>
        <v>Red</v>
      </c>
      <c r="P1759" t="str">
        <f t="shared" si="553"/>
        <v>Green</v>
      </c>
      <c r="Q1759" t="str">
        <f t="shared" si="554"/>
        <v>Red</v>
      </c>
      <c r="R1759" t="str">
        <f t="shared" si="555"/>
        <v>Green</v>
      </c>
      <c r="S1759" t="str">
        <f t="shared" si="556"/>
        <v>Green</v>
      </c>
      <c r="T1759" t="str">
        <f t="shared" si="557"/>
        <v>Red</v>
      </c>
      <c r="U1759" t="str">
        <f t="shared" si="558"/>
        <v>Red</v>
      </c>
      <c r="V1759" t="str">
        <f t="shared" si="559"/>
        <v>Green</v>
      </c>
      <c r="W1759" t="str">
        <f t="shared" si="560"/>
        <v>Red</v>
      </c>
      <c r="X1759" t="str">
        <f t="shared" si="561"/>
        <v>Red</v>
      </c>
      <c r="Y1759" t="str">
        <f t="shared" si="562"/>
        <v>Red</v>
      </c>
      <c r="Z1759" t="str">
        <f t="shared" si="563"/>
        <v>Red</v>
      </c>
      <c r="AA1759" t="str">
        <f t="shared" si="564"/>
        <v>Green</v>
      </c>
      <c r="AB1759" t="str">
        <f t="shared" si="565"/>
        <v>Green</v>
      </c>
      <c r="AC1759" t="str">
        <f t="shared" si="566"/>
        <v>Red</v>
      </c>
      <c r="AD1759" t="str">
        <f t="shared" si="567"/>
        <v>Green</v>
      </c>
    </row>
    <row r="1760" spans="1:30" x14ac:dyDescent="0.2">
      <c r="A1760" t="str">
        <f>L1759&amp;F1760&amp;G1760</f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2809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47"/>
        <v>26/07/2026</v>
      </c>
      <c r="M1760" s="23">
        <f t="shared" si="548"/>
        <v>0</v>
      </c>
      <c r="N1760" t="str">
        <f t="shared" si="549"/>
        <v>2 - 0</v>
      </c>
      <c r="O1760" t="str">
        <f t="shared" si="552"/>
        <v>Green</v>
      </c>
      <c r="P1760" t="str">
        <f t="shared" si="553"/>
        <v>Red</v>
      </c>
      <c r="Q1760" t="str">
        <f t="shared" si="554"/>
        <v>Red</v>
      </c>
      <c r="R1760" t="str">
        <f t="shared" si="555"/>
        <v>Green</v>
      </c>
      <c r="S1760" t="str">
        <f t="shared" si="556"/>
        <v>Red</v>
      </c>
      <c r="T1760" t="str">
        <f t="shared" si="557"/>
        <v>Green</v>
      </c>
      <c r="U1760" t="str">
        <f t="shared" si="558"/>
        <v>Green</v>
      </c>
      <c r="V1760" t="str">
        <f t="shared" si="559"/>
        <v>Red</v>
      </c>
      <c r="W1760" t="str">
        <f t="shared" si="560"/>
        <v>Red</v>
      </c>
      <c r="X1760" t="str">
        <f t="shared" si="561"/>
        <v>Green</v>
      </c>
      <c r="Y1760" t="str">
        <f t="shared" si="562"/>
        <v>Green</v>
      </c>
      <c r="Z1760" t="str">
        <f t="shared" si="563"/>
        <v>Red</v>
      </c>
      <c r="AA1760" t="str">
        <f t="shared" si="564"/>
        <v>Green</v>
      </c>
      <c r="AB1760" t="str">
        <f t="shared" si="565"/>
        <v>Green</v>
      </c>
      <c r="AC1760" t="str">
        <f t="shared" si="566"/>
        <v>Red</v>
      </c>
      <c r="AD1760" t="str">
        <f t="shared" si="567"/>
        <v>Green</v>
      </c>
    </row>
    <row r="1761" spans="1:30" x14ac:dyDescent="0.2">
      <c r="A1761" t="str">
        <f>L1760&amp;F1761&amp;G1761</f>
        <v>26/07/2026South CardiffDudley Redhead</v>
      </c>
      <c r="B1761" t="s">
        <v>810</v>
      </c>
      <c r="D1761" s="2">
        <v>46229</v>
      </c>
      <c r="E1761" s="3">
        <v>0.125</v>
      </c>
      <c r="F1761" t="s">
        <v>2893</v>
      </c>
      <c r="G1761" t="s">
        <v>2894</v>
      </c>
      <c r="H1761">
        <v>0</v>
      </c>
      <c r="I1761">
        <v>0</v>
      </c>
      <c r="J1761">
        <v>0</v>
      </c>
      <c r="K1761">
        <v>0</v>
      </c>
      <c r="L1761" s="22" t="str">
        <f t="shared" si="547"/>
        <v>26/07/2026</v>
      </c>
      <c r="M1761" s="23">
        <f t="shared" si="548"/>
        <v>0</v>
      </c>
      <c r="N1761" t="str">
        <f t="shared" si="549"/>
        <v>0 - 0</v>
      </c>
      <c r="O1761" t="str">
        <f t="shared" si="552"/>
        <v>Red</v>
      </c>
      <c r="P1761" t="str">
        <f t="shared" si="553"/>
        <v>Green</v>
      </c>
      <c r="Q1761" t="str">
        <f t="shared" si="554"/>
        <v>Red</v>
      </c>
      <c r="R1761" t="str">
        <f t="shared" si="555"/>
        <v>Green</v>
      </c>
      <c r="S1761" t="str">
        <f t="shared" si="556"/>
        <v>Green</v>
      </c>
      <c r="T1761" t="str">
        <f t="shared" si="557"/>
        <v>Red</v>
      </c>
      <c r="U1761" t="str">
        <f t="shared" si="558"/>
        <v>Red</v>
      </c>
      <c r="V1761" t="str">
        <f t="shared" si="559"/>
        <v>Green</v>
      </c>
      <c r="W1761" t="str">
        <f t="shared" si="560"/>
        <v>Red</v>
      </c>
      <c r="X1761" t="str">
        <f t="shared" si="561"/>
        <v>Red</v>
      </c>
      <c r="Y1761" t="str">
        <f t="shared" si="562"/>
        <v>Red</v>
      </c>
      <c r="Z1761" t="str">
        <f t="shared" si="563"/>
        <v>Red</v>
      </c>
      <c r="AA1761" t="str">
        <f t="shared" si="564"/>
        <v>Green</v>
      </c>
      <c r="AB1761" t="str">
        <f t="shared" si="565"/>
        <v>Green</v>
      </c>
      <c r="AC1761" t="str">
        <f t="shared" si="566"/>
        <v>Red</v>
      </c>
      <c r="AD1761" t="str">
        <f t="shared" si="567"/>
        <v>Green</v>
      </c>
    </row>
    <row r="1762" spans="1:30" x14ac:dyDescent="0.2">
      <c r="A1762" t="str">
        <f>L1761&amp;F1762&amp;G1762</f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2895</v>
      </c>
      <c r="G1762" t="s">
        <v>2896</v>
      </c>
      <c r="H1762">
        <v>0</v>
      </c>
      <c r="I1762">
        <v>0</v>
      </c>
      <c r="J1762">
        <v>0</v>
      </c>
      <c r="K1762">
        <v>2</v>
      </c>
      <c r="L1762" s="22" t="str">
        <f t="shared" si="547"/>
        <v>26/07/2026</v>
      </c>
      <c r="M1762" s="23">
        <f t="shared" si="548"/>
        <v>0</v>
      </c>
      <c r="N1762" t="str">
        <f t="shared" si="549"/>
        <v>0 - 2</v>
      </c>
      <c r="O1762" t="str">
        <f t="shared" si="552"/>
        <v>Red</v>
      </c>
      <c r="P1762" t="str">
        <f t="shared" si="553"/>
        <v>Red</v>
      </c>
      <c r="Q1762" t="str">
        <f t="shared" si="554"/>
        <v>Green</v>
      </c>
      <c r="R1762" t="str">
        <f t="shared" si="555"/>
        <v>Red</v>
      </c>
      <c r="S1762" t="str">
        <f t="shared" si="556"/>
        <v>Green</v>
      </c>
      <c r="T1762" t="str">
        <f t="shared" si="557"/>
        <v>Green</v>
      </c>
      <c r="U1762" t="str">
        <f t="shared" si="558"/>
        <v>Red</v>
      </c>
      <c r="V1762" t="str">
        <f t="shared" si="559"/>
        <v>Green</v>
      </c>
      <c r="W1762" t="str">
        <f t="shared" si="560"/>
        <v>Red</v>
      </c>
      <c r="X1762" t="str">
        <f t="shared" si="561"/>
        <v>Red</v>
      </c>
      <c r="Y1762" t="str">
        <f t="shared" si="562"/>
        <v>Green</v>
      </c>
      <c r="Z1762" t="str">
        <f t="shared" si="563"/>
        <v>Red</v>
      </c>
      <c r="AA1762" t="str">
        <f t="shared" si="564"/>
        <v>Green</v>
      </c>
      <c r="AB1762" t="str">
        <f t="shared" si="565"/>
        <v>Green</v>
      </c>
      <c r="AC1762" t="str">
        <f t="shared" si="566"/>
        <v>Red</v>
      </c>
      <c r="AD1762" t="str">
        <f t="shared" si="567"/>
        <v>Green</v>
      </c>
    </row>
    <row r="1763" spans="1:30" x14ac:dyDescent="0.2">
      <c r="A1763" t="str">
        <f>L1762&amp;F1763&amp;G1763</f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2897</v>
      </c>
      <c r="G1763" t="s">
        <v>2898</v>
      </c>
      <c r="H1763">
        <v>2</v>
      </c>
      <c r="I1763">
        <v>0</v>
      </c>
      <c r="J1763">
        <v>5</v>
      </c>
      <c r="K1763">
        <v>1</v>
      </c>
      <c r="L1763" s="22" t="str">
        <f t="shared" si="547"/>
        <v>26/07/2026</v>
      </c>
      <c r="M1763" s="23">
        <f t="shared" si="548"/>
        <v>0</v>
      </c>
      <c r="N1763" t="str">
        <f t="shared" si="549"/>
        <v>5 - 1</v>
      </c>
      <c r="O1763" t="str">
        <f t="shared" si="552"/>
        <v>Green</v>
      </c>
      <c r="P1763" t="str">
        <f t="shared" si="553"/>
        <v>Red</v>
      </c>
      <c r="Q1763" t="str">
        <f t="shared" si="554"/>
        <v>Red</v>
      </c>
      <c r="R1763" t="str">
        <f t="shared" si="555"/>
        <v>Green</v>
      </c>
      <c r="S1763" t="str">
        <f t="shared" si="556"/>
        <v>Red</v>
      </c>
      <c r="T1763" t="str">
        <f t="shared" si="557"/>
        <v>Green</v>
      </c>
      <c r="U1763" t="str">
        <f t="shared" si="558"/>
        <v>Green</v>
      </c>
      <c r="V1763" t="str">
        <f t="shared" si="559"/>
        <v>Red</v>
      </c>
      <c r="W1763" t="str">
        <f t="shared" si="560"/>
        <v>Red</v>
      </c>
      <c r="X1763" t="str">
        <f t="shared" si="561"/>
        <v>Green</v>
      </c>
      <c r="Y1763" t="str">
        <f t="shared" si="562"/>
        <v>Green</v>
      </c>
      <c r="Z1763" t="str">
        <f t="shared" si="563"/>
        <v>Green</v>
      </c>
      <c r="AA1763" t="str">
        <f t="shared" si="564"/>
        <v>Red</v>
      </c>
      <c r="AB1763" t="str">
        <f t="shared" si="565"/>
        <v>Red</v>
      </c>
      <c r="AC1763" t="str">
        <f t="shared" si="566"/>
        <v>Green</v>
      </c>
      <c r="AD1763" t="str">
        <f t="shared" si="567"/>
        <v>Red</v>
      </c>
    </row>
    <row r="1764" spans="1:30" x14ac:dyDescent="0.2">
      <c r="A1764" t="str">
        <f>L1763&amp;F1764&amp;G1764</f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2899</v>
      </c>
      <c r="G1764" t="s">
        <v>2900</v>
      </c>
      <c r="L1764" s="22" t="str">
        <f t="shared" si="547"/>
        <v>26/07/2026</v>
      </c>
      <c r="M1764" s="23">
        <f t="shared" si="548"/>
        <v>0</v>
      </c>
      <c r="N1764" t="str">
        <f t="shared" si="549"/>
        <v xml:space="preserve"> - </v>
      </c>
      <c r="O1764" t="str">
        <f t="shared" si="552"/>
        <v>Red</v>
      </c>
      <c r="P1764" t="str">
        <f t="shared" si="553"/>
        <v>Green</v>
      </c>
      <c r="Q1764" t="str">
        <f t="shared" si="554"/>
        <v>Red</v>
      </c>
      <c r="R1764" t="str">
        <f t="shared" si="555"/>
        <v>Green</v>
      </c>
      <c r="S1764" t="str">
        <f t="shared" si="556"/>
        <v>Green</v>
      </c>
      <c r="T1764" t="str">
        <f t="shared" si="557"/>
        <v>Red</v>
      </c>
      <c r="U1764" t="str">
        <f t="shared" si="558"/>
        <v>Red</v>
      </c>
      <c r="V1764" t="str">
        <f t="shared" si="559"/>
        <v>Green</v>
      </c>
      <c r="W1764" t="str">
        <f t="shared" si="560"/>
        <v>Red</v>
      </c>
      <c r="X1764" t="str">
        <f t="shared" si="561"/>
        <v>Red</v>
      </c>
      <c r="Y1764" t="str">
        <f t="shared" si="562"/>
        <v>Red</v>
      </c>
      <c r="Z1764" t="str">
        <f t="shared" si="563"/>
        <v>Red</v>
      </c>
      <c r="AA1764" t="str">
        <f t="shared" si="564"/>
        <v>Green</v>
      </c>
      <c r="AB1764" t="str">
        <f t="shared" si="565"/>
        <v>Green</v>
      </c>
      <c r="AC1764" t="str">
        <f t="shared" si="566"/>
        <v>Red</v>
      </c>
      <c r="AD1764" t="str">
        <f t="shared" si="567"/>
        <v>Green</v>
      </c>
    </row>
    <row r="1765" spans="1:30" x14ac:dyDescent="0.2">
      <c r="A1765" t="str">
        <f>L1764&amp;F1765&amp;G1765</f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47"/>
        <v>26/07/2026</v>
      </c>
      <c r="M1765" s="23">
        <f t="shared" si="548"/>
        <v>0</v>
      </c>
      <c r="N1765" t="str">
        <f t="shared" si="549"/>
        <v xml:space="preserve"> - </v>
      </c>
      <c r="O1765" t="str">
        <f t="shared" si="552"/>
        <v>Red</v>
      </c>
      <c r="P1765" t="str">
        <f t="shared" si="553"/>
        <v>Green</v>
      </c>
      <c r="Q1765" t="str">
        <f t="shared" si="554"/>
        <v>Red</v>
      </c>
      <c r="R1765" t="str">
        <f t="shared" si="555"/>
        <v>Green</v>
      </c>
      <c r="S1765" t="str">
        <f t="shared" si="556"/>
        <v>Green</v>
      </c>
      <c r="T1765" t="str">
        <f t="shared" si="557"/>
        <v>Red</v>
      </c>
      <c r="U1765" t="str">
        <f t="shared" si="558"/>
        <v>Red</v>
      </c>
      <c r="V1765" t="str">
        <f t="shared" si="559"/>
        <v>Green</v>
      </c>
      <c r="W1765" t="str">
        <f t="shared" si="560"/>
        <v>Red</v>
      </c>
      <c r="X1765" t="str">
        <f t="shared" si="561"/>
        <v>Red</v>
      </c>
      <c r="Y1765" t="str">
        <f t="shared" si="562"/>
        <v>Red</v>
      </c>
      <c r="Z1765" t="str">
        <f t="shared" si="563"/>
        <v>Red</v>
      </c>
      <c r="AA1765" t="str">
        <f t="shared" si="564"/>
        <v>Green</v>
      </c>
      <c r="AB1765" t="str">
        <f t="shared" si="565"/>
        <v>Green</v>
      </c>
      <c r="AC1765" t="str">
        <f t="shared" si="566"/>
        <v>Red</v>
      </c>
      <c r="AD1765" t="str">
        <f t="shared" si="567"/>
        <v>Green</v>
      </c>
    </row>
    <row r="1766" spans="1:30" x14ac:dyDescent="0.2">
      <c r="A1766" t="str">
        <f>L1765&amp;F1766&amp;G1766</f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2954</v>
      </c>
      <c r="G1766" t="s">
        <v>2955</v>
      </c>
      <c r="H1766">
        <v>0</v>
      </c>
      <c r="I1766">
        <v>2</v>
      </c>
      <c r="J1766">
        <v>0</v>
      </c>
      <c r="K1766">
        <v>6</v>
      </c>
      <c r="L1766" s="22" t="str">
        <f t="shared" si="547"/>
        <v>26/07/2026</v>
      </c>
      <c r="M1766" s="23">
        <f t="shared" si="548"/>
        <v>0</v>
      </c>
      <c r="N1766" t="str">
        <f t="shared" si="549"/>
        <v>0 - 6</v>
      </c>
      <c r="O1766" t="str">
        <f t="shared" si="552"/>
        <v>Red</v>
      </c>
      <c r="P1766" t="str">
        <f t="shared" si="553"/>
        <v>Red</v>
      </c>
      <c r="Q1766" t="str">
        <f t="shared" si="554"/>
        <v>Green</v>
      </c>
      <c r="R1766" t="str">
        <f t="shared" si="555"/>
        <v>Red</v>
      </c>
      <c r="S1766" t="str">
        <f t="shared" si="556"/>
        <v>Green</v>
      </c>
      <c r="T1766" t="str">
        <f t="shared" si="557"/>
        <v>Green</v>
      </c>
      <c r="U1766" t="str">
        <f t="shared" si="558"/>
        <v>Red</v>
      </c>
      <c r="V1766" t="str">
        <f t="shared" si="559"/>
        <v>Red</v>
      </c>
      <c r="W1766" t="str">
        <f t="shared" si="560"/>
        <v>Green</v>
      </c>
      <c r="X1766" t="str">
        <f t="shared" si="561"/>
        <v>Green</v>
      </c>
      <c r="Y1766" t="str">
        <f t="shared" si="562"/>
        <v>Green</v>
      </c>
      <c r="Z1766" t="str">
        <f t="shared" si="563"/>
        <v>Green</v>
      </c>
      <c r="AA1766" t="str">
        <f t="shared" si="564"/>
        <v>Red</v>
      </c>
      <c r="AB1766" t="str">
        <f t="shared" si="565"/>
        <v>Red</v>
      </c>
      <c r="AC1766" t="str">
        <f t="shared" si="566"/>
        <v>Red</v>
      </c>
      <c r="AD1766" t="str">
        <f t="shared" si="567"/>
        <v>Green</v>
      </c>
    </row>
    <row r="1767" spans="1:30" x14ac:dyDescent="0.2">
      <c r="A1767" t="str">
        <f>L1766&amp;F1767&amp;G1767</f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2990</v>
      </c>
      <c r="G1767" t="s">
        <v>2991</v>
      </c>
      <c r="H1767">
        <v>1</v>
      </c>
      <c r="I1767">
        <v>0</v>
      </c>
      <c r="J1767">
        <v>1</v>
      </c>
      <c r="K1767">
        <v>2</v>
      </c>
      <c r="L1767" s="22" t="str">
        <f t="shared" si="547"/>
        <v>26/07/2026</v>
      </c>
      <c r="M1767" s="23">
        <f t="shared" si="548"/>
        <v>0</v>
      </c>
      <c r="N1767" t="str">
        <f t="shared" si="549"/>
        <v>1 - 2</v>
      </c>
      <c r="O1767" t="str">
        <f t="shared" si="552"/>
        <v>Red</v>
      </c>
      <c r="P1767" t="str">
        <f t="shared" si="553"/>
        <v>Red</v>
      </c>
      <c r="Q1767" t="str">
        <f t="shared" si="554"/>
        <v>Green</v>
      </c>
      <c r="R1767" t="str">
        <f t="shared" si="555"/>
        <v>Red</v>
      </c>
      <c r="S1767" t="str">
        <f t="shared" si="556"/>
        <v>Green</v>
      </c>
      <c r="T1767" t="str">
        <f t="shared" si="557"/>
        <v>Green</v>
      </c>
      <c r="U1767" t="str">
        <f t="shared" si="558"/>
        <v>Green</v>
      </c>
      <c r="V1767" t="str">
        <f t="shared" si="559"/>
        <v>Red</v>
      </c>
      <c r="W1767" t="str">
        <f t="shared" si="560"/>
        <v>Red</v>
      </c>
      <c r="X1767" t="str">
        <f t="shared" si="561"/>
        <v>Green</v>
      </c>
      <c r="Y1767" t="str">
        <f t="shared" si="562"/>
        <v>Green</v>
      </c>
      <c r="Z1767" t="str">
        <f t="shared" si="563"/>
        <v>Green</v>
      </c>
      <c r="AA1767" t="str">
        <f t="shared" si="564"/>
        <v>Red</v>
      </c>
      <c r="AB1767" t="str">
        <f t="shared" si="565"/>
        <v>Green</v>
      </c>
      <c r="AC1767" t="str">
        <f t="shared" si="566"/>
        <v>Green</v>
      </c>
      <c r="AD1767" t="str">
        <f t="shared" si="567"/>
        <v>Red</v>
      </c>
    </row>
    <row r="1768" spans="1:30" x14ac:dyDescent="0.2">
      <c r="A1768" t="str">
        <f>L1767&amp;F1768&amp;G1768</f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2992</v>
      </c>
      <c r="G1768" t="s">
        <v>2993</v>
      </c>
      <c r="H1768">
        <v>0</v>
      </c>
      <c r="I1768">
        <v>1</v>
      </c>
      <c r="J1768">
        <v>0</v>
      </c>
      <c r="K1768">
        <v>2</v>
      </c>
      <c r="L1768" s="22" t="str">
        <f t="shared" si="547"/>
        <v>26/07/2026</v>
      </c>
      <c r="M1768" s="23">
        <f t="shared" si="548"/>
        <v>0</v>
      </c>
      <c r="N1768" t="str">
        <f t="shared" si="549"/>
        <v>0 - 2</v>
      </c>
      <c r="O1768" t="str">
        <f t="shared" si="552"/>
        <v>Red</v>
      </c>
      <c r="P1768" t="str">
        <f t="shared" si="553"/>
        <v>Red</v>
      </c>
      <c r="Q1768" t="str">
        <f t="shared" si="554"/>
        <v>Green</v>
      </c>
      <c r="R1768" t="str">
        <f t="shared" si="555"/>
        <v>Red</v>
      </c>
      <c r="S1768" t="str">
        <f t="shared" si="556"/>
        <v>Green</v>
      </c>
      <c r="T1768" t="str">
        <f t="shared" si="557"/>
        <v>Green</v>
      </c>
      <c r="U1768" t="str">
        <f t="shared" si="558"/>
        <v>Red</v>
      </c>
      <c r="V1768" t="str">
        <f t="shared" si="559"/>
        <v>Red</v>
      </c>
      <c r="W1768" t="str">
        <f t="shared" si="560"/>
        <v>Green</v>
      </c>
      <c r="X1768" t="str">
        <f t="shared" si="561"/>
        <v>Green</v>
      </c>
      <c r="Y1768" t="str">
        <f t="shared" si="562"/>
        <v>Green</v>
      </c>
      <c r="Z1768" t="str">
        <f t="shared" si="563"/>
        <v>Red</v>
      </c>
      <c r="AA1768" t="str">
        <f t="shared" si="564"/>
        <v>Green</v>
      </c>
      <c r="AB1768" t="str">
        <f t="shared" si="565"/>
        <v>Green</v>
      </c>
      <c r="AC1768" t="str">
        <f t="shared" si="566"/>
        <v>Red</v>
      </c>
      <c r="AD1768" t="str">
        <f t="shared" si="567"/>
        <v>Green</v>
      </c>
    </row>
    <row r="1769" spans="1:30" x14ac:dyDescent="0.2">
      <c r="A1769" t="str">
        <f>L1768&amp;F1769&amp;G1769</f>
        <v>26/07/2026Santos LagunaClub Atlas</v>
      </c>
      <c r="D1769" s="2">
        <v>46229</v>
      </c>
      <c r="E1769" s="3">
        <v>0.125</v>
      </c>
      <c r="F1769" t="s">
        <v>3413</v>
      </c>
      <c r="G1769" t="s">
        <v>3414</v>
      </c>
      <c r="H1769">
        <v>0</v>
      </c>
      <c r="I1769">
        <v>0</v>
      </c>
      <c r="J1769">
        <v>0</v>
      </c>
      <c r="K1769">
        <v>1</v>
      </c>
      <c r="L1769" s="22" t="str">
        <f t="shared" si="547"/>
        <v>26/07/2026</v>
      </c>
      <c r="M1769" s="23">
        <f t="shared" si="548"/>
        <v>0</v>
      </c>
      <c r="N1769" t="str">
        <f t="shared" si="549"/>
        <v>0 - 1</v>
      </c>
      <c r="O1769" t="str">
        <f t="shared" si="552"/>
        <v>Red</v>
      </c>
      <c r="P1769" t="str">
        <f t="shared" si="553"/>
        <v>Red</v>
      </c>
      <c r="Q1769" t="str">
        <f t="shared" si="554"/>
        <v>Green</v>
      </c>
      <c r="R1769" t="str">
        <f t="shared" si="555"/>
        <v>Red</v>
      </c>
      <c r="S1769" t="str">
        <f t="shared" si="556"/>
        <v>Green</v>
      </c>
      <c r="T1769" t="str">
        <f t="shared" si="557"/>
        <v>Green</v>
      </c>
      <c r="U1769" t="str">
        <f t="shared" si="558"/>
        <v>Red</v>
      </c>
      <c r="V1769" t="str">
        <f t="shared" si="559"/>
        <v>Green</v>
      </c>
      <c r="W1769" t="str">
        <f t="shared" si="560"/>
        <v>Red</v>
      </c>
      <c r="X1769" t="str">
        <f t="shared" si="561"/>
        <v>Red</v>
      </c>
      <c r="Y1769" t="str">
        <f t="shared" si="562"/>
        <v>Red</v>
      </c>
      <c r="Z1769" t="str">
        <f t="shared" si="563"/>
        <v>Red</v>
      </c>
      <c r="AA1769" t="str">
        <f t="shared" si="564"/>
        <v>Green</v>
      </c>
      <c r="AB1769" t="str">
        <f t="shared" si="565"/>
        <v>Green</v>
      </c>
      <c r="AC1769" t="str">
        <f t="shared" si="566"/>
        <v>Red</v>
      </c>
      <c r="AD1769" t="str">
        <f t="shared" si="567"/>
        <v>Green</v>
      </c>
    </row>
    <row r="1770" spans="1:30" x14ac:dyDescent="0.2">
      <c r="A1770" t="str">
        <f>L1769&amp;F1770&amp;G1770</f>
        <v>26/07/2026Tigres UANLAtletico San Luis</v>
      </c>
      <c r="D1770" s="2">
        <v>46229</v>
      </c>
      <c r="E1770" s="3">
        <v>0.125</v>
      </c>
      <c r="F1770" t="s">
        <v>933</v>
      </c>
      <c r="G1770" t="s">
        <v>3415</v>
      </c>
      <c r="H1770">
        <v>1</v>
      </c>
      <c r="I1770">
        <v>1</v>
      </c>
      <c r="J1770">
        <v>2</v>
      </c>
      <c r="K1770">
        <v>2</v>
      </c>
      <c r="L1770" s="22" t="str">
        <f t="shared" si="547"/>
        <v>26/07/2026</v>
      </c>
      <c r="M1770" s="23">
        <f t="shared" si="548"/>
        <v>0</v>
      </c>
      <c r="N1770" t="str">
        <f t="shared" si="549"/>
        <v>2 - 2</v>
      </c>
      <c r="O1770" t="str">
        <f t="shared" si="552"/>
        <v>Red</v>
      </c>
      <c r="P1770" t="str">
        <f t="shared" si="553"/>
        <v>Green</v>
      </c>
      <c r="Q1770" t="str">
        <f t="shared" si="554"/>
        <v>Red</v>
      </c>
      <c r="R1770" t="str">
        <f t="shared" si="555"/>
        <v>Green</v>
      </c>
      <c r="S1770" t="str">
        <f t="shared" si="556"/>
        <v>Green</v>
      </c>
      <c r="T1770" t="str">
        <f t="shared" si="557"/>
        <v>Red</v>
      </c>
      <c r="U1770" t="str">
        <f t="shared" si="558"/>
        <v>Red</v>
      </c>
      <c r="V1770" t="str">
        <f t="shared" si="559"/>
        <v>Green</v>
      </c>
      <c r="W1770" t="str">
        <f t="shared" si="560"/>
        <v>Red</v>
      </c>
      <c r="X1770" t="str">
        <f t="shared" si="561"/>
        <v>Green</v>
      </c>
      <c r="Y1770" t="str">
        <f t="shared" si="562"/>
        <v>Green</v>
      </c>
      <c r="Z1770" t="str">
        <f t="shared" si="563"/>
        <v>Green</v>
      </c>
      <c r="AA1770" t="str">
        <f t="shared" si="564"/>
        <v>Red</v>
      </c>
      <c r="AB1770" t="str">
        <f t="shared" si="565"/>
        <v>Red</v>
      </c>
      <c r="AC1770" t="str">
        <f t="shared" si="566"/>
        <v>Green</v>
      </c>
      <c r="AD1770" t="str">
        <f t="shared" si="567"/>
        <v>Red</v>
      </c>
    </row>
    <row r="1771" spans="1:30" x14ac:dyDescent="0.2">
      <c r="A1771" t="str">
        <f>L1770&amp;F1771&amp;G1771</f>
        <v>26/07/2026AV AltaWestchester SC</v>
      </c>
      <c r="D1771" s="2">
        <v>46229</v>
      </c>
      <c r="E1771" s="3">
        <v>0.125</v>
      </c>
      <c r="F1771" t="s">
        <v>3718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47"/>
        <v>26/07/2026</v>
      </c>
      <c r="M1771" s="23">
        <f t="shared" si="548"/>
        <v>0</v>
      </c>
      <c r="N1771" t="str">
        <f t="shared" si="549"/>
        <v>0 - 0</v>
      </c>
      <c r="O1771" t="str">
        <f t="shared" si="552"/>
        <v>Red</v>
      </c>
      <c r="P1771" t="str">
        <f t="shared" si="553"/>
        <v>Green</v>
      </c>
      <c r="Q1771" t="str">
        <f t="shared" si="554"/>
        <v>Red</v>
      </c>
      <c r="R1771" t="str">
        <f t="shared" si="555"/>
        <v>Green</v>
      </c>
      <c r="S1771" t="str">
        <f t="shared" si="556"/>
        <v>Green</v>
      </c>
      <c r="T1771" t="str">
        <f t="shared" si="557"/>
        <v>Red</v>
      </c>
      <c r="U1771" t="str">
        <f t="shared" si="558"/>
        <v>Red</v>
      </c>
      <c r="V1771" t="str">
        <f t="shared" si="559"/>
        <v>Green</v>
      </c>
      <c r="W1771" t="str">
        <f t="shared" si="560"/>
        <v>Red</v>
      </c>
      <c r="X1771" t="str">
        <f t="shared" si="561"/>
        <v>Red</v>
      </c>
      <c r="Y1771" t="str">
        <f t="shared" si="562"/>
        <v>Red</v>
      </c>
      <c r="Z1771" t="str">
        <f t="shared" si="563"/>
        <v>Red</v>
      </c>
      <c r="AA1771" t="str">
        <f t="shared" si="564"/>
        <v>Green</v>
      </c>
      <c r="AB1771" t="str">
        <f t="shared" si="565"/>
        <v>Green</v>
      </c>
      <c r="AC1771" t="str">
        <f t="shared" si="566"/>
        <v>Red</v>
      </c>
      <c r="AD1771" t="str">
        <f t="shared" si="567"/>
        <v>Green</v>
      </c>
    </row>
    <row r="1772" spans="1:30" x14ac:dyDescent="0.2">
      <c r="A1772" t="str">
        <f>L1771&amp;F1772&amp;G1772</f>
        <v>26/07/2026Auckland FCTottenham</v>
      </c>
      <c r="D1772" s="2">
        <v>46229</v>
      </c>
      <c r="E1772" s="3">
        <v>0.125</v>
      </c>
      <c r="F1772" t="s">
        <v>4021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47"/>
        <v>26/07/2026</v>
      </c>
      <c r="M1772" s="23">
        <f t="shared" si="548"/>
        <v>0</v>
      </c>
      <c r="N1772" t="str">
        <f t="shared" si="549"/>
        <v>0 - 2</v>
      </c>
      <c r="O1772" t="str">
        <f t="shared" si="552"/>
        <v>Red</v>
      </c>
      <c r="P1772" t="str">
        <f t="shared" si="553"/>
        <v>Red</v>
      </c>
      <c r="Q1772" t="str">
        <f t="shared" si="554"/>
        <v>Green</v>
      </c>
      <c r="R1772" t="str">
        <f t="shared" si="555"/>
        <v>Red</v>
      </c>
      <c r="S1772" t="str">
        <f t="shared" si="556"/>
        <v>Green</v>
      </c>
      <c r="T1772" t="str">
        <f t="shared" si="557"/>
        <v>Green</v>
      </c>
      <c r="U1772" t="str">
        <f t="shared" si="558"/>
        <v>Red</v>
      </c>
      <c r="V1772" t="str">
        <f t="shared" si="559"/>
        <v>Red</v>
      </c>
      <c r="W1772" t="str">
        <f t="shared" si="560"/>
        <v>Green</v>
      </c>
      <c r="X1772" t="str">
        <f t="shared" si="561"/>
        <v>Green</v>
      </c>
      <c r="Y1772" t="str">
        <f t="shared" si="562"/>
        <v>Green</v>
      </c>
      <c r="Z1772" t="str">
        <f t="shared" si="563"/>
        <v>Red</v>
      </c>
      <c r="AA1772" t="str">
        <f t="shared" si="564"/>
        <v>Green</v>
      </c>
      <c r="AB1772" t="str">
        <f t="shared" si="565"/>
        <v>Green</v>
      </c>
      <c r="AC1772" t="str">
        <f t="shared" si="566"/>
        <v>Red</v>
      </c>
      <c r="AD1772" t="str">
        <f t="shared" si="567"/>
        <v>Green</v>
      </c>
    </row>
    <row r="1773" spans="1:30" x14ac:dyDescent="0.2">
      <c r="A1773" s="48"/>
      <c r="B1773" s="48"/>
      <c r="C1773" s="48"/>
      <c r="D1773" s="48"/>
      <c r="E1773" s="48"/>
    </row>
  </sheetData>
  <autoFilter ref="A1:AD1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965"/>
  <sheetViews>
    <sheetView workbookViewId="0">
      <pane ySplit="1" topLeftCell="A65" activePane="bottomLeft" state="frozen"/>
      <selection pane="bottomLeft" activeCell="B30" sqref="B30"/>
    </sheetView>
  </sheetViews>
  <sheetFormatPr baseColWidth="10" defaultColWidth="8.83203125" defaultRowHeight="15" x14ac:dyDescent="0.2"/>
  <cols>
    <col min="1" max="2" width="22.5" bestFit="1" customWidth="1"/>
    <col min="5" max="5" width="20.33203125" style="1" bestFit="1" customWidth="1"/>
    <col min="7" max="8" width="23.5" bestFit="1" customWidth="1"/>
  </cols>
  <sheetData>
    <row r="1" spans="1:5" x14ac:dyDescent="0.2">
      <c r="A1" t="s">
        <v>2105</v>
      </c>
      <c r="B1" t="s">
        <v>2106</v>
      </c>
    </row>
    <row r="2" spans="1:5" x14ac:dyDescent="0.2">
      <c r="A2" t="s">
        <v>233</v>
      </c>
      <c r="B2" t="s">
        <v>397</v>
      </c>
      <c r="E2"/>
    </row>
    <row r="3" spans="1:5" x14ac:dyDescent="0.2">
      <c r="A3" t="s">
        <v>70</v>
      </c>
      <c r="B3" t="s">
        <v>878</v>
      </c>
      <c r="E3"/>
    </row>
    <row r="4" spans="1:5" x14ac:dyDescent="0.2">
      <c r="A4" t="s">
        <v>64</v>
      </c>
      <c r="B4" t="s">
        <v>862</v>
      </c>
      <c r="E4"/>
    </row>
    <row r="5" spans="1:5" x14ac:dyDescent="0.2">
      <c r="A5" t="s">
        <v>230</v>
      </c>
      <c r="B5" t="s">
        <v>373</v>
      </c>
      <c r="E5"/>
    </row>
    <row r="6" spans="1:5" x14ac:dyDescent="0.2">
      <c r="A6" t="s">
        <v>73</v>
      </c>
      <c r="B6" t="s">
        <v>73</v>
      </c>
      <c r="E6"/>
    </row>
    <row r="7" spans="1:5" x14ac:dyDescent="0.2">
      <c r="A7" t="s">
        <v>232</v>
      </c>
      <c r="B7" t="s">
        <v>396</v>
      </c>
      <c r="E7"/>
    </row>
    <row r="8" spans="1:5" x14ac:dyDescent="0.2">
      <c r="A8" t="s">
        <v>231</v>
      </c>
      <c r="B8" t="s">
        <v>231</v>
      </c>
      <c r="E8"/>
    </row>
    <row r="9" spans="1:5" x14ac:dyDescent="0.2">
      <c r="A9" t="s">
        <v>239</v>
      </c>
      <c r="B9" t="s">
        <v>432</v>
      </c>
      <c r="E9"/>
    </row>
    <row r="10" spans="1:5" x14ac:dyDescent="0.2">
      <c r="A10" t="s">
        <v>31</v>
      </c>
      <c r="B10" t="s">
        <v>31</v>
      </c>
      <c r="E10"/>
    </row>
    <row r="11" spans="1:5" x14ac:dyDescent="0.2">
      <c r="A11" t="s">
        <v>263</v>
      </c>
      <c r="B11" t="s">
        <v>263</v>
      </c>
      <c r="E11"/>
    </row>
    <row r="12" spans="1:5" x14ac:dyDescent="0.2">
      <c r="A12" t="s">
        <v>25</v>
      </c>
      <c r="B12" t="s">
        <v>1596</v>
      </c>
      <c r="E12"/>
    </row>
    <row r="13" spans="1:5" x14ac:dyDescent="0.2">
      <c r="A13" t="s">
        <v>214</v>
      </c>
      <c r="B13" t="s">
        <v>1335</v>
      </c>
      <c r="E13"/>
    </row>
    <row r="14" spans="1:5" x14ac:dyDescent="0.2">
      <c r="A14" t="s">
        <v>22</v>
      </c>
      <c r="B14" t="s">
        <v>22</v>
      </c>
      <c r="E14"/>
    </row>
    <row r="15" spans="1:5" x14ac:dyDescent="0.2">
      <c r="A15" t="s">
        <v>45</v>
      </c>
      <c r="B15" t="s">
        <v>1870</v>
      </c>
      <c r="E15"/>
    </row>
    <row r="16" spans="1:5" x14ac:dyDescent="0.2">
      <c r="A16" t="s">
        <v>41</v>
      </c>
      <c r="B16" t="s">
        <v>912</v>
      </c>
      <c r="E16"/>
    </row>
    <row r="17" spans="1:5" x14ac:dyDescent="0.2">
      <c r="A17" t="s">
        <v>78</v>
      </c>
      <c r="B17" t="s">
        <v>864</v>
      </c>
      <c r="E17"/>
    </row>
    <row r="18" spans="1:5" x14ac:dyDescent="0.2">
      <c r="A18" t="s">
        <v>65</v>
      </c>
      <c r="B18" t="s">
        <v>65</v>
      </c>
      <c r="E18"/>
    </row>
    <row r="19" spans="1:5" x14ac:dyDescent="0.2">
      <c r="A19" t="s">
        <v>63</v>
      </c>
      <c r="B19" t="s">
        <v>63</v>
      </c>
      <c r="E19"/>
    </row>
    <row r="20" spans="1:5" x14ac:dyDescent="0.2">
      <c r="A20" t="s">
        <v>56</v>
      </c>
      <c r="B20" t="s">
        <v>56</v>
      </c>
      <c r="E20"/>
    </row>
    <row r="21" spans="1:5" x14ac:dyDescent="0.2">
      <c r="A21" t="s">
        <v>228</v>
      </c>
      <c r="B21" t="s">
        <v>429</v>
      </c>
      <c r="E21"/>
    </row>
    <row r="22" spans="1:5" x14ac:dyDescent="0.2">
      <c r="A22" t="s">
        <v>85</v>
      </c>
      <c r="B22" t="s">
        <v>85</v>
      </c>
      <c r="E22"/>
    </row>
    <row r="23" spans="1:5" x14ac:dyDescent="0.2">
      <c r="A23" t="s">
        <v>81</v>
      </c>
      <c r="B23" t="s">
        <v>1882</v>
      </c>
      <c r="E23"/>
    </row>
    <row r="24" spans="1:5" x14ac:dyDescent="0.2">
      <c r="A24" t="s">
        <v>51</v>
      </c>
      <c r="B24" t="s">
        <v>860</v>
      </c>
      <c r="E24"/>
    </row>
    <row r="25" spans="1:5" x14ac:dyDescent="0.2">
      <c r="A25" t="s">
        <v>39</v>
      </c>
      <c r="B25" t="s">
        <v>875</v>
      </c>
      <c r="E25"/>
    </row>
    <row r="26" spans="1:5" x14ac:dyDescent="0.2">
      <c r="A26" t="s">
        <v>42</v>
      </c>
      <c r="B26" t="s">
        <v>913</v>
      </c>
      <c r="E26"/>
    </row>
    <row r="27" spans="1:5" x14ac:dyDescent="0.2">
      <c r="A27" t="s">
        <v>235</v>
      </c>
      <c r="B27" t="s">
        <v>399</v>
      </c>
      <c r="E27"/>
    </row>
    <row r="28" spans="1:5" x14ac:dyDescent="0.2">
      <c r="A28" t="s">
        <v>68</v>
      </c>
      <c r="B28" t="s">
        <v>68</v>
      </c>
      <c r="E28"/>
    </row>
    <row r="29" spans="1:5" x14ac:dyDescent="0.2">
      <c r="A29" t="s">
        <v>76</v>
      </c>
      <c r="B29" t="s">
        <v>76</v>
      </c>
      <c r="E29"/>
    </row>
    <row r="30" spans="1:5" x14ac:dyDescent="0.2">
      <c r="A30" t="s">
        <v>229</v>
      </c>
      <c r="B30" t="s">
        <v>430</v>
      </c>
      <c r="E30"/>
    </row>
    <row r="31" spans="1:5" x14ac:dyDescent="0.2">
      <c r="A31" t="s">
        <v>258</v>
      </c>
      <c r="B31" t="s">
        <v>258</v>
      </c>
      <c r="E31"/>
    </row>
    <row r="32" spans="1:5" x14ac:dyDescent="0.2">
      <c r="A32" t="s">
        <v>226</v>
      </c>
      <c r="B32" t="s">
        <v>1418</v>
      </c>
      <c r="E32"/>
    </row>
    <row r="33" spans="1:5" x14ac:dyDescent="0.2">
      <c r="A33" t="s">
        <v>53</v>
      </c>
      <c r="B33" t="s">
        <v>53</v>
      </c>
      <c r="E33"/>
    </row>
    <row r="34" spans="1:5" x14ac:dyDescent="0.2">
      <c r="A34" t="s">
        <v>92</v>
      </c>
      <c r="B34" t="s">
        <v>867</v>
      </c>
      <c r="E34"/>
    </row>
    <row r="35" spans="1:5" x14ac:dyDescent="0.2">
      <c r="A35" t="s">
        <v>224</v>
      </c>
      <c r="B35" t="s">
        <v>1368</v>
      </c>
      <c r="E35"/>
    </row>
    <row r="36" spans="1:5" x14ac:dyDescent="0.2">
      <c r="A36" t="s">
        <v>244</v>
      </c>
      <c r="B36" t="s">
        <v>296</v>
      </c>
      <c r="E36"/>
    </row>
    <row r="37" spans="1:5" x14ac:dyDescent="0.2">
      <c r="A37" t="s">
        <v>251</v>
      </c>
      <c r="B37" t="s">
        <v>251</v>
      </c>
      <c r="E37"/>
    </row>
    <row r="38" spans="1:5" x14ac:dyDescent="0.2">
      <c r="A38" t="s">
        <v>27</v>
      </c>
      <c r="B38" t="s">
        <v>27</v>
      </c>
      <c r="E38"/>
    </row>
    <row r="39" spans="1:5" x14ac:dyDescent="0.2">
      <c r="A39" t="s">
        <v>262</v>
      </c>
      <c r="B39" t="s">
        <v>293</v>
      </c>
      <c r="E39"/>
    </row>
    <row r="40" spans="1:5" x14ac:dyDescent="0.2">
      <c r="A40" t="s">
        <v>245</v>
      </c>
      <c r="B40" t="s">
        <v>291</v>
      </c>
      <c r="E40"/>
    </row>
    <row r="41" spans="1:5" x14ac:dyDescent="0.2">
      <c r="A41" t="s">
        <v>140</v>
      </c>
      <c r="B41" t="s">
        <v>369</v>
      </c>
      <c r="E41"/>
    </row>
    <row r="42" spans="1:5" x14ac:dyDescent="0.2">
      <c r="A42" t="s">
        <v>248</v>
      </c>
      <c r="B42" t="s">
        <v>282</v>
      </c>
      <c r="E42"/>
    </row>
    <row r="43" spans="1:5" x14ac:dyDescent="0.2">
      <c r="A43" t="s">
        <v>247</v>
      </c>
      <c r="B43" t="s">
        <v>247</v>
      </c>
      <c r="E43"/>
    </row>
    <row r="44" spans="1:5" x14ac:dyDescent="0.2">
      <c r="A44" t="s">
        <v>254</v>
      </c>
      <c r="B44" t="s">
        <v>289</v>
      </c>
      <c r="E44"/>
    </row>
    <row r="45" spans="1:5" x14ac:dyDescent="0.2">
      <c r="A45" t="s">
        <v>66</v>
      </c>
      <c r="B45" t="s">
        <v>876</v>
      </c>
      <c r="E45"/>
    </row>
    <row r="46" spans="1:5" x14ac:dyDescent="0.2">
      <c r="A46" t="s">
        <v>241</v>
      </c>
      <c r="B46" t="s">
        <v>401</v>
      </c>
      <c r="E46"/>
    </row>
    <row r="47" spans="1:5" x14ac:dyDescent="0.2">
      <c r="A47" t="s">
        <v>260</v>
      </c>
      <c r="B47" t="s">
        <v>268</v>
      </c>
      <c r="E47"/>
    </row>
    <row r="48" spans="1:5" x14ac:dyDescent="0.2">
      <c r="A48" t="s">
        <v>30</v>
      </c>
      <c r="B48" t="s">
        <v>1599</v>
      </c>
      <c r="E48"/>
    </row>
    <row r="49" spans="1:5" x14ac:dyDescent="0.2">
      <c r="A49" t="s">
        <v>49</v>
      </c>
      <c r="B49" t="s">
        <v>915</v>
      </c>
      <c r="E49"/>
    </row>
    <row r="50" spans="1:5" x14ac:dyDescent="0.2">
      <c r="A50" t="s">
        <v>29</v>
      </c>
      <c r="B50" t="s">
        <v>1598</v>
      </c>
      <c r="E50"/>
    </row>
    <row r="51" spans="1:5" x14ac:dyDescent="0.2">
      <c r="A51" t="s">
        <v>144</v>
      </c>
      <c r="B51" t="s">
        <v>144</v>
      </c>
      <c r="E51"/>
    </row>
    <row r="52" spans="1:5" x14ac:dyDescent="0.2">
      <c r="A52" t="s">
        <v>162</v>
      </c>
      <c r="B52" t="s">
        <v>292</v>
      </c>
      <c r="E52"/>
    </row>
    <row r="53" spans="1:5" x14ac:dyDescent="0.2">
      <c r="A53" t="s">
        <v>75</v>
      </c>
      <c r="B53" t="s">
        <v>75</v>
      </c>
      <c r="E53"/>
    </row>
    <row r="54" spans="1:5" x14ac:dyDescent="0.2">
      <c r="A54" t="s">
        <v>264</v>
      </c>
      <c r="B54" t="s">
        <v>264</v>
      </c>
      <c r="E54"/>
    </row>
    <row r="55" spans="1:5" x14ac:dyDescent="0.2">
      <c r="A55" t="s">
        <v>265</v>
      </c>
      <c r="B55" t="s">
        <v>265</v>
      </c>
      <c r="E55"/>
    </row>
    <row r="56" spans="1:5" x14ac:dyDescent="0.2">
      <c r="A56" t="s">
        <v>250</v>
      </c>
      <c r="B56" t="s">
        <v>250</v>
      </c>
      <c r="E56"/>
    </row>
    <row r="57" spans="1:5" x14ac:dyDescent="0.2">
      <c r="A57" t="s">
        <v>37</v>
      </c>
      <c r="B57" t="s">
        <v>37</v>
      </c>
      <c r="E57"/>
    </row>
    <row r="58" spans="1:5" x14ac:dyDescent="0.2">
      <c r="A58" t="s">
        <v>236</v>
      </c>
      <c r="B58" t="s">
        <v>236</v>
      </c>
      <c r="E58"/>
    </row>
    <row r="59" spans="1:5" x14ac:dyDescent="0.2">
      <c r="A59" t="s">
        <v>55</v>
      </c>
      <c r="B59" t="s">
        <v>55</v>
      </c>
      <c r="E59"/>
    </row>
    <row r="60" spans="1:5" x14ac:dyDescent="0.2">
      <c r="A60" t="s">
        <v>46</v>
      </c>
      <c r="B60" t="s">
        <v>1871</v>
      </c>
      <c r="E60"/>
    </row>
    <row r="61" spans="1:5" x14ac:dyDescent="0.2">
      <c r="A61" t="s">
        <v>67</v>
      </c>
      <c r="B61" t="s">
        <v>67</v>
      </c>
      <c r="E61"/>
    </row>
    <row r="62" spans="1:5" x14ac:dyDescent="0.2">
      <c r="A62" t="s">
        <v>216</v>
      </c>
      <c r="B62" t="s">
        <v>216</v>
      </c>
      <c r="E62"/>
    </row>
    <row r="63" spans="1:5" x14ac:dyDescent="0.2">
      <c r="A63" t="s">
        <v>218</v>
      </c>
      <c r="B63" t="s">
        <v>1414</v>
      </c>
      <c r="E63"/>
    </row>
    <row r="64" spans="1:5" x14ac:dyDescent="0.2">
      <c r="A64" t="s">
        <v>256</v>
      </c>
      <c r="B64" t="s">
        <v>341</v>
      </c>
      <c r="E64"/>
    </row>
    <row r="65" spans="1:5" x14ac:dyDescent="0.2">
      <c r="A65" t="s">
        <v>222</v>
      </c>
      <c r="B65" t="s">
        <v>1343</v>
      </c>
      <c r="E65"/>
    </row>
    <row r="66" spans="1:5" x14ac:dyDescent="0.2">
      <c r="A66" t="s">
        <v>168</v>
      </c>
      <c r="B66" t="s">
        <v>168</v>
      </c>
      <c r="E66"/>
    </row>
    <row r="67" spans="1:5" x14ac:dyDescent="0.2">
      <c r="A67" t="s">
        <v>87</v>
      </c>
      <c r="B67" t="s">
        <v>87</v>
      </c>
      <c r="E67"/>
    </row>
    <row r="68" spans="1:5" x14ac:dyDescent="0.2">
      <c r="A68" t="s">
        <v>23</v>
      </c>
      <c r="B68" t="s">
        <v>23</v>
      </c>
      <c r="E68"/>
    </row>
    <row r="69" spans="1:5" x14ac:dyDescent="0.2">
      <c r="A69" t="s">
        <v>24</v>
      </c>
      <c r="B69" t="s">
        <v>24</v>
      </c>
      <c r="E69"/>
    </row>
    <row r="70" spans="1:5" x14ac:dyDescent="0.2">
      <c r="A70" t="s">
        <v>47</v>
      </c>
      <c r="B70" t="s">
        <v>47</v>
      </c>
      <c r="E70"/>
    </row>
    <row r="71" spans="1:5" x14ac:dyDescent="0.2">
      <c r="A71" t="s">
        <v>33</v>
      </c>
      <c r="B71" t="s">
        <v>33</v>
      </c>
      <c r="E71"/>
    </row>
    <row r="72" spans="1:5" x14ac:dyDescent="0.2">
      <c r="A72" t="s">
        <v>72</v>
      </c>
      <c r="B72" t="s">
        <v>916</v>
      </c>
      <c r="E72"/>
    </row>
    <row r="73" spans="1:5" x14ac:dyDescent="0.2">
      <c r="A73" t="s">
        <v>89</v>
      </c>
      <c r="B73" t="s">
        <v>89</v>
      </c>
      <c r="E73"/>
    </row>
    <row r="74" spans="1:5" x14ac:dyDescent="0.2">
      <c r="A74" t="s">
        <v>786</v>
      </c>
      <c r="B74" t="s">
        <v>74</v>
      </c>
      <c r="E74"/>
    </row>
    <row r="75" spans="1:5" x14ac:dyDescent="0.2">
      <c r="A75" t="s">
        <v>35</v>
      </c>
      <c r="B75" t="s">
        <v>1840</v>
      </c>
      <c r="E75"/>
    </row>
    <row r="76" spans="1:5" x14ac:dyDescent="0.2">
      <c r="A76" t="s">
        <v>257</v>
      </c>
      <c r="B76" t="s">
        <v>340</v>
      </c>
      <c r="E76"/>
    </row>
    <row r="77" spans="1:5" x14ac:dyDescent="0.2">
      <c r="A77" t="s">
        <v>61</v>
      </c>
      <c r="B77" t="s">
        <v>61</v>
      </c>
      <c r="E77"/>
    </row>
    <row r="78" spans="1:5" x14ac:dyDescent="0.2">
      <c r="A78" t="s">
        <v>80</v>
      </c>
      <c r="B78" t="s">
        <v>865</v>
      </c>
      <c r="E78"/>
    </row>
    <row r="79" spans="1:5" x14ac:dyDescent="0.2">
      <c r="A79" t="s">
        <v>117</v>
      </c>
      <c r="B79" t="s">
        <v>117</v>
      </c>
      <c r="E79"/>
    </row>
    <row r="80" spans="1:5" x14ac:dyDescent="0.2">
      <c r="A80" t="s">
        <v>266</v>
      </c>
      <c r="B80" t="s">
        <v>309</v>
      </c>
      <c r="E80"/>
    </row>
    <row r="81" spans="1:5" x14ac:dyDescent="0.2">
      <c r="A81" t="s">
        <v>77</v>
      </c>
      <c r="B81" t="s">
        <v>863</v>
      </c>
      <c r="E81"/>
    </row>
    <row r="82" spans="1:5" x14ac:dyDescent="0.2">
      <c r="A82" t="s">
        <v>71</v>
      </c>
      <c r="B82" t="s">
        <v>71</v>
      </c>
      <c r="E82"/>
    </row>
    <row r="83" spans="1:5" x14ac:dyDescent="0.2">
      <c r="A83" t="s">
        <v>57</v>
      </c>
      <c r="B83" t="s">
        <v>57</v>
      </c>
      <c r="E83"/>
    </row>
    <row r="84" spans="1:5" x14ac:dyDescent="0.2">
      <c r="A84" t="s">
        <v>52</v>
      </c>
      <c r="B84" t="s">
        <v>861</v>
      </c>
      <c r="E84"/>
    </row>
    <row r="85" spans="1:5" x14ac:dyDescent="0.2">
      <c r="A85" t="s">
        <v>60</v>
      </c>
      <c r="B85" t="s">
        <v>60</v>
      </c>
      <c r="E85"/>
    </row>
    <row r="86" spans="1:5" x14ac:dyDescent="0.2">
      <c r="A86" t="s">
        <v>18</v>
      </c>
      <c r="B86" t="s">
        <v>894</v>
      </c>
      <c r="E86"/>
    </row>
    <row r="87" spans="1:5" x14ac:dyDescent="0.2">
      <c r="A87" t="s">
        <v>259</v>
      </c>
      <c r="B87" t="s">
        <v>269</v>
      </c>
      <c r="E87"/>
    </row>
    <row r="88" spans="1:5" x14ac:dyDescent="0.2">
      <c r="A88" t="s">
        <v>234</v>
      </c>
      <c r="B88" t="s">
        <v>398</v>
      </c>
      <c r="E88"/>
    </row>
    <row r="89" spans="1:5" x14ac:dyDescent="0.2">
      <c r="A89" t="s">
        <v>43</v>
      </c>
      <c r="B89" t="s">
        <v>914</v>
      </c>
      <c r="E89"/>
    </row>
    <row r="90" spans="1:5" x14ac:dyDescent="0.2">
      <c r="A90" t="s">
        <v>102</v>
      </c>
      <c r="B90" t="s">
        <v>300</v>
      </c>
      <c r="E90"/>
    </row>
    <row r="91" spans="1:5" x14ac:dyDescent="0.2">
      <c r="A91" t="s">
        <v>146</v>
      </c>
      <c r="B91" t="s">
        <v>146</v>
      </c>
      <c r="E91"/>
    </row>
    <row r="92" spans="1:5" x14ac:dyDescent="0.2">
      <c r="A92" t="s">
        <v>94</v>
      </c>
      <c r="B92" t="s">
        <v>868</v>
      </c>
      <c r="E92"/>
    </row>
    <row r="93" spans="1:5" x14ac:dyDescent="0.2">
      <c r="A93" t="s">
        <v>40</v>
      </c>
      <c r="B93" t="s">
        <v>40</v>
      </c>
      <c r="E93"/>
    </row>
    <row r="94" spans="1:5" x14ac:dyDescent="0.2">
      <c r="A94" t="s">
        <v>59</v>
      </c>
      <c r="B94" t="s">
        <v>59</v>
      </c>
      <c r="E94"/>
    </row>
    <row r="95" spans="1:5" x14ac:dyDescent="0.2">
      <c r="A95" t="s">
        <v>28</v>
      </c>
      <c r="B95" t="s">
        <v>28</v>
      </c>
      <c r="E95"/>
    </row>
    <row r="96" spans="1:5" x14ac:dyDescent="0.2">
      <c r="A96" t="s">
        <v>44</v>
      </c>
      <c r="B96" t="s">
        <v>44</v>
      </c>
      <c r="E96"/>
    </row>
    <row r="97" spans="1:5" x14ac:dyDescent="0.2">
      <c r="A97" t="s">
        <v>91</v>
      </c>
      <c r="B97" t="s">
        <v>91</v>
      </c>
      <c r="E97"/>
    </row>
    <row r="98" spans="1:5" x14ac:dyDescent="0.2">
      <c r="A98" t="s">
        <v>267</v>
      </c>
      <c r="B98" t="s">
        <v>267</v>
      </c>
      <c r="E98"/>
    </row>
    <row r="99" spans="1:5" x14ac:dyDescent="0.2">
      <c r="A99" t="s">
        <v>237</v>
      </c>
      <c r="B99" t="s">
        <v>395</v>
      </c>
      <c r="E99"/>
    </row>
    <row r="100" spans="1:5" x14ac:dyDescent="0.2">
      <c r="A100" t="s">
        <v>90</v>
      </c>
      <c r="B100" t="s">
        <v>90</v>
      </c>
      <c r="E100"/>
    </row>
    <row r="101" spans="1:5" x14ac:dyDescent="0.2">
      <c r="A101" t="s">
        <v>255</v>
      </c>
      <c r="B101" t="s">
        <v>288</v>
      </c>
      <c r="E101"/>
    </row>
    <row r="102" spans="1:5" x14ac:dyDescent="0.2">
      <c r="A102" t="s">
        <v>246</v>
      </c>
      <c r="B102" t="s">
        <v>290</v>
      </c>
      <c r="E102"/>
    </row>
    <row r="103" spans="1:5" x14ac:dyDescent="0.2">
      <c r="A103" t="s">
        <v>261</v>
      </c>
      <c r="B103" t="s">
        <v>311</v>
      </c>
      <c r="E103"/>
    </row>
    <row r="104" spans="1:5" x14ac:dyDescent="0.2">
      <c r="A104" t="s">
        <v>86</v>
      </c>
      <c r="B104" t="s">
        <v>86</v>
      </c>
      <c r="E104"/>
    </row>
    <row r="105" spans="1:5" x14ac:dyDescent="0.2">
      <c r="A105" t="s">
        <v>93</v>
      </c>
      <c r="B105" t="s">
        <v>93</v>
      </c>
      <c r="E105"/>
    </row>
    <row r="106" spans="1:5" x14ac:dyDescent="0.2">
      <c r="A106" t="s">
        <v>69</v>
      </c>
      <c r="B106" t="s">
        <v>877</v>
      </c>
      <c r="E106"/>
    </row>
    <row r="107" spans="1:5" x14ac:dyDescent="0.2">
      <c r="A107" t="s">
        <v>253</v>
      </c>
      <c r="B107" t="s">
        <v>253</v>
      </c>
      <c r="E107"/>
    </row>
    <row r="108" spans="1:5" x14ac:dyDescent="0.2">
      <c r="A108" t="s">
        <v>74</v>
      </c>
      <c r="B108" t="s">
        <v>74</v>
      </c>
      <c r="E108"/>
    </row>
    <row r="109" spans="1:5" x14ac:dyDescent="0.2">
      <c r="A109" t="s">
        <v>142</v>
      </c>
      <c r="B109" t="s">
        <v>357</v>
      </c>
      <c r="E109"/>
    </row>
    <row r="110" spans="1:5" x14ac:dyDescent="0.2">
      <c r="A110" t="s">
        <v>252</v>
      </c>
      <c r="B110" t="s">
        <v>252</v>
      </c>
      <c r="E110"/>
    </row>
    <row r="111" spans="1:5" x14ac:dyDescent="0.2">
      <c r="A111" t="s">
        <v>50</v>
      </c>
      <c r="B111" t="s">
        <v>50</v>
      </c>
      <c r="E111"/>
    </row>
    <row r="112" spans="1:5" x14ac:dyDescent="0.2">
      <c r="A112" t="s">
        <v>79</v>
      </c>
      <c r="B112" t="s">
        <v>79</v>
      </c>
      <c r="E112"/>
    </row>
    <row r="113" spans="1:5" x14ac:dyDescent="0.2">
      <c r="A113" t="s">
        <v>88</v>
      </c>
      <c r="B113" t="s">
        <v>866</v>
      </c>
      <c r="E113"/>
    </row>
    <row r="114" spans="1:5" x14ac:dyDescent="0.2">
      <c r="A114" t="s">
        <v>249</v>
      </c>
      <c r="B114" t="s">
        <v>283</v>
      </c>
      <c r="E114"/>
    </row>
    <row r="115" spans="1:5" x14ac:dyDescent="0.2">
      <c r="A115" t="s">
        <v>58</v>
      </c>
      <c r="B115" t="s">
        <v>58</v>
      </c>
      <c r="E115"/>
    </row>
    <row r="116" spans="1:5" x14ac:dyDescent="0.2">
      <c r="A116" t="s">
        <v>243</v>
      </c>
      <c r="B116" t="s">
        <v>297</v>
      </c>
      <c r="E116"/>
    </row>
    <row r="117" spans="1:5" x14ac:dyDescent="0.2">
      <c r="A117" t="s">
        <v>21</v>
      </c>
      <c r="B117" t="s">
        <v>892</v>
      </c>
      <c r="E117"/>
    </row>
    <row r="118" spans="1:5" x14ac:dyDescent="0.2">
      <c r="A118" t="s">
        <v>238</v>
      </c>
      <c r="B118" t="s">
        <v>431</v>
      </c>
      <c r="E118"/>
    </row>
    <row r="119" spans="1:5" x14ac:dyDescent="0.2">
      <c r="A119" t="s">
        <v>220</v>
      </c>
      <c r="B119" t="s">
        <v>1416</v>
      </c>
      <c r="E119"/>
    </row>
    <row r="120" spans="1:5" x14ac:dyDescent="0.2">
      <c r="A120" t="s">
        <v>54</v>
      </c>
      <c r="B120" t="s">
        <v>54</v>
      </c>
      <c r="E120"/>
    </row>
    <row r="121" spans="1:5" x14ac:dyDescent="0.2">
      <c r="A121" t="s">
        <v>83</v>
      </c>
      <c r="B121" t="s">
        <v>83</v>
      </c>
      <c r="E121"/>
    </row>
    <row r="122" spans="1:5" x14ac:dyDescent="0.2">
      <c r="A122" t="s">
        <v>167</v>
      </c>
      <c r="B122" t="s">
        <v>167</v>
      </c>
      <c r="E122"/>
    </row>
    <row r="123" spans="1:5" x14ac:dyDescent="0.2">
      <c r="A123" t="s">
        <v>240</v>
      </c>
      <c r="B123" t="s">
        <v>400</v>
      </c>
      <c r="E123"/>
    </row>
    <row r="124" spans="1:5" x14ac:dyDescent="0.2">
      <c r="A124" t="s">
        <v>96</v>
      </c>
      <c r="B124" t="s">
        <v>96</v>
      </c>
      <c r="E124"/>
    </row>
    <row r="125" spans="1:5" x14ac:dyDescent="0.2">
      <c r="A125" t="s">
        <v>98</v>
      </c>
      <c r="B125" t="s">
        <v>98</v>
      </c>
      <c r="E125"/>
    </row>
    <row r="126" spans="1:5" x14ac:dyDescent="0.2">
      <c r="A126" t="s">
        <v>100</v>
      </c>
      <c r="B126" t="s">
        <v>2000</v>
      </c>
    </row>
    <row r="127" spans="1:5" x14ac:dyDescent="0.2">
      <c r="A127" t="s">
        <v>104</v>
      </c>
      <c r="B127" t="s">
        <v>1973</v>
      </c>
      <c r="E127"/>
    </row>
    <row r="128" spans="1:5" x14ac:dyDescent="0.2">
      <c r="A128" t="s">
        <v>106</v>
      </c>
      <c r="B128" t="s">
        <v>1974</v>
      </c>
      <c r="E128"/>
    </row>
    <row r="129" spans="1:5" x14ac:dyDescent="0.2">
      <c r="A129" t="s">
        <v>108</v>
      </c>
      <c r="B129" t="s">
        <v>1971</v>
      </c>
      <c r="E129"/>
    </row>
    <row r="130" spans="1:5" x14ac:dyDescent="0.2">
      <c r="A130" t="s">
        <v>110</v>
      </c>
      <c r="B130" t="s">
        <v>110</v>
      </c>
      <c r="E130"/>
    </row>
    <row r="131" spans="1:5" x14ac:dyDescent="0.2">
      <c r="A131" t="s">
        <v>112</v>
      </c>
      <c r="B131" t="s">
        <v>1981</v>
      </c>
      <c r="E131"/>
    </row>
    <row r="132" spans="1:5" x14ac:dyDescent="0.2">
      <c r="A132" t="s">
        <v>114</v>
      </c>
      <c r="B132" t="s">
        <v>1983</v>
      </c>
      <c r="E132"/>
    </row>
    <row r="133" spans="1:5" x14ac:dyDescent="0.2">
      <c r="A133" t="s">
        <v>116</v>
      </c>
      <c r="B133" t="s">
        <v>116</v>
      </c>
      <c r="E133"/>
    </row>
    <row r="134" spans="1:5" x14ac:dyDescent="0.2">
      <c r="A134" t="s">
        <v>118</v>
      </c>
      <c r="B134" t="s">
        <v>118</v>
      </c>
      <c r="E134"/>
    </row>
    <row r="135" spans="1:5" x14ac:dyDescent="0.2">
      <c r="A135" t="s">
        <v>120</v>
      </c>
      <c r="B135" t="s">
        <v>1975</v>
      </c>
      <c r="E135"/>
    </row>
    <row r="136" spans="1:5" x14ac:dyDescent="0.2">
      <c r="A136" t="s">
        <v>139</v>
      </c>
      <c r="B136" t="s">
        <v>1912</v>
      </c>
      <c r="E136"/>
    </row>
    <row r="137" spans="1:5" x14ac:dyDescent="0.2">
      <c r="A137" t="s">
        <v>141</v>
      </c>
      <c r="B137" t="s">
        <v>1647</v>
      </c>
      <c r="E137"/>
    </row>
    <row r="138" spans="1:5" x14ac:dyDescent="0.2">
      <c r="A138" t="s">
        <v>143</v>
      </c>
      <c r="B138" t="s">
        <v>1930</v>
      </c>
      <c r="E138"/>
    </row>
    <row r="139" spans="1:5" x14ac:dyDescent="0.2">
      <c r="A139" t="s">
        <v>145</v>
      </c>
      <c r="B139" t="s">
        <v>1438</v>
      </c>
      <c r="E139"/>
    </row>
    <row r="140" spans="1:5" x14ac:dyDescent="0.2">
      <c r="A140" t="s">
        <v>161</v>
      </c>
    </row>
    <row r="141" spans="1:5" x14ac:dyDescent="0.2">
      <c r="A141" t="s">
        <v>187</v>
      </c>
      <c r="B141" t="s">
        <v>1607</v>
      </c>
      <c r="E141"/>
    </row>
    <row r="142" spans="1:5" x14ac:dyDescent="0.2">
      <c r="A142" t="s">
        <v>491</v>
      </c>
    </row>
    <row r="143" spans="1:5" x14ac:dyDescent="0.2">
      <c r="A143" t="s">
        <v>493</v>
      </c>
      <c r="B143" t="s">
        <v>383</v>
      </c>
      <c r="E143"/>
    </row>
    <row r="144" spans="1:5" x14ac:dyDescent="0.2">
      <c r="A144" t="s">
        <v>496</v>
      </c>
    </row>
    <row r="145" spans="1:5" x14ac:dyDescent="0.2">
      <c r="A145" t="s">
        <v>497</v>
      </c>
    </row>
    <row r="146" spans="1:5" x14ac:dyDescent="0.2">
      <c r="A146" t="s">
        <v>499</v>
      </c>
      <c r="B146" t="s">
        <v>1288</v>
      </c>
      <c r="E146"/>
    </row>
    <row r="147" spans="1:5" x14ac:dyDescent="0.2">
      <c r="A147" t="s">
        <v>501</v>
      </c>
    </row>
    <row r="148" spans="1:5" x14ac:dyDescent="0.2">
      <c r="A148" t="s">
        <v>503</v>
      </c>
    </row>
    <row r="149" spans="1:5" x14ac:dyDescent="0.2">
      <c r="A149" t="s">
        <v>505</v>
      </c>
    </row>
    <row r="150" spans="1:5" x14ac:dyDescent="0.2">
      <c r="A150" t="s">
        <v>507</v>
      </c>
    </row>
    <row r="151" spans="1:5" x14ac:dyDescent="0.2">
      <c r="A151" t="s">
        <v>509</v>
      </c>
    </row>
    <row r="152" spans="1:5" x14ac:dyDescent="0.2">
      <c r="A152" t="s">
        <v>511</v>
      </c>
    </row>
    <row r="153" spans="1:5" x14ac:dyDescent="0.2">
      <c r="A153" t="s">
        <v>513</v>
      </c>
      <c r="B153" t="s">
        <v>513</v>
      </c>
      <c r="E153"/>
    </row>
    <row r="154" spans="1:5" x14ac:dyDescent="0.2">
      <c r="A154" t="s">
        <v>515</v>
      </c>
    </row>
    <row r="155" spans="1:5" x14ac:dyDescent="0.2">
      <c r="A155" t="s">
        <v>517</v>
      </c>
    </row>
    <row r="156" spans="1:5" x14ac:dyDescent="0.2">
      <c r="A156" t="s">
        <v>519</v>
      </c>
    </row>
    <row r="157" spans="1:5" x14ac:dyDescent="0.2">
      <c r="A157" t="s">
        <v>522</v>
      </c>
      <c r="B157" t="s">
        <v>390</v>
      </c>
      <c r="E157"/>
    </row>
    <row r="158" spans="1:5" x14ac:dyDescent="0.2">
      <c r="A158" t="s">
        <v>524</v>
      </c>
    </row>
    <row r="159" spans="1:5" x14ac:dyDescent="0.2">
      <c r="A159" t="s">
        <v>526</v>
      </c>
    </row>
    <row r="160" spans="1:5" x14ac:dyDescent="0.2">
      <c r="A160" t="s">
        <v>527</v>
      </c>
    </row>
    <row r="161" spans="1:5" x14ac:dyDescent="0.2">
      <c r="A161" t="s">
        <v>529</v>
      </c>
      <c r="B161" t="s">
        <v>904</v>
      </c>
      <c r="E161"/>
    </row>
    <row r="162" spans="1:5" x14ac:dyDescent="0.2">
      <c r="A162" t="s">
        <v>531</v>
      </c>
    </row>
    <row r="163" spans="1:5" x14ac:dyDescent="0.2">
      <c r="A163" t="s">
        <v>533</v>
      </c>
    </row>
    <row r="164" spans="1:5" x14ac:dyDescent="0.2">
      <c r="A164" t="s">
        <v>534</v>
      </c>
    </row>
    <row r="165" spans="1:5" x14ac:dyDescent="0.2">
      <c r="A165" t="s">
        <v>537</v>
      </c>
    </row>
    <row r="166" spans="1:5" x14ac:dyDescent="0.2">
      <c r="A166" t="s">
        <v>539</v>
      </c>
    </row>
    <row r="167" spans="1:5" x14ac:dyDescent="0.2">
      <c r="A167" t="s">
        <v>541</v>
      </c>
    </row>
    <row r="168" spans="1:5" x14ac:dyDescent="0.2">
      <c r="A168" t="s">
        <v>544</v>
      </c>
      <c r="B168" t="s">
        <v>409</v>
      </c>
      <c r="E168"/>
    </row>
    <row r="169" spans="1:5" x14ac:dyDescent="0.2">
      <c r="A169" t="s">
        <v>402</v>
      </c>
      <c r="B169" t="s">
        <v>402</v>
      </c>
      <c r="E169"/>
    </row>
    <row r="170" spans="1:5" x14ac:dyDescent="0.2">
      <c r="A170" t="s">
        <v>548</v>
      </c>
      <c r="B170" t="s">
        <v>1654</v>
      </c>
      <c r="E170"/>
    </row>
    <row r="171" spans="1:5" x14ac:dyDescent="0.2">
      <c r="A171" t="s">
        <v>550</v>
      </c>
      <c r="B171" t="s">
        <v>1599</v>
      </c>
      <c r="E171"/>
    </row>
    <row r="172" spans="1:5" x14ac:dyDescent="0.2">
      <c r="A172" t="s">
        <v>552</v>
      </c>
      <c r="B172" t="s">
        <v>1413</v>
      </c>
      <c r="E172"/>
    </row>
    <row r="173" spans="1:5" x14ac:dyDescent="0.2">
      <c r="A173" t="s">
        <v>554</v>
      </c>
      <c r="B173" t="s">
        <v>1597</v>
      </c>
      <c r="E173"/>
    </row>
    <row r="174" spans="1:5" x14ac:dyDescent="0.2">
      <c r="A174" t="s">
        <v>556</v>
      </c>
      <c r="B174" t="s">
        <v>1415</v>
      </c>
      <c r="E174"/>
    </row>
    <row r="175" spans="1:5" x14ac:dyDescent="0.2">
      <c r="A175" t="s">
        <v>559</v>
      </c>
      <c r="B175" t="s">
        <v>415</v>
      </c>
      <c r="E175"/>
    </row>
    <row r="176" spans="1:5" x14ac:dyDescent="0.2">
      <c r="A176" t="s">
        <v>561</v>
      </c>
    </row>
    <row r="177" spans="1:5" x14ac:dyDescent="0.2">
      <c r="A177" t="s">
        <v>563</v>
      </c>
      <c r="B177" t="s">
        <v>1601</v>
      </c>
      <c r="E177"/>
    </row>
    <row r="178" spans="1:5" x14ac:dyDescent="0.2">
      <c r="A178" t="s">
        <v>565</v>
      </c>
    </row>
    <row r="179" spans="1:5" x14ac:dyDescent="0.2">
      <c r="A179" t="s">
        <v>567</v>
      </c>
    </row>
    <row r="180" spans="1:5" x14ac:dyDescent="0.2">
      <c r="A180" t="s">
        <v>570</v>
      </c>
    </row>
    <row r="181" spans="1:5" x14ac:dyDescent="0.2">
      <c r="A181" t="s">
        <v>571</v>
      </c>
    </row>
    <row r="182" spans="1:5" x14ac:dyDescent="0.2">
      <c r="A182" t="s">
        <v>573</v>
      </c>
    </row>
    <row r="183" spans="1:5" x14ac:dyDescent="0.2">
      <c r="A183" t="s">
        <v>575</v>
      </c>
    </row>
    <row r="184" spans="1:5" x14ac:dyDescent="0.2">
      <c r="A184" t="s">
        <v>577</v>
      </c>
    </row>
    <row r="185" spans="1:5" x14ac:dyDescent="0.2">
      <c r="A185" t="s">
        <v>579</v>
      </c>
    </row>
    <row r="186" spans="1:5" x14ac:dyDescent="0.2">
      <c r="A186" t="s">
        <v>581</v>
      </c>
    </row>
    <row r="187" spans="1:5" x14ac:dyDescent="0.2">
      <c r="A187" t="s">
        <v>404</v>
      </c>
      <c r="B187" t="s">
        <v>404</v>
      </c>
      <c r="E187"/>
    </row>
    <row r="188" spans="1:5" x14ac:dyDescent="0.2">
      <c r="A188" t="s">
        <v>585</v>
      </c>
    </row>
    <row r="189" spans="1:5" x14ac:dyDescent="0.2">
      <c r="A189" t="s">
        <v>410</v>
      </c>
      <c r="B189" t="s">
        <v>410</v>
      </c>
      <c r="E189"/>
    </row>
    <row r="190" spans="1:5" x14ac:dyDescent="0.2">
      <c r="A190" t="s">
        <v>587</v>
      </c>
      <c r="B190" t="s">
        <v>2100</v>
      </c>
      <c r="E190"/>
    </row>
    <row r="191" spans="1:5" x14ac:dyDescent="0.2">
      <c r="A191" t="s">
        <v>588</v>
      </c>
    </row>
    <row r="192" spans="1:5" x14ac:dyDescent="0.2">
      <c r="A192" t="s">
        <v>589</v>
      </c>
      <c r="B192" t="s">
        <v>1921</v>
      </c>
      <c r="E192"/>
    </row>
    <row r="193" spans="1:5" x14ac:dyDescent="0.2">
      <c r="A193" t="s">
        <v>591</v>
      </c>
      <c r="B193" t="s">
        <v>1749</v>
      </c>
      <c r="E193"/>
    </row>
    <row r="194" spans="1:5" x14ac:dyDescent="0.2">
      <c r="A194" t="s">
        <v>592</v>
      </c>
      <c r="B194" t="s">
        <v>1941</v>
      </c>
      <c r="E194"/>
    </row>
    <row r="195" spans="1:5" x14ac:dyDescent="0.2">
      <c r="A195" t="s">
        <v>594</v>
      </c>
      <c r="B195" t="s">
        <v>1688</v>
      </c>
      <c r="E195"/>
    </row>
    <row r="196" spans="1:5" x14ac:dyDescent="0.2">
      <c r="A196" t="s">
        <v>596</v>
      </c>
    </row>
    <row r="197" spans="1:5" x14ac:dyDescent="0.2">
      <c r="A197" t="s">
        <v>598</v>
      </c>
      <c r="B197" t="s">
        <v>1495</v>
      </c>
      <c r="E197"/>
    </row>
    <row r="198" spans="1:5" x14ac:dyDescent="0.2">
      <c r="A198" t="s">
        <v>599</v>
      </c>
    </row>
    <row r="199" spans="1:5" x14ac:dyDescent="0.2">
      <c r="A199" t="s">
        <v>602</v>
      </c>
      <c r="B199" t="s">
        <v>357</v>
      </c>
      <c r="E199"/>
    </row>
    <row r="200" spans="1:5" x14ac:dyDescent="0.2">
      <c r="A200" t="s">
        <v>604</v>
      </c>
      <c r="B200" t="s">
        <v>604</v>
      </c>
      <c r="E200"/>
    </row>
    <row r="201" spans="1:5" x14ac:dyDescent="0.2">
      <c r="A201" t="s">
        <v>606</v>
      </c>
    </row>
    <row r="202" spans="1:5" x14ac:dyDescent="0.2">
      <c r="A202" t="s">
        <v>608</v>
      </c>
    </row>
    <row r="203" spans="1:5" x14ac:dyDescent="0.2">
      <c r="A203" t="s">
        <v>610</v>
      </c>
    </row>
    <row r="204" spans="1:5" x14ac:dyDescent="0.2">
      <c r="A204" t="s">
        <v>613</v>
      </c>
      <c r="B204" t="s">
        <v>1496</v>
      </c>
      <c r="E204"/>
    </row>
    <row r="205" spans="1:5" x14ac:dyDescent="0.2">
      <c r="A205" t="s">
        <v>615</v>
      </c>
      <c r="B205" t="s">
        <v>2066</v>
      </c>
      <c r="E205"/>
    </row>
    <row r="206" spans="1:5" x14ac:dyDescent="0.2">
      <c r="A206" t="s">
        <v>617</v>
      </c>
    </row>
    <row r="207" spans="1:5" x14ac:dyDescent="0.2">
      <c r="A207" t="s">
        <v>619</v>
      </c>
    </row>
    <row r="208" spans="1:5" x14ac:dyDescent="0.2">
      <c r="A208" t="s">
        <v>621</v>
      </c>
    </row>
    <row r="209" spans="1:5" x14ac:dyDescent="0.2">
      <c r="A209" t="s">
        <v>623</v>
      </c>
      <c r="B209" t="s">
        <v>317</v>
      </c>
      <c r="E209"/>
    </row>
    <row r="210" spans="1:5" x14ac:dyDescent="0.2">
      <c r="A210" t="s">
        <v>627</v>
      </c>
      <c r="B210" t="s">
        <v>1965</v>
      </c>
      <c r="E210"/>
    </row>
    <row r="211" spans="1:5" x14ac:dyDescent="0.2">
      <c r="A211" t="s">
        <v>629</v>
      </c>
      <c r="B211" t="s">
        <v>1477</v>
      </c>
      <c r="E211"/>
    </row>
    <row r="212" spans="1:5" x14ac:dyDescent="0.2">
      <c r="A212" t="s">
        <v>631</v>
      </c>
    </row>
    <row r="213" spans="1:5" x14ac:dyDescent="0.2">
      <c r="A213" t="s">
        <v>633</v>
      </c>
    </row>
    <row r="214" spans="1:5" x14ac:dyDescent="0.2">
      <c r="A214" t="s">
        <v>635</v>
      </c>
      <c r="B214" t="s">
        <v>1368</v>
      </c>
      <c r="E214"/>
    </row>
    <row r="215" spans="1:5" x14ac:dyDescent="0.2">
      <c r="A215" t="s">
        <v>636</v>
      </c>
    </row>
    <row r="216" spans="1:5" x14ac:dyDescent="0.2">
      <c r="A216" t="s">
        <v>639</v>
      </c>
      <c r="B216" t="s">
        <v>1744</v>
      </c>
      <c r="E216"/>
    </row>
    <row r="217" spans="1:5" x14ac:dyDescent="0.2">
      <c r="A217" t="s">
        <v>641</v>
      </c>
    </row>
    <row r="218" spans="1:5" x14ac:dyDescent="0.2">
      <c r="A218" t="s">
        <v>643</v>
      </c>
    </row>
    <row r="219" spans="1:5" x14ac:dyDescent="0.2">
      <c r="A219" t="s">
        <v>645</v>
      </c>
    </row>
    <row r="220" spans="1:5" x14ac:dyDescent="0.2">
      <c r="A220" t="s">
        <v>648</v>
      </c>
    </row>
    <row r="221" spans="1:5" x14ac:dyDescent="0.2">
      <c r="A221" t="s">
        <v>651</v>
      </c>
    </row>
    <row r="222" spans="1:5" x14ac:dyDescent="0.2">
      <c r="A222" t="s">
        <v>653</v>
      </c>
      <c r="B222" t="s">
        <v>319</v>
      </c>
      <c r="E222"/>
    </row>
    <row r="223" spans="1:5" x14ac:dyDescent="0.2">
      <c r="A223" t="s">
        <v>655</v>
      </c>
    </row>
    <row r="224" spans="1:5" x14ac:dyDescent="0.2">
      <c r="A224" t="s">
        <v>321</v>
      </c>
      <c r="B224" t="s">
        <v>321</v>
      </c>
      <c r="E224"/>
    </row>
    <row r="225" spans="1:5" x14ac:dyDescent="0.2">
      <c r="A225" t="s">
        <v>658</v>
      </c>
      <c r="B225" t="s">
        <v>1708</v>
      </c>
      <c r="E225"/>
    </row>
    <row r="226" spans="1:5" x14ac:dyDescent="0.2">
      <c r="A226" t="s">
        <v>660</v>
      </c>
    </row>
    <row r="227" spans="1:5" x14ac:dyDescent="0.2">
      <c r="A227" t="s">
        <v>661</v>
      </c>
      <c r="B227" t="s">
        <v>364</v>
      </c>
      <c r="E227"/>
    </row>
    <row r="228" spans="1:5" x14ac:dyDescent="0.2">
      <c r="A228" t="s">
        <v>663</v>
      </c>
    </row>
    <row r="229" spans="1:5" x14ac:dyDescent="0.2">
      <c r="A229" t="s">
        <v>379</v>
      </c>
      <c r="B229" t="s">
        <v>379</v>
      </c>
      <c r="E229"/>
    </row>
    <row r="230" spans="1:5" x14ac:dyDescent="0.2">
      <c r="A230" t="s">
        <v>316</v>
      </c>
      <c r="B230" t="s">
        <v>316</v>
      </c>
      <c r="E230"/>
    </row>
    <row r="231" spans="1:5" x14ac:dyDescent="0.2">
      <c r="A231" t="s">
        <v>667</v>
      </c>
      <c r="B231" t="s">
        <v>667</v>
      </c>
      <c r="E231"/>
    </row>
    <row r="232" spans="1:5" x14ac:dyDescent="0.2">
      <c r="A232" t="s">
        <v>668</v>
      </c>
    </row>
    <row r="233" spans="1:5" x14ac:dyDescent="0.2">
      <c r="A233" t="s">
        <v>318</v>
      </c>
      <c r="B233" t="s">
        <v>318</v>
      </c>
      <c r="E233"/>
    </row>
    <row r="234" spans="1:5" x14ac:dyDescent="0.2">
      <c r="A234" t="s">
        <v>670</v>
      </c>
    </row>
    <row r="235" spans="1:5" x14ac:dyDescent="0.2">
      <c r="A235" t="s">
        <v>672</v>
      </c>
      <c r="B235" t="s">
        <v>372</v>
      </c>
      <c r="E235"/>
    </row>
    <row r="236" spans="1:5" x14ac:dyDescent="0.2">
      <c r="A236" t="s">
        <v>674</v>
      </c>
      <c r="B236" t="s">
        <v>791</v>
      </c>
      <c r="E236"/>
    </row>
    <row r="237" spans="1:5" x14ac:dyDescent="0.2">
      <c r="A237" t="s">
        <v>676</v>
      </c>
      <c r="B237" t="s">
        <v>676</v>
      </c>
      <c r="E237"/>
    </row>
    <row r="238" spans="1:5" x14ac:dyDescent="0.2">
      <c r="A238" t="s">
        <v>678</v>
      </c>
      <c r="B238" t="s">
        <v>1557</v>
      </c>
      <c r="E238"/>
    </row>
    <row r="239" spans="1:5" x14ac:dyDescent="0.2">
      <c r="A239" t="s">
        <v>680</v>
      </c>
      <c r="B239" t="s">
        <v>1964</v>
      </c>
      <c r="E239"/>
    </row>
    <row r="240" spans="1:5" x14ac:dyDescent="0.2">
      <c r="A240" t="s">
        <v>682</v>
      </c>
      <c r="B240" t="s">
        <v>1976</v>
      </c>
      <c r="E240"/>
    </row>
    <row r="241" spans="1:5" x14ac:dyDescent="0.2">
      <c r="A241" t="s">
        <v>684</v>
      </c>
    </row>
    <row r="242" spans="1:5" x14ac:dyDescent="0.2">
      <c r="A242" t="s">
        <v>686</v>
      </c>
    </row>
    <row r="243" spans="1:5" x14ac:dyDescent="0.2">
      <c r="A243" t="s">
        <v>688</v>
      </c>
      <c r="B243" t="s">
        <v>1876</v>
      </c>
      <c r="E243"/>
    </row>
    <row r="244" spans="1:5" x14ac:dyDescent="0.2">
      <c r="A244" t="s">
        <v>690</v>
      </c>
    </row>
    <row r="245" spans="1:5" x14ac:dyDescent="0.2">
      <c r="A245" t="s">
        <v>692</v>
      </c>
    </row>
    <row r="246" spans="1:5" x14ac:dyDescent="0.2">
      <c r="A246" t="s">
        <v>694</v>
      </c>
    </row>
    <row r="247" spans="1:5" x14ac:dyDescent="0.2">
      <c r="A247" t="s">
        <v>696</v>
      </c>
      <c r="B247" t="s">
        <v>891</v>
      </c>
      <c r="E247"/>
    </row>
    <row r="248" spans="1:5" x14ac:dyDescent="0.2">
      <c r="A248" t="s">
        <v>698</v>
      </c>
      <c r="B248" t="s">
        <v>337</v>
      </c>
      <c r="E248"/>
    </row>
    <row r="249" spans="1:5" x14ac:dyDescent="0.2">
      <c r="A249" t="s">
        <v>700</v>
      </c>
      <c r="B249" t="s">
        <v>374</v>
      </c>
      <c r="E249"/>
    </row>
    <row r="250" spans="1:5" x14ac:dyDescent="0.2">
      <c r="A250" t="s">
        <v>702</v>
      </c>
      <c r="B250" t="s">
        <v>328</v>
      </c>
      <c r="E250"/>
    </row>
    <row r="251" spans="1:5" x14ac:dyDescent="0.2">
      <c r="A251" t="s">
        <v>683</v>
      </c>
    </row>
    <row r="252" spans="1:5" x14ac:dyDescent="0.2">
      <c r="A252" t="s">
        <v>704</v>
      </c>
      <c r="B252" t="s">
        <v>333</v>
      </c>
    </row>
    <row r="253" spans="1:5" x14ac:dyDescent="0.2">
      <c r="A253" t="s">
        <v>706</v>
      </c>
    </row>
    <row r="254" spans="1:5" x14ac:dyDescent="0.2">
      <c r="A254" t="s">
        <v>708</v>
      </c>
    </row>
    <row r="255" spans="1:5" x14ac:dyDescent="0.2">
      <c r="A255" t="s">
        <v>710</v>
      </c>
    </row>
    <row r="256" spans="1:5" x14ac:dyDescent="0.2">
      <c r="A256" t="s">
        <v>712</v>
      </c>
    </row>
    <row r="257" spans="1:2" x14ac:dyDescent="0.2">
      <c r="A257" t="s">
        <v>714</v>
      </c>
    </row>
    <row r="258" spans="1:2" x14ac:dyDescent="0.2">
      <c r="A258" t="s">
        <v>716</v>
      </c>
    </row>
    <row r="259" spans="1:2" x14ac:dyDescent="0.2">
      <c r="A259" t="s">
        <v>718</v>
      </c>
    </row>
    <row r="260" spans="1:2" x14ac:dyDescent="0.2">
      <c r="A260" t="s">
        <v>720</v>
      </c>
    </row>
    <row r="261" spans="1:2" x14ac:dyDescent="0.2">
      <c r="A261" t="s">
        <v>722</v>
      </c>
    </row>
    <row r="262" spans="1:2" x14ac:dyDescent="0.2">
      <c r="A262" t="s">
        <v>724</v>
      </c>
    </row>
    <row r="263" spans="1:2" x14ac:dyDescent="0.2">
      <c r="A263" t="s">
        <v>726</v>
      </c>
    </row>
    <row r="264" spans="1:2" x14ac:dyDescent="0.2">
      <c r="A264" t="s">
        <v>729</v>
      </c>
      <c r="B264" t="s">
        <v>330</v>
      </c>
    </row>
    <row r="265" spans="1:2" x14ac:dyDescent="0.2">
      <c r="A265" t="s">
        <v>731</v>
      </c>
    </row>
    <row r="266" spans="1:2" x14ac:dyDescent="0.2">
      <c r="A266" t="s">
        <v>733</v>
      </c>
    </row>
    <row r="267" spans="1:2" x14ac:dyDescent="0.2">
      <c r="A267" t="s">
        <v>735</v>
      </c>
      <c r="B267" t="s">
        <v>1203</v>
      </c>
    </row>
    <row r="268" spans="1:2" x14ac:dyDescent="0.2">
      <c r="A268" t="s">
        <v>737</v>
      </c>
      <c r="B268" t="s">
        <v>424</v>
      </c>
    </row>
    <row r="269" spans="1:2" x14ac:dyDescent="0.2">
      <c r="A269" t="s">
        <v>740</v>
      </c>
      <c r="B269" t="s">
        <v>1315</v>
      </c>
    </row>
    <row r="270" spans="1:2" x14ac:dyDescent="0.2">
      <c r="A270" t="s">
        <v>742</v>
      </c>
      <c r="B270" t="s">
        <v>1860</v>
      </c>
    </row>
    <row r="271" spans="1:2" x14ac:dyDescent="0.2">
      <c r="A271" t="s">
        <v>743</v>
      </c>
    </row>
    <row r="272" spans="1:2" x14ac:dyDescent="0.2">
      <c r="A272" t="s">
        <v>744</v>
      </c>
      <c r="B272" t="s">
        <v>744</v>
      </c>
    </row>
    <row r="273" spans="1:2" x14ac:dyDescent="0.2">
      <c r="A273" t="s">
        <v>745</v>
      </c>
    </row>
    <row r="274" spans="1:2" x14ac:dyDescent="0.2">
      <c r="A274" t="s">
        <v>747</v>
      </c>
      <c r="B274" t="s">
        <v>1285</v>
      </c>
    </row>
    <row r="275" spans="1:2" x14ac:dyDescent="0.2">
      <c r="A275" t="s">
        <v>749</v>
      </c>
      <c r="B275" t="s">
        <v>1885</v>
      </c>
    </row>
    <row r="276" spans="1:2" x14ac:dyDescent="0.2">
      <c r="A276" t="s">
        <v>751</v>
      </c>
      <c r="B276" t="s">
        <v>2068</v>
      </c>
    </row>
    <row r="277" spans="1:2" x14ac:dyDescent="0.2">
      <c r="A277" t="s">
        <v>703</v>
      </c>
      <c r="B277" t="s">
        <v>703</v>
      </c>
    </row>
    <row r="278" spans="1:2" x14ac:dyDescent="0.2">
      <c r="A278" t="s">
        <v>308</v>
      </c>
      <c r="B278" t="s">
        <v>308</v>
      </c>
    </row>
    <row r="279" spans="1:2" x14ac:dyDescent="0.2">
      <c r="A279" t="s">
        <v>754</v>
      </c>
      <c r="B279" t="s">
        <v>1829</v>
      </c>
    </row>
    <row r="280" spans="1:2" x14ac:dyDescent="0.2">
      <c r="A280" t="s">
        <v>756</v>
      </c>
      <c r="B280" t="s">
        <v>1312</v>
      </c>
    </row>
    <row r="281" spans="1:2" x14ac:dyDescent="0.2">
      <c r="A281" t="s">
        <v>758</v>
      </c>
    </row>
    <row r="282" spans="1:2" x14ac:dyDescent="0.2">
      <c r="A282" t="s">
        <v>760</v>
      </c>
    </row>
    <row r="283" spans="1:2" x14ac:dyDescent="0.2">
      <c r="A283" t="s">
        <v>762</v>
      </c>
    </row>
    <row r="284" spans="1:2" x14ac:dyDescent="0.2">
      <c r="A284" t="s">
        <v>82</v>
      </c>
      <c r="B284" t="s">
        <v>82</v>
      </c>
    </row>
    <row r="285" spans="1:2" x14ac:dyDescent="0.2">
      <c r="A285" t="s">
        <v>765</v>
      </c>
    </row>
    <row r="286" spans="1:2" x14ac:dyDescent="0.2">
      <c r="A286" t="s">
        <v>767</v>
      </c>
    </row>
    <row r="287" spans="1:2" x14ac:dyDescent="0.2">
      <c r="A287" t="s">
        <v>769</v>
      </c>
      <c r="B287" t="s">
        <v>1299</v>
      </c>
    </row>
    <row r="288" spans="1:2" x14ac:dyDescent="0.2">
      <c r="A288" t="s">
        <v>771</v>
      </c>
      <c r="B288" t="s">
        <v>1478</v>
      </c>
    </row>
    <row r="289" spans="1:2" x14ac:dyDescent="0.2">
      <c r="A289" t="s">
        <v>773</v>
      </c>
      <c r="B289" t="s">
        <v>1212</v>
      </c>
    </row>
    <row r="290" spans="1:2" x14ac:dyDescent="0.2">
      <c r="A290" t="s">
        <v>776</v>
      </c>
    </row>
    <row r="291" spans="1:2" x14ac:dyDescent="0.2">
      <c r="A291" t="s">
        <v>779</v>
      </c>
      <c r="B291" t="s">
        <v>1325</v>
      </c>
    </row>
    <row r="292" spans="1:2" x14ac:dyDescent="0.2">
      <c r="A292" t="s">
        <v>428</v>
      </c>
      <c r="B292" t="s">
        <v>428</v>
      </c>
    </row>
    <row r="293" spans="1:2" x14ac:dyDescent="0.2">
      <c r="A293" t="s">
        <v>38</v>
      </c>
      <c r="B293" t="s">
        <v>38</v>
      </c>
    </row>
    <row r="294" spans="1:2" x14ac:dyDescent="0.2">
      <c r="A294" t="s">
        <v>782</v>
      </c>
      <c r="B294" t="s">
        <v>1878</v>
      </c>
    </row>
    <row r="295" spans="1:2" x14ac:dyDescent="0.2">
      <c r="A295" t="s">
        <v>784</v>
      </c>
    </row>
    <row r="296" spans="1:2" x14ac:dyDescent="0.2">
      <c r="A296" t="s">
        <v>785</v>
      </c>
      <c r="B296" t="s">
        <v>1821</v>
      </c>
    </row>
    <row r="297" spans="1:2" x14ac:dyDescent="0.2">
      <c r="A297" t="s">
        <v>788</v>
      </c>
    </row>
    <row r="298" spans="1:2" x14ac:dyDescent="0.2">
      <c r="A298" t="s">
        <v>790</v>
      </c>
      <c r="B298" t="s">
        <v>734</v>
      </c>
    </row>
    <row r="299" spans="1:2" x14ac:dyDescent="0.2">
      <c r="A299" t="s">
        <v>419</v>
      </c>
      <c r="B299" t="s">
        <v>419</v>
      </c>
    </row>
    <row r="300" spans="1:2" x14ac:dyDescent="0.2">
      <c r="A300" t="s">
        <v>793</v>
      </c>
      <c r="B300" t="s">
        <v>1325</v>
      </c>
    </row>
    <row r="301" spans="1:2" x14ac:dyDescent="0.2">
      <c r="A301" t="s">
        <v>795</v>
      </c>
      <c r="B301" t="s">
        <v>2107</v>
      </c>
    </row>
    <row r="302" spans="1:2" x14ac:dyDescent="0.2">
      <c r="A302" t="s">
        <v>48</v>
      </c>
      <c r="B302" t="s">
        <v>48</v>
      </c>
    </row>
    <row r="303" spans="1:2" x14ac:dyDescent="0.2">
      <c r="A303" t="s">
        <v>798</v>
      </c>
      <c r="B303" t="s">
        <v>2108</v>
      </c>
    </row>
    <row r="304" spans="1:2" x14ac:dyDescent="0.2">
      <c r="A304" t="s">
        <v>931</v>
      </c>
      <c r="B304" t="s">
        <v>896</v>
      </c>
    </row>
    <row r="305" spans="1:2" x14ac:dyDescent="0.2">
      <c r="A305" t="s">
        <v>933</v>
      </c>
      <c r="B305" t="s">
        <v>1324</v>
      </c>
    </row>
    <row r="306" spans="1:2" x14ac:dyDescent="0.2">
      <c r="A306" t="s">
        <v>935</v>
      </c>
      <c r="B306" t="s">
        <v>2109</v>
      </c>
    </row>
    <row r="307" spans="1:2" x14ac:dyDescent="0.2">
      <c r="A307" t="s">
        <v>937</v>
      </c>
      <c r="B307" t="s">
        <v>1817</v>
      </c>
    </row>
    <row r="308" spans="1:2" x14ac:dyDescent="0.2">
      <c r="A308" t="s">
        <v>939</v>
      </c>
      <c r="B308" t="s">
        <v>897</v>
      </c>
    </row>
    <row r="309" spans="1:2" x14ac:dyDescent="0.2">
      <c r="A309" t="s">
        <v>941</v>
      </c>
    </row>
    <row r="310" spans="1:2" x14ac:dyDescent="0.2">
      <c r="A310" t="s">
        <v>943</v>
      </c>
    </row>
    <row r="311" spans="1:2" x14ac:dyDescent="0.2">
      <c r="A311" t="s">
        <v>945</v>
      </c>
      <c r="B311" t="s">
        <v>408</v>
      </c>
    </row>
    <row r="312" spans="1:2" x14ac:dyDescent="0.2">
      <c r="A312" t="s">
        <v>948</v>
      </c>
    </row>
    <row r="313" spans="1:2" x14ac:dyDescent="0.2">
      <c r="A313" t="s">
        <v>950</v>
      </c>
    </row>
    <row r="314" spans="1:2" x14ac:dyDescent="0.2">
      <c r="A314" t="s">
        <v>26</v>
      </c>
      <c r="B314" t="s">
        <v>1597</v>
      </c>
    </row>
    <row r="315" spans="1:2" x14ac:dyDescent="0.2">
      <c r="A315" t="s">
        <v>221</v>
      </c>
      <c r="B315" t="s">
        <v>1417</v>
      </c>
    </row>
    <row r="316" spans="1:2" x14ac:dyDescent="0.2">
      <c r="A316" t="s">
        <v>952</v>
      </c>
      <c r="B316" t="s">
        <v>1842</v>
      </c>
    </row>
    <row r="317" spans="1:2" x14ac:dyDescent="0.2">
      <c r="A317" t="s">
        <v>954</v>
      </c>
    </row>
    <row r="318" spans="1:2" x14ac:dyDescent="0.2">
      <c r="A318" t="s">
        <v>414</v>
      </c>
      <c r="B318" t="s">
        <v>414</v>
      </c>
    </row>
    <row r="319" spans="1:2" x14ac:dyDescent="0.2">
      <c r="A319" t="s">
        <v>957</v>
      </c>
    </row>
    <row r="320" spans="1:2" x14ac:dyDescent="0.2">
      <c r="A320" t="s">
        <v>959</v>
      </c>
    </row>
    <row r="321" spans="1:2" x14ac:dyDescent="0.2">
      <c r="A321" t="s">
        <v>961</v>
      </c>
    </row>
    <row r="322" spans="1:2" x14ac:dyDescent="0.2">
      <c r="A322" t="s">
        <v>963</v>
      </c>
    </row>
    <row r="323" spans="1:2" x14ac:dyDescent="0.2">
      <c r="A323" t="s">
        <v>966</v>
      </c>
      <c r="B323" t="s">
        <v>966</v>
      </c>
    </row>
    <row r="324" spans="1:2" x14ac:dyDescent="0.2">
      <c r="A324" t="s">
        <v>968</v>
      </c>
      <c r="B324" t="s">
        <v>415</v>
      </c>
    </row>
    <row r="325" spans="1:2" x14ac:dyDescent="0.2">
      <c r="A325" t="s">
        <v>970</v>
      </c>
      <c r="B325" t="s">
        <v>411</v>
      </c>
    </row>
    <row r="326" spans="1:2" x14ac:dyDescent="0.2">
      <c r="A326" t="s">
        <v>973</v>
      </c>
    </row>
    <row r="327" spans="1:2" x14ac:dyDescent="0.2">
      <c r="A327" t="s">
        <v>975</v>
      </c>
      <c r="B327" t="s">
        <v>1539</v>
      </c>
    </row>
    <row r="328" spans="1:2" x14ac:dyDescent="0.2">
      <c r="A328" t="s">
        <v>977</v>
      </c>
    </row>
    <row r="329" spans="1:2" x14ac:dyDescent="0.2">
      <c r="A329" t="s">
        <v>979</v>
      </c>
    </row>
    <row r="330" spans="1:2" x14ac:dyDescent="0.2">
      <c r="A330" t="s">
        <v>981</v>
      </c>
      <c r="B330" t="s">
        <v>1921</v>
      </c>
    </row>
    <row r="331" spans="1:2" x14ac:dyDescent="0.2">
      <c r="A331" t="s">
        <v>983</v>
      </c>
      <c r="B331" t="s">
        <v>983</v>
      </c>
    </row>
    <row r="332" spans="1:2" x14ac:dyDescent="0.2">
      <c r="A332" t="s">
        <v>986</v>
      </c>
    </row>
    <row r="333" spans="1:2" x14ac:dyDescent="0.2">
      <c r="A333" t="s">
        <v>988</v>
      </c>
      <c r="B333" t="s">
        <v>1777</v>
      </c>
    </row>
    <row r="334" spans="1:2" x14ac:dyDescent="0.2">
      <c r="A334" t="s">
        <v>992</v>
      </c>
      <c r="B334" t="s">
        <v>1930</v>
      </c>
    </row>
    <row r="335" spans="1:2" x14ac:dyDescent="0.2">
      <c r="A335" t="s">
        <v>994</v>
      </c>
      <c r="B335" t="s">
        <v>994</v>
      </c>
    </row>
    <row r="336" spans="1:2" x14ac:dyDescent="0.2">
      <c r="A336" t="s">
        <v>996</v>
      </c>
      <c r="B336" t="s">
        <v>1291</v>
      </c>
    </row>
    <row r="337" spans="1:2" x14ac:dyDescent="0.2">
      <c r="A337" t="s">
        <v>998</v>
      </c>
      <c r="B337" t="s">
        <v>1462</v>
      </c>
    </row>
    <row r="338" spans="1:2" x14ac:dyDescent="0.2">
      <c r="A338" t="s">
        <v>1001</v>
      </c>
    </row>
    <row r="339" spans="1:2" x14ac:dyDescent="0.2">
      <c r="A339" t="s">
        <v>1003</v>
      </c>
    </row>
    <row r="340" spans="1:2" x14ac:dyDescent="0.2">
      <c r="A340" t="s">
        <v>1005</v>
      </c>
    </row>
    <row r="341" spans="1:2" x14ac:dyDescent="0.2">
      <c r="A341" t="s">
        <v>1008</v>
      </c>
      <c r="B341" t="s">
        <v>1008</v>
      </c>
    </row>
    <row r="342" spans="1:2" x14ac:dyDescent="0.2">
      <c r="A342" t="s">
        <v>1010</v>
      </c>
      <c r="B342" t="s">
        <v>1938</v>
      </c>
    </row>
    <row r="343" spans="1:2" x14ac:dyDescent="0.2">
      <c r="A343" t="s">
        <v>1013</v>
      </c>
    </row>
    <row r="344" spans="1:2" x14ac:dyDescent="0.2">
      <c r="A344" t="s">
        <v>1016</v>
      </c>
      <c r="B344" t="s">
        <v>1016</v>
      </c>
    </row>
    <row r="345" spans="1:2" x14ac:dyDescent="0.2">
      <c r="A345" t="s">
        <v>1018</v>
      </c>
      <c r="B345" t="s">
        <v>2003</v>
      </c>
    </row>
    <row r="346" spans="1:2" x14ac:dyDescent="0.2">
      <c r="A346" t="s">
        <v>1020</v>
      </c>
    </row>
    <row r="347" spans="1:2" x14ac:dyDescent="0.2">
      <c r="A347" t="s">
        <v>1022</v>
      </c>
      <c r="B347" t="s">
        <v>1555</v>
      </c>
    </row>
    <row r="348" spans="1:2" x14ac:dyDescent="0.2">
      <c r="A348" t="s">
        <v>1025</v>
      </c>
      <c r="B348" t="s">
        <v>1861</v>
      </c>
    </row>
    <row r="349" spans="1:2" x14ac:dyDescent="0.2">
      <c r="A349" t="s">
        <v>1027</v>
      </c>
      <c r="B349" t="s">
        <v>2063</v>
      </c>
    </row>
    <row r="350" spans="1:2" x14ac:dyDescent="0.2">
      <c r="A350" t="s">
        <v>1029</v>
      </c>
      <c r="B350" t="s">
        <v>870</v>
      </c>
    </row>
    <row r="351" spans="1:2" x14ac:dyDescent="0.2">
      <c r="A351" t="s">
        <v>1031</v>
      </c>
      <c r="B351" t="s">
        <v>1942</v>
      </c>
    </row>
    <row r="352" spans="1:2" x14ac:dyDescent="0.2">
      <c r="A352" t="s">
        <v>1034</v>
      </c>
      <c r="B352" t="s">
        <v>1409</v>
      </c>
    </row>
    <row r="353" spans="1:2" x14ac:dyDescent="0.2">
      <c r="A353" t="s">
        <v>1036</v>
      </c>
      <c r="B353" t="s">
        <v>1036</v>
      </c>
    </row>
    <row r="354" spans="1:2" x14ac:dyDescent="0.2">
      <c r="A354" t="s">
        <v>1037</v>
      </c>
      <c r="B354" t="s">
        <v>301</v>
      </c>
    </row>
    <row r="355" spans="1:2" x14ac:dyDescent="0.2">
      <c r="A355" t="s">
        <v>1039</v>
      </c>
      <c r="B355" t="s">
        <v>1725</v>
      </c>
    </row>
    <row r="356" spans="1:2" x14ac:dyDescent="0.2">
      <c r="A356" t="s">
        <v>1041</v>
      </c>
    </row>
    <row r="357" spans="1:2" x14ac:dyDescent="0.2">
      <c r="A357" t="s">
        <v>1044</v>
      </c>
      <c r="B357" t="s">
        <v>272</v>
      </c>
    </row>
    <row r="358" spans="1:2" x14ac:dyDescent="0.2">
      <c r="A358" t="s">
        <v>1046</v>
      </c>
      <c r="B358" t="s">
        <v>1935</v>
      </c>
    </row>
    <row r="359" spans="1:2" x14ac:dyDescent="0.2">
      <c r="A359" t="s">
        <v>1049</v>
      </c>
      <c r="B359" t="s">
        <v>2066</v>
      </c>
    </row>
    <row r="360" spans="1:2" x14ac:dyDescent="0.2">
      <c r="A360" t="s">
        <v>1051</v>
      </c>
      <c r="B360" t="s">
        <v>862</v>
      </c>
    </row>
    <row r="361" spans="1:2" x14ac:dyDescent="0.2">
      <c r="A361" t="s">
        <v>1053</v>
      </c>
      <c r="B361" t="s">
        <v>1433</v>
      </c>
    </row>
    <row r="362" spans="1:2" x14ac:dyDescent="0.2">
      <c r="A362" t="s">
        <v>1055</v>
      </c>
    </row>
    <row r="363" spans="1:2" x14ac:dyDescent="0.2">
      <c r="A363" t="s">
        <v>1057</v>
      </c>
      <c r="B363" t="s">
        <v>1057</v>
      </c>
    </row>
    <row r="364" spans="1:2" x14ac:dyDescent="0.2">
      <c r="A364" t="s">
        <v>1058</v>
      </c>
    </row>
    <row r="365" spans="1:2" x14ac:dyDescent="0.2">
      <c r="A365" t="s">
        <v>1059</v>
      </c>
      <c r="B365" t="s">
        <v>1059</v>
      </c>
    </row>
    <row r="366" spans="1:2" x14ac:dyDescent="0.2">
      <c r="A366" t="s">
        <v>1061</v>
      </c>
      <c r="B366" t="s">
        <v>1709</v>
      </c>
    </row>
    <row r="367" spans="1:2" x14ac:dyDescent="0.2">
      <c r="A367" t="s">
        <v>1063</v>
      </c>
      <c r="B367" t="s">
        <v>1063</v>
      </c>
    </row>
    <row r="368" spans="1:2" x14ac:dyDescent="0.2">
      <c r="A368" t="s">
        <v>1065</v>
      </c>
      <c r="B368" t="s">
        <v>1423</v>
      </c>
    </row>
    <row r="369" spans="1:2" x14ac:dyDescent="0.2">
      <c r="A369" t="s">
        <v>1067</v>
      </c>
      <c r="B369" t="s">
        <v>1067</v>
      </c>
    </row>
    <row r="370" spans="1:2" x14ac:dyDescent="0.2">
      <c r="A370" t="s">
        <v>1069</v>
      </c>
    </row>
    <row r="371" spans="1:2" x14ac:dyDescent="0.2">
      <c r="A371" t="s">
        <v>1071</v>
      </c>
      <c r="B371" t="s">
        <v>1071</v>
      </c>
    </row>
    <row r="372" spans="1:2" x14ac:dyDescent="0.2">
      <c r="A372" t="s">
        <v>1074</v>
      </c>
      <c r="B372" t="s">
        <v>1074</v>
      </c>
    </row>
    <row r="373" spans="1:2" x14ac:dyDescent="0.2">
      <c r="A373" t="s">
        <v>1077</v>
      </c>
      <c r="B373" t="s">
        <v>1485</v>
      </c>
    </row>
    <row r="374" spans="1:2" x14ac:dyDescent="0.2">
      <c r="A374" t="s">
        <v>1079</v>
      </c>
    </row>
    <row r="375" spans="1:2" x14ac:dyDescent="0.2">
      <c r="A375" t="s">
        <v>1082</v>
      </c>
    </row>
    <row r="376" spans="1:2" x14ac:dyDescent="0.2">
      <c r="A376" t="s">
        <v>1084</v>
      </c>
    </row>
    <row r="377" spans="1:2" x14ac:dyDescent="0.2">
      <c r="A377" t="s">
        <v>1087</v>
      </c>
      <c r="B377" t="s">
        <v>1087</v>
      </c>
    </row>
    <row r="378" spans="1:2" x14ac:dyDescent="0.2">
      <c r="A378" t="s">
        <v>1089</v>
      </c>
      <c r="B378" t="s">
        <v>1089</v>
      </c>
    </row>
    <row r="379" spans="1:2" x14ac:dyDescent="0.2">
      <c r="A379" t="s">
        <v>1091</v>
      </c>
      <c r="B379" t="s">
        <v>1091</v>
      </c>
    </row>
    <row r="380" spans="1:2" x14ac:dyDescent="0.2">
      <c r="A380" t="s">
        <v>1093</v>
      </c>
    </row>
    <row r="381" spans="1:2" x14ac:dyDescent="0.2">
      <c r="A381" t="s">
        <v>1095</v>
      </c>
      <c r="B381" t="s">
        <v>652</v>
      </c>
    </row>
    <row r="382" spans="1:2" x14ac:dyDescent="0.2">
      <c r="A382" t="s">
        <v>1097</v>
      </c>
    </row>
    <row r="383" spans="1:2" x14ac:dyDescent="0.2">
      <c r="A383" t="s">
        <v>1099</v>
      </c>
    </row>
    <row r="384" spans="1:2" x14ac:dyDescent="0.2">
      <c r="A384" t="s">
        <v>1101</v>
      </c>
    </row>
    <row r="385" spans="1:2" x14ac:dyDescent="0.2">
      <c r="A385" t="s">
        <v>1103</v>
      </c>
    </row>
    <row r="386" spans="1:2" x14ac:dyDescent="0.2">
      <c r="A386" t="s">
        <v>371</v>
      </c>
      <c r="B386" t="s">
        <v>371</v>
      </c>
    </row>
    <row r="387" spans="1:2" x14ac:dyDescent="0.2">
      <c r="A387" t="s">
        <v>1107</v>
      </c>
    </row>
    <row r="388" spans="1:2" x14ac:dyDescent="0.2">
      <c r="A388" t="s">
        <v>1108</v>
      </c>
    </row>
    <row r="389" spans="1:2" x14ac:dyDescent="0.2">
      <c r="A389" t="s">
        <v>1110</v>
      </c>
      <c r="B389" t="s">
        <v>274</v>
      </c>
    </row>
    <row r="390" spans="1:2" x14ac:dyDescent="0.2">
      <c r="A390" t="s">
        <v>1112</v>
      </c>
    </row>
    <row r="391" spans="1:2" x14ac:dyDescent="0.2">
      <c r="A391" t="s">
        <v>1113</v>
      </c>
    </row>
    <row r="392" spans="1:2" x14ac:dyDescent="0.2">
      <c r="A392" t="s">
        <v>1114</v>
      </c>
    </row>
    <row r="393" spans="1:2" x14ac:dyDescent="0.2">
      <c r="A393" t="s">
        <v>1115</v>
      </c>
    </row>
    <row r="394" spans="1:2" x14ac:dyDescent="0.2">
      <c r="A394" t="s">
        <v>334</v>
      </c>
      <c r="B394" t="s">
        <v>334</v>
      </c>
    </row>
    <row r="395" spans="1:2" x14ac:dyDescent="0.2">
      <c r="A395" t="s">
        <v>1117</v>
      </c>
    </row>
    <row r="396" spans="1:2" x14ac:dyDescent="0.2">
      <c r="A396" t="s">
        <v>1119</v>
      </c>
      <c r="B396" t="s">
        <v>1946</v>
      </c>
    </row>
    <row r="397" spans="1:2" x14ac:dyDescent="0.2">
      <c r="A397" t="s">
        <v>1121</v>
      </c>
    </row>
    <row r="398" spans="1:2" x14ac:dyDescent="0.2">
      <c r="A398" t="s">
        <v>1123</v>
      </c>
      <c r="B398" t="s">
        <v>2048</v>
      </c>
    </row>
    <row r="399" spans="1:2" x14ac:dyDescent="0.2">
      <c r="A399" t="s">
        <v>677</v>
      </c>
      <c r="B399" t="s">
        <v>677</v>
      </c>
    </row>
    <row r="400" spans="1:2" x14ac:dyDescent="0.2">
      <c r="A400" t="s">
        <v>1125</v>
      </c>
      <c r="B400" t="s">
        <v>2097</v>
      </c>
    </row>
    <row r="401" spans="1:2" x14ac:dyDescent="0.2">
      <c r="A401" t="s">
        <v>1126</v>
      </c>
      <c r="B401" t="s">
        <v>301</v>
      </c>
    </row>
    <row r="402" spans="1:2" x14ac:dyDescent="0.2">
      <c r="A402" t="s">
        <v>103</v>
      </c>
      <c r="B402" t="s">
        <v>2001</v>
      </c>
    </row>
    <row r="403" spans="1:2" x14ac:dyDescent="0.2">
      <c r="A403" t="s">
        <v>1128</v>
      </c>
      <c r="B403" t="s">
        <v>1963</v>
      </c>
    </row>
    <row r="404" spans="1:2" x14ac:dyDescent="0.2">
      <c r="A404" t="s">
        <v>1130</v>
      </c>
      <c r="B404" t="s">
        <v>1482</v>
      </c>
    </row>
    <row r="405" spans="1:2" x14ac:dyDescent="0.2">
      <c r="A405" t="s">
        <v>699</v>
      </c>
      <c r="B405" t="s">
        <v>2110</v>
      </c>
    </row>
    <row r="406" spans="1:2" x14ac:dyDescent="0.2">
      <c r="A406" t="s">
        <v>1132</v>
      </c>
      <c r="B406" t="s">
        <v>324</v>
      </c>
    </row>
    <row r="407" spans="1:2" x14ac:dyDescent="0.2">
      <c r="A407" t="s">
        <v>1133</v>
      </c>
    </row>
    <row r="408" spans="1:2" x14ac:dyDescent="0.2">
      <c r="A408" t="s">
        <v>1135</v>
      </c>
    </row>
    <row r="409" spans="1:2" x14ac:dyDescent="0.2">
      <c r="A409" t="s">
        <v>1137</v>
      </c>
      <c r="B409" t="s">
        <v>326</v>
      </c>
    </row>
    <row r="410" spans="1:2" x14ac:dyDescent="0.2">
      <c r="A410" t="s">
        <v>701</v>
      </c>
      <c r="B410" t="s">
        <v>330</v>
      </c>
    </row>
    <row r="411" spans="1:2" x14ac:dyDescent="0.2">
      <c r="A411" t="s">
        <v>1139</v>
      </c>
    </row>
    <row r="412" spans="1:2" x14ac:dyDescent="0.2">
      <c r="A412" t="s">
        <v>327</v>
      </c>
      <c r="B412" t="s">
        <v>327</v>
      </c>
    </row>
    <row r="413" spans="1:2" x14ac:dyDescent="0.2">
      <c r="A413" t="s">
        <v>1142</v>
      </c>
    </row>
    <row r="414" spans="1:2" x14ac:dyDescent="0.2">
      <c r="A414" t="s">
        <v>113</v>
      </c>
      <c r="B414" t="s">
        <v>1982</v>
      </c>
    </row>
    <row r="415" spans="1:2" x14ac:dyDescent="0.2">
      <c r="A415" t="s">
        <v>1144</v>
      </c>
      <c r="B415" t="s">
        <v>1691</v>
      </c>
    </row>
    <row r="416" spans="1:2" x14ac:dyDescent="0.2">
      <c r="A416" t="s">
        <v>1146</v>
      </c>
      <c r="B416" t="s">
        <v>2040</v>
      </c>
    </row>
    <row r="417" spans="1:2" x14ac:dyDescent="0.2">
      <c r="A417" t="s">
        <v>1148</v>
      </c>
      <c r="B417" t="s">
        <v>303</v>
      </c>
    </row>
    <row r="418" spans="1:2" x14ac:dyDescent="0.2">
      <c r="A418" t="s">
        <v>1150</v>
      </c>
    </row>
    <row r="419" spans="1:2" x14ac:dyDescent="0.2">
      <c r="A419" t="s">
        <v>1152</v>
      </c>
    </row>
    <row r="420" spans="1:2" x14ac:dyDescent="0.2">
      <c r="A420" t="s">
        <v>1154</v>
      </c>
      <c r="B420" t="s">
        <v>417</v>
      </c>
    </row>
    <row r="421" spans="1:2" x14ac:dyDescent="0.2">
      <c r="A421" t="s">
        <v>1156</v>
      </c>
    </row>
    <row r="422" spans="1:2" x14ac:dyDescent="0.2">
      <c r="A422" t="s">
        <v>1158</v>
      </c>
    </row>
    <row r="423" spans="1:2" x14ac:dyDescent="0.2">
      <c r="A423" t="s">
        <v>1160</v>
      </c>
      <c r="B423" t="s">
        <v>1361</v>
      </c>
    </row>
    <row r="424" spans="1:2" x14ac:dyDescent="0.2">
      <c r="A424" t="s">
        <v>1162</v>
      </c>
      <c r="B424" t="s">
        <v>377</v>
      </c>
    </row>
    <row r="425" spans="1:2" x14ac:dyDescent="0.2">
      <c r="A425" t="s">
        <v>1163</v>
      </c>
    </row>
    <row r="426" spans="1:2" x14ac:dyDescent="0.2">
      <c r="A426" t="s">
        <v>1165</v>
      </c>
      <c r="B426" t="s">
        <v>1637</v>
      </c>
    </row>
    <row r="427" spans="1:2" x14ac:dyDescent="0.2">
      <c r="A427" t="s">
        <v>1167</v>
      </c>
      <c r="B427" t="s">
        <v>330</v>
      </c>
    </row>
    <row r="428" spans="1:2" x14ac:dyDescent="0.2">
      <c r="A428" t="s">
        <v>1169</v>
      </c>
      <c r="B428" t="s">
        <v>1461</v>
      </c>
    </row>
    <row r="429" spans="1:2" x14ac:dyDescent="0.2">
      <c r="A429" t="s">
        <v>1171</v>
      </c>
      <c r="B429" t="s">
        <v>1872</v>
      </c>
    </row>
    <row r="430" spans="1:2" x14ac:dyDescent="0.2">
      <c r="A430" t="s">
        <v>1173</v>
      </c>
      <c r="B430" t="s">
        <v>380</v>
      </c>
    </row>
    <row r="431" spans="1:2" x14ac:dyDescent="0.2">
      <c r="A431" t="s">
        <v>1175</v>
      </c>
      <c r="B431" t="s">
        <v>734</v>
      </c>
    </row>
    <row r="432" spans="1:2" x14ac:dyDescent="0.2">
      <c r="A432" t="s">
        <v>375</v>
      </c>
      <c r="B432" t="s">
        <v>375</v>
      </c>
    </row>
    <row r="433" spans="1:2" x14ac:dyDescent="0.2">
      <c r="A433" t="s">
        <v>1178</v>
      </c>
    </row>
    <row r="434" spans="1:2" x14ac:dyDescent="0.2">
      <c r="A434" t="s">
        <v>1180</v>
      </c>
      <c r="B434" t="s">
        <v>1535</v>
      </c>
    </row>
    <row r="435" spans="1:2" x14ac:dyDescent="0.2">
      <c r="A435" t="s">
        <v>1182</v>
      </c>
      <c r="B435" t="s">
        <v>1435</v>
      </c>
    </row>
    <row r="436" spans="1:2" x14ac:dyDescent="0.2">
      <c r="A436" t="s">
        <v>1184</v>
      </c>
      <c r="B436" t="s">
        <v>991</v>
      </c>
    </row>
    <row r="437" spans="1:2" x14ac:dyDescent="0.2">
      <c r="A437" t="s">
        <v>1185</v>
      </c>
      <c r="B437" t="s">
        <v>1885</v>
      </c>
    </row>
    <row r="438" spans="1:2" x14ac:dyDescent="0.2">
      <c r="A438" t="s">
        <v>1186</v>
      </c>
      <c r="B438" t="s">
        <v>1879</v>
      </c>
    </row>
    <row r="439" spans="1:2" x14ac:dyDescent="0.2">
      <c r="A439" t="s">
        <v>1187</v>
      </c>
      <c r="B439" t="s">
        <v>1886</v>
      </c>
    </row>
    <row r="440" spans="1:2" x14ac:dyDescent="0.2">
      <c r="A440" t="s">
        <v>1189</v>
      </c>
    </row>
    <row r="441" spans="1:2" x14ac:dyDescent="0.2">
      <c r="A441" t="s">
        <v>1191</v>
      </c>
      <c r="B441" t="s">
        <v>928</v>
      </c>
    </row>
    <row r="442" spans="1:2" x14ac:dyDescent="0.2">
      <c r="A442" t="s">
        <v>1193</v>
      </c>
    </row>
    <row r="443" spans="1:2" x14ac:dyDescent="0.2">
      <c r="A443" t="s">
        <v>1195</v>
      </c>
      <c r="B443" t="s">
        <v>1859</v>
      </c>
    </row>
    <row r="444" spans="1:2" x14ac:dyDescent="0.2">
      <c r="A444" t="s">
        <v>1197</v>
      </c>
    </row>
    <row r="445" spans="1:2" x14ac:dyDescent="0.2">
      <c r="A445" t="s">
        <v>1199</v>
      </c>
    </row>
    <row r="446" spans="1:2" x14ac:dyDescent="0.2">
      <c r="A446" t="s">
        <v>1201</v>
      </c>
    </row>
    <row r="447" spans="1:2" x14ac:dyDescent="0.2">
      <c r="A447" t="s">
        <v>1202</v>
      </c>
    </row>
    <row r="448" spans="1:2" x14ac:dyDescent="0.2">
      <c r="A448" t="s">
        <v>111</v>
      </c>
      <c r="B448" t="s">
        <v>1970</v>
      </c>
    </row>
    <row r="449" spans="1:2" x14ac:dyDescent="0.2">
      <c r="A449" t="s">
        <v>1204</v>
      </c>
    </row>
    <row r="450" spans="1:2" x14ac:dyDescent="0.2">
      <c r="A450" t="s">
        <v>1206</v>
      </c>
    </row>
    <row r="451" spans="1:2" x14ac:dyDescent="0.2">
      <c r="A451" t="s">
        <v>1207</v>
      </c>
    </row>
    <row r="452" spans="1:2" x14ac:dyDescent="0.2">
      <c r="A452" t="s">
        <v>1209</v>
      </c>
    </row>
    <row r="453" spans="1:2" x14ac:dyDescent="0.2">
      <c r="A453" t="s">
        <v>1210</v>
      </c>
      <c r="B453" t="s">
        <v>1587</v>
      </c>
    </row>
    <row r="454" spans="1:2" x14ac:dyDescent="0.2">
      <c r="A454" t="s">
        <v>1212</v>
      </c>
    </row>
    <row r="455" spans="1:2" x14ac:dyDescent="0.2">
      <c r="A455" t="s">
        <v>1213</v>
      </c>
    </row>
    <row r="456" spans="1:2" x14ac:dyDescent="0.2">
      <c r="A456" t="s">
        <v>1215</v>
      </c>
      <c r="B456" t="s">
        <v>2111</v>
      </c>
    </row>
    <row r="457" spans="1:2" x14ac:dyDescent="0.2">
      <c r="A457" t="s">
        <v>1217</v>
      </c>
      <c r="B457" t="s">
        <v>1622</v>
      </c>
    </row>
    <row r="458" spans="1:2" x14ac:dyDescent="0.2">
      <c r="A458" t="s">
        <v>1220</v>
      </c>
      <c r="B458" t="s">
        <v>1583</v>
      </c>
    </row>
    <row r="459" spans="1:2" x14ac:dyDescent="0.2">
      <c r="A459" t="s">
        <v>1222</v>
      </c>
      <c r="B459" t="s">
        <v>280</v>
      </c>
    </row>
    <row r="460" spans="1:2" x14ac:dyDescent="0.2">
      <c r="A460" t="s">
        <v>1224</v>
      </c>
      <c r="B460" t="s">
        <v>1652</v>
      </c>
    </row>
    <row r="461" spans="1:2" x14ac:dyDescent="0.2">
      <c r="A461" t="s">
        <v>1226</v>
      </c>
      <c r="B461" t="s">
        <v>1465</v>
      </c>
    </row>
    <row r="462" spans="1:2" x14ac:dyDescent="0.2">
      <c r="A462" t="s">
        <v>425</v>
      </c>
      <c r="B462" t="s">
        <v>425</v>
      </c>
    </row>
    <row r="463" spans="1:2" x14ac:dyDescent="0.2">
      <c r="A463" t="s">
        <v>1229</v>
      </c>
      <c r="B463" t="s">
        <v>1314</v>
      </c>
    </row>
    <row r="464" spans="1:2" x14ac:dyDescent="0.2">
      <c r="A464" t="s">
        <v>1232</v>
      </c>
    </row>
    <row r="465" spans="1:2" x14ac:dyDescent="0.2">
      <c r="A465" t="s">
        <v>1234</v>
      </c>
      <c r="B465" t="s">
        <v>910</v>
      </c>
    </row>
    <row r="466" spans="1:2" x14ac:dyDescent="0.2">
      <c r="A466" t="s">
        <v>1235</v>
      </c>
      <c r="B466" t="s">
        <v>1926</v>
      </c>
    </row>
    <row r="467" spans="1:2" x14ac:dyDescent="0.2">
      <c r="A467" t="s">
        <v>1237</v>
      </c>
      <c r="B467" t="s">
        <v>1910</v>
      </c>
    </row>
    <row r="468" spans="1:2" x14ac:dyDescent="0.2">
      <c r="A468" t="s">
        <v>1240</v>
      </c>
      <c r="B468" t="s">
        <v>1924</v>
      </c>
    </row>
    <row r="469" spans="1:2" x14ac:dyDescent="0.2">
      <c r="A469" t="s">
        <v>1242</v>
      </c>
      <c r="B469" t="s">
        <v>2007</v>
      </c>
    </row>
    <row r="470" spans="1:2" x14ac:dyDescent="0.2">
      <c r="A470" t="s">
        <v>1245</v>
      </c>
      <c r="B470" t="s">
        <v>1654</v>
      </c>
    </row>
    <row r="471" spans="1:2" x14ac:dyDescent="0.2">
      <c r="A471" t="s">
        <v>1246</v>
      </c>
      <c r="B471" t="s">
        <v>1829</v>
      </c>
    </row>
    <row r="472" spans="1:2" x14ac:dyDescent="0.2">
      <c r="A472" t="s">
        <v>1248</v>
      </c>
      <c r="B472" t="s">
        <v>1490</v>
      </c>
    </row>
    <row r="473" spans="1:2" x14ac:dyDescent="0.2">
      <c r="A473" t="s">
        <v>1250</v>
      </c>
      <c r="B473" t="s">
        <v>1566</v>
      </c>
    </row>
    <row r="474" spans="1:2" x14ac:dyDescent="0.2">
      <c r="A474" t="s">
        <v>1252</v>
      </c>
      <c r="B474" t="s">
        <v>1429</v>
      </c>
    </row>
    <row r="475" spans="1:2" x14ac:dyDescent="0.2">
      <c r="A475" t="s">
        <v>1254</v>
      </c>
    </row>
    <row r="476" spans="1:2" x14ac:dyDescent="0.2">
      <c r="A476" t="s">
        <v>1256</v>
      </c>
      <c r="B476" t="s">
        <v>2112</v>
      </c>
    </row>
    <row r="477" spans="1:2" x14ac:dyDescent="0.2">
      <c r="A477" t="s">
        <v>1257</v>
      </c>
      <c r="B477" t="s">
        <v>1257</v>
      </c>
    </row>
    <row r="478" spans="1:2" x14ac:dyDescent="0.2">
      <c r="A478" t="s">
        <v>1259</v>
      </c>
      <c r="B478" t="s">
        <v>1483</v>
      </c>
    </row>
    <row r="479" spans="1:2" x14ac:dyDescent="0.2">
      <c r="A479" t="s">
        <v>1261</v>
      </c>
      <c r="B479" t="s">
        <v>1470</v>
      </c>
    </row>
    <row r="480" spans="1:2" x14ac:dyDescent="0.2">
      <c r="A480" t="s">
        <v>1264</v>
      </c>
      <c r="B480" t="s">
        <v>303</v>
      </c>
    </row>
    <row r="481" spans="1:2" x14ac:dyDescent="0.2">
      <c r="A481" t="s">
        <v>1265</v>
      </c>
      <c r="B481" t="s">
        <v>1747</v>
      </c>
    </row>
    <row r="482" spans="1:2" x14ac:dyDescent="0.2">
      <c r="A482" t="s">
        <v>1266</v>
      </c>
      <c r="B482" t="s">
        <v>1854</v>
      </c>
    </row>
    <row r="483" spans="1:2" x14ac:dyDescent="0.2">
      <c r="A483" t="s">
        <v>1268</v>
      </c>
      <c r="B483" t="s">
        <v>2046</v>
      </c>
    </row>
    <row r="484" spans="1:2" x14ac:dyDescent="0.2">
      <c r="A484" t="s">
        <v>426</v>
      </c>
      <c r="B484" t="s">
        <v>426</v>
      </c>
    </row>
    <row r="485" spans="1:2" x14ac:dyDescent="0.2">
      <c r="A485" t="s">
        <v>101</v>
      </c>
      <c r="B485" t="s">
        <v>101</v>
      </c>
    </row>
    <row r="486" spans="1:2" x14ac:dyDescent="0.2">
      <c r="A486" t="s">
        <v>1271</v>
      </c>
      <c r="B486" t="s">
        <v>1465</v>
      </c>
    </row>
    <row r="487" spans="1:2" x14ac:dyDescent="0.2">
      <c r="A487" t="s">
        <v>115</v>
      </c>
      <c r="B487" t="s">
        <v>1984</v>
      </c>
    </row>
    <row r="488" spans="1:2" x14ac:dyDescent="0.2">
      <c r="A488" t="s">
        <v>1273</v>
      </c>
      <c r="B488" t="s">
        <v>1320</v>
      </c>
    </row>
    <row r="489" spans="1:2" x14ac:dyDescent="0.2">
      <c r="A489" t="s">
        <v>1275</v>
      </c>
      <c r="B489" t="s">
        <v>1329</v>
      </c>
    </row>
    <row r="490" spans="1:2" x14ac:dyDescent="0.2">
      <c r="A490" t="s">
        <v>1277</v>
      </c>
      <c r="B490" t="s">
        <v>924</v>
      </c>
    </row>
    <row r="491" spans="1:2" x14ac:dyDescent="0.2">
      <c r="A491" t="s">
        <v>1279</v>
      </c>
      <c r="B491" t="s">
        <v>1380</v>
      </c>
    </row>
    <row r="492" spans="1:2" x14ac:dyDescent="0.2">
      <c r="A492" t="s">
        <v>36</v>
      </c>
      <c r="B492" t="s">
        <v>1841</v>
      </c>
    </row>
    <row r="493" spans="1:2" x14ac:dyDescent="0.2">
      <c r="A493" t="s">
        <v>1281</v>
      </c>
      <c r="B493" t="s">
        <v>1976</v>
      </c>
    </row>
    <row r="494" spans="1:2" x14ac:dyDescent="0.2">
      <c r="A494" t="s">
        <v>1283</v>
      </c>
      <c r="B494" t="s">
        <v>1314</v>
      </c>
    </row>
    <row r="495" spans="1:2" x14ac:dyDescent="0.2">
      <c r="A495" t="s">
        <v>188</v>
      </c>
      <c r="B495" t="s">
        <v>310</v>
      </c>
    </row>
    <row r="496" spans="1:2" x14ac:dyDescent="0.2">
      <c r="A496" t="s">
        <v>215</v>
      </c>
      <c r="B496" t="s">
        <v>1336</v>
      </c>
    </row>
    <row r="497" spans="1:2" x14ac:dyDescent="0.2">
      <c r="A497" t="s">
        <v>217</v>
      </c>
      <c r="B497" t="s">
        <v>1413</v>
      </c>
    </row>
    <row r="498" spans="1:2" x14ac:dyDescent="0.2">
      <c r="A498" t="s">
        <v>219</v>
      </c>
      <c r="B498" t="s">
        <v>1415</v>
      </c>
    </row>
    <row r="499" spans="1:2" x14ac:dyDescent="0.2">
      <c r="A499" t="s">
        <v>223</v>
      </c>
      <c r="B499" t="s">
        <v>1344</v>
      </c>
    </row>
    <row r="500" spans="1:2" x14ac:dyDescent="0.2">
      <c r="A500" t="s">
        <v>225</v>
      </c>
      <c r="B500" t="s">
        <v>1369</v>
      </c>
    </row>
    <row r="501" spans="1:2" x14ac:dyDescent="0.2">
      <c r="A501" t="s">
        <v>227</v>
      </c>
      <c r="B501" t="s">
        <v>227</v>
      </c>
    </row>
    <row r="502" spans="1:2" x14ac:dyDescent="0.2">
      <c r="A502" t="s">
        <v>19</v>
      </c>
      <c r="B502" t="s">
        <v>19</v>
      </c>
    </row>
    <row r="503" spans="1:2" x14ac:dyDescent="0.2">
      <c r="A503" t="s">
        <v>32</v>
      </c>
      <c r="B503" t="s">
        <v>1754</v>
      </c>
    </row>
    <row r="504" spans="1:2" x14ac:dyDescent="0.2">
      <c r="A504" t="s">
        <v>34</v>
      </c>
      <c r="B504" t="s">
        <v>1753</v>
      </c>
    </row>
    <row r="505" spans="1:2" x14ac:dyDescent="0.2">
      <c r="A505" t="s">
        <v>62</v>
      </c>
      <c r="B505" t="s">
        <v>62</v>
      </c>
    </row>
    <row r="506" spans="1:2" x14ac:dyDescent="0.2">
      <c r="A506" t="s">
        <v>84</v>
      </c>
      <c r="B506" t="s">
        <v>84</v>
      </c>
    </row>
    <row r="507" spans="1:2" x14ac:dyDescent="0.2">
      <c r="A507" s="7" t="s">
        <v>97</v>
      </c>
      <c r="B507" t="s">
        <v>2071</v>
      </c>
    </row>
    <row r="508" spans="1:2" x14ac:dyDescent="0.2">
      <c r="A508" s="8" t="s">
        <v>99</v>
      </c>
      <c r="B508" t="s">
        <v>2045</v>
      </c>
    </row>
    <row r="509" spans="1:2" x14ac:dyDescent="0.2">
      <c r="A509" s="7" t="s">
        <v>105</v>
      </c>
      <c r="B509" t="s">
        <v>105</v>
      </c>
    </row>
    <row r="510" spans="1:2" x14ac:dyDescent="0.2">
      <c r="A510" s="8" t="s">
        <v>107</v>
      </c>
      <c r="B510" t="s">
        <v>107</v>
      </c>
    </row>
    <row r="511" spans="1:2" x14ac:dyDescent="0.2">
      <c r="A511" s="7" t="s">
        <v>109</v>
      </c>
      <c r="B511" t="s">
        <v>1972</v>
      </c>
    </row>
    <row r="512" spans="1:2" x14ac:dyDescent="0.2">
      <c r="A512" s="8" t="s">
        <v>119</v>
      </c>
      <c r="B512" t="s">
        <v>1985</v>
      </c>
    </row>
    <row r="513" spans="1:2" x14ac:dyDescent="0.2">
      <c r="A513" s="7" t="s">
        <v>121</v>
      </c>
      <c r="B513" t="s">
        <v>121</v>
      </c>
    </row>
    <row r="514" spans="1:2" x14ac:dyDescent="0.2">
      <c r="A514" s="7" t="s">
        <v>125</v>
      </c>
      <c r="B514" t="s">
        <v>2257</v>
      </c>
    </row>
    <row r="515" spans="1:2" x14ac:dyDescent="0.2">
      <c r="A515" s="8" t="s">
        <v>127</v>
      </c>
      <c r="B515" t="s">
        <v>392</v>
      </c>
    </row>
    <row r="516" spans="1:2" x14ac:dyDescent="0.2">
      <c r="A516" s="8" t="s">
        <v>123</v>
      </c>
      <c r="B516" t="s">
        <v>2255</v>
      </c>
    </row>
    <row r="517" spans="1:2" x14ac:dyDescent="0.2">
      <c r="A517" s="7" t="s">
        <v>129</v>
      </c>
      <c r="B517" t="s">
        <v>129</v>
      </c>
    </row>
    <row r="518" spans="1:2" x14ac:dyDescent="0.2">
      <c r="A518" s="8" t="s">
        <v>131</v>
      </c>
      <c r="B518" t="s">
        <v>131</v>
      </c>
    </row>
    <row r="519" spans="1:2" x14ac:dyDescent="0.2">
      <c r="A519" s="8" t="s">
        <v>135</v>
      </c>
      <c r="B519" t="s">
        <v>2593</v>
      </c>
    </row>
    <row r="520" spans="1:2" x14ac:dyDescent="0.2">
      <c r="A520" s="7" t="s">
        <v>133</v>
      </c>
      <c r="B520" t="s">
        <v>133</v>
      </c>
    </row>
    <row r="521" spans="1:2" x14ac:dyDescent="0.2">
      <c r="A521" s="7" t="s">
        <v>137</v>
      </c>
      <c r="B521" t="s">
        <v>2594</v>
      </c>
    </row>
    <row r="522" spans="1:2" x14ac:dyDescent="0.2">
      <c r="A522" s="8" t="s">
        <v>147</v>
      </c>
      <c r="B522" t="s">
        <v>147</v>
      </c>
    </row>
    <row r="523" spans="1:2" x14ac:dyDescent="0.2">
      <c r="A523" s="7" t="s">
        <v>149</v>
      </c>
      <c r="B523" t="s">
        <v>149</v>
      </c>
    </row>
    <row r="524" spans="1:2" x14ac:dyDescent="0.2">
      <c r="A524" s="8" t="s">
        <v>151</v>
      </c>
      <c r="B524" t="s">
        <v>151</v>
      </c>
    </row>
    <row r="525" spans="1:2" x14ac:dyDescent="0.2">
      <c r="A525" s="7" t="s">
        <v>153</v>
      </c>
      <c r="B525" t="s">
        <v>2504</v>
      </c>
    </row>
    <row r="526" spans="1:2" x14ac:dyDescent="0.2">
      <c r="A526" s="8" t="s">
        <v>155</v>
      </c>
      <c r="B526" t="s">
        <v>2505</v>
      </c>
    </row>
    <row r="527" spans="1:2" x14ac:dyDescent="0.2">
      <c r="A527" s="8" t="s">
        <v>159</v>
      </c>
      <c r="B527" t="s">
        <v>2547</v>
      </c>
    </row>
    <row r="528" spans="1:2" x14ac:dyDescent="0.2">
      <c r="A528" s="7" t="s">
        <v>157</v>
      </c>
      <c r="B528" t="s">
        <v>2502</v>
      </c>
    </row>
    <row r="529" spans="1:2" x14ac:dyDescent="0.2">
      <c r="A529" s="8" t="s">
        <v>163</v>
      </c>
      <c r="B529" t="s">
        <v>2494</v>
      </c>
    </row>
    <row r="530" spans="1:2" x14ac:dyDescent="0.2">
      <c r="A530" s="7" t="s">
        <v>165</v>
      </c>
      <c r="B530" t="s">
        <v>2235</v>
      </c>
    </row>
    <row r="531" spans="1:2" x14ac:dyDescent="0.2">
      <c r="A531" s="8" t="s">
        <v>171</v>
      </c>
      <c r="B531" t="s">
        <v>171</v>
      </c>
    </row>
    <row r="532" spans="1:2" x14ac:dyDescent="0.2">
      <c r="A532" s="7" t="s">
        <v>169</v>
      </c>
      <c r="B532" t="s">
        <v>169</v>
      </c>
    </row>
    <row r="533" spans="1:2" x14ac:dyDescent="0.2">
      <c r="A533" s="7" t="s">
        <v>173</v>
      </c>
      <c r="B533" t="s">
        <v>420</v>
      </c>
    </row>
    <row r="534" spans="1:2" x14ac:dyDescent="0.2">
      <c r="A534" s="8" t="s">
        <v>175</v>
      </c>
      <c r="B534" t="s">
        <v>2548</v>
      </c>
    </row>
    <row r="535" spans="1:2" x14ac:dyDescent="0.2">
      <c r="A535" s="7" t="s">
        <v>181</v>
      </c>
      <c r="B535" t="s">
        <v>181</v>
      </c>
    </row>
    <row r="536" spans="1:2" x14ac:dyDescent="0.2">
      <c r="A536" s="7" t="s">
        <v>177</v>
      </c>
      <c r="B536" t="s">
        <v>2237</v>
      </c>
    </row>
    <row r="537" spans="1:2" x14ac:dyDescent="0.2">
      <c r="A537" s="8" t="s">
        <v>183</v>
      </c>
      <c r="B537" t="s">
        <v>2396</v>
      </c>
    </row>
    <row r="538" spans="1:2" x14ac:dyDescent="0.2">
      <c r="A538" s="8" t="s">
        <v>179</v>
      </c>
      <c r="B538" t="s">
        <v>2238</v>
      </c>
    </row>
    <row r="539" spans="1:2" x14ac:dyDescent="0.2">
      <c r="A539" s="7" t="s">
        <v>185</v>
      </c>
      <c r="B539" t="s">
        <v>1323</v>
      </c>
    </row>
    <row r="540" spans="1:2" x14ac:dyDescent="0.2">
      <c r="A540" s="8" t="s">
        <v>191</v>
      </c>
      <c r="B540" t="s">
        <v>191</v>
      </c>
    </row>
    <row r="541" spans="1:2" x14ac:dyDescent="0.2">
      <c r="A541" s="7" t="s">
        <v>189</v>
      </c>
      <c r="B541" t="s">
        <v>189</v>
      </c>
    </row>
    <row r="542" spans="1:2" x14ac:dyDescent="0.2">
      <c r="A542" s="7" t="s">
        <v>193</v>
      </c>
      <c r="B542" t="s">
        <v>193</v>
      </c>
    </row>
    <row r="543" spans="1:2" x14ac:dyDescent="0.2">
      <c r="A543" s="8" t="s">
        <v>195</v>
      </c>
    </row>
    <row r="544" spans="1:2" x14ac:dyDescent="0.2">
      <c r="A544" s="7" t="s">
        <v>197</v>
      </c>
      <c r="B544" t="s">
        <v>2240</v>
      </c>
    </row>
    <row r="545" spans="1:2" x14ac:dyDescent="0.2">
      <c r="A545" s="8" t="s">
        <v>199</v>
      </c>
      <c r="B545" t="s">
        <v>2241</v>
      </c>
    </row>
    <row r="546" spans="1:2" x14ac:dyDescent="0.2">
      <c r="A546" s="7" t="s">
        <v>201</v>
      </c>
      <c r="B546" t="s">
        <v>201</v>
      </c>
    </row>
    <row r="547" spans="1:2" x14ac:dyDescent="0.2">
      <c r="A547" s="8" t="s">
        <v>203</v>
      </c>
      <c r="B547" t="s">
        <v>203</v>
      </c>
    </row>
    <row r="548" spans="1:2" x14ac:dyDescent="0.2">
      <c r="A548" s="7" t="s">
        <v>205</v>
      </c>
      <c r="B548" t="s">
        <v>205</v>
      </c>
    </row>
    <row r="549" spans="1:2" x14ac:dyDescent="0.2">
      <c r="A549" s="8" t="s">
        <v>207</v>
      </c>
      <c r="B549" t="s">
        <v>2546</v>
      </c>
    </row>
    <row r="550" spans="1:2" x14ac:dyDescent="0.2">
      <c r="A550" s="7" t="s">
        <v>209</v>
      </c>
      <c r="B550" t="s">
        <v>209</v>
      </c>
    </row>
    <row r="551" spans="1:2" x14ac:dyDescent="0.2">
      <c r="A551" s="8" t="s">
        <v>211</v>
      </c>
      <c r="B551" t="s">
        <v>2395</v>
      </c>
    </row>
    <row r="552" spans="1:2" x14ac:dyDescent="0.2">
      <c r="A552" s="7" t="s">
        <v>126</v>
      </c>
      <c r="B552" t="s">
        <v>126</v>
      </c>
    </row>
    <row r="553" spans="1:2" x14ac:dyDescent="0.2">
      <c r="A553" s="8" t="s">
        <v>128</v>
      </c>
      <c r="B553" t="s">
        <v>2258</v>
      </c>
    </row>
    <row r="554" spans="1:2" x14ac:dyDescent="0.2">
      <c r="A554" s="8" t="s">
        <v>124</v>
      </c>
      <c r="B554" t="s">
        <v>124</v>
      </c>
    </row>
    <row r="555" spans="1:2" x14ac:dyDescent="0.2">
      <c r="A555" s="7" t="s">
        <v>130</v>
      </c>
      <c r="B555" t="s">
        <v>130</v>
      </c>
    </row>
    <row r="556" spans="1:2" x14ac:dyDescent="0.2">
      <c r="A556" s="8" t="s">
        <v>132</v>
      </c>
      <c r="B556" t="s">
        <v>2259</v>
      </c>
    </row>
    <row r="557" spans="1:2" x14ac:dyDescent="0.2">
      <c r="A557" s="8" t="s">
        <v>136</v>
      </c>
      <c r="B557" t="s">
        <v>136</v>
      </c>
    </row>
    <row r="558" spans="1:2" x14ac:dyDescent="0.2">
      <c r="A558" s="7" t="s">
        <v>134</v>
      </c>
      <c r="B558" t="s">
        <v>134</v>
      </c>
    </row>
    <row r="559" spans="1:2" x14ac:dyDescent="0.2">
      <c r="A559" s="7" t="s">
        <v>138</v>
      </c>
      <c r="B559" t="s">
        <v>138</v>
      </c>
    </row>
    <row r="560" spans="1:2" x14ac:dyDescent="0.2">
      <c r="A560" s="8" t="s">
        <v>148</v>
      </c>
      <c r="B560" t="s">
        <v>148</v>
      </c>
    </row>
    <row r="561" spans="1:2" x14ac:dyDescent="0.2">
      <c r="A561" s="7" t="s">
        <v>150</v>
      </c>
      <c r="B561" t="s">
        <v>2503</v>
      </c>
    </row>
    <row r="562" spans="1:2" x14ac:dyDescent="0.2">
      <c r="A562" s="8" t="s">
        <v>152</v>
      </c>
      <c r="B562" t="s">
        <v>152</v>
      </c>
    </row>
    <row r="563" spans="1:2" x14ac:dyDescent="0.2">
      <c r="A563" s="7" t="s">
        <v>154</v>
      </c>
      <c r="B563" t="s">
        <v>154</v>
      </c>
    </row>
    <row r="564" spans="1:2" x14ac:dyDescent="0.2">
      <c r="A564" s="8" t="s">
        <v>156</v>
      </c>
      <c r="B564" t="s">
        <v>2506</v>
      </c>
    </row>
    <row r="565" spans="1:2" x14ac:dyDescent="0.2">
      <c r="A565" s="8" t="s">
        <v>160</v>
      </c>
      <c r="B565" t="s">
        <v>160</v>
      </c>
    </row>
    <row r="566" spans="1:2" x14ac:dyDescent="0.2">
      <c r="A566" s="7" t="s">
        <v>158</v>
      </c>
      <c r="B566" t="s">
        <v>158</v>
      </c>
    </row>
    <row r="567" spans="1:2" x14ac:dyDescent="0.2">
      <c r="A567" s="8" t="s">
        <v>164</v>
      </c>
      <c r="B567" t="s">
        <v>164</v>
      </c>
    </row>
    <row r="568" spans="1:2" x14ac:dyDescent="0.2">
      <c r="A568" s="7" t="s">
        <v>166</v>
      </c>
      <c r="B568" t="s">
        <v>2236</v>
      </c>
    </row>
    <row r="569" spans="1:2" x14ac:dyDescent="0.2">
      <c r="A569" s="8" t="s">
        <v>172</v>
      </c>
      <c r="B569" t="s">
        <v>2550</v>
      </c>
    </row>
    <row r="570" spans="1:2" x14ac:dyDescent="0.2">
      <c r="A570" s="7" t="s">
        <v>170</v>
      </c>
      <c r="B570" t="s">
        <v>170</v>
      </c>
    </row>
    <row r="571" spans="1:2" x14ac:dyDescent="0.2">
      <c r="A571" s="7" t="s">
        <v>174</v>
      </c>
      <c r="B571" t="s">
        <v>2401</v>
      </c>
    </row>
    <row r="572" spans="1:2" x14ac:dyDescent="0.2">
      <c r="A572" s="8" t="s">
        <v>176</v>
      </c>
      <c r="B572" t="s">
        <v>176</v>
      </c>
    </row>
    <row r="573" spans="1:2" x14ac:dyDescent="0.2">
      <c r="A573" s="7" t="s">
        <v>182</v>
      </c>
      <c r="B573" t="s">
        <v>182</v>
      </c>
    </row>
    <row r="574" spans="1:2" x14ac:dyDescent="0.2">
      <c r="A574" s="7" t="s">
        <v>178</v>
      </c>
      <c r="B574" t="s">
        <v>178</v>
      </c>
    </row>
    <row r="575" spans="1:2" x14ac:dyDescent="0.2">
      <c r="A575" s="8" t="s">
        <v>184</v>
      </c>
      <c r="B575" t="s">
        <v>2397</v>
      </c>
    </row>
    <row r="576" spans="1:2" x14ac:dyDescent="0.2">
      <c r="A576" s="8" t="s">
        <v>180</v>
      </c>
      <c r="B576" t="s">
        <v>2239</v>
      </c>
    </row>
    <row r="577" spans="1:2" x14ac:dyDescent="0.2">
      <c r="A577" s="7" t="s">
        <v>186</v>
      </c>
      <c r="B577" t="s">
        <v>2619</v>
      </c>
    </row>
    <row r="578" spans="1:2" x14ac:dyDescent="0.2">
      <c r="A578" s="8" t="s">
        <v>192</v>
      </c>
      <c r="B578" t="s">
        <v>192</v>
      </c>
    </row>
    <row r="579" spans="1:2" x14ac:dyDescent="0.2">
      <c r="A579" s="7" t="s">
        <v>190</v>
      </c>
      <c r="B579" t="s">
        <v>100</v>
      </c>
    </row>
    <row r="580" spans="1:2" x14ac:dyDescent="0.2">
      <c r="A580" s="7" t="s">
        <v>194</v>
      </c>
      <c r="B580" t="s">
        <v>194</v>
      </c>
    </row>
    <row r="581" spans="1:2" x14ac:dyDescent="0.2">
      <c r="A581" s="8" t="s">
        <v>196</v>
      </c>
    </row>
    <row r="582" spans="1:2" x14ac:dyDescent="0.2">
      <c r="A582" s="7" t="s">
        <v>198</v>
      </c>
      <c r="B582" t="s">
        <v>198</v>
      </c>
    </row>
    <row r="583" spans="1:2" x14ac:dyDescent="0.2">
      <c r="A583" s="8" t="s">
        <v>200</v>
      </c>
      <c r="B583" t="s">
        <v>2242</v>
      </c>
    </row>
    <row r="584" spans="1:2" x14ac:dyDescent="0.2">
      <c r="A584" s="7" t="s">
        <v>202</v>
      </c>
      <c r="B584" t="s">
        <v>202</v>
      </c>
    </row>
    <row r="585" spans="1:2" x14ac:dyDescent="0.2">
      <c r="A585" s="8" t="s">
        <v>204</v>
      </c>
      <c r="B585" t="s">
        <v>204</v>
      </c>
    </row>
    <row r="586" spans="1:2" x14ac:dyDescent="0.2">
      <c r="A586" s="7" t="s">
        <v>206</v>
      </c>
      <c r="B586" t="s">
        <v>2400</v>
      </c>
    </row>
    <row r="587" spans="1:2" x14ac:dyDescent="0.2">
      <c r="A587" s="8" t="s">
        <v>208</v>
      </c>
      <c r="B587" t="s">
        <v>208</v>
      </c>
    </row>
    <row r="588" spans="1:2" x14ac:dyDescent="0.2">
      <c r="A588" s="7" t="s">
        <v>210</v>
      </c>
      <c r="B588" t="s">
        <v>210</v>
      </c>
    </row>
    <row r="589" spans="1:2" x14ac:dyDescent="0.2">
      <c r="A589" s="8" t="s">
        <v>212</v>
      </c>
      <c r="B589" t="s">
        <v>212</v>
      </c>
    </row>
    <row r="590" spans="1:2" x14ac:dyDescent="0.2">
      <c r="A590" s="7" t="s">
        <v>491</v>
      </c>
      <c r="B590" t="s">
        <v>491</v>
      </c>
    </row>
    <row r="591" spans="1:2" x14ac:dyDescent="0.2">
      <c r="A591" s="8" t="s">
        <v>493</v>
      </c>
      <c r="B591" t="s">
        <v>493</v>
      </c>
    </row>
    <row r="592" spans="1:2" x14ac:dyDescent="0.2">
      <c r="A592" s="7" t="s">
        <v>24</v>
      </c>
      <c r="B592" t="s">
        <v>24</v>
      </c>
    </row>
    <row r="593" spans="1:2" x14ac:dyDescent="0.2">
      <c r="A593" s="8" t="s">
        <v>496</v>
      </c>
      <c r="B593" t="s">
        <v>496</v>
      </c>
    </row>
    <row r="594" spans="1:2" x14ac:dyDescent="0.2">
      <c r="A594" s="8" t="s">
        <v>499</v>
      </c>
      <c r="B594" t="s">
        <v>499</v>
      </c>
    </row>
    <row r="595" spans="1:2" x14ac:dyDescent="0.2">
      <c r="A595" s="7" t="s">
        <v>497</v>
      </c>
      <c r="B595" t="s">
        <v>497</v>
      </c>
    </row>
    <row r="596" spans="1:2" x14ac:dyDescent="0.2">
      <c r="A596" s="7" t="s">
        <v>501</v>
      </c>
      <c r="B596" t="s">
        <v>2811</v>
      </c>
    </row>
    <row r="597" spans="1:2" x14ac:dyDescent="0.2">
      <c r="A597" s="8" t="s">
        <v>503</v>
      </c>
      <c r="B597" t="s">
        <v>2815</v>
      </c>
    </row>
    <row r="598" spans="1:2" x14ac:dyDescent="0.2">
      <c r="A598" s="7" t="s">
        <v>505</v>
      </c>
      <c r="B598" t="s">
        <v>505</v>
      </c>
    </row>
    <row r="599" spans="1:2" x14ac:dyDescent="0.2">
      <c r="A599" s="8" t="s">
        <v>507</v>
      </c>
      <c r="B599" t="s">
        <v>2813</v>
      </c>
    </row>
    <row r="600" spans="1:2" x14ac:dyDescent="0.2">
      <c r="A600" s="7" t="s">
        <v>509</v>
      </c>
      <c r="B600" t="s">
        <v>509</v>
      </c>
    </row>
    <row r="601" spans="1:2" x14ac:dyDescent="0.2">
      <c r="A601" s="8" t="s">
        <v>511</v>
      </c>
      <c r="B601" t="s">
        <v>511</v>
      </c>
    </row>
    <row r="602" spans="1:2" x14ac:dyDescent="0.2">
      <c r="A602" s="7" t="s">
        <v>513</v>
      </c>
      <c r="B602" t="s">
        <v>513</v>
      </c>
    </row>
    <row r="603" spans="1:2" x14ac:dyDescent="0.2">
      <c r="A603" s="8" t="s">
        <v>515</v>
      </c>
      <c r="B603" t="s">
        <v>515</v>
      </c>
    </row>
    <row r="604" spans="1:2" x14ac:dyDescent="0.2">
      <c r="A604" s="8" t="s">
        <v>519</v>
      </c>
      <c r="B604" t="s">
        <v>519</v>
      </c>
    </row>
    <row r="605" spans="1:2" x14ac:dyDescent="0.2">
      <c r="A605" s="7" t="s">
        <v>522</v>
      </c>
      <c r="B605" t="s">
        <v>522</v>
      </c>
    </row>
    <row r="606" spans="1:2" x14ac:dyDescent="0.2">
      <c r="A606" s="8" t="s">
        <v>524</v>
      </c>
      <c r="B606" t="s">
        <v>2817</v>
      </c>
    </row>
    <row r="607" spans="1:2" x14ac:dyDescent="0.2">
      <c r="A607" s="7" t="s">
        <v>526</v>
      </c>
      <c r="B607" t="s">
        <v>2818</v>
      </c>
    </row>
    <row r="608" spans="1:2" x14ac:dyDescent="0.2">
      <c r="A608" s="7" t="s">
        <v>517</v>
      </c>
      <c r="B608" t="s">
        <v>2799</v>
      </c>
    </row>
    <row r="609" spans="1:2" x14ac:dyDescent="0.2">
      <c r="A609" s="8" t="s">
        <v>527</v>
      </c>
      <c r="B609" t="s">
        <v>2820</v>
      </c>
    </row>
    <row r="610" spans="1:2" x14ac:dyDescent="0.2">
      <c r="A610" s="7" t="s">
        <v>529</v>
      </c>
      <c r="B610" t="s">
        <v>529</v>
      </c>
    </row>
    <row r="611" spans="1:2" x14ac:dyDescent="0.2">
      <c r="A611" s="8" t="s">
        <v>531</v>
      </c>
      <c r="B611" t="s">
        <v>2800</v>
      </c>
    </row>
    <row r="612" spans="1:2" x14ac:dyDescent="0.2">
      <c r="A612" s="8" t="s">
        <v>534</v>
      </c>
      <c r="B612" t="s">
        <v>2801</v>
      </c>
    </row>
    <row r="613" spans="1:2" x14ac:dyDescent="0.2">
      <c r="A613" s="7" t="s">
        <v>533</v>
      </c>
      <c r="B613" t="s">
        <v>903</v>
      </c>
    </row>
    <row r="614" spans="1:2" x14ac:dyDescent="0.2">
      <c r="A614" s="7" t="s">
        <v>537</v>
      </c>
      <c r="B614" t="s">
        <v>537</v>
      </c>
    </row>
    <row r="615" spans="1:2" x14ac:dyDescent="0.2">
      <c r="A615" s="8" t="s">
        <v>539</v>
      </c>
      <c r="B615" t="s">
        <v>2803</v>
      </c>
    </row>
    <row r="616" spans="1:2" x14ac:dyDescent="0.2">
      <c r="A616" s="7" t="s">
        <v>541</v>
      </c>
      <c r="B616" t="s">
        <v>2805</v>
      </c>
    </row>
    <row r="617" spans="1:2" x14ac:dyDescent="0.2">
      <c r="A617" s="7" t="s">
        <v>402</v>
      </c>
      <c r="B617" t="s">
        <v>402</v>
      </c>
    </row>
    <row r="618" spans="1:2" x14ac:dyDescent="0.2">
      <c r="A618" s="8" t="s">
        <v>544</v>
      </c>
      <c r="B618" t="s">
        <v>409</v>
      </c>
    </row>
    <row r="619" spans="1:2" x14ac:dyDescent="0.2">
      <c r="A619" s="8" t="s">
        <v>548</v>
      </c>
      <c r="B619" t="s">
        <v>2814</v>
      </c>
    </row>
    <row r="620" spans="1:2" x14ac:dyDescent="0.2">
      <c r="A620" s="7" t="s">
        <v>550</v>
      </c>
      <c r="B620" t="s">
        <v>3642</v>
      </c>
    </row>
    <row r="621" spans="1:2" x14ac:dyDescent="0.2">
      <c r="A621" s="8" t="s">
        <v>552</v>
      </c>
      <c r="B621" t="s">
        <v>3644</v>
      </c>
    </row>
    <row r="622" spans="1:2" x14ac:dyDescent="0.2">
      <c r="A622" s="7" t="s">
        <v>30</v>
      </c>
      <c r="B622" t="s">
        <v>1599</v>
      </c>
    </row>
    <row r="623" spans="1:2" x14ac:dyDescent="0.2">
      <c r="A623" s="7" t="s">
        <v>554</v>
      </c>
      <c r="B623" t="s">
        <v>3645</v>
      </c>
    </row>
    <row r="624" spans="1:2" x14ac:dyDescent="0.2">
      <c r="A624" s="8" t="s">
        <v>556</v>
      </c>
      <c r="B624" t="s">
        <v>556</v>
      </c>
    </row>
    <row r="625" spans="1:2" x14ac:dyDescent="0.2">
      <c r="A625" s="8" t="s">
        <v>28</v>
      </c>
      <c r="B625" t="s">
        <v>28</v>
      </c>
    </row>
    <row r="626" spans="1:2" x14ac:dyDescent="0.2">
      <c r="A626" s="7" t="s">
        <v>559</v>
      </c>
      <c r="B626" t="s">
        <v>559</v>
      </c>
    </row>
    <row r="627" spans="1:2" x14ac:dyDescent="0.2">
      <c r="A627" s="8" t="s">
        <v>570</v>
      </c>
      <c r="B627" t="s">
        <v>3393</v>
      </c>
    </row>
    <row r="628" spans="1:2" x14ac:dyDescent="0.2">
      <c r="A628" s="8" t="s">
        <v>565</v>
      </c>
      <c r="B628" t="s">
        <v>3137</v>
      </c>
    </row>
    <row r="629" spans="1:2" x14ac:dyDescent="0.2">
      <c r="A629" s="8" t="s">
        <v>561</v>
      </c>
      <c r="B629" t="s">
        <v>3132</v>
      </c>
    </row>
    <row r="630" spans="1:2" x14ac:dyDescent="0.2">
      <c r="A630" s="7" t="s">
        <v>563</v>
      </c>
      <c r="B630" t="s">
        <v>1601</v>
      </c>
    </row>
    <row r="631" spans="1:2" x14ac:dyDescent="0.2">
      <c r="A631" s="7" t="s">
        <v>567</v>
      </c>
      <c r="B631" t="s">
        <v>3139</v>
      </c>
    </row>
    <row r="632" spans="1:2" x14ac:dyDescent="0.2">
      <c r="A632" s="7" t="s">
        <v>571</v>
      </c>
      <c r="B632" t="s">
        <v>571</v>
      </c>
    </row>
    <row r="633" spans="1:2" x14ac:dyDescent="0.2">
      <c r="A633" s="7" t="s">
        <v>575</v>
      </c>
      <c r="B633" t="s">
        <v>3140</v>
      </c>
    </row>
    <row r="634" spans="1:2" x14ac:dyDescent="0.2">
      <c r="A634" s="8" t="s">
        <v>577</v>
      </c>
      <c r="B634" t="s">
        <v>3141</v>
      </c>
    </row>
    <row r="635" spans="1:2" x14ac:dyDescent="0.2">
      <c r="A635" s="7" t="s">
        <v>579</v>
      </c>
      <c r="B635" t="s">
        <v>1600</v>
      </c>
    </row>
    <row r="636" spans="1:2" x14ac:dyDescent="0.2">
      <c r="A636" s="8" t="s">
        <v>573</v>
      </c>
      <c r="B636" t="s">
        <v>3135</v>
      </c>
    </row>
    <row r="637" spans="1:2" x14ac:dyDescent="0.2">
      <c r="A637" s="8" t="s">
        <v>581</v>
      </c>
      <c r="B637" t="s">
        <v>3131</v>
      </c>
    </row>
    <row r="638" spans="1:2" x14ac:dyDescent="0.2">
      <c r="A638" s="7" t="s">
        <v>404</v>
      </c>
      <c r="B638" t="s">
        <v>404</v>
      </c>
    </row>
    <row r="639" spans="1:2" x14ac:dyDescent="0.2">
      <c r="A639" s="8" t="s">
        <v>587</v>
      </c>
      <c r="B639" t="s">
        <v>3218</v>
      </c>
    </row>
    <row r="640" spans="1:2" x14ac:dyDescent="0.2">
      <c r="A640" s="7" t="s">
        <v>588</v>
      </c>
      <c r="B640" t="s">
        <v>588</v>
      </c>
    </row>
    <row r="641" spans="1:2" x14ac:dyDescent="0.2">
      <c r="A641" s="8" t="s">
        <v>585</v>
      </c>
      <c r="B641" t="s">
        <v>3390</v>
      </c>
    </row>
    <row r="642" spans="1:2" x14ac:dyDescent="0.2">
      <c r="A642" s="7" t="s">
        <v>410</v>
      </c>
      <c r="B642" t="s">
        <v>410</v>
      </c>
    </row>
    <row r="643" spans="1:2" x14ac:dyDescent="0.2">
      <c r="A643" s="7" t="s">
        <v>598</v>
      </c>
      <c r="B643" t="s">
        <v>2763</v>
      </c>
    </row>
    <row r="644" spans="1:2" x14ac:dyDescent="0.2">
      <c r="A644" s="8" t="s">
        <v>599</v>
      </c>
      <c r="B644" t="s">
        <v>599</v>
      </c>
    </row>
    <row r="645" spans="1:2" x14ac:dyDescent="0.2">
      <c r="A645" s="7" t="s">
        <v>591</v>
      </c>
      <c r="B645" t="s">
        <v>591</v>
      </c>
    </row>
    <row r="646" spans="1:2" x14ac:dyDescent="0.2">
      <c r="A646" s="8" t="s">
        <v>596</v>
      </c>
      <c r="B646" t="s">
        <v>3394</v>
      </c>
    </row>
    <row r="647" spans="1:2" x14ac:dyDescent="0.2">
      <c r="A647" s="8" t="s">
        <v>592</v>
      </c>
      <c r="B647" t="s">
        <v>3219</v>
      </c>
    </row>
    <row r="648" spans="1:2" x14ac:dyDescent="0.2">
      <c r="A648" s="7" t="s">
        <v>594</v>
      </c>
      <c r="B648" t="s">
        <v>3220</v>
      </c>
    </row>
    <row r="649" spans="1:2" x14ac:dyDescent="0.2">
      <c r="A649" s="8" t="s">
        <v>589</v>
      </c>
      <c r="B649" t="s">
        <v>3389</v>
      </c>
    </row>
    <row r="650" spans="1:2" x14ac:dyDescent="0.2">
      <c r="A650" s="7" t="s">
        <v>250</v>
      </c>
      <c r="B650" t="s">
        <v>250</v>
      </c>
    </row>
    <row r="651" spans="1:2" x14ac:dyDescent="0.2">
      <c r="A651" s="7" t="s">
        <v>604</v>
      </c>
      <c r="B651" t="s">
        <v>604</v>
      </c>
    </row>
    <row r="652" spans="1:2" x14ac:dyDescent="0.2">
      <c r="A652" s="7" t="s">
        <v>608</v>
      </c>
      <c r="B652" t="s">
        <v>3354</v>
      </c>
    </row>
    <row r="653" spans="1:2" x14ac:dyDescent="0.2">
      <c r="A653" s="8" t="s">
        <v>610</v>
      </c>
      <c r="B653" t="s">
        <v>3395</v>
      </c>
    </row>
    <row r="654" spans="1:2" x14ac:dyDescent="0.2">
      <c r="A654" s="7" t="s">
        <v>248</v>
      </c>
      <c r="B654" t="s">
        <v>282</v>
      </c>
    </row>
    <row r="655" spans="1:2" x14ac:dyDescent="0.2">
      <c r="A655" s="8" t="s">
        <v>606</v>
      </c>
      <c r="B655" t="s">
        <v>606</v>
      </c>
    </row>
    <row r="656" spans="1:2" x14ac:dyDescent="0.2">
      <c r="A656" s="8" t="s">
        <v>613</v>
      </c>
      <c r="B656" t="s">
        <v>613</v>
      </c>
    </row>
    <row r="657" spans="1:2" x14ac:dyDescent="0.2">
      <c r="A657" s="8" t="s">
        <v>602</v>
      </c>
      <c r="B657" t="s">
        <v>357</v>
      </c>
    </row>
    <row r="658" spans="1:2" x14ac:dyDescent="0.2">
      <c r="A658" s="7" t="s">
        <v>623</v>
      </c>
      <c r="B658" t="s">
        <v>623</v>
      </c>
    </row>
    <row r="659" spans="1:2" x14ac:dyDescent="0.2">
      <c r="A659" s="7" t="s">
        <v>615</v>
      </c>
      <c r="B659" t="s">
        <v>3391</v>
      </c>
    </row>
    <row r="660" spans="1:2" x14ac:dyDescent="0.2">
      <c r="A660" s="8" t="s">
        <v>621</v>
      </c>
      <c r="B660" t="s">
        <v>621</v>
      </c>
    </row>
    <row r="661" spans="1:2" x14ac:dyDescent="0.2">
      <c r="A661" s="8" t="s">
        <v>617</v>
      </c>
      <c r="B661" t="s">
        <v>3222</v>
      </c>
    </row>
    <row r="662" spans="1:2" x14ac:dyDescent="0.2">
      <c r="A662" s="7" t="s">
        <v>619</v>
      </c>
      <c r="B662" t="s">
        <v>3397</v>
      </c>
    </row>
    <row r="663" spans="1:2" x14ac:dyDescent="0.2">
      <c r="A663" s="8" t="s">
        <v>256</v>
      </c>
      <c r="B663" t="s">
        <v>341</v>
      </c>
    </row>
    <row r="664" spans="1:2" x14ac:dyDescent="0.2">
      <c r="A664" s="7" t="s">
        <v>631</v>
      </c>
      <c r="B664" t="s">
        <v>631</v>
      </c>
    </row>
    <row r="665" spans="1:2" x14ac:dyDescent="0.2">
      <c r="A665" s="7" t="s">
        <v>635</v>
      </c>
      <c r="B665" t="s">
        <v>369</v>
      </c>
    </row>
    <row r="666" spans="1:2" x14ac:dyDescent="0.2">
      <c r="A666" s="8" t="s">
        <v>629</v>
      </c>
      <c r="B666" t="s">
        <v>3369</v>
      </c>
    </row>
    <row r="667" spans="1:2" x14ac:dyDescent="0.2">
      <c r="A667" s="7" t="s">
        <v>627</v>
      </c>
      <c r="B667" t="s">
        <v>3213</v>
      </c>
    </row>
    <row r="668" spans="1:2" x14ac:dyDescent="0.2">
      <c r="A668" s="8" t="s">
        <v>636</v>
      </c>
      <c r="B668" t="s">
        <v>636</v>
      </c>
    </row>
    <row r="669" spans="1:2" x14ac:dyDescent="0.2">
      <c r="A669" s="8" t="s">
        <v>633</v>
      </c>
      <c r="B669" t="s">
        <v>3357</v>
      </c>
    </row>
    <row r="670" spans="1:2" x14ac:dyDescent="0.2">
      <c r="A670" s="7" t="s">
        <v>639</v>
      </c>
      <c r="B670" t="s">
        <v>639</v>
      </c>
    </row>
    <row r="671" spans="1:2" x14ac:dyDescent="0.2">
      <c r="A671" s="8" t="s">
        <v>641</v>
      </c>
      <c r="B671" t="s">
        <v>641</v>
      </c>
    </row>
    <row r="672" spans="1:2" x14ac:dyDescent="0.2">
      <c r="A672" s="7" t="s">
        <v>643</v>
      </c>
      <c r="B672" t="s">
        <v>643</v>
      </c>
    </row>
    <row r="673" spans="1:2" x14ac:dyDescent="0.2">
      <c r="A673" s="8" t="s">
        <v>645</v>
      </c>
      <c r="B673" t="s">
        <v>645</v>
      </c>
    </row>
    <row r="674" spans="1:2" x14ac:dyDescent="0.2">
      <c r="A674" s="8" t="s">
        <v>651</v>
      </c>
    </row>
    <row r="675" spans="1:2" x14ac:dyDescent="0.2">
      <c r="A675" s="7" t="s">
        <v>653</v>
      </c>
      <c r="B675" t="s">
        <v>319</v>
      </c>
    </row>
    <row r="676" spans="1:2" x14ac:dyDescent="0.2">
      <c r="A676" s="8" t="s">
        <v>655</v>
      </c>
    </row>
    <row r="677" spans="1:2" x14ac:dyDescent="0.2">
      <c r="A677" s="7" t="s">
        <v>321</v>
      </c>
      <c r="B677" t="s">
        <v>321</v>
      </c>
    </row>
    <row r="678" spans="1:2" x14ac:dyDescent="0.2">
      <c r="A678" s="8" t="s">
        <v>658</v>
      </c>
      <c r="B678" t="s">
        <v>2787</v>
      </c>
    </row>
    <row r="679" spans="1:2" x14ac:dyDescent="0.2">
      <c r="A679" s="8" t="s">
        <v>676</v>
      </c>
      <c r="B679" t="s">
        <v>676</v>
      </c>
    </row>
    <row r="680" spans="1:2" x14ac:dyDescent="0.2">
      <c r="A680" s="7" t="s">
        <v>660</v>
      </c>
      <c r="B680" t="s">
        <v>313</v>
      </c>
    </row>
    <row r="681" spans="1:2" x14ac:dyDescent="0.2">
      <c r="A681" s="7" t="s">
        <v>648</v>
      </c>
      <c r="B681" t="s">
        <v>2766</v>
      </c>
    </row>
    <row r="682" spans="1:2" x14ac:dyDescent="0.2">
      <c r="A682" s="8" t="s">
        <v>661</v>
      </c>
    </row>
    <row r="683" spans="1:2" x14ac:dyDescent="0.2">
      <c r="A683" s="7" t="s">
        <v>663</v>
      </c>
    </row>
    <row r="684" spans="1:2" x14ac:dyDescent="0.2">
      <c r="A684" s="8" t="s">
        <v>672</v>
      </c>
      <c r="B684" t="s">
        <v>672</v>
      </c>
    </row>
    <row r="685" spans="1:2" x14ac:dyDescent="0.2">
      <c r="A685" s="8" t="s">
        <v>379</v>
      </c>
    </row>
    <row r="686" spans="1:2" x14ac:dyDescent="0.2">
      <c r="A686" s="7" t="s">
        <v>316</v>
      </c>
      <c r="B686" t="s">
        <v>316</v>
      </c>
    </row>
    <row r="687" spans="1:2" x14ac:dyDescent="0.2">
      <c r="A687" s="8" t="s">
        <v>667</v>
      </c>
      <c r="B687" s="48" t="s">
        <v>2784</v>
      </c>
    </row>
    <row r="688" spans="1:2" x14ac:dyDescent="0.2">
      <c r="A688" s="7" t="s">
        <v>668</v>
      </c>
    </row>
    <row r="689" spans="1:2" x14ac:dyDescent="0.2">
      <c r="A689" s="8" t="s">
        <v>318</v>
      </c>
    </row>
    <row r="690" spans="1:2" x14ac:dyDescent="0.2">
      <c r="A690" s="7" t="s">
        <v>674</v>
      </c>
      <c r="B690" t="s">
        <v>674</v>
      </c>
    </row>
    <row r="691" spans="1:2" x14ac:dyDescent="0.2">
      <c r="A691" s="7" t="s">
        <v>670</v>
      </c>
    </row>
    <row r="692" spans="1:2" x14ac:dyDescent="0.2">
      <c r="A692" s="7" t="s">
        <v>678</v>
      </c>
      <c r="B692" t="s">
        <v>678</v>
      </c>
    </row>
    <row r="693" spans="1:2" x14ac:dyDescent="0.2">
      <c r="A693" s="8" t="s">
        <v>680</v>
      </c>
      <c r="B693" t="s">
        <v>3371</v>
      </c>
    </row>
    <row r="694" spans="1:2" x14ac:dyDescent="0.2">
      <c r="A694" s="8" t="s">
        <v>684</v>
      </c>
      <c r="B694" t="s">
        <v>684</v>
      </c>
    </row>
    <row r="695" spans="1:2" x14ac:dyDescent="0.2">
      <c r="A695" s="7" t="s">
        <v>682</v>
      </c>
      <c r="B695" t="s">
        <v>2768</v>
      </c>
    </row>
    <row r="696" spans="1:2" x14ac:dyDescent="0.2">
      <c r="A696" s="7" t="s">
        <v>690</v>
      </c>
      <c r="B696" t="s">
        <v>690</v>
      </c>
    </row>
    <row r="697" spans="1:2" x14ac:dyDescent="0.2">
      <c r="A697" s="8" t="s">
        <v>692</v>
      </c>
      <c r="B697" t="s">
        <v>692</v>
      </c>
    </row>
    <row r="698" spans="1:2" x14ac:dyDescent="0.2">
      <c r="A698" s="7" t="s">
        <v>694</v>
      </c>
      <c r="B698" t="s">
        <v>3521</v>
      </c>
    </row>
    <row r="699" spans="1:2" x14ac:dyDescent="0.2">
      <c r="A699" s="7" t="s">
        <v>686</v>
      </c>
      <c r="B699" t="s">
        <v>686</v>
      </c>
    </row>
    <row r="700" spans="1:2" x14ac:dyDescent="0.2">
      <c r="A700" s="8" t="s">
        <v>688</v>
      </c>
      <c r="B700" t="s">
        <v>3056</v>
      </c>
    </row>
    <row r="701" spans="1:2" x14ac:dyDescent="0.2">
      <c r="A701" s="7" t="s">
        <v>698</v>
      </c>
      <c r="B701" t="s">
        <v>337</v>
      </c>
    </row>
    <row r="702" spans="1:2" x14ac:dyDescent="0.2">
      <c r="A702" s="8" t="s">
        <v>700</v>
      </c>
      <c r="B702" t="s">
        <v>374</v>
      </c>
    </row>
    <row r="703" spans="1:2" x14ac:dyDescent="0.2">
      <c r="A703" s="8" t="s">
        <v>706</v>
      </c>
      <c r="B703" t="s">
        <v>706</v>
      </c>
    </row>
    <row r="704" spans="1:2" x14ac:dyDescent="0.2">
      <c r="A704" s="7" t="s">
        <v>702</v>
      </c>
      <c r="B704" t="s">
        <v>328</v>
      </c>
    </row>
    <row r="705" spans="1:2" x14ac:dyDescent="0.2">
      <c r="A705" s="7" t="s">
        <v>708</v>
      </c>
      <c r="B705" t="s">
        <v>708</v>
      </c>
    </row>
    <row r="706" spans="1:2" x14ac:dyDescent="0.2">
      <c r="A706" s="8" t="s">
        <v>710</v>
      </c>
      <c r="B706" t="s">
        <v>2778</v>
      </c>
    </row>
    <row r="707" spans="1:2" x14ac:dyDescent="0.2">
      <c r="A707" s="7" t="s">
        <v>712</v>
      </c>
      <c r="B707" t="s">
        <v>2779</v>
      </c>
    </row>
    <row r="708" spans="1:2" x14ac:dyDescent="0.2">
      <c r="A708" s="8" t="s">
        <v>714</v>
      </c>
      <c r="B708" t="s">
        <v>714</v>
      </c>
    </row>
    <row r="709" spans="1:2" x14ac:dyDescent="0.2">
      <c r="A709" s="7" t="s">
        <v>716</v>
      </c>
      <c r="B709" t="s">
        <v>716</v>
      </c>
    </row>
    <row r="710" spans="1:2" x14ac:dyDescent="0.2">
      <c r="A710" s="8" t="s">
        <v>718</v>
      </c>
    </row>
    <row r="711" spans="1:2" x14ac:dyDescent="0.2">
      <c r="A711" s="7" t="s">
        <v>720</v>
      </c>
      <c r="B711" t="s">
        <v>2772</v>
      </c>
    </row>
    <row r="712" spans="1:2" x14ac:dyDescent="0.2">
      <c r="A712" s="7" t="s">
        <v>729</v>
      </c>
      <c r="B712" t="s">
        <v>3050</v>
      </c>
    </row>
    <row r="713" spans="1:2" x14ac:dyDescent="0.2">
      <c r="A713" s="8" t="s">
        <v>722</v>
      </c>
      <c r="B713" t="s">
        <v>722</v>
      </c>
    </row>
    <row r="714" spans="1:2" x14ac:dyDescent="0.2">
      <c r="A714" s="7" t="s">
        <v>724</v>
      </c>
    </row>
    <row r="715" spans="1:2" x14ac:dyDescent="0.2">
      <c r="A715" s="8" t="s">
        <v>726</v>
      </c>
      <c r="B715" t="s">
        <v>2781</v>
      </c>
    </row>
    <row r="716" spans="1:2" x14ac:dyDescent="0.2">
      <c r="A716" s="8" t="s">
        <v>696</v>
      </c>
      <c r="B716" t="s">
        <v>696</v>
      </c>
    </row>
    <row r="717" spans="1:2" x14ac:dyDescent="0.2">
      <c r="A717" s="8" t="s">
        <v>683</v>
      </c>
      <c r="B717" t="s">
        <v>683</v>
      </c>
    </row>
    <row r="718" spans="1:2" x14ac:dyDescent="0.2">
      <c r="A718" s="7" t="s">
        <v>704</v>
      </c>
      <c r="B718" t="s">
        <v>333</v>
      </c>
    </row>
    <row r="719" spans="1:2" x14ac:dyDescent="0.2">
      <c r="A719" s="8" t="s">
        <v>731</v>
      </c>
      <c r="B719" t="s">
        <v>731</v>
      </c>
    </row>
    <row r="720" spans="1:2" x14ac:dyDescent="0.2">
      <c r="A720" s="7" t="s">
        <v>733</v>
      </c>
      <c r="B720" t="s">
        <v>3528</v>
      </c>
    </row>
    <row r="721" spans="1:2" x14ac:dyDescent="0.2">
      <c r="A721" s="7" t="s">
        <v>737</v>
      </c>
      <c r="B721" t="s">
        <v>424</v>
      </c>
    </row>
    <row r="722" spans="1:2" x14ac:dyDescent="0.2">
      <c r="A722" s="8" t="s">
        <v>735</v>
      </c>
      <c r="B722" t="s">
        <v>3142</v>
      </c>
    </row>
    <row r="723" spans="1:2" x14ac:dyDescent="0.2">
      <c r="A723" s="7" t="s">
        <v>740</v>
      </c>
      <c r="B723" t="s">
        <v>740</v>
      </c>
    </row>
    <row r="724" spans="1:2" x14ac:dyDescent="0.2">
      <c r="A724" s="8" t="s">
        <v>46</v>
      </c>
      <c r="B724" t="s">
        <v>1871</v>
      </c>
    </row>
    <row r="725" spans="1:2" x14ac:dyDescent="0.2">
      <c r="A725" s="8" t="s">
        <v>742</v>
      </c>
      <c r="B725" t="s">
        <v>1860</v>
      </c>
    </row>
    <row r="726" spans="1:2" x14ac:dyDescent="0.2">
      <c r="A726" s="7" t="s">
        <v>743</v>
      </c>
      <c r="B726" t="s">
        <v>3049</v>
      </c>
    </row>
    <row r="727" spans="1:2" x14ac:dyDescent="0.2">
      <c r="A727" s="8" t="s">
        <v>70</v>
      </c>
      <c r="B727" t="s">
        <v>878</v>
      </c>
    </row>
    <row r="728" spans="1:2" x14ac:dyDescent="0.2">
      <c r="A728" s="8" t="s">
        <v>749</v>
      </c>
      <c r="B728" t="s">
        <v>749</v>
      </c>
    </row>
    <row r="729" spans="1:2" x14ac:dyDescent="0.2">
      <c r="A729" s="8" t="s">
        <v>745</v>
      </c>
      <c r="B729" t="s">
        <v>3052</v>
      </c>
    </row>
    <row r="730" spans="1:2" x14ac:dyDescent="0.2">
      <c r="A730" s="7" t="s">
        <v>747</v>
      </c>
      <c r="B730" t="s">
        <v>747</v>
      </c>
    </row>
    <row r="731" spans="1:2" x14ac:dyDescent="0.2">
      <c r="A731" s="7" t="s">
        <v>744</v>
      </c>
      <c r="B731" t="s">
        <v>744</v>
      </c>
    </row>
    <row r="732" spans="1:2" x14ac:dyDescent="0.2">
      <c r="A732" s="7" t="s">
        <v>751</v>
      </c>
      <c r="B732" t="s">
        <v>3522</v>
      </c>
    </row>
    <row r="733" spans="1:2" x14ac:dyDescent="0.2">
      <c r="A733" s="8" t="s">
        <v>703</v>
      </c>
      <c r="B733" t="s">
        <v>703</v>
      </c>
    </row>
    <row r="734" spans="1:2" x14ac:dyDescent="0.2">
      <c r="A734" s="7" t="s">
        <v>308</v>
      </c>
      <c r="B734" t="s">
        <v>308</v>
      </c>
    </row>
    <row r="735" spans="1:2" x14ac:dyDescent="0.2">
      <c r="A735" s="8" t="s">
        <v>754</v>
      </c>
      <c r="B735" t="s">
        <v>754</v>
      </c>
    </row>
    <row r="736" spans="1:2" x14ac:dyDescent="0.2">
      <c r="A736" s="7" t="s">
        <v>60</v>
      </c>
      <c r="B736" t="s">
        <v>60</v>
      </c>
    </row>
    <row r="737" spans="1:2" x14ac:dyDescent="0.2">
      <c r="A737" s="8" t="s">
        <v>756</v>
      </c>
      <c r="B737" t="s">
        <v>756</v>
      </c>
    </row>
    <row r="738" spans="1:2" x14ac:dyDescent="0.2">
      <c r="A738" s="8" t="s">
        <v>758</v>
      </c>
      <c r="B738" t="s">
        <v>758</v>
      </c>
    </row>
    <row r="739" spans="1:2" x14ac:dyDescent="0.2">
      <c r="A739" s="7" t="s">
        <v>767</v>
      </c>
      <c r="B739" t="s">
        <v>767</v>
      </c>
    </row>
    <row r="740" spans="1:2" x14ac:dyDescent="0.2">
      <c r="A740" s="7" t="s">
        <v>51</v>
      </c>
      <c r="B740" t="s">
        <v>860</v>
      </c>
    </row>
    <row r="741" spans="1:2" x14ac:dyDescent="0.2">
      <c r="A741" s="7" t="s">
        <v>760</v>
      </c>
      <c r="B741" t="s">
        <v>760</v>
      </c>
    </row>
    <row r="742" spans="1:2" x14ac:dyDescent="0.2">
      <c r="A742" s="8" t="s">
        <v>762</v>
      </c>
      <c r="B742" t="s">
        <v>762</v>
      </c>
    </row>
    <row r="743" spans="1:2" x14ac:dyDescent="0.2">
      <c r="A743" s="8" t="s">
        <v>769</v>
      </c>
      <c r="B743" t="s">
        <v>3719</v>
      </c>
    </row>
    <row r="744" spans="1:2" x14ac:dyDescent="0.2">
      <c r="A744" s="7" t="s">
        <v>82</v>
      </c>
      <c r="B744" t="s">
        <v>82</v>
      </c>
    </row>
    <row r="745" spans="1:2" x14ac:dyDescent="0.2">
      <c r="A745" s="8" t="s">
        <v>765</v>
      </c>
      <c r="B745" t="s">
        <v>765</v>
      </c>
    </row>
    <row r="746" spans="1:2" x14ac:dyDescent="0.2">
      <c r="A746" s="7" t="s">
        <v>771</v>
      </c>
      <c r="B746" t="s">
        <v>3143</v>
      </c>
    </row>
    <row r="747" spans="1:2" x14ac:dyDescent="0.2">
      <c r="A747" s="8" t="s">
        <v>773</v>
      </c>
      <c r="B747" t="s">
        <v>1212</v>
      </c>
    </row>
    <row r="748" spans="1:2" x14ac:dyDescent="0.2">
      <c r="A748" s="7" t="s">
        <v>45</v>
      </c>
      <c r="B748" t="s">
        <v>1870</v>
      </c>
    </row>
    <row r="749" spans="1:2" x14ac:dyDescent="0.2">
      <c r="A749" s="7" t="s">
        <v>78</v>
      </c>
      <c r="B749" t="s">
        <v>864</v>
      </c>
    </row>
    <row r="750" spans="1:2" x14ac:dyDescent="0.2">
      <c r="A750" s="8" t="s">
        <v>76</v>
      </c>
      <c r="B750" t="s">
        <v>76</v>
      </c>
    </row>
    <row r="751" spans="1:2" x14ac:dyDescent="0.2">
      <c r="A751" s="7" t="s">
        <v>236</v>
      </c>
      <c r="B751" t="s">
        <v>236</v>
      </c>
    </row>
    <row r="752" spans="1:2" x14ac:dyDescent="0.2">
      <c r="A752" s="7" t="s">
        <v>57</v>
      </c>
      <c r="B752" t="s">
        <v>57</v>
      </c>
    </row>
    <row r="753" spans="1:2" x14ac:dyDescent="0.2">
      <c r="A753" s="8" t="s">
        <v>52</v>
      </c>
      <c r="B753" t="s">
        <v>861</v>
      </c>
    </row>
    <row r="754" spans="1:2" x14ac:dyDescent="0.2">
      <c r="A754" s="7" t="s">
        <v>94</v>
      </c>
      <c r="B754" t="s">
        <v>868</v>
      </c>
    </row>
    <row r="755" spans="1:2" x14ac:dyDescent="0.2">
      <c r="A755" s="8" t="s">
        <v>59</v>
      </c>
      <c r="B755" t="s">
        <v>59</v>
      </c>
    </row>
    <row r="756" spans="1:2" x14ac:dyDescent="0.2">
      <c r="A756" s="8" t="s">
        <v>776</v>
      </c>
      <c r="B756" t="s">
        <v>1861</v>
      </c>
    </row>
    <row r="757" spans="1:2" x14ac:dyDescent="0.2">
      <c r="A757" s="7" t="s">
        <v>428</v>
      </c>
      <c r="B757" t="s">
        <v>428</v>
      </c>
    </row>
    <row r="758" spans="1:2" x14ac:dyDescent="0.2">
      <c r="A758" s="8" t="s">
        <v>38</v>
      </c>
      <c r="B758" t="s">
        <v>38</v>
      </c>
    </row>
    <row r="759" spans="1:2" x14ac:dyDescent="0.2">
      <c r="A759" s="8" t="s">
        <v>779</v>
      </c>
      <c r="B759" t="s">
        <v>3120</v>
      </c>
    </row>
    <row r="760" spans="1:2" x14ac:dyDescent="0.2">
      <c r="A760" s="8" t="s">
        <v>75</v>
      </c>
      <c r="B760" t="s">
        <v>75</v>
      </c>
    </row>
    <row r="761" spans="1:2" x14ac:dyDescent="0.2">
      <c r="A761" s="7" t="s">
        <v>782</v>
      </c>
      <c r="B761" t="s">
        <v>1878</v>
      </c>
    </row>
    <row r="762" spans="1:2" x14ac:dyDescent="0.2">
      <c r="A762" s="7" t="s">
        <v>80</v>
      </c>
      <c r="B762" t="s">
        <v>865</v>
      </c>
    </row>
    <row r="763" spans="1:2" x14ac:dyDescent="0.2">
      <c r="A763" s="8" t="s">
        <v>88</v>
      </c>
      <c r="B763" t="s">
        <v>866</v>
      </c>
    </row>
    <row r="764" spans="1:2" x14ac:dyDescent="0.2">
      <c r="A764" s="7" t="s">
        <v>784</v>
      </c>
      <c r="B764" t="s">
        <v>3702</v>
      </c>
    </row>
    <row r="765" spans="1:2" x14ac:dyDescent="0.2">
      <c r="A765" s="8" t="s">
        <v>785</v>
      </c>
      <c r="B765" t="s">
        <v>785</v>
      </c>
    </row>
    <row r="766" spans="1:2" x14ac:dyDescent="0.2">
      <c r="A766" s="7" t="s">
        <v>81</v>
      </c>
      <c r="B766" t="s">
        <v>1882</v>
      </c>
    </row>
    <row r="767" spans="1:2" x14ac:dyDescent="0.2">
      <c r="A767" s="8" t="s">
        <v>788</v>
      </c>
      <c r="B767" t="s">
        <v>3703</v>
      </c>
    </row>
    <row r="768" spans="1:2" x14ac:dyDescent="0.2">
      <c r="A768" s="7" t="s">
        <v>790</v>
      </c>
      <c r="B768" t="s">
        <v>3529</v>
      </c>
    </row>
    <row r="769" spans="1:2" x14ac:dyDescent="0.2">
      <c r="A769" s="8" t="s">
        <v>419</v>
      </c>
      <c r="B769" t="s">
        <v>419</v>
      </c>
    </row>
    <row r="770" spans="1:2" x14ac:dyDescent="0.2">
      <c r="A770" s="8" t="s">
        <v>793</v>
      </c>
      <c r="B770" t="s">
        <v>3520</v>
      </c>
    </row>
    <row r="771" spans="1:2" x14ac:dyDescent="0.2">
      <c r="A771" s="7" t="s">
        <v>86</v>
      </c>
      <c r="B771" t="s">
        <v>86</v>
      </c>
    </row>
    <row r="772" spans="1:2" x14ac:dyDescent="0.2">
      <c r="A772" s="7" t="s">
        <v>795</v>
      </c>
      <c r="B772" t="s">
        <v>3705</v>
      </c>
    </row>
    <row r="773" spans="1:2" x14ac:dyDescent="0.2">
      <c r="A773" s="8" t="s">
        <v>48</v>
      </c>
      <c r="B773" t="s">
        <v>48</v>
      </c>
    </row>
    <row r="774" spans="1:2" x14ac:dyDescent="0.2">
      <c r="A774" s="7" t="s">
        <v>89</v>
      </c>
      <c r="B774" t="s">
        <v>89</v>
      </c>
    </row>
    <row r="775" spans="1:2" x14ac:dyDescent="0.2">
      <c r="A775" s="8" t="s">
        <v>798</v>
      </c>
      <c r="B775" t="s">
        <v>798</v>
      </c>
    </row>
    <row r="776" spans="1:2" x14ac:dyDescent="0.2">
      <c r="A776" s="8" t="s">
        <v>91</v>
      </c>
      <c r="B776" t="s">
        <v>91</v>
      </c>
    </row>
    <row r="777" spans="1:2" x14ac:dyDescent="0.2">
      <c r="A777" s="7" t="s">
        <v>93</v>
      </c>
      <c r="B777" t="s">
        <v>93</v>
      </c>
    </row>
    <row r="778" spans="1:2" x14ac:dyDescent="0.2">
      <c r="A778" s="7" t="s">
        <v>492</v>
      </c>
      <c r="B778" t="s">
        <v>492</v>
      </c>
    </row>
    <row r="779" spans="1:2" x14ac:dyDescent="0.2">
      <c r="A779" s="8" t="s">
        <v>494</v>
      </c>
      <c r="B779" t="s">
        <v>2798</v>
      </c>
    </row>
    <row r="780" spans="1:2" x14ac:dyDescent="0.2">
      <c r="A780" s="7" t="s">
        <v>495</v>
      </c>
      <c r="B780" t="s">
        <v>495</v>
      </c>
    </row>
    <row r="781" spans="1:2" x14ac:dyDescent="0.2">
      <c r="A781" s="8" t="s">
        <v>23</v>
      </c>
      <c r="B781" t="s">
        <v>23</v>
      </c>
    </row>
    <row r="782" spans="1:2" x14ac:dyDescent="0.2">
      <c r="A782" s="8" t="s">
        <v>500</v>
      </c>
      <c r="B782" t="s">
        <v>500</v>
      </c>
    </row>
    <row r="783" spans="1:2" x14ac:dyDescent="0.2">
      <c r="A783" s="7" t="s">
        <v>22</v>
      </c>
      <c r="B783" t="s">
        <v>22</v>
      </c>
    </row>
    <row r="784" spans="1:2" x14ac:dyDescent="0.2">
      <c r="A784" s="7" t="s">
        <v>502</v>
      </c>
      <c r="B784" t="s">
        <v>502</v>
      </c>
    </row>
    <row r="785" spans="1:2" x14ac:dyDescent="0.2">
      <c r="A785" s="8" t="s">
        <v>504</v>
      </c>
      <c r="B785" t="s">
        <v>2816</v>
      </c>
    </row>
    <row r="786" spans="1:2" x14ac:dyDescent="0.2">
      <c r="A786" s="7" t="s">
        <v>506</v>
      </c>
      <c r="B786" t="s">
        <v>2812</v>
      </c>
    </row>
    <row r="787" spans="1:2" x14ac:dyDescent="0.2">
      <c r="A787" s="8" t="s">
        <v>508</v>
      </c>
      <c r="B787" t="s">
        <v>508</v>
      </c>
    </row>
    <row r="788" spans="1:2" x14ac:dyDescent="0.2">
      <c r="A788" s="7" t="s">
        <v>510</v>
      </c>
      <c r="B788" t="s">
        <v>1287</v>
      </c>
    </row>
    <row r="789" spans="1:2" x14ac:dyDescent="0.2">
      <c r="A789" s="8" t="s">
        <v>512</v>
      </c>
      <c r="B789" t="s">
        <v>512</v>
      </c>
    </row>
    <row r="790" spans="1:2" x14ac:dyDescent="0.2">
      <c r="A790" s="7" t="s">
        <v>514</v>
      </c>
      <c r="B790" t="s">
        <v>514</v>
      </c>
    </row>
    <row r="791" spans="1:2" x14ac:dyDescent="0.2">
      <c r="A791" s="8" t="s">
        <v>516</v>
      </c>
      <c r="B791" t="s">
        <v>2808</v>
      </c>
    </row>
    <row r="792" spans="1:2" x14ac:dyDescent="0.2">
      <c r="A792" s="8" t="s">
        <v>520</v>
      </c>
      <c r="B792" t="s">
        <v>520</v>
      </c>
    </row>
    <row r="793" spans="1:2" x14ac:dyDescent="0.2">
      <c r="A793" s="7" t="s">
        <v>523</v>
      </c>
      <c r="B793" t="s">
        <v>523</v>
      </c>
    </row>
    <row r="794" spans="1:2" x14ac:dyDescent="0.2">
      <c r="A794" s="8" t="s">
        <v>525</v>
      </c>
      <c r="B794" t="s">
        <v>525</v>
      </c>
    </row>
    <row r="795" spans="1:2" x14ac:dyDescent="0.2">
      <c r="A795" s="7" t="s">
        <v>393</v>
      </c>
      <c r="B795" t="s">
        <v>393</v>
      </c>
    </row>
    <row r="796" spans="1:2" x14ac:dyDescent="0.2">
      <c r="A796" s="7" t="s">
        <v>518</v>
      </c>
      <c r="B796" t="s">
        <v>518</v>
      </c>
    </row>
    <row r="797" spans="1:2" x14ac:dyDescent="0.2">
      <c r="A797" s="8" t="s">
        <v>528</v>
      </c>
      <c r="B797" t="s">
        <v>528</v>
      </c>
    </row>
    <row r="798" spans="1:2" x14ac:dyDescent="0.2">
      <c r="A798" s="7" t="s">
        <v>530</v>
      </c>
      <c r="B798" t="s">
        <v>2821</v>
      </c>
    </row>
    <row r="799" spans="1:2" x14ac:dyDescent="0.2">
      <c r="A799" s="8" t="s">
        <v>532</v>
      </c>
      <c r="B799" t="s">
        <v>532</v>
      </c>
    </row>
    <row r="800" spans="1:2" x14ac:dyDescent="0.2">
      <c r="A800" s="8" t="s">
        <v>535</v>
      </c>
      <c r="B800" t="s">
        <v>2802</v>
      </c>
    </row>
    <row r="801" spans="1:2" x14ac:dyDescent="0.2">
      <c r="A801" s="7" t="s">
        <v>21</v>
      </c>
      <c r="B801" t="s">
        <v>892</v>
      </c>
    </row>
    <row r="802" spans="1:2" x14ac:dyDescent="0.2">
      <c r="A802" s="7" t="s">
        <v>538</v>
      </c>
      <c r="B802" t="s">
        <v>2810</v>
      </c>
    </row>
    <row r="803" spans="1:2" x14ac:dyDescent="0.2">
      <c r="A803" s="8" t="s">
        <v>540</v>
      </c>
      <c r="B803" t="s">
        <v>2804</v>
      </c>
    </row>
    <row r="804" spans="1:2" x14ac:dyDescent="0.2">
      <c r="A804" s="7" t="s">
        <v>542</v>
      </c>
      <c r="B804" t="s">
        <v>542</v>
      </c>
    </row>
    <row r="805" spans="1:2" x14ac:dyDescent="0.2">
      <c r="A805" s="7" t="s">
        <v>547</v>
      </c>
      <c r="B805" t="s">
        <v>3136</v>
      </c>
    </row>
    <row r="806" spans="1:2" x14ac:dyDescent="0.2">
      <c r="A806" s="8" t="s">
        <v>545</v>
      </c>
      <c r="B806" t="s">
        <v>3130</v>
      </c>
    </row>
    <row r="807" spans="1:2" x14ac:dyDescent="0.2">
      <c r="A807" s="8" t="s">
        <v>549</v>
      </c>
      <c r="B807" t="s">
        <v>549</v>
      </c>
    </row>
    <row r="808" spans="1:2" x14ac:dyDescent="0.2">
      <c r="A808" s="7" t="s">
        <v>551</v>
      </c>
      <c r="B808" t="s">
        <v>3643</v>
      </c>
    </row>
    <row r="809" spans="1:2" x14ac:dyDescent="0.2">
      <c r="A809" s="8" t="s">
        <v>553</v>
      </c>
      <c r="B809" t="s">
        <v>553</v>
      </c>
    </row>
    <row r="810" spans="1:2" x14ac:dyDescent="0.2">
      <c r="A810" s="7" t="s">
        <v>219</v>
      </c>
      <c r="B810" t="s">
        <v>1415</v>
      </c>
    </row>
    <row r="811" spans="1:2" x14ac:dyDescent="0.2">
      <c r="A811" s="7" t="s">
        <v>555</v>
      </c>
      <c r="B811" t="s">
        <v>3646</v>
      </c>
    </row>
    <row r="812" spans="1:2" x14ac:dyDescent="0.2">
      <c r="A812" s="8" t="s">
        <v>557</v>
      </c>
      <c r="B812" t="s">
        <v>3647</v>
      </c>
    </row>
    <row r="813" spans="1:2" x14ac:dyDescent="0.2">
      <c r="A813" s="8" t="s">
        <v>218</v>
      </c>
      <c r="B813" t="s">
        <v>1414</v>
      </c>
    </row>
    <row r="814" spans="1:2" x14ac:dyDescent="0.2">
      <c r="A814" s="7" t="s">
        <v>560</v>
      </c>
      <c r="B814" t="s">
        <v>560</v>
      </c>
    </row>
    <row r="815" spans="1:2" x14ac:dyDescent="0.2">
      <c r="A815" s="8" t="s">
        <v>255</v>
      </c>
      <c r="B815" t="s">
        <v>288</v>
      </c>
    </row>
    <row r="816" spans="1:2" x14ac:dyDescent="0.2">
      <c r="A816" s="8" t="s">
        <v>566</v>
      </c>
      <c r="B816" t="s">
        <v>3138</v>
      </c>
    </row>
    <row r="817" spans="1:2" x14ac:dyDescent="0.2">
      <c r="A817" s="8" t="s">
        <v>562</v>
      </c>
      <c r="B817" t="s">
        <v>3133</v>
      </c>
    </row>
    <row r="818" spans="1:2" x14ac:dyDescent="0.2">
      <c r="A818" s="7" t="s">
        <v>564</v>
      </c>
      <c r="B818" t="s">
        <v>564</v>
      </c>
    </row>
    <row r="819" spans="1:2" x14ac:dyDescent="0.2">
      <c r="A819" s="7" t="s">
        <v>568</v>
      </c>
      <c r="B819" t="s">
        <v>568</v>
      </c>
    </row>
    <row r="820" spans="1:2" x14ac:dyDescent="0.2">
      <c r="A820" s="7" t="s">
        <v>572</v>
      </c>
      <c r="B820" t="s">
        <v>3134</v>
      </c>
    </row>
    <row r="821" spans="1:2" x14ac:dyDescent="0.2">
      <c r="A821" s="7" t="s">
        <v>576</v>
      </c>
      <c r="B821" t="s">
        <v>576</v>
      </c>
    </row>
    <row r="822" spans="1:2" x14ac:dyDescent="0.2">
      <c r="A822" s="8" t="s">
        <v>578</v>
      </c>
      <c r="B822" t="s">
        <v>578</v>
      </c>
    </row>
    <row r="823" spans="1:2" x14ac:dyDescent="0.2">
      <c r="A823" s="7" t="s">
        <v>580</v>
      </c>
      <c r="B823" t="s">
        <v>580</v>
      </c>
    </row>
    <row r="824" spans="1:2" x14ac:dyDescent="0.2">
      <c r="A824" s="8" t="s">
        <v>574</v>
      </c>
      <c r="B824" t="s">
        <v>574</v>
      </c>
    </row>
    <row r="825" spans="1:2" x14ac:dyDescent="0.2">
      <c r="A825" s="8" t="s">
        <v>582</v>
      </c>
      <c r="B825" t="s">
        <v>407</v>
      </c>
    </row>
    <row r="826" spans="1:2" x14ac:dyDescent="0.2">
      <c r="A826" s="7" t="s">
        <v>583</v>
      </c>
      <c r="B826" t="s">
        <v>408</v>
      </c>
    </row>
    <row r="827" spans="1:2" x14ac:dyDescent="0.2">
      <c r="A827" s="8" t="s">
        <v>222</v>
      </c>
      <c r="B827" t="s">
        <v>1343</v>
      </c>
    </row>
    <row r="828" spans="1:2" x14ac:dyDescent="0.2">
      <c r="A828" s="7" t="s">
        <v>224</v>
      </c>
      <c r="B828" t="s">
        <v>1368</v>
      </c>
    </row>
    <row r="829" spans="1:2" x14ac:dyDescent="0.2">
      <c r="A829" s="8" t="s">
        <v>586</v>
      </c>
      <c r="B829" t="s">
        <v>586</v>
      </c>
    </row>
    <row r="830" spans="1:2" x14ac:dyDescent="0.2">
      <c r="A830" s="7" t="s">
        <v>406</v>
      </c>
      <c r="B830" t="s">
        <v>406</v>
      </c>
    </row>
    <row r="831" spans="1:2" x14ac:dyDescent="0.2">
      <c r="A831" s="7" t="s">
        <v>258</v>
      </c>
      <c r="B831" t="s">
        <v>258</v>
      </c>
    </row>
    <row r="832" spans="1:2" x14ac:dyDescent="0.2">
      <c r="A832" s="8" t="s">
        <v>600</v>
      </c>
      <c r="B832" t="s">
        <v>600</v>
      </c>
    </row>
    <row r="833" spans="1:2" x14ac:dyDescent="0.2">
      <c r="A833" s="7" t="s">
        <v>223</v>
      </c>
      <c r="B833" t="s">
        <v>1344</v>
      </c>
    </row>
    <row r="834" spans="1:2" x14ac:dyDescent="0.2">
      <c r="A834" s="8" t="s">
        <v>597</v>
      </c>
      <c r="B834" t="s">
        <v>597</v>
      </c>
    </row>
    <row r="835" spans="1:2" x14ac:dyDescent="0.2">
      <c r="A835" s="8" t="s">
        <v>593</v>
      </c>
      <c r="B835" t="s">
        <v>593</v>
      </c>
    </row>
    <row r="836" spans="1:2" x14ac:dyDescent="0.2">
      <c r="A836" s="7" t="s">
        <v>595</v>
      </c>
      <c r="B836" t="s">
        <v>3221</v>
      </c>
    </row>
    <row r="837" spans="1:2" x14ac:dyDescent="0.2">
      <c r="A837" s="8" t="s">
        <v>590</v>
      </c>
      <c r="B837" t="s">
        <v>590</v>
      </c>
    </row>
    <row r="838" spans="1:2" x14ac:dyDescent="0.2">
      <c r="A838" s="7" t="s">
        <v>601</v>
      </c>
      <c r="B838" t="s">
        <v>601</v>
      </c>
    </row>
    <row r="839" spans="1:2" x14ac:dyDescent="0.2">
      <c r="A839" s="7" t="s">
        <v>605</v>
      </c>
      <c r="B839" t="s">
        <v>605</v>
      </c>
    </row>
    <row r="840" spans="1:2" x14ac:dyDescent="0.2">
      <c r="A840" s="7" t="s">
        <v>609</v>
      </c>
      <c r="B840" t="s">
        <v>3355</v>
      </c>
    </row>
    <row r="841" spans="1:2" x14ac:dyDescent="0.2">
      <c r="A841" s="8" t="s">
        <v>611</v>
      </c>
      <c r="B841" t="s">
        <v>3396</v>
      </c>
    </row>
    <row r="842" spans="1:2" x14ac:dyDescent="0.2">
      <c r="A842" s="7" t="s">
        <v>612</v>
      </c>
      <c r="B842" t="s">
        <v>3401</v>
      </c>
    </row>
    <row r="843" spans="1:2" x14ac:dyDescent="0.2">
      <c r="A843" s="8" t="s">
        <v>607</v>
      </c>
      <c r="B843" t="s">
        <v>1361</v>
      </c>
    </row>
    <row r="844" spans="1:2" x14ac:dyDescent="0.2">
      <c r="A844" s="8" t="s">
        <v>614</v>
      </c>
      <c r="B844" t="s">
        <v>614</v>
      </c>
    </row>
    <row r="845" spans="1:2" x14ac:dyDescent="0.2">
      <c r="A845" s="8" t="s">
        <v>603</v>
      </c>
      <c r="B845" t="s">
        <v>3217</v>
      </c>
    </row>
    <row r="846" spans="1:2" x14ac:dyDescent="0.2">
      <c r="A846" s="7" t="s">
        <v>624</v>
      </c>
      <c r="B846" t="s">
        <v>1320</v>
      </c>
    </row>
    <row r="847" spans="1:2" x14ac:dyDescent="0.2">
      <c r="A847" s="7" t="s">
        <v>616</v>
      </c>
      <c r="B847" t="s">
        <v>3392</v>
      </c>
    </row>
    <row r="848" spans="1:2" x14ac:dyDescent="0.2">
      <c r="A848" s="8" t="s">
        <v>622</v>
      </c>
      <c r="B848" t="s">
        <v>3402</v>
      </c>
    </row>
    <row r="849" spans="1:2" x14ac:dyDescent="0.2">
      <c r="A849" s="8" t="s">
        <v>618</v>
      </c>
      <c r="B849" t="s">
        <v>618</v>
      </c>
    </row>
    <row r="850" spans="1:2" x14ac:dyDescent="0.2">
      <c r="A850" s="7" t="s">
        <v>620</v>
      </c>
      <c r="B850" t="s">
        <v>620</v>
      </c>
    </row>
    <row r="851" spans="1:2" x14ac:dyDescent="0.2">
      <c r="A851" s="8" t="s">
        <v>625</v>
      </c>
      <c r="B851" t="s">
        <v>355</v>
      </c>
    </row>
    <row r="852" spans="1:2" x14ac:dyDescent="0.2">
      <c r="A852" s="7" t="s">
        <v>632</v>
      </c>
      <c r="B852" t="s">
        <v>632</v>
      </c>
    </row>
    <row r="853" spans="1:2" x14ac:dyDescent="0.2">
      <c r="A853" s="7" t="s">
        <v>249</v>
      </c>
      <c r="B853" t="s">
        <v>283</v>
      </c>
    </row>
    <row r="854" spans="1:2" x14ac:dyDescent="0.2">
      <c r="A854" s="8" t="s">
        <v>630</v>
      </c>
      <c r="B854" t="s">
        <v>3370</v>
      </c>
    </row>
    <row r="855" spans="1:2" x14ac:dyDescent="0.2">
      <c r="A855" s="7" t="s">
        <v>628</v>
      </c>
      <c r="B855" t="s">
        <v>1672</v>
      </c>
    </row>
    <row r="856" spans="1:2" x14ac:dyDescent="0.2">
      <c r="A856" s="8" t="s">
        <v>637</v>
      </c>
      <c r="B856" t="s">
        <v>637</v>
      </c>
    </row>
    <row r="857" spans="1:2" x14ac:dyDescent="0.2">
      <c r="A857" s="8" t="s">
        <v>634</v>
      </c>
      <c r="B857" t="s">
        <v>634</v>
      </c>
    </row>
    <row r="858" spans="1:2" x14ac:dyDescent="0.2">
      <c r="A858" s="7" t="s">
        <v>640</v>
      </c>
      <c r="B858" t="s">
        <v>3449</v>
      </c>
    </row>
    <row r="859" spans="1:2" x14ac:dyDescent="0.2">
      <c r="A859" s="8" t="s">
        <v>642</v>
      </c>
      <c r="B859" t="s">
        <v>642</v>
      </c>
    </row>
    <row r="860" spans="1:2" x14ac:dyDescent="0.2">
      <c r="A860" s="7" t="s">
        <v>644</v>
      </c>
      <c r="B860" t="s">
        <v>3356</v>
      </c>
    </row>
    <row r="861" spans="1:2" x14ac:dyDescent="0.2">
      <c r="A861" s="8" t="s">
        <v>646</v>
      </c>
      <c r="B861" t="s">
        <v>1324</v>
      </c>
    </row>
    <row r="862" spans="1:2" x14ac:dyDescent="0.2">
      <c r="A862" s="8" t="s">
        <v>652</v>
      </c>
    </row>
    <row r="863" spans="1:2" x14ac:dyDescent="0.2">
      <c r="A863" s="7" t="s">
        <v>654</v>
      </c>
      <c r="B863" t="s">
        <v>2783</v>
      </c>
    </row>
    <row r="864" spans="1:2" x14ac:dyDescent="0.2">
      <c r="A864" s="8" t="s">
        <v>656</v>
      </c>
    </row>
    <row r="865" spans="1:2" x14ac:dyDescent="0.2">
      <c r="A865" s="7" t="s">
        <v>657</v>
      </c>
      <c r="B865" t="s">
        <v>657</v>
      </c>
    </row>
    <row r="866" spans="1:2" x14ac:dyDescent="0.2">
      <c r="A866" s="8" t="s">
        <v>659</v>
      </c>
      <c r="B866" t="s">
        <v>2788</v>
      </c>
    </row>
    <row r="867" spans="1:2" x14ac:dyDescent="0.2">
      <c r="A867" s="8" t="s">
        <v>677</v>
      </c>
      <c r="B867" t="s">
        <v>3690</v>
      </c>
    </row>
    <row r="868" spans="1:2" x14ac:dyDescent="0.2">
      <c r="A868" s="7" t="s">
        <v>315</v>
      </c>
      <c r="B868" t="s">
        <v>315</v>
      </c>
    </row>
    <row r="869" spans="1:2" x14ac:dyDescent="0.2">
      <c r="A869" s="7" t="s">
        <v>649</v>
      </c>
      <c r="B869" t="s">
        <v>2767</v>
      </c>
    </row>
    <row r="870" spans="1:2" x14ac:dyDescent="0.2">
      <c r="A870" s="8" t="s">
        <v>662</v>
      </c>
    </row>
    <row r="871" spans="1:2" x14ac:dyDescent="0.2">
      <c r="A871" s="7" t="s">
        <v>664</v>
      </c>
    </row>
    <row r="872" spans="1:2" x14ac:dyDescent="0.2">
      <c r="A872" s="8" t="s">
        <v>673</v>
      </c>
      <c r="B872" t="s">
        <v>673</v>
      </c>
    </row>
    <row r="873" spans="1:2" x14ac:dyDescent="0.2">
      <c r="A873" s="8" t="s">
        <v>665</v>
      </c>
    </row>
    <row r="874" spans="1:2" x14ac:dyDescent="0.2">
      <c r="A874" s="7" t="s">
        <v>666</v>
      </c>
      <c r="B874" t="s">
        <v>320</v>
      </c>
    </row>
    <row r="875" spans="1:2" x14ac:dyDescent="0.2">
      <c r="A875" s="8" t="s">
        <v>317</v>
      </c>
      <c r="B875" t="s">
        <v>317</v>
      </c>
    </row>
    <row r="876" spans="1:2" x14ac:dyDescent="0.2">
      <c r="A876" s="7" t="s">
        <v>314</v>
      </c>
    </row>
    <row r="877" spans="1:2" x14ac:dyDescent="0.2">
      <c r="A877" s="8" t="s">
        <v>669</v>
      </c>
    </row>
    <row r="878" spans="1:2" x14ac:dyDescent="0.2">
      <c r="A878" s="7" t="s">
        <v>675</v>
      </c>
      <c r="B878" t="s">
        <v>675</v>
      </c>
    </row>
    <row r="879" spans="1:2" x14ac:dyDescent="0.2">
      <c r="A879" s="7" t="s">
        <v>671</v>
      </c>
    </row>
    <row r="880" spans="1:2" x14ac:dyDescent="0.2">
      <c r="A880" s="7" t="s">
        <v>679</v>
      </c>
      <c r="B880" t="s">
        <v>3372</v>
      </c>
    </row>
    <row r="881" spans="1:2" x14ac:dyDescent="0.2">
      <c r="A881" s="8" t="s">
        <v>681</v>
      </c>
      <c r="B881" t="s">
        <v>681</v>
      </c>
    </row>
    <row r="882" spans="1:2" x14ac:dyDescent="0.2">
      <c r="A882" s="8" t="s">
        <v>261</v>
      </c>
      <c r="B882" t="s">
        <v>311</v>
      </c>
    </row>
    <row r="883" spans="1:2" x14ac:dyDescent="0.2">
      <c r="A883" s="7" t="s">
        <v>683</v>
      </c>
      <c r="B883" t="s">
        <v>683</v>
      </c>
    </row>
    <row r="884" spans="1:2" x14ac:dyDescent="0.2">
      <c r="A884" s="7" t="s">
        <v>691</v>
      </c>
      <c r="B884" t="s">
        <v>3119</v>
      </c>
    </row>
    <row r="885" spans="1:2" x14ac:dyDescent="0.2">
      <c r="A885" s="8" t="s">
        <v>693</v>
      </c>
      <c r="B885" t="s">
        <v>3122</v>
      </c>
    </row>
    <row r="886" spans="1:2" x14ac:dyDescent="0.2">
      <c r="A886" s="7" t="s">
        <v>695</v>
      </c>
      <c r="B886" t="s">
        <v>695</v>
      </c>
    </row>
    <row r="887" spans="1:2" x14ac:dyDescent="0.2">
      <c r="A887" s="7" t="s">
        <v>687</v>
      </c>
      <c r="B887" t="s">
        <v>3055</v>
      </c>
    </row>
    <row r="888" spans="1:2" x14ac:dyDescent="0.2">
      <c r="A888" s="8" t="s">
        <v>689</v>
      </c>
      <c r="B888" t="s">
        <v>3057</v>
      </c>
    </row>
    <row r="889" spans="1:2" x14ac:dyDescent="0.2">
      <c r="A889" s="7" t="s">
        <v>699</v>
      </c>
      <c r="B889" t="s">
        <v>2770</v>
      </c>
    </row>
    <row r="890" spans="1:2" x14ac:dyDescent="0.2">
      <c r="A890" s="8" t="s">
        <v>701</v>
      </c>
      <c r="B890" t="s">
        <v>330</v>
      </c>
    </row>
    <row r="891" spans="1:2" x14ac:dyDescent="0.2">
      <c r="A891" s="8" t="s">
        <v>707</v>
      </c>
      <c r="B891" t="s">
        <v>2776</v>
      </c>
    </row>
    <row r="892" spans="1:2" x14ac:dyDescent="0.2">
      <c r="A892" s="7" t="s">
        <v>700</v>
      </c>
      <c r="B892" t="s">
        <v>374</v>
      </c>
    </row>
    <row r="893" spans="1:2" x14ac:dyDescent="0.2">
      <c r="A893" s="7" t="s">
        <v>709</v>
      </c>
      <c r="B893" t="s">
        <v>2777</v>
      </c>
    </row>
    <row r="894" spans="1:2" x14ac:dyDescent="0.2">
      <c r="A894" s="8" t="s">
        <v>711</v>
      </c>
      <c r="B894" t="s">
        <v>711</v>
      </c>
    </row>
    <row r="895" spans="1:2" x14ac:dyDescent="0.2">
      <c r="A895" s="7" t="s">
        <v>713</v>
      </c>
      <c r="B895" t="s">
        <v>713</v>
      </c>
    </row>
    <row r="896" spans="1:2" x14ac:dyDescent="0.2">
      <c r="A896" s="8" t="s">
        <v>715</v>
      </c>
      <c r="B896" t="s">
        <v>715</v>
      </c>
    </row>
    <row r="897" spans="1:2" x14ac:dyDescent="0.2">
      <c r="A897" s="7" t="s">
        <v>717</v>
      </c>
      <c r="B897" t="s">
        <v>2780</v>
      </c>
    </row>
    <row r="898" spans="1:2" x14ac:dyDescent="0.2">
      <c r="A898" s="8" t="s">
        <v>719</v>
      </c>
    </row>
    <row r="899" spans="1:2" x14ac:dyDescent="0.2">
      <c r="A899" s="7" t="s">
        <v>721</v>
      </c>
      <c r="B899" t="s">
        <v>2773</v>
      </c>
    </row>
    <row r="900" spans="1:2" x14ac:dyDescent="0.2">
      <c r="A900" s="7" t="s">
        <v>730</v>
      </c>
      <c r="B900" t="s">
        <v>3051</v>
      </c>
    </row>
    <row r="901" spans="1:2" x14ac:dyDescent="0.2">
      <c r="A901" s="8" t="s">
        <v>723</v>
      </c>
      <c r="B901" t="s">
        <v>723</v>
      </c>
    </row>
    <row r="902" spans="1:2" x14ac:dyDescent="0.2">
      <c r="A902" s="7" t="s">
        <v>725</v>
      </c>
    </row>
    <row r="903" spans="1:2" x14ac:dyDescent="0.2">
      <c r="A903" s="8" t="s">
        <v>727</v>
      </c>
      <c r="B903" t="s">
        <v>2782</v>
      </c>
    </row>
    <row r="904" spans="1:2" x14ac:dyDescent="0.2">
      <c r="A904" s="8" t="s">
        <v>697</v>
      </c>
      <c r="B904" t="s">
        <v>2765</v>
      </c>
    </row>
    <row r="905" spans="1:2" x14ac:dyDescent="0.2">
      <c r="A905" s="8" t="s">
        <v>703</v>
      </c>
      <c r="B905" t="s">
        <v>703</v>
      </c>
    </row>
    <row r="906" spans="1:2" x14ac:dyDescent="0.2">
      <c r="A906" s="7" t="s">
        <v>682</v>
      </c>
      <c r="B906" t="s">
        <v>2768</v>
      </c>
    </row>
    <row r="907" spans="1:2" x14ac:dyDescent="0.2">
      <c r="A907" s="8" t="s">
        <v>732</v>
      </c>
      <c r="B907" t="s">
        <v>732</v>
      </c>
    </row>
    <row r="908" spans="1:2" x14ac:dyDescent="0.2">
      <c r="A908" s="7" t="s">
        <v>734</v>
      </c>
      <c r="B908" t="s">
        <v>734</v>
      </c>
    </row>
    <row r="909" spans="1:2" x14ac:dyDescent="0.2">
      <c r="A909" s="7" t="s">
        <v>738</v>
      </c>
      <c r="B909" t="s">
        <v>422</v>
      </c>
    </row>
    <row r="910" spans="1:2" x14ac:dyDescent="0.2">
      <c r="A910" s="8" t="s">
        <v>736</v>
      </c>
      <c r="B910" t="s">
        <v>416</v>
      </c>
    </row>
    <row r="911" spans="1:2" x14ac:dyDescent="0.2">
      <c r="A911" s="7" t="s">
        <v>741</v>
      </c>
      <c r="B911" t="s">
        <v>3691</v>
      </c>
    </row>
    <row r="912" spans="1:2" x14ac:dyDescent="0.2">
      <c r="A912" s="8" t="s">
        <v>739</v>
      </c>
      <c r="B912" t="s">
        <v>739</v>
      </c>
    </row>
    <row r="913" spans="1:2" x14ac:dyDescent="0.2">
      <c r="A913" s="8" t="s">
        <v>423</v>
      </c>
      <c r="B913" t="s">
        <v>423</v>
      </c>
    </row>
    <row r="914" spans="1:2" x14ac:dyDescent="0.2">
      <c r="A914" s="7" t="s">
        <v>267</v>
      </c>
      <c r="B914" t="s">
        <v>267</v>
      </c>
    </row>
    <row r="915" spans="1:2" x14ac:dyDescent="0.2">
      <c r="A915" s="8" t="s">
        <v>67</v>
      </c>
      <c r="B915" t="s">
        <v>67</v>
      </c>
    </row>
    <row r="916" spans="1:2" x14ac:dyDescent="0.2">
      <c r="A916" s="8" t="s">
        <v>750</v>
      </c>
      <c r="B916" t="s">
        <v>3123</v>
      </c>
    </row>
    <row r="917" spans="1:2" x14ac:dyDescent="0.2">
      <c r="A917" s="8" t="s">
        <v>746</v>
      </c>
      <c r="B917" t="s">
        <v>3053</v>
      </c>
    </row>
    <row r="918" spans="1:2" x14ac:dyDescent="0.2">
      <c r="A918" s="7" t="s">
        <v>748</v>
      </c>
      <c r="B918" t="s">
        <v>748</v>
      </c>
    </row>
    <row r="919" spans="1:2" x14ac:dyDescent="0.2">
      <c r="A919" s="7" t="s">
        <v>65</v>
      </c>
      <c r="B919" t="s">
        <v>65</v>
      </c>
    </row>
    <row r="920" spans="1:2" x14ac:dyDescent="0.2">
      <c r="A920" s="7" t="s">
        <v>185</v>
      </c>
      <c r="B920" t="s">
        <v>3523</v>
      </c>
    </row>
    <row r="921" spans="1:2" x14ac:dyDescent="0.2">
      <c r="A921" s="8" t="s">
        <v>752</v>
      </c>
      <c r="B921" t="s">
        <v>2769</v>
      </c>
    </row>
    <row r="922" spans="1:2" x14ac:dyDescent="0.2">
      <c r="A922" s="7" t="s">
        <v>753</v>
      </c>
      <c r="B922" t="s">
        <v>3054</v>
      </c>
    </row>
    <row r="923" spans="1:2" x14ac:dyDescent="0.2">
      <c r="A923" s="8" t="s">
        <v>755</v>
      </c>
      <c r="B923" t="s">
        <v>755</v>
      </c>
    </row>
    <row r="924" spans="1:2" x14ac:dyDescent="0.2">
      <c r="A924" s="7" t="s">
        <v>63</v>
      </c>
      <c r="B924" t="s">
        <v>63</v>
      </c>
    </row>
    <row r="925" spans="1:2" x14ac:dyDescent="0.2">
      <c r="A925" s="8" t="s">
        <v>757</v>
      </c>
      <c r="B925" t="s">
        <v>757</v>
      </c>
    </row>
    <row r="926" spans="1:2" x14ac:dyDescent="0.2">
      <c r="A926" s="8" t="s">
        <v>759</v>
      </c>
      <c r="B926" t="s">
        <v>759</v>
      </c>
    </row>
    <row r="927" spans="1:2" x14ac:dyDescent="0.2">
      <c r="A927" s="7" t="s">
        <v>768</v>
      </c>
      <c r="B927" t="s">
        <v>768</v>
      </c>
    </row>
    <row r="928" spans="1:2" x14ac:dyDescent="0.2">
      <c r="A928" s="7" t="s">
        <v>53</v>
      </c>
      <c r="B928" t="s">
        <v>53</v>
      </c>
    </row>
    <row r="929" spans="1:2" x14ac:dyDescent="0.2">
      <c r="A929" s="7" t="s">
        <v>761</v>
      </c>
      <c r="B929" t="s">
        <v>3699</v>
      </c>
    </row>
    <row r="930" spans="1:2" x14ac:dyDescent="0.2">
      <c r="A930" s="8" t="s">
        <v>763</v>
      </c>
      <c r="B930" t="s">
        <v>3700</v>
      </c>
    </row>
    <row r="931" spans="1:2" x14ac:dyDescent="0.2">
      <c r="A931" s="8" t="s">
        <v>770</v>
      </c>
      <c r="B931" t="s">
        <v>770</v>
      </c>
    </row>
    <row r="932" spans="1:2" x14ac:dyDescent="0.2">
      <c r="A932" s="7" t="s">
        <v>764</v>
      </c>
      <c r="B932" t="s">
        <v>764</v>
      </c>
    </row>
    <row r="933" spans="1:2" x14ac:dyDescent="0.2">
      <c r="A933" s="8" t="s">
        <v>766</v>
      </c>
      <c r="B933" t="s">
        <v>3701</v>
      </c>
    </row>
    <row r="934" spans="1:2" x14ac:dyDescent="0.2">
      <c r="A934" s="7" t="s">
        <v>772</v>
      </c>
      <c r="B934" t="s">
        <v>3144</v>
      </c>
    </row>
    <row r="935" spans="1:2" x14ac:dyDescent="0.2">
      <c r="A935" s="8" t="s">
        <v>774</v>
      </c>
      <c r="B935" t="s">
        <v>774</v>
      </c>
    </row>
    <row r="936" spans="1:2" x14ac:dyDescent="0.2">
      <c r="A936" s="7" t="s">
        <v>778</v>
      </c>
      <c r="B936" t="s">
        <v>778</v>
      </c>
    </row>
    <row r="937" spans="1:2" x14ac:dyDescent="0.2">
      <c r="A937" s="7" t="s">
        <v>55</v>
      </c>
      <c r="B937" t="s">
        <v>55</v>
      </c>
    </row>
    <row r="938" spans="1:2" x14ac:dyDescent="0.2">
      <c r="A938" s="8" t="s">
        <v>58</v>
      </c>
      <c r="B938" t="s">
        <v>58</v>
      </c>
    </row>
    <row r="939" spans="1:2" x14ac:dyDescent="0.2">
      <c r="A939" s="7" t="s">
        <v>775</v>
      </c>
      <c r="B939" t="s">
        <v>775</v>
      </c>
    </row>
    <row r="940" spans="1:2" x14ac:dyDescent="0.2">
      <c r="A940" s="7" t="s">
        <v>64</v>
      </c>
      <c r="B940" t="s">
        <v>862</v>
      </c>
    </row>
    <row r="941" spans="1:2" x14ac:dyDescent="0.2">
      <c r="A941" s="8" t="s">
        <v>56</v>
      </c>
      <c r="B941" t="s">
        <v>56</v>
      </c>
    </row>
    <row r="942" spans="1:2" x14ac:dyDescent="0.2">
      <c r="A942" s="7" t="s">
        <v>77</v>
      </c>
      <c r="B942" t="s">
        <v>863</v>
      </c>
    </row>
    <row r="943" spans="1:2" x14ac:dyDescent="0.2">
      <c r="A943" s="8" t="s">
        <v>74</v>
      </c>
      <c r="B943" t="s">
        <v>74</v>
      </c>
    </row>
    <row r="944" spans="1:2" x14ac:dyDescent="0.2">
      <c r="A944" s="8" t="s">
        <v>777</v>
      </c>
      <c r="B944" t="s">
        <v>2764</v>
      </c>
    </row>
    <row r="945" spans="1:2" x14ac:dyDescent="0.2">
      <c r="A945" s="7" t="s">
        <v>781</v>
      </c>
      <c r="B945" t="s">
        <v>781</v>
      </c>
    </row>
    <row r="946" spans="1:2" x14ac:dyDescent="0.2">
      <c r="A946" s="8" t="s">
        <v>61</v>
      </c>
      <c r="B946" t="s">
        <v>61</v>
      </c>
    </row>
    <row r="947" spans="1:2" x14ac:dyDescent="0.2">
      <c r="A947" s="8" t="s">
        <v>780</v>
      </c>
      <c r="B947" t="s">
        <v>3121</v>
      </c>
    </row>
    <row r="948" spans="1:2" x14ac:dyDescent="0.2">
      <c r="A948" s="8" t="s">
        <v>73</v>
      </c>
      <c r="B948" t="s">
        <v>73</v>
      </c>
    </row>
    <row r="949" spans="1:2" x14ac:dyDescent="0.2">
      <c r="A949" s="7" t="s">
        <v>783</v>
      </c>
      <c r="B949" t="s">
        <v>783</v>
      </c>
    </row>
    <row r="950" spans="1:2" x14ac:dyDescent="0.2">
      <c r="A950" s="7" t="s">
        <v>54</v>
      </c>
      <c r="B950" t="s">
        <v>54</v>
      </c>
    </row>
    <row r="951" spans="1:2" x14ac:dyDescent="0.2">
      <c r="A951" s="8" t="s">
        <v>85</v>
      </c>
      <c r="B951" t="s">
        <v>85</v>
      </c>
    </row>
    <row r="952" spans="1:2" x14ac:dyDescent="0.2">
      <c r="A952" s="7" t="s">
        <v>47</v>
      </c>
      <c r="B952" t="s">
        <v>47</v>
      </c>
    </row>
    <row r="953" spans="1:2" x14ac:dyDescent="0.2">
      <c r="A953" s="8" t="s">
        <v>786</v>
      </c>
      <c r="B953" t="s">
        <v>786</v>
      </c>
    </row>
    <row r="954" spans="1:2" x14ac:dyDescent="0.2">
      <c r="A954" s="7" t="s">
        <v>787</v>
      </c>
      <c r="B954" t="s">
        <v>787</v>
      </c>
    </row>
    <row r="955" spans="1:2" x14ac:dyDescent="0.2">
      <c r="A955" s="8" t="s">
        <v>789</v>
      </c>
      <c r="B955" t="s">
        <v>3704</v>
      </c>
    </row>
    <row r="956" spans="1:2" x14ac:dyDescent="0.2">
      <c r="A956" s="7" t="s">
        <v>791</v>
      </c>
      <c r="B956" t="s">
        <v>791</v>
      </c>
    </row>
    <row r="957" spans="1:2" x14ac:dyDescent="0.2">
      <c r="A957" s="8" t="s">
        <v>792</v>
      </c>
      <c r="B957" t="s">
        <v>1880</v>
      </c>
    </row>
    <row r="958" spans="1:2" x14ac:dyDescent="0.2">
      <c r="A958" s="8" t="s">
        <v>794</v>
      </c>
      <c r="B958" t="s">
        <v>794</v>
      </c>
    </row>
    <row r="959" spans="1:2" x14ac:dyDescent="0.2">
      <c r="A959" s="7" t="s">
        <v>92</v>
      </c>
      <c r="B959" t="s">
        <v>867</v>
      </c>
    </row>
    <row r="960" spans="1:2" x14ac:dyDescent="0.2">
      <c r="A960" s="7" t="s">
        <v>796</v>
      </c>
      <c r="B960" t="s">
        <v>3706</v>
      </c>
    </row>
    <row r="961" spans="1:2" x14ac:dyDescent="0.2">
      <c r="A961" s="8" t="s">
        <v>797</v>
      </c>
      <c r="B961" t="s">
        <v>3707</v>
      </c>
    </row>
    <row r="962" spans="1:2" x14ac:dyDescent="0.2">
      <c r="A962" s="7" t="s">
        <v>79</v>
      </c>
      <c r="B962" t="s">
        <v>79</v>
      </c>
    </row>
    <row r="963" spans="1:2" x14ac:dyDescent="0.2">
      <c r="A963" s="8" t="s">
        <v>799</v>
      </c>
      <c r="B963" t="s">
        <v>799</v>
      </c>
    </row>
    <row r="964" spans="1:2" x14ac:dyDescent="0.2">
      <c r="A964" s="8" t="s">
        <v>90</v>
      </c>
      <c r="B964" t="s">
        <v>90</v>
      </c>
    </row>
    <row r="965" spans="1:2" x14ac:dyDescent="0.2">
      <c r="A965" s="7" t="s">
        <v>87</v>
      </c>
      <c r="B965" t="s">
        <v>87</v>
      </c>
    </row>
  </sheetData>
  <autoFilter ref="A1:B494" xr:uid="{9AB6C352-3DE9-4C93-A883-9D93887D916B}"/>
  <conditionalFormatting sqref="A1:A1048576">
    <cfRule type="duplicateValues" dxfId="6" priority="4"/>
  </conditionalFormatting>
  <conditionalFormatting sqref="A252:A494 A1:A124 A506:A1048576">
    <cfRule type="duplicateValues" dxfId="5" priority="7"/>
  </conditionalFormatting>
  <conditionalFormatting sqref="A506:A1048576 A1:A494">
    <cfRule type="duplicateValues" dxfId="4" priority="5"/>
  </conditionalFormatting>
  <conditionalFormatting sqref="B506">
    <cfRule type="duplicateValues" dxfId="3" priority="1"/>
    <cfRule type="duplicateValues" dxfId="2" priority="2"/>
    <cfRule type="duplicateValues" dxfId="1" priority="3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Q121"/>
  <sheetViews>
    <sheetView topLeftCell="A106" workbookViewId="0">
      <selection activeCell="B106" sqref="B106"/>
    </sheetView>
  </sheetViews>
  <sheetFormatPr baseColWidth="10" defaultColWidth="8.83203125" defaultRowHeight="15" x14ac:dyDescent="0.2"/>
  <sheetData>
    <row r="1" spans="1:43" x14ac:dyDescent="0.2"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3" x14ac:dyDescent="0.2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2223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2113</v>
      </c>
      <c r="Y2" t="s">
        <v>2114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2115</v>
      </c>
      <c r="AL2" t="s">
        <v>2116</v>
      </c>
      <c r="AM2" t="s">
        <v>2117</v>
      </c>
      <c r="AN2" t="s">
        <v>2118</v>
      </c>
      <c r="AO2" t="s">
        <v>2119</v>
      </c>
      <c r="AP2" t="s">
        <v>15</v>
      </c>
      <c r="AQ2" t="s">
        <v>16</v>
      </c>
    </row>
    <row r="3" spans="1:43" x14ac:dyDescent="0.2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2120</v>
      </c>
      <c r="AA3" t="s">
        <v>2121</v>
      </c>
      <c r="AB3" t="s">
        <v>2122</v>
      </c>
      <c r="AC3" t="s">
        <v>2122</v>
      </c>
      <c r="AD3" t="s">
        <v>2123</v>
      </c>
      <c r="AE3" t="s">
        <v>2122</v>
      </c>
      <c r="AF3" t="s">
        <v>2123</v>
      </c>
      <c r="AG3" t="s">
        <v>2123</v>
      </c>
      <c r="AH3" t="s">
        <v>2122</v>
      </c>
      <c r="AI3" t="s">
        <v>2122</v>
      </c>
      <c r="AJ3" t="s">
        <v>2123</v>
      </c>
      <c r="AK3" t="s">
        <v>2123</v>
      </c>
      <c r="AL3" t="s">
        <v>2123</v>
      </c>
      <c r="AM3" t="s">
        <v>2123</v>
      </c>
      <c r="AN3" t="s">
        <v>2122</v>
      </c>
      <c r="AO3" t="s">
        <v>2122</v>
      </c>
      <c r="AP3" t="s">
        <v>2123</v>
      </c>
      <c r="AQ3" t="s">
        <v>2122</v>
      </c>
    </row>
    <row r="4" spans="1:43" x14ac:dyDescent="0.2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2124</v>
      </c>
      <c r="AA4" t="s">
        <v>456</v>
      </c>
      <c r="AB4" t="s">
        <v>2122</v>
      </c>
      <c r="AC4" t="s">
        <v>2122</v>
      </c>
      <c r="AD4" t="s">
        <v>2123</v>
      </c>
      <c r="AE4" t="s">
        <v>2122</v>
      </c>
      <c r="AF4" t="s">
        <v>2123</v>
      </c>
      <c r="AG4" t="s">
        <v>2123</v>
      </c>
      <c r="AH4" t="s">
        <v>2122</v>
      </c>
      <c r="AI4" t="s">
        <v>2122</v>
      </c>
      <c r="AJ4" t="s">
        <v>2123</v>
      </c>
      <c r="AK4" t="s">
        <v>2123</v>
      </c>
      <c r="AL4" t="s">
        <v>2122</v>
      </c>
      <c r="AM4" t="s">
        <v>2122</v>
      </c>
      <c r="AN4" t="s">
        <v>2123</v>
      </c>
      <c r="AO4" t="s">
        <v>2123</v>
      </c>
      <c r="AP4" t="s">
        <v>2122</v>
      </c>
      <c r="AQ4" t="s">
        <v>2123</v>
      </c>
    </row>
    <row r="5" spans="1:43" x14ac:dyDescent="0.2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2125</v>
      </c>
      <c r="AA5" t="s">
        <v>2126</v>
      </c>
      <c r="AB5" t="s">
        <v>2122</v>
      </c>
      <c r="AC5" t="s">
        <v>2123</v>
      </c>
      <c r="AD5" t="s">
        <v>2122</v>
      </c>
      <c r="AE5" t="s">
        <v>2123</v>
      </c>
      <c r="AF5" t="s">
        <v>2123</v>
      </c>
      <c r="AG5" t="s">
        <v>2122</v>
      </c>
      <c r="AH5" t="s">
        <v>2122</v>
      </c>
      <c r="AI5" t="s">
        <v>2123</v>
      </c>
      <c r="AJ5" t="s">
        <v>2122</v>
      </c>
      <c r="AK5" t="s">
        <v>2123</v>
      </c>
      <c r="AL5" t="s">
        <v>2123</v>
      </c>
      <c r="AM5" t="s">
        <v>2123</v>
      </c>
      <c r="AN5" t="s">
        <v>2122</v>
      </c>
      <c r="AO5" t="s">
        <v>2122</v>
      </c>
      <c r="AP5" t="s">
        <v>2123</v>
      </c>
      <c r="AQ5" t="s">
        <v>2122</v>
      </c>
    </row>
    <row r="6" spans="1:43" x14ac:dyDescent="0.2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2127</v>
      </c>
      <c r="AA6" t="s">
        <v>2128</v>
      </c>
      <c r="AB6" t="s">
        <v>2123</v>
      </c>
      <c r="AC6" t="s">
        <v>2122</v>
      </c>
      <c r="AD6" t="s">
        <v>2122</v>
      </c>
      <c r="AE6" t="s">
        <v>2123</v>
      </c>
      <c r="AF6" t="s">
        <v>2122</v>
      </c>
      <c r="AG6" t="s">
        <v>2123</v>
      </c>
      <c r="AH6" t="s">
        <v>2123</v>
      </c>
      <c r="AI6" t="s">
        <v>2122</v>
      </c>
      <c r="AJ6" t="s">
        <v>2122</v>
      </c>
      <c r="AK6" t="s">
        <v>2123</v>
      </c>
      <c r="AL6" t="s">
        <v>2123</v>
      </c>
      <c r="AM6" t="s">
        <v>2123</v>
      </c>
      <c r="AN6" t="s">
        <v>2122</v>
      </c>
      <c r="AO6" t="s">
        <v>2122</v>
      </c>
      <c r="AP6" t="s">
        <v>2123</v>
      </c>
      <c r="AQ6" t="s">
        <v>2122</v>
      </c>
    </row>
    <row r="7" spans="1:43" x14ac:dyDescent="0.2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2129</v>
      </c>
      <c r="AA7" t="s">
        <v>449</v>
      </c>
      <c r="AB7" t="s">
        <v>2122</v>
      </c>
      <c r="AC7" t="s">
        <v>2122</v>
      </c>
      <c r="AD7" t="s">
        <v>2123</v>
      </c>
      <c r="AE7" t="s">
        <v>2122</v>
      </c>
      <c r="AF7" t="s">
        <v>2123</v>
      </c>
      <c r="AG7" t="s">
        <v>2123</v>
      </c>
      <c r="AH7" t="s">
        <v>2122</v>
      </c>
      <c r="AI7" t="s">
        <v>2122</v>
      </c>
      <c r="AJ7" t="s">
        <v>2123</v>
      </c>
      <c r="AK7" t="s">
        <v>2123</v>
      </c>
      <c r="AL7" t="s">
        <v>2123</v>
      </c>
      <c r="AM7" t="s">
        <v>2122</v>
      </c>
      <c r="AN7" t="s">
        <v>2123</v>
      </c>
      <c r="AO7" t="s">
        <v>2123</v>
      </c>
      <c r="AP7" t="s">
        <v>2122</v>
      </c>
      <c r="AQ7" t="s">
        <v>2123</v>
      </c>
    </row>
    <row r="8" spans="1:43" x14ac:dyDescent="0.2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2130</v>
      </c>
      <c r="AA8" t="s">
        <v>2131</v>
      </c>
      <c r="AB8" t="s">
        <v>2123</v>
      </c>
      <c r="AC8" t="s">
        <v>2122</v>
      </c>
      <c r="AD8" t="s">
        <v>2122</v>
      </c>
      <c r="AE8" t="s">
        <v>2123</v>
      </c>
      <c r="AF8" t="s">
        <v>2122</v>
      </c>
      <c r="AG8" t="s">
        <v>2123</v>
      </c>
      <c r="AH8" t="s">
        <v>2122</v>
      </c>
      <c r="AI8" t="s">
        <v>2123</v>
      </c>
      <c r="AJ8" t="s">
        <v>2122</v>
      </c>
      <c r="AK8" t="s">
        <v>2122</v>
      </c>
      <c r="AL8" t="s">
        <v>2123</v>
      </c>
      <c r="AM8" t="s">
        <v>2122</v>
      </c>
      <c r="AN8" t="s">
        <v>2123</v>
      </c>
      <c r="AO8" t="s">
        <v>2123</v>
      </c>
      <c r="AP8" t="s">
        <v>2122</v>
      </c>
      <c r="AQ8" t="s">
        <v>2123</v>
      </c>
    </row>
    <row r="9" spans="1:43" x14ac:dyDescent="0.2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2132</v>
      </c>
      <c r="AA9" t="s">
        <v>2131</v>
      </c>
      <c r="AB9" t="s">
        <v>2123</v>
      </c>
      <c r="AC9" t="s">
        <v>2122</v>
      </c>
      <c r="AD9" t="s">
        <v>2122</v>
      </c>
      <c r="AE9" t="s">
        <v>2123</v>
      </c>
      <c r="AF9" t="s">
        <v>2122</v>
      </c>
      <c r="AG9" t="s">
        <v>2123</v>
      </c>
      <c r="AH9" t="s">
        <v>2122</v>
      </c>
      <c r="AI9" t="s">
        <v>2123</v>
      </c>
      <c r="AJ9" t="s">
        <v>2122</v>
      </c>
      <c r="AK9" t="s">
        <v>2122</v>
      </c>
      <c r="AL9" t="s">
        <v>2123</v>
      </c>
      <c r="AM9" t="s">
        <v>2122</v>
      </c>
      <c r="AN9" t="s">
        <v>2123</v>
      </c>
      <c r="AO9" t="s">
        <v>2123</v>
      </c>
      <c r="AP9" t="s">
        <v>2122</v>
      </c>
      <c r="AQ9" t="s">
        <v>2123</v>
      </c>
    </row>
    <row r="10" spans="1:43" x14ac:dyDescent="0.2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2133</v>
      </c>
      <c r="AA10" t="s">
        <v>2126</v>
      </c>
      <c r="AB10" t="s">
        <v>2122</v>
      </c>
      <c r="AC10" t="s">
        <v>2123</v>
      </c>
      <c r="AD10" t="s">
        <v>2122</v>
      </c>
      <c r="AE10" t="s">
        <v>2123</v>
      </c>
      <c r="AF10" t="s">
        <v>2123</v>
      </c>
      <c r="AG10" t="s">
        <v>2122</v>
      </c>
      <c r="AH10" t="s">
        <v>2123</v>
      </c>
      <c r="AI10" t="s">
        <v>2122</v>
      </c>
      <c r="AJ10" t="s">
        <v>2122</v>
      </c>
      <c r="AK10" t="s">
        <v>2123</v>
      </c>
      <c r="AL10" t="s">
        <v>2123</v>
      </c>
      <c r="AM10" t="s">
        <v>2123</v>
      </c>
      <c r="AN10" t="s">
        <v>2122</v>
      </c>
      <c r="AO10" t="s">
        <v>2122</v>
      </c>
      <c r="AP10" t="s">
        <v>2123</v>
      </c>
      <c r="AQ10" t="s">
        <v>2122</v>
      </c>
    </row>
    <row r="11" spans="1:43" x14ac:dyDescent="0.2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2134</v>
      </c>
      <c r="AA11" t="s">
        <v>447</v>
      </c>
      <c r="AB11" t="s">
        <v>2122</v>
      </c>
      <c r="AC11" t="s">
        <v>2123</v>
      </c>
      <c r="AD11" t="s">
        <v>2122</v>
      </c>
      <c r="AE11" t="s">
        <v>2123</v>
      </c>
      <c r="AF11" t="s">
        <v>2123</v>
      </c>
      <c r="AG11" t="s">
        <v>2122</v>
      </c>
      <c r="AH11" t="s">
        <v>2122</v>
      </c>
      <c r="AI11" t="s">
        <v>2123</v>
      </c>
      <c r="AJ11" t="s">
        <v>2122</v>
      </c>
      <c r="AK11" t="s">
        <v>2122</v>
      </c>
      <c r="AL11" t="s">
        <v>2122</v>
      </c>
      <c r="AM11" t="s">
        <v>2122</v>
      </c>
      <c r="AN11" t="s">
        <v>2123</v>
      </c>
      <c r="AO11" t="s">
        <v>2123</v>
      </c>
      <c r="AP11" t="s">
        <v>2122</v>
      </c>
      <c r="AQ11" t="s">
        <v>2123</v>
      </c>
    </row>
    <row r="12" spans="1:43" x14ac:dyDescent="0.2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2135</v>
      </c>
      <c r="AA12" t="s">
        <v>2136</v>
      </c>
      <c r="AB12" t="s">
        <v>2123</v>
      </c>
      <c r="AC12" t="s">
        <v>2122</v>
      </c>
      <c r="AD12" t="s">
        <v>2122</v>
      </c>
      <c r="AE12" t="s">
        <v>2123</v>
      </c>
      <c r="AF12" t="s">
        <v>2122</v>
      </c>
      <c r="AG12" t="s">
        <v>2123</v>
      </c>
      <c r="AH12" t="s">
        <v>2122</v>
      </c>
      <c r="AI12" t="s">
        <v>2123</v>
      </c>
      <c r="AJ12" t="s">
        <v>2122</v>
      </c>
      <c r="AK12" t="s">
        <v>2122</v>
      </c>
      <c r="AL12" t="s">
        <v>2123</v>
      </c>
      <c r="AM12" t="s">
        <v>2123</v>
      </c>
      <c r="AN12" t="s">
        <v>2122</v>
      </c>
      <c r="AO12" t="s">
        <v>2122</v>
      </c>
      <c r="AP12" t="s">
        <v>2123</v>
      </c>
      <c r="AQ12" t="s">
        <v>2122</v>
      </c>
    </row>
    <row r="13" spans="1:43" x14ac:dyDescent="0.2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2137</v>
      </c>
      <c r="AA13" t="s">
        <v>462</v>
      </c>
      <c r="AB13" t="s">
        <v>2123</v>
      </c>
      <c r="AC13" t="s">
        <v>2122</v>
      </c>
      <c r="AD13" t="s">
        <v>2122</v>
      </c>
      <c r="AE13" t="s">
        <v>2123</v>
      </c>
      <c r="AF13" t="s">
        <v>2122</v>
      </c>
      <c r="AG13" t="s">
        <v>2123</v>
      </c>
      <c r="AH13" t="s">
        <v>2122</v>
      </c>
      <c r="AI13" t="s">
        <v>2123</v>
      </c>
      <c r="AJ13" t="s">
        <v>2122</v>
      </c>
      <c r="AK13" t="s">
        <v>2123</v>
      </c>
      <c r="AL13" t="s">
        <v>2123</v>
      </c>
      <c r="AM13" t="s">
        <v>2123</v>
      </c>
      <c r="AN13" t="s">
        <v>2122</v>
      </c>
      <c r="AO13" t="s">
        <v>2123</v>
      </c>
      <c r="AP13" t="s">
        <v>2123</v>
      </c>
      <c r="AQ13" t="s">
        <v>2122</v>
      </c>
    </row>
    <row r="14" spans="1:43" x14ac:dyDescent="0.2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2138</v>
      </c>
      <c r="AA14" t="s">
        <v>462</v>
      </c>
      <c r="AB14" t="s">
        <v>2123</v>
      </c>
      <c r="AC14" t="s">
        <v>2122</v>
      </c>
      <c r="AD14" t="s">
        <v>2122</v>
      </c>
      <c r="AE14" t="s">
        <v>2123</v>
      </c>
      <c r="AF14" t="s">
        <v>2122</v>
      </c>
      <c r="AG14" t="s">
        <v>2123</v>
      </c>
      <c r="AH14" t="s">
        <v>2122</v>
      </c>
      <c r="AI14" t="s">
        <v>2123</v>
      </c>
      <c r="AJ14" t="s">
        <v>2122</v>
      </c>
      <c r="AK14" t="s">
        <v>2123</v>
      </c>
      <c r="AL14" t="s">
        <v>2123</v>
      </c>
      <c r="AM14" t="s">
        <v>2123</v>
      </c>
      <c r="AN14" t="s">
        <v>2122</v>
      </c>
      <c r="AO14" t="s">
        <v>2123</v>
      </c>
      <c r="AP14" t="s">
        <v>2123</v>
      </c>
      <c r="AQ14" t="s">
        <v>2122</v>
      </c>
    </row>
    <row r="15" spans="1:43" x14ac:dyDescent="0.2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2139</v>
      </c>
      <c r="AA15" t="s">
        <v>447</v>
      </c>
      <c r="AB15" t="s">
        <v>2122</v>
      </c>
      <c r="AC15" t="s">
        <v>2123</v>
      </c>
      <c r="AD15" t="s">
        <v>2122</v>
      </c>
      <c r="AE15" t="s">
        <v>2123</v>
      </c>
      <c r="AF15" t="s">
        <v>2123</v>
      </c>
      <c r="AG15" t="s">
        <v>2122</v>
      </c>
      <c r="AH15" t="s">
        <v>2122</v>
      </c>
      <c r="AI15" t="s">
        <v>2123</v>
      </c>
      <c r="AJ15" t="s">
        <v>2122</v>
      </c>
      <c r="AK15" t="s">
        <v>2122</v>
      </c>
      <c r="AL15" t="s">
        <v>2122</v>
      </c>
      <c r="AM15" t="s">
        <v>2122</v>
      </c>
      <c r="AN15" t="s">
        <v>2123</v>
      </c>
      <c r="AO15" t="s">
        <v>2123</v>
      </c>
      <c r="AP15" t="s">
        <v>2122</v>
      </c>
      <c r="AQ15" t="s">
        <v>2123</v>
      </c>
    </row>
    <row r="16" spans="1:43" x14ac:dyDescent="0.2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2140</v>
      </c>
      <c r="AA16" t="s">
        <v>2141</v>
      </c>
      <c r="AB16" t="s">
        <v>2123</v>
      </c>
      <c r="AC16" t="s">
        <v>2122</v>
      </c>
      <c r="AD16" t="s">
        <v>2122</v>
      </c>
      <c r="AE16" t="s">
        <v>2123</v>
      </c>
      <c r="AF16" t="s">
        <v>2122</v>
      </c>
      <c r="AG16" t="s">
        <v>2123</v>
      </c>
      <c r="AH16" t="s">
        <v>2123</v>
      </c>
      <c r="AI16" t="s">
        <v>2122</v>
      </c>
      <c r="AJ16" t="s">
        <v>2122</v>
      </c>
      <c r="AK16" t="s">
        <v>2123</v>
      </c>
      <c r="AL16" t="s">
        <v>2123</v>
      </c>
      <c r="AM16" t="s">
        <v>2123</v>
      </c>
      <c r="AN16" t="s">
        <v>2122</v>
      </c>
      <c r="AO16" t="s">
        <v>2122</v>
      </c>
      <c r="AP16" t="s">
        <v>2123</v>
      </c>
      <c r="AQ16" t="s">
        <v>2122</v>
      </c>
    </row>
    <row r="17" spans="2:43" x14ac:dyDescent="0.2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2142</v>
      </c>
      <c r="AA17" t="s">
        <v>2143</v>
      </c>
      <c r="AB17" t="s">
        <v>2123</v>
      </c>
      <c r="AC17" t="s">
        <v>2122</v>
      </c>
      <c r="AD17" t="s">
        <v>2122</v>
      </c>
      <c r="AE17" t="s">
        <v>2123</v>
      </c>
      <c r="AF17" t="s">
        <v>2122</v>
      </c>
      <c r="AG17" t="s">
        <v>2123</v>
      </c>
      <c r="AH17" t="s">
        <v>2123</v>
      </c>
      <c r="AI17" t="s">
        <v>2122</v>
      </c>
      <c r="AJ17" t="s">
        <v>2122</v>
      </c>
      <c r="AK17" t="s">
        <v>2123</v>
      </c>
      <c r="AL17" t="s">
        <v>2123</v>
      </c>
      <c r="AM17" t="s">
        <v>2123</v>
      </c>
      <c r="AN17" t="s">
        <v>2122</v>
      </c>
      <c r="AO17" t="s">
        <v>2122</v>
      </c>
      <c r="AP17" t="s">
        <v>2123</v>
      </c>
      <c r="AQ17" t="s">
        <v>2122</v>
      </c>
    </row>
    <row r="18" spans="2:43" x14ac:dyDescent="0.2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2144</v>
      </c>
      <c r="AA18" t="s">
        <v>2145</v>
      </c>
      <c r="AB18" t="s">
        <v>2122</v>
      </c>
      <c r="AC18" t="s">
        <v>2122</v>
      </c>
      <c r="AD18" t="s">
        <v>2123</v>
      </c>
      <c r="AE18" t="s">
        <v>2122</v>
      </c>
      <c r="AF18" t="s">
        <v>2123</v>
      </c>
      <c r="AG18" t="s">
        <v>2123</v>
      </c>
      <c r="AH18" t="s">
        <v>2122</v>
      </c>
      <c r="AI18" t="s">
        <v>2122</v>
      </c>
      <c r="AJ18" t="s">
        <v>2123</v>
      </c>
      <c r="AK18" t="s">
        <v>2123</v>
      </c>
      <c r="AL18" t="s">
        <v>2123</v>
      </c>
      <c r="AM18" t="s">
        <v>2123</v>
      </c>
      <c r="AN18" t="s">
        <v>2122</v>
      </c>
      <c r="AO18" t="s">
        <v>2122</v>
      </c>
      <c r="AP18" t="s">
        <v>2123</v>
      </c>
      <c r="AQ18" t="s">
        <v>2122</v>
      </c>
    </row>
    <row r="19" spans="2:43" x14ac:dyDescent="0.2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2146</v>
      </c>
      <c r="AA19" t="s">
        <v>462</v>
      </c>
      <c r="AB19" t="s">
        <v>2123</v>
      </c>
      <c r="AC19" t="s">
        <v>2122</v>
      </c>
      <c r="AD19" t="s">
        <v>2122</v>
      </c>
      <c r="AE19" t="s">
        <v>2123</v>
      </c>
      <c r="AF19" t="s">
        <v>2122</v>
      </c>
      <c r="AG19" t="s">
        <v>2123</v>
      </c>
      <c r="AH19" t="s">
        <v>2123</v>
      </c>
      <c r="AI19" t="s">
        <v>2122</v>
      </c>
      <c r="AJ19" t="s">
        <v>2122</v>
      </c>
      <c r="AK19" t="s">
        <v>2123</v>
      </c>
      <c r="AL19" t="s">
        <v>2123</v>
      </c>
      <c r="AM19" t="s">
        <v>2123</v>
      </c>
      <c r="AN19" t="s">
        <v>2122</v>
      </c>
      <c r="AO19" t="s">
        <v>2123</v>
      </c>
      <c r="AP19" t="s">
        <v>2123</v>
      </c>
      <c r="AQ19" t="s">
        <v>2122</v>
      </c>
    </row>
    <row r="20" spans="2:43" x14ac:dyDescent="0.2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2147</v>
      </c>
      <c r="AA20" t="s">
        <v>459</v>
      </c>
      <c r="AB20" t="s">
        <v>2122</v>
      </c>
      <c r="AC20" t="s">
        <v>2123</v>
      </c>
      <c r="AD20" t="s">
        <v>2122</v>
      </c>
      <c r="AE20" t="s">
        <v>2123</v>
      </c>
      <c r="AF20" t="s">
        <v>2123</v>
      </c>
      <c r="AG20" t="s">
        <v>2122</v>
      </c>
      <c r="AH20" t="s">
        <v>2122</v>
      </c>
      <c r="AI20" t="s">
        <v>2123</v>
      </c>
      <c r="AJ20" t="s">
        <v>2122</v>
      </c>
      <c r="AK20" t="s">
        <v>2123</v>
      </c>
      <c r="AL20" t="s">
        <v>2123</v>
      </c>
      <c r="AM20" t="s">
        <v>2122</v>
      </c>
      <c r="AN20" t="s">
        <v>2123</v>
      </c>
      <c r="AO20" t="s">
        <v>2123</v>
      </c>
      <c r="AP20" t="s">
        <v>2123</v>
      </c>
      <c r="AQ20" t="s">
        <v>2122</v>
      </c>
    </row>
    <row r="21" spans="2:43" x14ac:dyDescent="0.2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2148</v>
      </c>
      <c r="AA21" t="s">
        <v>447</v>
      </c>
      <c r="AB21" t="s">
        <v>2122</v>
      </c>
      <c r="AC21" t="s">
        <v>2123</v>
      </c>
      <c r="AD21" t="s">
        <v>2122</v>
      </c>
      <c r="AE21" t="s">
        <v>2123</v>
      </c>
      <c r="AF21" t="s">
        <v>2123</v>
      </c>
      <c r="AG21" t="s">
        <v>2122</v>
      </c>
      <c r="AH21" t="s">
        <v>2122</v>
      </c>
      <c r="AI21" t="s">
        <v>2123</v>
      </c>
      <c r="AJ21" t="s">
        <v>2122</v>
      </c>
      <c r="AK21" t="s">
        <v>2122</v>
      </c>
      <c r="AL21" t="s">
        <v>2122</v>
      </c>
      <c r="AM21" t="s">
        <v>2122</v>
      </c>
      <c r="AN21" t="s">
        <v>2123</v>
      </c>
      <c r="AO21" t="s">
        <v>2123</v>
      </c>
      <c r="AP21" t="s">
        <v>2122</v>
      </c>
      <c r="AQ21" t="s">
        <v>2123</v>
      </c>
    </row>
    <row r="22" spans="2:43" x14ac:dyDescent="0.2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2149</v>
      </c>
      <c r="AA22" t="s">
        <v>460</v>
      </c>
      <c r="AB22" t="s">
        <v>2122</v>
      </c>
      <c r="AC22" t="s">
        <v>2122</v>
      </c>
      <c r="AD22" t="s">
        <v>2123</v>
      </c>
      <c r="AE22" t="s">
        <v>2122</v>
      </c>
      <c r="AF22" t="s">
        <v>2123</v>
      </c>
      <c r="AG22" t="s">
        <v>2123</v>
      </c>
      <c r="AH22" t="s">
        <v>2122</v>
      </c>
      <c r="AI22" t="s">
        <v>2123</v>
      </c>
      <c r="AJ22" t="s">
        <v>2122</v>
      </c>
      <c r="AK22" t="s">
        <v>2123</v>
      </c>
      <c r="AL22" t="s">
        <v>2123</v>
      </c>
      <c r="AM22" t="s">
        <v>2123</v>
      </c>
      <c r="AN22" t="s">
        <v>2122</v>
      </c>
      <c r="AO22" t="s">
        <v>2123</v>
      </c>
      <c r="AP22" t="s">
        <v>2123</v>
      </c>
      <c r="AQ22" t="s">
        <v>2122</v>
      </c>
    </row>
    <row r="23" spans="2:43" x14ac:dyDescent="0.2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2150</v>
      </c>
      <c r="AA23" t="s">
        <v>449</v>
      </c>
      <c r="AB23" t="s">
        <v>2122</v>
      </c>
      <c r="AC23" t="s">
        <v>2122</v>
      </c>
      <c r="AD23" t="s">
        <v>2123</v>
      </c>
      <c r="AE23" t="s">
        <v>2122</v>
      </c>
      <c r="AF23" t="s">
        <v>2123</v>
      </c>
      <c r="AG23" t="s">
        <v>2123</v>
      </c>
      <c r="AH23" t="s">
        <v>2122</v>
      </c>
      <c r="AI23" t="s">
        <v>2122</v>
      </c>
      <c r="AJ23" t="s">
        <v>2123</v>
      </c>
      <c r="AK23" t="s">
        <v>2123</v>
      </c>
      <c r="AL23" t="s">
        <v>2123</v>
      </c>
      <c r="AM23" t="s">
        <v>2122</v>
      </c>
      <c r="AN23" t="s">
        <v>2123</v>
      </c>
      <c r="AO23" t="s">
        <v>2123</v>
      </c>
      <c r="AP23" t="s">
        <v>2122</v>
      </c>
      <c r="AQ23" t="s">
        <v>2123</v>
      </c>
    </row>
    <row r="24" spans="2:43" x14ac:dyDescent="0.2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2151</v>
      </c>
      <c r="AA24" t="s">
        <v>449</v>
      </c>
      <c r="AB24" t="s">
        <v>2122</v>
      </c>
      <c r="AC24" t="s">
        <v>2122</v>
      </c>
      <c r="AD24" t="s">
        <v>2123</v>
      </c>
      <c r="AE24" t="s">
        <v>2122</v>
      </c>
      <c r="AF24" t="s">
        <v>2123</v>
      </c>
      <c r="AG24" t="s">
        <v>2123</v>
      </c>
      <c r="AH24" t="s">
        <v>2122</v>
      </c>
      <c r="AI24" t="s">
        <v>2122</v>
      </c>
      <c r="AJ24" t="s">
        <v>2123</v>
      </c>
      <c r="AK24" t="s">
        <v>2123</v>
      </c>
      <c r="AL24" t="s">
        <v>2123</v>
      </c>
      <c r="AM24" t="s">
        <v>2122</v>
      </c>
      <c r="AN24" t="s">
        <v>2123</v>
      </c>
      <c r="AO24" t="s">
        <v>2123</v>
      </c>
      <c r="AP24" t="s">
        <v>2122</v>
      </c>
      <c r="AQ24" t="s">
        <v>2123</v>
      </c>
    </row>
    <row r="25" spans="2:43" x14ac:dyDescent="0.2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2152</v>
      </c>
      <c r="AA25" t="s">
        <v>461</v>
      </c>
      <c r="AB25" t="s">
        <v>2122</v>
      </c>
      <c r="AC25" t="s">
        <v>2122</v>
      </c>
      <c r="AD25" t="s">
        <v>2123</v>
      </c>
      <c r="AE25" t="s">
        <v>2122</v>
      </c>
      <c r="AF25" t="s">
        <v>2123</v>
      </c>
      <c r="AG25" t="s">
        <v>2123</v>
      </c>
      <c r="AH25" t="s">
        <v>2122</v>
      </c>
      <c r="AI25" t="s">
        <v>2122</v>
      </c>
      <c r="AJ25" t="s">
        <v>2123</v>
      </c>
      <c r="AK25" t="s">
        <v>2123</v>
      </c>
      <c r="AL25" t="s">
        <v>2123</v>
      </c>
      <c r="AM25" t="s">
        <v>2123</v>
      </c>
      <c r="AN25" t="s">
        <v>2122</v>
      </c>
      <c r="AO25" t="s">
        <v>2122</v>
      </c>
      <c r="AP25" t="s">
        <v>2123</v>
      </c>
      <c r="AQ25" t="s">
        <v>2122</v>
      </c>
    </row>
    <row r="26" spans="2:43" x14ac:dyDescent="0.2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2153</v>
      </c>
      <c r="AA26" t="s">
        <v>453</v>
      </c>
      <c r="AB26" t="s">
        <v>2123</v>
      </c>
      <c r="AC26" t="s">
        <v>2122</v>
      </c>
      <c r="AD26" t="s">
        <v>2122</v>
      </c>
      <c r="AE26" t="s">
        <v>2123</v>
      </c>
      <c r="AF26" t="s">
        <v>2122</v>
      </c>
      <c r="AG26" t="s">
        <v>2123</v>
      </c>
      <c r="AH26" t="s">
        <v>2122</v>
      </c>
      <c r="AI26" t="s">
        <v>2123</v>
      </c>
      <c r="AJ26" t="s">
        <v>2122</v>
      </c>
      <c r="AK26" t="s">
        <v>2122</v>
      </c>
      <c r="AL26" t="s">
        <v>2122</v>
      </c>
      <c r="AM26" t="s">
        <v>2122</v>
      </c>
      <c r="AN26" t="s">
        <v>2123</v>
      </c>
      <c r="AO26" t="s">
        <v>2123</v>
      </c>
      <c r="AP26" t="s">
        <v>2122</v>
      </c>
      <c r="AQ26" t="s">
        <v>2123</v>
      </c>
    </row>
    <row r="27" spans="2:43" x14ac:dyDescent="0.2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2154</v>
      </c>
      <c r="AA27" t="s">
        <v>459</v>
      </c>
      <c r="AB27" t="s">
        <v>2122</v>
      </c>
      <c r="AC27" t="s">
        <v>2123</v>
      </c>
      <c r="AD27" t="s">
        <v>2122</v>
      </c>
      <c r="AE27" t="s">
        <v>2123</v>
      </c>
      <c r="AF27" t="s">
        <v>2123</v>
      </c>
      <c r="AG27" t="s">
        <v>2122</v>
      </c>
      <c r="AH27" t="s">
        <v>2123</v>
      </c>
      <c r="AI27" t="s">
        <v>2122</v>
      </c>
      <c r="AJ27" t="s">
        <v>2122</v>
      </c>
      <c r="AK27" t="s">
        <v>2123</v>
      </c>
      <c r="AL27" t="s">
        <v>2123</v>
      </c>
      <c r="AM27" t="s">
        <v>2122</v>
      </c>
      <c r="AN27" t="s">
        <v>2123</v>
      </c>
      <c r="AO27" t="s">
        <v>2123</v>
      </c>
      <c r="AP27" t="s">
        <v>2123</v>
      </c>
      <c r="AQ27" t="s">
        <v>2122</v>
      </c>
    </row>
    <row r="28" spans="2:43" x14ac:dyDescent="0.2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2155</v>
      </c>
      <c r="AA28" t="s">
        <v>462</v>
      </c>
      <c r="AB28" t="s">
        <v>2123</v>
      </c>
      <c r="AC28" t="s">
        <v>2122</v>
      </c>
      <c r="AD28" t="s">
        <v>2122</v>
      </c>
      <c r="AE28" t="s">
        <v>2123</v>
      </c>
      <c r="AF28" t="s">
        <v>2122</v>
      </c>
      <c r="AG28" t="s">
        <v>2123</v>
      </c>
      <c r="AH28" t="s">
        <v>2122</v>
      </c>
      <c r="AI28" t="s">
        <v>2122</v>
      </c>
      <c r="AJ28" t="s">
        <v>2123</v>
      </c>
      <c r="AK28" t="s">
        <v>2123</v>
      </c>
      <c r="AL28" t="s">
        <v>2123</v>
      </c>
      <c r="AM28" t="s">
        <v>2123</v>
      </c>
      <c r="AN28" t="s">
        <v>2122</v>
      </c>
      <c r="AO28" t="s">
        <v>2123</v>
      </c>
      <c r="AP28" t="s">
        <v>2123</v>
      </c>
      <c r="AQ28" t="s">
        <v>2122</v>
      </c>
    </row>
    <row r="29" spans="2:43" x14ac:dyDescent="0.2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2156</v>
      </c>
      <c r="AA29" t="s">
        <v>456</v>
      </c>
      <c r="AB29" t="s">
        <v>2122</v>
      </c>
      <c r="AC29" t="s">
        <v>2122</v>
      </c>
      <c r="AD29" t="s">
        <v>2123</v>
      </c>
      <c r="AE29" t="s">
        <v>2122</v>
      </c>
      <c r="AF29" t="s">
        <v>2123</v>
      </c>
      <c r="AG29" t="s">
        <v>2123</v>
      </c>
      <c r="AH29" t="s">
        <v>2122</v>
      </c>
      <c r="AI29" t="s">
        <v>2123</v>
      </c>
      <c r="AJ29" t="s">
        <v>2122</v>
      </c>
      <c r="AK29" t="s">
        <v>2122</v>
      </c>
      <c r="AL29" t="s">
        <v>2122</v>
      </c>
      <c r="AM29" t="s">
        <v>2122</v>
      </c>
      <c r="AN29" t="s">
        <v>2123</v>
      </c>
      <c r="AO29" t="s">
        <v>2123</v>
      </c>
      <c r="AP29" t="s">
        <v>2122</v>
      </c>
      <c r="AQ29" t="s">
        <v>2123</v>
      </c>
    </row>
    <row r="30" spans="2:43" x14ac:dyDescent="0.2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2157</v>
      </c>
      <c r="AA30" t="s">
        <v>460</v>
      </c>
      <c r="AB30" t="s">
        <v>2122</v>
      </c>
      <c r="AC30" t="s">
        <v>2122</v>
      </c>
      <c r="AD30" t="s">
        <v>2123</v>
      </c>
      <c r="AE30" t="s">
        <v>2122</v>
      </c>
      <c r="AF30" t="s">
        <v>2123</v>
      </c>
      <c r="AG30" t="s">
        <v>2123</v>
      </c>
      <c r="AH30" t="s">
        <v>2122</v>
      </c>
      <c r="AI30" t="s">
        <v>2123</v>
      </c>
      <c r="AJ30" t="s">
        <v>2122</v>
      </c>
      <c r="AK30" t="s">
        <v>2123</v>
      </c>
      <c r="AL30" t="s">
        <v>2123</v>
      </c>
      <c r="AM30" t="s">
        <v>2123</v>
      </c>
      <c r="AN30" t="s">
        <v>2122</v>
      </c>
      <c r="AO30" t="s">
        <v>2123</v>
      </c>
      <c r="AP30" t="s">
        <v>2123</v>
      </c>
      <c r="AQ30" t="s">
        <v>2122</v>
      </c>
    </row>
    <row r="31" spans="2:43" x14ac:dyDescent="0.2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2158</v>
      </c>
      <c r="AA31" t="s">
        <v>462</v>
      </c>
      <c r="AB31" t="s">
        <v>2123</v>
      </c>
      <c r="AC31" t="s">
        <v>2122</v>
      </c>
      <c r="AD31" t="s">
        <v>2122</v>
      </c>
      <c r="AE31" t="s">
        <v>2123</v>
      </c>
      <c r="AF31" t="s">
        <v>2122</v>
      </c>
      <c r="AG31" t="s">
        <v>2123</v>
      </c>
      <c r="AH31" t="s">
        <v>2123</v>
      </c>
      <c r="AI31" t="s">
        <v>2122</v>
      </c>
      <c r="AJ31" t="s">
        <v>2122</v>
      </c>
      <c r="AK31" t="s">
        <v>2123</v>
      </c>
      <c r="AL31" t="s">
        <v>2123</v>
      </c>
      <c r="AM31" t="s">
        <v>2123</v>
      </c>
      <c r="AN31" t="s">
        <v>2122</v>
      </c>
      <c r="AO31" t="s">
        <v>2123</v>
      </c>
      <c r="AP31" t="s">
        <v>2123</v>
      </c>
      <c r="AQ31" t="s">
        <v>2122</v>
      </c>
    </row>
    <row r="32" spans="2:43" x14ac:dyDescent="0.2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2159</v>
      </c>
      <c r="AA32" t="s">
        <v>462</v>
      </c>
      <c r="AB32" t="s">
        <v>2123</v>
      </c>
      <c r="AC32" t="s">
        <v>2122</v>
      </c>
      <c r="AD32" t="s">
        <v>2122</v>
      </c>
      <c r="AE32" t="s">
        <v>2123</v>
      </c>
      <c r="AF32" t="s">
        <v>2122</v>
      </c>
      <c r="AG32" t="s">
        <v>2123</v>
      </c>
      <c r="AH32" t="s">
        <v>2123</v>
      </c>
      <c r="AI32" t="s">
        <v>2122</v>
      </c>
      <c r="AJ32" t="s">
        <v>2122</v>
      </c>
      <c r="AK32" t="s">
        <v>2123</v>
      </c>
      <c r="AL32" t="s">
        <v>2123</v>
      </c>
      <c r="AM32" t="s">
        <v>2123</v>
      </c>
      <c r="AN32" t="s">
        <v>2122</v>
      </c>
      <c r="AO32" t="s">
        <v>2123</v>
      </c>
      <c r="AP32" t="s">
        <v>2123</v>
      </c>
      <c r="AQ32" t="s">
        <v>2122</v>
      </c>
    </row>
    <row r="33" spans="2:43" x14ac:dyDescent="0.2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2160</v>
      </c>
      <c r="AA33" t="s">
        <v>2141</v>
      </c>
      <c r="AB33" t="s">
        <v>2123</v>
      </c>
      <c r="AC33" t="s">
        <v>2122</v>
      </c>
      <c r="AD33" t="s">
        <v>2122</v>
      </c>
      <c r="AE33" t="s">
        <v>2123</v>
      </c>
      <c r="AF33" t="s">
        <v>2122</v>
      </c>
      <c r="AG33" t="s">
        <v>2123</v>
      </c>
      <c r="AH33" t="s">
        <v>2123</v>
      </c>
      <c r="AI33" t="s">
        <v>2122</v>
      </c>
      <c r="AJ33" t="s">
        <v>2122</v>
      </c>
      <c r="AK33" t="s">
        <v>2123</v>
      </c>
      <c r="AL33" t="s">
        <v>2123</v>
      </c>
      <c r="AM33" t="s">
        <v>2123</v>
      </c>
      <c r="AN33" t="s">
        <v>2122</v>
      </c>
      <c r="AO33" t="s">
        <v>2122</v>
      </c>
      <c r="AP33" t="s">
        <v>2123</v>
      </c>
      <c r="AQ33" t="s">
        <v>2122</v>
      </c>
    </row>
    <row r="34" spans="2:43" x14ac:dyDescent="0.2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2161</v>
      </c>
      <c r="AA34" t="s">
        <v>462</v>
      </c>
      <c r="AB34" t="s">
        <v>2123</v>
      </c>
      <c r="AC34" t="s">
        <v>2122</v>
      </c>
      <c r="AD34" t="s">
        <v>2122</v>
      </c>
      <c r="AE34" t="s">
        <v>2123</v>
      </c>
      <c r="AF34" t="s">
        <v>2122</v>
      </c>
      <c r="AG34" t="s">
        <v>2123</v>
      </c>
      <c r="AH34" t="s">
        <v>2122</v>
      </c>
      <c r="AI34" t="s">
        <v>2123</v>
      </c>
      <c r="AJ34" t="s">
        <v>2122</v>
      </c>
      <c r="AK34" t="s">
        <v>2123</v>
      </c>
      <c r="AL34" t="s">
        <v>2123</v>
      </c>
      <c r="AM34" t="s">
        <v>2123</v>
      </c>
      <c r="AN34" t="s">
        <v>2122</v>
      </c>
      <c r="AO34" t="s">
        <v>2123</v>
      </c>
      <c r="AP34" t="s">
        <v>2123</v>
      </c>
      <c r="AQ34" t="s">
        <v>2122</v>
      </c>
    </row>
    <row r="35" spans="2:43" x14ac:dyDescent="0.2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2162</v>
      </c>
      <c r="AA35" t="s">
        <v>2163</v>
      </c>
      <c r="AB35" t="s">
        <v>2123</v>
      </c>
      <c r="AC35" t="s">
        <v>2122</v>
      </c>
      <c r="AD35" t="s">
        <v>2122</v>
      </c>
      <c r="AE35" t="s">
        <v>2123</v>
      </c>
      <c r="AF35" t="s">
        <v>2122</v>
      </c>
      <c r="AG35" t="s">
        <v>2123</v>
      </c>
      <c r="AH35" t="s">
        <v>2123</v>
      </c>
      <c r="AI35" t="s">
        <v>2122</v>
      </c>
      <c r="AJ35" t="s">
        <v>2122</v>
      </c>
      <c r="AK35" t="s">
        <v>2123</v>
      </c>
      <c r="AL35" t="s">
        <v>2123</v>
      </c>
      <c r="AM35" t="s">
        <v>2123</v>
      </c>
      <c r="AN35" t="s">
        <v>2122</v>
      </c>
      <c r="AO35" t="s">
        <v>2122</v>
      </c>
      <c r="AP35" t="s">
        <v>2123</v>
      </c>
      <c r="AQ35" t="s">
        <v>2122</v>
      </c>
    </row>
    <row r="36" spans="2:43" x14ac:dyDescent="0.2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2164</v>
      </c>
      <c r="AA36" t="s">
        <v>461</v>
      </c>
      <c r="AB36" t="s">
        <v>2122</v>
      </c>
      <c r="AC36" t="s">
        <v>2122</v>
      </c>
      <c r="AD36" t="s">
        <v>2123</v>
      </c>
      <c r="AE36" t="s">
        <v>2122</v>
      </c>
      <c r="AF36" t="s">
        <v>2123</v>
      </c>
      <c r="AG36" t="s">
        <v>2123</v>
      </c>
      <c r="AH36" t="s">
        <v>2122</v>
      </c>
      <c r="AI36" t="s">
        <v>2123</v>
      </c>
      <c r="AJ36" t="s">
        <v>2122</v>
      </c>
      <c r="AK36" t="s">
        <v>2123</v>
      </c>
      <c r="AL36" t="s">
        <v>2123</v>
      </c>
      <c r="AM36" t="s">
        <v>2123</v>
      </c>
      <c r="AN36" t="s">
        <v>2122</v>
      </c>
      <c r="AO36" t="s">
        <v>2122</v>
      </c>
      <c r="AP36" t="s">
        <v>2123</v>
      </c>
      <c r="AQ36" t="s">
        <v>2122</v>
      </c>
    </row>
    <row r="37" spans="2:43" x14ac:dyDescent="0.2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2165</v>
      </c>
      <c r="AA37" t="s">
        <v>2136</v>
      </c>
      <c r="AB37" t="s">
        <v>2123</v>
      </c>
      <c r="AC37" t="s">
        <v>2122</v>
      </c>
      <c r="AD37" t="s">
        <v>2122</v>
      </c>
      <c r="AE37" t="s">
        <v>2123</v>
      </c>
      <c r="AF37" t="s">
        <v>2122</v>
      </c>
      <c r="AG37" t="s">
        <v>2123</v>
      </c>
      <c r="AH37" t="s">
        <v>2123</v>
      </c>
      <c r="AI37" t="s">
        <v>2122</v>
      </c>
      <c r="AJ37" t="s">
        <v>2122</v>
      </c>
      <c r="AK37" t="s">
        <v>2123</v>
      </c>
      <c r="AL37" t="s">
        <v>2123</v>
      </c>
      <c r="AM37" t="s">
        <v>2123</v>
      </c>
      <c r="AN37" t="s">
        <v>2122</v>
      </c>
      <c r="AO37" t="s">
        <v>2122</v>
      </c>
      <c r="AP37" t="s">
        <v>2123</v>
      </c>
      <c r="AQ37" t="s">
        <v>2122</v>
      </c>
    </row>
    <row r="38" spans="2:43" x14ac:dyDescent="0.2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2166</v>
      </c>
      <c r="AA38" t="s">
        <v>459</v>
      </c>
      <c r="AB38" t="s">
        <v>2122</v>
      </c>
      <c r="AC38" t="s">
        <v>2123</v>
      </c>
      <c r="AD38" t="s">
        <v>2122</v>
      </c>
      <c r="AE38" t="s">
        <v>2123</v>
      </c>
      <c r="AF38" t="s">
        <v>2123</v>
      </c>
      <c r="AG38" t="s">
        <v>2122</v>
      </c>
      <c r="AH38" t="s">
        <v>2122</v>
      </c>
      <c r="AI38" t="s">
        <v>2123</v>
      </c>
      <c r="AJ38" t="s">
        <v>2122</v>
      </c>
      <c r="AK38" t="s">
        <v>2123</v>
      </c>
      <c r="AL38" t="s">
        <v>2123</v>
      </c>
      <c r="AM38" t="s">
        <v>2122</v>
      </c>
      <c r="AN38" t="s">
        <v>2123</v>
      </c>
      <c r="AO38" t="s">
        <v>2123</v>
      </c>
      <c r="AP38" t="s">
        <v>2123</v>
      </c>
      <c r="AQ38" t="s">
        <v>2122</v>
      </c>
    </row>
    <row r="39" spans="2:43" x14ac:dyDescent="0.2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2167</v>
      </c>
      <c r="AA39" t="s">
        <v>2168</v>
      </c>
      <c r="AB39" t="s">
        <v>2123</v>
      </c>
      <c r="AC39" t="s">
        <v>2122</v>
      </c>
      <c r="AD39" t="s">
        <v>2122</v>
      </c>
      <c r="AE39" t="s">
        <v>2123</v>
      </c>
      <c r="AF39" t="s">
        <v>2122</v>
      </c>
      <c r="AG39" t="s">
        <v>2123</v>
      </c>
      <c r="AH39" t="s">
        <v>2123</v>
      </c>
      <c r="AI39" t="s">
        <v>2122</v>
      </c>
      <c r="AJ39" t="s">
        <v>2122</v>
      </c>
      <c r="AK39" t="s">
        <v>2123</v>
      </c>
      <c r="AL39" t="s">
        <v>2123</v>
      </c>
      <c r="AM39" t="s">
        <v>2123</v>
      </c>
      <c r="AN39" t="s">
        <v>2122</v>
      </c>
      <c r="AO39" t="s">
        <v>2123</v>
      </c>
      <c r="AP39" t="s">
        <v>2122</v>
      </c>
      <c r="AQ39" t="s">
        <v>2123</v>
      </c>
    </row>
    <row r="40" spans="2:43" x14ac:dyDescent="0.2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2169</v>
      </c>
      <c r="AA40" t="s">
        <v>460</v>
      </c>
      <c r="AB40" t="s">
        <v>2122</v>
      </c>
      <c r="AC40" t="s">
        <v>2122</v>
      </c>
      <c r="AD40" t="s">
        <v>2123</v>
      </c>
      <c r="AE40" t="s">
        <v>2122</v>
      </c>
      <c r="AF40" t="s">
        <v>2123</v>
      </c>
      <c r="AG40" t="s">
        <v>2123</v>
      </c>
      <c r="AH40" t="s">
        <v>2122</v>
      </c>
      <c r="AI40" t="s">
        <v>2122</v>
      </c>
      <c r="AJ40" t="s">
        <v>2123</v>
      </c>
      <c r="AK40" t="s">
        <v>2123</v>
      </c>
      <c r="AL40" t="s">
        <v>2123</v>
      </c>
      <c r="AM40" t="s">
        <v>2123</v>
      </c>
      <c r="AN40" t="s">
        <v>2122</v>
      </c>
      <c r="AO40" t="s">
        <v>2123</v>
      </c>
      <c r="AP40" t="s">
        <v>2123</v>
      </c>
      <c r="AQ40" t="s">
        <v>2122</v>
      </c>
    </row>
    <row r="41" spans="2:43" x14ac:dyDescent="0.2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2170</v>
      </c>
      <c r="AA41" t="s">
        <v>2168</v>
      </c>
      <c r="AB41" t="s">
        <v>2123</v>
      </c>
      <c r="AC41" t="s">
        <v>2122</v>
      </c>
      <c r="AD41" t="s">
        <v>2122</v>
      </c>
      <c r="AE41" t="s">
        <v>2123</v>
      </c>
      <c r="AF41" t="s">
        <v>2122</v>
      </c>
      <c r="AG41" t="s">
        <v>2123</v>
      </c>
      <c r="AH41" t="s">
        <v>2123</v>
      </c>
      <c r="AI41" t="s">
        <v>2122</v>
      </c>
      <c r="AJ41" t="s">
        <v>2122</v>
      </c>
      <c r="AK41" t="s">
        <v>2123</v>
      </c>
      <c r="AL41" t="s">
        <v>2123</v>
      </c>
      <c r="AM41" t="s">
        <v>2123</v>
      </c>
      <c r="AN41" t="s">
        <v>2122</v>
      </c>
      <c r="AO41" t="s">
        <v>2123</v>
      </c>
      <c r="AP41" t="s">
        <v>2122</v>
      </c>
      <c r="AQ41" t="s">
        <v>2123</v>
      </c>
    </row>
    <row r="42" spans="2:43" x14ac:dyDescent="0.2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2171</v>
      </c>
      <c r="AA42" t="s">
        <v>2168</v>
      </c>
      <c r="AB42" t="s">
        <v>2123</v>
      </c>
      <c r="AC42" t="s">
        <v>2122</v>
      </c>
      <c r="AD42" t="s">
        <v>2122</v>
      </c>
      <c r="AE42" t="s">
        <v>2123</v>
      </c>
      <c r="AF42" t="s">
        <v>2122</v>
      </c>
      <c r="AG42" t="s">
        <v>2123</v>
      </c>
      <c r="AH42" t="s">
        <v>2123</v>
      </c>
      <c r="AI42" t="s">
        <v>2122</v>
      </c>
      <c r="AJ42" t="s">
        <v>2122</v>
      </c>
      <c r="AK42" t="s">
        <v>2123</v>
      </c>
      <c r="AL42" t="s">
        <v>2123</v>
      </c>
      <c r="AM42" t="s">
        <v>2123</v>
      </c>
      <c r="AN42" t="s">
        <v>2122</v>
      </c>
      <c r="AO42" t="s">
        <v>2123</v>
      </c>
      <c r="AP42" t="s">
        <v>2122</v>
      </c>
      <c r="AQ42" t="s">
        <v>2123</v>
      </c>
    </row>
    <row r="43" spans="2:43" x14ac:dyDescent="0.2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2172</v>
      </c>
      <c r="AA43" t="s">
        <v>2121</v>
      </c>
      <c r="AB43" t="s">
        <v>2122</v>
      </c>
      <c r="AC43" t="s">
        <v>2122</v>
      </c>
      <c r="AD43" t="s">
        <v>2123</v>
      </c>
      <c r="AE43" t="s">
        <v>2122</v>
      </c>
      <c r="AF43" t="s">
        <v>2123</v>
      </c>
      <c r="AG43" t="s">
        <v>2123</v>
      </c>
      <c r="AH43" t="s">
        <v>2122</v>
      </c>
      <c r="AI43" t="s">
        <v>2122</v>
      </c>
      <c r="AJ43" t="s">
        <v>2123</v>
      </c>
      <c r="AK43" t="s">
        <v>2123</v>
      </c>
      <c r="AL43" t="s">
        <v>2123</v>
      </c>
      <c r="AM43" t="s">
        <v>2123</v>
      </c>
      <c r="AN43" t="s">
        <v>2122</v>
      </c>
      <c r="AO43" t="s">
        <v>2122</v>
      </c>
      <c r="AP43" t="s">
        <v>2123</v>
      </c>
      <c r="AQ43" t="s">
        <v>2122</v>
      </c>
    </row>
    <row r="44" spans="2:43" x14ac:dyDescent="0.2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2173</v>
      </c>
      <c r="AA44" t="s">
        <v>456</v>
      </c>
      <c r="AB44" t="s">
        <v>2122</v>
      </c>
      <c r="AC44" t="s">
        <v>2122</v>
      </c>
      <c r="AD44" t="s">
        <v>2123</v>
      </c>
      <c r="AE44" t="s">
        <v>2122</v>
      </c>
      <c r="AF44" t="s">
        <v>2123</v>
      </c>
      <c r="AG44" t="s">
        <v>2123</v>
      </c>
      <c r="AH44" t="s">
        <v>2122</v>
      </c>
      <c r="AI44" t="s">
        <v>2122</v>
      </c>
      <c r="AJ44" t="s">
        <v>2123</v>
      </c>
      <c r="AK44" t="s">
        <v>2123</v>
      </c>
      <c r="AL44" t="s">
        <v>2122</v>
      </c>
      <c r="AM44" t="s">
        <v>2122</v>
      </c>
      <c r="AN44" t="s">
        <v>2123</v>
      </c>
      <c r="AO44" t="s">
        <v>2123</v>
      </c>
      <c r="AP44" t="s">
        <v>2122</v>
      </c>
      <c r="AQ44" t="s">
        <v>2123</v>
      </c>
    </row>
    <row r="45" spans="2:43" x14ac:dyDescent="0.2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2174</v>
      </c>
      <c r="AA45" t="s">
        <v>2175</v>
      </c>
      <c r="AB45" t="s">
        <v>2123</v>
      </c>
      <c r="AC45" t="s">
        <v>2122</v>
      </c>
      <c r="AD45" t="s">
        <v>2122</v>
      </c>
      <c r="AE45" t="s">
        <v>2123</v>
      </c>
      <c r="AF45" t="s">
        <v>2122</v>
      </c>
      <c r="AG45" t="s">
        <v>2123</v>
      </c>
      <c r="AH45" t="s">
        <v>2122</v>
      </c>
      <c r="AI45" t="s">
        <v>2123</v>
      </c>
      <c r="AJ45" t="s">
        <v>2122</v>
      </c>
      <c r="AK45" t="s">
        <v>2123</v>
      </c>
      <c r="AL45" t="s">
        <v>2123</v>
      </c>
      <c r="AM45" t="s">
        <v>2123</v>
      </c>
      <c r="AN45" t="s">
        <v>2122</v>
      </c>
      <c r="AO45" t="s">
        <v>2122</v>
      </c>
      <c r="AP45" t="s">
        <v>2123</v>
      </c>
      <c r="AQ45" t="s">
        <v>2122</v>
      </c>
    </row>
    <row r="46" spans="2:43" x14ac:dyDescent="0.2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2176</v>
      </c>
      <c r="AA46" t="s">
        <v>2177</v>
      </c>
      <c r="AB46" t="s">
        <v>2123</v>
      </c>
      <c r="AC46" t="s">
        <v>2122</v>
      </c>
      <c r="AD46" t="s">
        <v>2122</v>
      </c>
      <c r="AE46" t="s">
        <v>2123</v>
      </c>
      <c r="AF46" t="s">
        <v>2122</v>
      </c>
      <c r="AG46" t="s">
        <v>2123</v>
      </c>
      <c r="AH46" t="s">
        <v>2123</v>
      </c>
      <c r="AI46" t="s">
        <v>2122</v>
      </c>
      <c r="AJ46" t="s">
        <v>2122</v>
      </c>
      <c r="AK46" t="s">
        <v>2123</v>
      </c>
      <c r="AL46" t="s">
        <v>2123</v>
      </c>
      <c r="AM46" t="s">
        <v>2123</v>
      </c>
      <c r="AN46" t="s">
        <v>2122</v>
      </c>
      <c r="AO46" t="s">
        <v>2122</v>
      </c>
      <c r="AP46" t="s">
        <v>2122</v>
      </c>
      <c r="AQ46" t="s">
        <v>2123</v>
      </c>
    </row>
    <row r="47" spans="2:43" x14ac:dyDescent="0.2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2178</v>
      </c>
      <c r="AA47" t="s">
        <v>2131</v>
      </c>
      <c r="AB47" t="s">
        <v>2123</v>
      </c>
      <c r="AC47" t="s">
        <v>2122</v>
      </c>
      <c r="AD47" t="s">
        <v>2122</v>
      </c>
      <c r="AE47" t="s">
        <v>2123</v>
      </c>
      <c r="AF47" t="s">
        <v>2122</v>
      </c>
      <c r="AG47" t="s">
        <v>2123</v>
      </c>
      <c r="AH47" t="s">
        <v>2122</v>
      </c>
      <c r="AI47" t="s">
        <v>2123</v>
      </c>
      <c r="AJ47" t="s">
        <v>2122</v>
      </c>
      <c r="AK47" t="s">
        <v>2122</v>
      </c>
      <c r="AL47" t="s">
        <v>2123</v>
      </c>
      <c r="AM47" t="s">
        <v>2122</v>
      </c>
      <c r="AN47" t="s">
        <v>2123</v>
      </c>
      <c r="AO47" t="s">
        <v>2123</v>
      </c>
      <c r="AP47" t="s">
        <v>2122</v>
      </c>
      <c r="AQ47" t="s">
        <v>2123</v>
      </c>
    </row>
    <row r="48" spans="2:43" x14ac:dyDescent="0.2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2179</v>
      </c>
      <c r="AA48" t="s">
        <v>459</v>
      </c>
      <c r="AB48" t="s">
        <v>2122</v>
      </c>
      <c r="AC48" t="s">
        <v>2123</v>
      </c>
      <c r="AD48" t="s">
        <v>2122</v>
      </c>
      <c r="AE48" t="s">
        <v>2123</v>
      </c>
      <c r="AF48" t="s">
        <v>2123</v>
      </c>
      <c r="AG48" t="s">
        <v>2122</v>
      </c>
      <c r="AH48" t="s">
        <v>2122</v>
      </c>
      <c r="AI48" t="s">
        <v>2122</v>
      </c>
      <c r="AJ48" t="s">
        <v>2123</v>
      </c>
      <c r="AK48" t="s">
        <v>2123</v>
      </c>
      <c r="AL48" t="s">
        <v>2123</v>
      </c>
      <c r="AM48" t="s">
        <v>2122</v>
      </c>
      <c r="AN48" t="s">
        <v>2123</v>
      </c>
      <c r="AO48" t="s">
        <v>2123</v>
      </c>
      <c r="AP48" t="s">
        <v>2123</v>
      </c>
      <c r="AQ48" t="s">
        <v>2122</v>
      </c>
    </row>
    <row r="49" spans="2:43" x14ac:dyDescent="0.2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2180</v>
      </c>
      <c r="AA49" t="s">
        <v>460</v>
      </c>
      <c r="AB49" t="s">
        <v>2122</v>
      </c>
      <c r="AC49" t="s">
        <v>2122</v>
      </c>
      <c r="AD49" t="s">
        <v>2123</v>
      </c>
      <c r="AE49" t="s">
        <v>2122</v>
      </c>
      <c r="AF49" t="s">
        <v>2123</v>
      </c>
      <c r="AG49" t="s">
        <v>2123</v>
      </c>
      <c r="AH49" t="s">
        <v>2122</v>
      </c>
      <c r="AI49" t="s">
        <v>2122</v>
      </c>
      <c r="AJ49" t="s">
        <v>2123</v>
      </c>
      <c r="AK49" t="s">
        <v>2123</v>
      </c>
      <c r="AL49" t="s">
        <v>2123</v>
      </c>
      <c r="AM49" t="s">
        <v>2123</v>
      </c>
      <c r="AN49" t="s">
        <v>2122</v>
      </c>
      <c r="AO49" t="s">
        <v>2123</v>
      </c>
      <c r="AP49" t="s">
        <v>2123</v>
      </c>
      <c r="AQ49" t="s">
        <v>2122</v>
      </c>
    </row>
    <row r="50" spans="2:43" x14ac:dyDescent="0.2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2181</v>
      </c>
      <c r="AA50" t="s">
        <v>2182</v>
      </c>
      <c r="AB50" t="s">
        <v>2123</v>
      </c>
      <c r="AC50" t="s">
        <v>2122</v>
      </c>
      <c r="AD50" t="s">
        <v>2122</v>
      </c>
      <c r="AE50" t="s">
        <v>2123</v>
      </c>
      <c r="AF50" t="s">
        <v>2122</v>
      </c>
      <c r="AG50" t="s">
        <v>2123</v>
      </c>
      <c r="AH50" t="s">
        <v>2123</v>
      </c>
      <c r="AI50" t="s">
        <v>2122</v>
      </c>
      <c r="AJ50" t="s">
        <v>2122</v>
      </c>
      <c r="AK50" t="s">
        <v>2123</v>
      </c>
      <c r="AL50" t="s">
        <v>2123</v>
      </c>
      <c r="AM50" t="s">
        <v>2123</v>
      </c>
      <c r="AN50" t="s">
        <v>2122</v>
      </c>
      <c r="AO50" t="s">
        <v>2122</v>
      </c>
      <c r="AP50" t="s">
        <v>2123</v>
      </c>
      <c r="AQ50" t="s">
        <v>2122</v>
      </c>
    </row>
    <row r="51" spans="2:43" x14ac:dyDescent="0.2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2183</v>
      </c>
      <c r="AA51" t="s">
        <v>2175</v>
      </c>
      <c r="AB51" t="s">
        <v>2123</v>
      </c>
      <c r="AC51" t="s">
        <v>2122</v>
      </c>
      <c r="AD51" t="s">
        <v>2122</v>
      </c>
      <c r="AE51" t="s">
        <v>2123</v>
      </c>
      <c r="AF51" t="s">
        <v>2122</v>
      </c>
      <c r="AG51" t="s">
        <v>2123</v>
      </c>
      <c r="AH51" t="s">
        <v>2122</v>
      </c>
      <c r="AI51" t="s">
        <v>2123</v>
      </c>
      <c r="AJ51" t="s">
        <v>2122</v>
      </c>
      <c r="AK51" t="s">
        <v>2123</v>
      </c>
      <c r="AL51" t="s">
        <v>2123</v>
      </c>
      <c r="AM51" t="s">
        <v>2123</v>
      </c>
      <c r="AN51" t="s">
        <v>2122</v>
      </c>
      <c r="AO51" t="s">
        <v>2122</v>
      </c>
      <c r="AP51" t="s">
        <v>2123</v>
      </c>
      <c r="AQ51" t="s">
        <v>2122</v>
      </c>
    </row>
    <row r="52" spans="2:43" x14ac:dyDescent="0.2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2184</v>
      </c>
      <c r="AA52" t="s">
        <v>447</v>
      </c>
      <c r="AB52" t="s">
        <v>2122</v>
      </c>
      <c r="AC52" t="s">
        <v>2123</v>
      </c>
      <c r="AD52" t="s">
        <v>2122</v>
      </c>
      <c r="AE52" t="s">
        <v>2123</v>
      </c>
      <c r="AF52" t="s">
        <v>2123</v>
      </c>
      <c r="AG52" t="s">
        <v>2122</v>
      </c>
      <c r="AH52" t="s">
        <v>2122</v>
      </c>
      <c r="AI52" t="s">
        <v>2123</v>
      </c>
      <c r="AJ52" t="s">
        <v>2122</v>
      </c>
      <c r="AK52" t="s">
        <v>2122</v>
      </c>
      <c r="AL52" t="s">
        <v>2122</v>
      </c>
      <c r="AM52" t="s">
        <v>2122</v>
      </c>
      <c r="AN52" t="s">
        <v>2123</v>
      </c>
      <c r="AO52" t="s">
        <v>2123</v>
      </c>
      <c r="AP52" t="s">
        <v>2122</v>
      </c>
      <c r="AQ52" t="s">
        <v>2123</v>
      </c>
    </row>
    <row r="53" spans="2:43" x14ac:dyDescent="0.2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2185</v>
      </c>
      <c r="AA53" t="s">
        <v>2136</v>
      </c>
      <c r="AB53" t="s">
        <v>2123</v>
      </c>
      <c r="AC53" t="s">
        <v>2122</v>
      </c>
      <c r="AD53" t="s">
        <v>2122</v>
      </c>
      <c r="AE53" t="s">
        <v>2123</v>
      </c>
      <c r="AF53" t="s">
        <v>2122</v>
      </c>
      <c r="AG53" t="s">
        <v>2123</v>
      </c>
      <c r="AH53" t="s">
        <v>2122</v>
      </c>
      <c r="AI53" t="s">
        <v>2123</v>
      </c>
      <c r="AJ53" t="s">
        <v>2122</v>
      </c>
      <c r="AK53" t="s">
        <v>2123</v>
      </c>
      <c r="AL53" t="s">
        <v>2123</v>
      </c>
      <c r="AM53" t="s">
        <v>2123</v>
      </c>
      <c r="AN53" t="s">
        <v>2122</v>
      </c>
      <c r="AO53" t="s">
        <v>2122</v>
      </c>
      <c r="AP53" t="s">
        <v>2123</v>
      </c>
      <c r="AQ53" t="s">
        <v>2122</v>
      </c>
    </row>
    <row r="54" spans="2:43" x14ac:dyDescent="0.2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2186</v>
      </c>
      <c r="AA54" t="s">
        <v>459</v>
      </c>
      <c r="AB54" t="s">
        <v>2122</v>
      </c>
      <c r="AC54" t="s">
        <v>2123</v>
      </c>
      <c r="AD54" t="s">
        <v>2122</v>
      </c>
      <c r="AE54" t="s">
        <v>2123</v>
      </c>
      <c r="AF54" t="s">
        <v>2123</v>
      </c>
      <c r="AG54" t="s">
        <v>2122</v>
      </c>
      <c r="AH54" t="s">
        <v>2122</v>
      </c>
      <c r="AI54" t="s">
        <v>2122</v>
      </c>
      <c r="AJ54" t="s">
        <v>2123</v>
      </c>
      <c r="AK54" t="s">
        <v>2123</v>
      </c>
      <c r="AL54" t="s">
        <v>2123</v>
      </c>
      <c r="AM54" t="s">
        <v>2122</v>
      </c>
      <c r="AN54" t="s">
        <v>2123</v>
      </c>
      <c r="AO54" t="s">
        <v>2123</v>
      </c>
      <c r="AP54" t="s">
        <v>2123</v>
      </c>
      <c r="AQ54" t="s">
        <v>2122</v>
      </c>
    </row>
    <row r="55" spans="2:43" x14ac:dyDescent="0.2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2187</v>
      </c>
      <c r="AA55" t="s">
        <v>2126</v>
      </c>
      <c r="AB55" t="s">
        <v>2122</v>
      </c>
      <c r="AC55" t="s">
        <v>2123</v>
      </c>
      <c r="AD55" t="s">
        <v>2122</v>
      </c>
      <c r="AE55" t="s">
        <v>2123</v>
      </c>
      <c r="AF55" t="s">
        <v>2123</v>
      </c>
      <c r="AG55" t="s">
        <v>2122</v>
      </c>
      <c r="AH55" t="s">
        <v>2123</v>
      </c>
      <c r="AI55" t="s">
        <v>2122</v>
      </c>
      <c r="AJ55" t="s">
        <v>2122</v>
      </c>
      <c r="AK55" t="s">
        <v>2123</v>
      </c>
      <c r="AL55" t="s">
        <v>2123</v>
      </c>
      <c r="AM55" t="s">
        <v>2123</v>
      </c>
      <c r="AN55" t="s">
        <v>2122</v>
      </c>
      <c r="AO55" t="s">
        <v>2122</v>
      </c>
      <c r="AP55" t="s">
        <v>2123</v>
      </c>
      <c r="AQ55" t="s">
        <v>2122</v>
      </c>
    </row>
    <row r="56" spans="2:43" x14ac:dyDescent="0.2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2188</v>
      </c>
      <c r="AA56" t="s">
        <v>2189</v>
      </c>
      <c r="AB56" t="s">
        <v>2122</v>
      </c>
      <c r="AC56" t="s">
        <v>2122</v>
      </c>
      <c r="AD56" t="s">
        <v>2123</v>
      </c>
      <c r="AE56" t="s">
        <v>2122</v>
      </c>
      <c r="AF56" t="s">
        <v>2123</v>
      </c>
      <c r="AG56" t="s">
        <v>2123</v>
      </c>
      <c r="AH56" t="s">
        <v>2122</v>
      </c>
      <c r="AI56" t="s">
        <v>2122</v>
      </c>
      <c r="AJ56" t="s">
        <v>2123</v>
      </c>
      <c r="AK56" t="s">
        <v>2123</v>
      </c>
      <c r="AL56" t="s">
        <v>2123</v>
      </c>
      <c r="AM56" t="s">
        <v>2123</v>
      </c>
      <c r="AN56" t="s">
        <v>2122</v>
      </c>
      <c r="AO56" t="s">
        <v>2122</v>
      </c>
      <c r="AP56" t="s">
        <v>2122</v>
      </c>
      <c r="AQ56" t="s">
        <v>2123</v>
      </c>
    </row>
    <row r="57" spans="2:43" x14ac:dyDescent="0.2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2190</v>
      </c>
      <c r="AA57" t="s">
        <v>460</v>
      </c>
      <c r="AB57" t="s">
        <v>2122</v>
      </c>
      <c r="AC57" t="s">
        <v>2122</v>
      </c>
      <c r="AD57" t="s">
        <v>2123</v>
      </c>
      <c r="AE57" t="s">
        <v>2122</v>
      </c>
      <c r="AF57" t="s">
        <v>2123</v>
      </c>
      <c r="AG57" t="s">
        <v>2123</v>
      </c>
      <c r="AH57" t="s">
        <v>2122</v>
      </c>
      <c r="AI57" t="s">
        <v>2122</v>
      </c>
      <c r="AJ57" t="s">
        <v>2123</v>
      </c>
      <c r="AK57" t="s">
        <v>2123</v>
      </c>
      <c r="AL57" t="s">
        <v>2123</v>
      </c>
      <c r="AM57" t="s">
        <v>2123</v>
      </c>
      <c r="AN57" t="s">
        <v>2122</v>
      </c>
      <c r="AO57" t="s">
        <v>2123</v>
      </c>
      <c r="AP57" t="s">
        <v>2123</v>
      </c>
      <c r="AQ57" t="s">
        <v>2122</v>
      </c>
    </row>
    <row r="58" spans="2:43" x14ac:dyDescent="0.2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2191</v>
      </c>
      <c r="AA58" t="s">
        <v>460</v>
      </c>
      <c r="AB58" t="s">
        <v>2122</v>
      </c>
      <c r="AC58" t="s">
        <v>2122</v>
      </c>
      <c r="AD58" t="s">
        <v>2123</v>
      </c>
      <c r="AE58" t="s">
        <v>2122</v>
      </c>
      <c r="AF58" t="s">
        <v>2123</v>
      </c>
      <c r="AG58" t="s">
        <v>2123</v>
      </c>
      <c r="AH58" t="s">
        <v>2123</v>
      </c>
      <c r="AI58" t="s">
        <v>2122</v>
      </c>
      <c r="AJ58" t="s">
        <v>2122</v>
      </c>
      <c r="AK58" t="s">
        <v>2123</v>
      </c>
      <c r="AL58" t="s">
        <v>2123</v>
      </c>
      <c r="AM58" t="s">
        <v>2123</v>
      </c>
      <c r="AN58" t="s">
        <v>2122</v>
      </c>
      <c r="AO58" t="s">
        <v>2123</v>
      </c>
      <c r="AP58" t="s">
        <v>2123</v>
      </c>
      <c r="AQ58" t="s">
        <v>2122</v>
      </c>
    </row>
    <row r="59" spans="2:43" x14ac:dyDescent="0.2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2192</v>
      </c>
      <c r="AA59" t="s">
        <v>462</v>
      </c>
      <c r="AB59" t="s">
        <v>2123</v>
      </c>
      <c r="AC59" t="s">
        <v>2122</v>
      </c>
      <c r="AD59" t="s">
        <v>2122</v>
      </c>
      <c r="AE59" t="s">
        <v>2123</v>
      </c>
      <c r="AF59" t="s">
        <v>2122</v>
      </c>
      <c r="AG59" t="s">
        <v>2123</v>
      </c>
      <c r="AH59" t="s">
        <v>2123</v>
      </c>
      <c r="AI59" t="s">
        <v>2122</v>
      </c>
      <c r="AJ59" t="s">
        <v>2122</v>
      </c>
      <c r="AK59" t="s">
        <v>2123</v>
      </c>
      <c r="AL59" t="s">
        <v>2123</v>
      </c>
      <c r="AM59" t="s">
        <v>2123</v>
      </c>
      <c r="AN59" t="s">
        <v>2122</v>
      </c>
      <c r="AO59" t="s">
        <v>2123</v>
      </c>
      <c r="AP59" t="s">
        <v>2123</v>
      </c>
      <c r="AQ59" t="s">
        <v>2122</v>
      </c>
    </row>
    <row r="60" spans="2:43" x14ac:dyDescent="0.2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2193</v>
      </c>
      <c r="AA60" t="s">
        <v>2136</v>
      </c>
      <c r="AB60" t="s">
        <v>2123</v>
      </c>
      <c r="AC60" t="s">
        <v>2122</v>
      </c>
      <c r="AD60" t="s">
        <v>2122</v>
      </c>
      <c r="AE60" t="s">
        <v>2123</v>
      </c>
      <c r="AF60" t="s">
        <v>2122</v>
      </c>
      <c r="AG60" t="s">
        <v>2123</v>
      </c>
      <c r="AH60" t="s">
        <v>2122</v>
      </c>
      <c r="AI60" t="s">
        <v>2123</v>
      </c>
      <c r="AJ60" t="s">
        <v>2122</v>
      </c>
      <c r="AK60" t="s">
        <v>2123</v>
      </c>
      <c r="AL60" t="s">
        <v>2123</v>
      </c>
      <c r="AM60" t="s">
        <v>2123</v>
      </c>
      <c r="AN60" t="s">
        <v>2122</v>
      </c>
      <c r="AO60" t="s">
        <v>2122</v>
      </c>
      <c r="AP60" t="s">
        <v>2123</v>
      </c>
      <c r="AQ60" t="s">
        <v>2122</v>
      </c>
    </row>
    <row r="61" spans="2:43" x14ac:dyDescent="0.2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2194</v>
      </c>
      <c r="AA61" t="s">
        <v>459</v>
      </c>
      <c r="AB61" t="s">
        <v>2122</v>
      </c>
      <c r="AC61" t="s">
        <v>2123</v>
      </c>
      <c r="AD61" t="s">
        <v>2122</v>
      </c>
      <c r="AE61" t="s">
        <v>2123</v>
      </c>
      <c r="AF61" t="s">
        <v>2123</v>
      </c>
      <c r="AG61" t="s">
        <v>2122</v>
      </c>
      <c r="AH61" t="s">
        <v>2123</v>
      </c>
      <c r="AI61" t="s">
        <v>2122</v>
      </c>
      <c r="AJ61" t="s">
        <v>2122</v>
      </c>
      <c r="AK61" t="s">
        <v>2123</v>
      </c>
      <c r="AL61" t="s">
        <v>2123</v>
      </c>
      <c r="AM61" t="s">
        <v>2122</v>
      </c>
      <c r="AN61" t="s">
        <v>2123</v>
      </c>
      <c r="AO61" t="s">
        <v>2123</v>
      </c>
      <c r="AP61" t="s">
        <v>2123</v>
      </c>
      <c r="AQ61" t="s">
        <v>2122</v>
      </c>
    </row>
    <row r="62" spans="2:43" x14ac:dyDescent="0.2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2195</v>
      </c>
      <c r="AA62" t="s">
        <v>453</v>
      </c>
      <c r="AB62" t="s">
        <v>2123</v>
      </c>
      <c r="AC62" t="s">
        <v>2122</v>
      </c>
      <c r="AD62" t="s">
        <v>2122</v>
      </c>
      <c r="AE62" t="s">
        <v>2123</v>
      </c>
      <c r="AF62" t="s">
        <v>2122</v>
      </c>
      <c r="AG62" t="s">
        <v>2123</v>
      </c>
      <c r="AH62" t="s">
        <v>2122</v>
      </c>
      <c r="AI62" t="s">
        <v>2123</v>
      </c>
      <c r="AJ62" t="s">
        <v>2122</v>
      </c>
      <c r="AK62" t="s">
        <v>2122</v>
      </c>
      <c r="AL62" t="s">
        <v>2122</v>
      </c>
      <c r="AM62" t="s">
        <v>2122</v>
      </c>
      <c r="AN62" t="s">
        <v>2123</v>
      </c>
      <c r="AO62" t="s">
        <v>2123</v>
      </c>
      <c r="AP62" t="s">
        <v>2122</v>
      </c>
      <c r="AQ62" t="s">
        <v>2123</v>
      </c>
    </row>
    <row r="63" spans="2:43" x14ac:dyDescent="0.2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2196</v>
      </c>
      <c r="AA63" t="s">
        <v>462</v>
      </c>
      <c r="AB63" t="s">
        <v>2123</v>
      </c>
      <c r="AC63" t="s">
        <v>2122</v>
      </c>
      <c r="AD63" t="s">
        <v>2122</v>
      </c>
      <c r="AE63" t="s">
        <v>2123</v>
      </c>
      <c r="AF63" t="s">
        <v>2122</v>
      </c>
      <c r="AG63" t="s">
        <v>2123</v>
      </c>
      <c r="AH63" t="s">
        <v>2123</v>
      </c>
      <c r="AI63" t="s">
        <v>2122</v>
      </c>
      <c r="AJ63" t="s">
        <v>2122</v>
      </c>
      <c r="AK63" t="s">
        <v>2123</v>
      </c>
      <c r="AL63" t="s">
        <v>2123</v>
      </c>
      <c r="AM63" t="s">
        <v>2123</v>
      </c>
      <c r="AN63" t="s">
        <v>2122</v>
      </c>
      <c r="AO63" t="s">
        <v>2123</v>
      </c>
      <c r="AP63" t="s">
        <v>2123</v>
      </c>
      <c r="AQ63" t="s">
        <v>2122</v>
      </c>
    </row>
    <row r="64" spans="2:43" x14ac:dyDescent="0.2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2197</v>
      </c>
      <c r="AA64" t="s">
        <v>2131</v>
      </c>
      <c r="AB64" t="s">
        <v>2123</v>
      </c>
      <c r="AC64" t="s">
        <v>2122</v>
      </c>
      <c r="AD64" t="s">
        <v>2122</v>
      </c>
      <c r="AE64" t="s">
        <v>2123</v>
      </c>
      <c r="AF64" t="s">
        <v>2122</v>
      </c>
      <c r="AG64" t="s">
        <v>2123</v>
      </c>
      <c r="AH64" t="s">
        <v>2122</v>
      </c>
      <c r="AI64" t="s">
        <v>2123</v>
      </c>
      <c r="AJ64" t="s">
        <v>2122</v>
      </c>
      <c r="AK64" t="s">
        <v>2122</v>
      </c>
      <c r="AL64" t="s">
        <v>2123</v>
      </c>
      <c r="AM64" t="s">
        <v>2122</v>
      </c>
      <c r="AN64" t="s">
        <v>2123</v>
      </c>
      <c r="AO64" t="s">
        <v>2123</v>
      </c>
      <c r="AP64" t="s">
        <v>2122</v>
      </c>
      <c r="AQ64" t="s">
        <v>2123</v>
      </c>
    </row>
    <row r="65" spans="2:43" x14ac:dyDescent="0.2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2198</v>
      </c>
      <c r="AA65" t="s">
        <v>2189</v>
      </c>
      <c r="AB65" t="s">
        <v>2122</v>
      </c>
      <c r="AC65" t="s">
        <v>2122</v>
      </c>
      <c r="AD65" t="s">
        <v>2123</v>
      </c>
      <c r="AE65" t="s">
        <v>2122</v>
      </c>
      <c r="AF65" t="s">
        <v>2123</v>
      </c>
      <c r="AG65" t="s">
        <v>2123</v>
      </c>
      <c r="AH65" t="s">
        <v>2122</v>
      </c>
      <c r="AI65" t="s">
        <v>2122</v>
      </c>
      <c r="AJ65" t="s">
        <v>2123</v>
      </c>
      <c r="AK65" t="s">
        <v>2123</v>
      </c>
      <c r="AL65" t="s">
        <v>2123</v>
      </c>
      <c r="AM65" t="s">
        <v>2123</v>
      </c>
      <c r="AN65" t="s">
        <v>2122</v>
      </c>
      <c r="AO65" t="s">
        <v>2122</v>
      </c>
      <c r="AP65" t="s">
        <v>2122</v>
      </c>
      <c r="AQ65" t="s">
        <v>2123</v>
      </c>
    </row>
    <row r="66" spans="2:43" x14ac:dyDescent="0.2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2199</v>
      </c>
      <c r="AA66" t="s">
        <v>453</v>
      </c>
      <c r="AB66" t="s">
        <v>2123</v>
      </c>
      <c r="AC66" t="s">
        <v>2122</v>
      </c>
      <c r="AD66" t="s">
        <v>2122</v>
      </c>
      <c r="AE66" t="s">
        <v>2123</v>
      </c>
      <c r="AF66" t="s">
        <v>2122</v>
      </c>
      <c r="AG66" t="s">
        <v>2123</v>
      </c>
      <c r="AH66" t="s">
        <v>2122</v>
      </c>
      <c r="AI66" t="s">
        <v>2123</v>
      </c>
      <c r="AJ66" t="s">
        <v>2122</v>
      </c>
      <c r="AK66" t="s">
        <v>2122</v>
      </c>
      <c r="AL66" t="s">
        <v>2122</v>
      </c>
      <c r="AM66" t="s">
        <v>2122</v>
      </c>
      <c r="AN66" t="s">
        <v>2123</v>
      </c>
      <c r="AO66" t="s">
        <v>2123</v>
      </c>
      <c r="AP66" t="s">
        <v>2122</v>
      </c>
      <c r="AQ66" t="s">
        <v>2123</v>
      </c>
    </row>
    <row r="67" spans="2:43" x14ac:dyDescent="0.2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2200</v>
      </c>
      <c r="AA67" t="s">
        <v>2121</v>
      </c>
      <c r="AB67" t="s">
        <v>2122</v>
      </c>
      <c r="AC67" t="s">
        <v>2122</v>
      </c>
      <c r="AD67" t="s">
        <v>2123</v>
      </c>
      <c r="AE67" t="s">
        <v>2122</v>
      </c>
      <c r="AF67" t="s">
        <v>2123</v>
      </c>
      <c r="AG67" t="s">
        <v>2123</v>
      </c>
      <c r="AH67" t="s">
        <v>2122</v>
      </c>
      <c r="AI67" t="s">
        <v>2122</v>
      </c>
      <c r="AJ67" t="s">
        <v>2123</v>
      </c>
      <c r="AK67" t="s">
        <v>2123</v>
      </c>
      <c r="AL67" t="s">
        <v>2123</v>
      </c>
      <c r="AM67" t="s">
        <v>2123</v>
      </c>
      <c r="AN67" t="s">
        <v>2122</v>
      </c>
      <c r="AO67" t="s">
        <v>2122</v>
      </c>
      <c r="AP67" t="s">
        <v>2123</v>
      </c>
      <c r="AQ67" t="s">
        <v>2122</v>
      </c>
    </row>
    <row r="68" spans="2:43" x14ac:dyDescent="0.2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2201</v>
      </c>
      <c r="AA68" t="s">
        <v>2136</v>
      </c>
      <c r="AB68" t="s">
        <v>2123</v>
      </c>
      <c r="AC68" t="s">
        <v>2122</v>
      </c>
      <c r="AD68" t="s">
        <v>2122</v>
      </c>
      <c r="AE68" t="s">
        <v>2123</v>
      </c>
      <c r="AF68" t="s">
        <v>2122</v>
      </c>
      <c r="AG68" t="s">
        <v>2123</v>
      </c>
      <c r="AH68" t="s">
        <v>2123</v>
      </c>
      <c r="AI68" t="s">
        <v>2122</v>
      </c>
      <c r="AJ68" t="s">
        <v>2122</v>
      </c>
      <c r="AK68" t="s">
        <v>2123</v>
      </c>
      <c r="AL68" t="s">
        <v>2123</v>
      </c>
      <c r="AM68" t="s">
        <v>2123</v>
      </c>
      <c r="AN68" t="s">
        <v>2122</v>
      </c>
      <c r="AO68" t="s">
        <v>2122</v>
      </c>
      <c r="AP68" t="s">
        <v>2123</v>
      </c>
      <c r="AQ68" t="s">
        <v>2122</v>
      </c>
    </row>
    <row r="69" spans="2:43" x14ac:dyDescent="0.2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2202</v>
      </c>
      <c r="AA69" t="s">
        <v>2126</v>
      </c>
      <c r="AB69" t="s">
        <v>2122</v>
      </c>
      <c r="AC69" t="s">
        <v>2123</v>
      </c>
      <c r="AD69" t="s">
        <v>2122</v>
      </c>
      <c r="AE69" t="s">
        <v>2123</v>
      </c>
      <c r="AF69" t="s">
        <v>2123</v>
      </c>
      <c r="AG69" t="s">
        <v>2122</v>
      </c>
      <c r="AH69" t="s">
        <v>2122</v>
      </c>
      <c r="AI69" t="s">
        <v>2122</v>
      </c>
      <c r="AJ69" t="s">
        <v>2123</v>
      </c>
      <c r="AK69" t="s">
        <v>2123</v>
      </c>
      <c r="AL69" t="s">
        <v>2123</v>
      </c>
      <c r="AM69" t="s">
        <v>2123</v>
      </c>
      <c r="AN69" t="s">
        <v>2122</v>
      </c>
      <c r="AO69" t="s">
        <v>2122</v>
      </c>
      <c r="AP69" t="s">
        <v>2123</v>
      </c>
      <c r="AQ69" t="s">
        <v>2122</v>
      </c>
    </row>
    <row r="70" spans="2:43" x14ac:dyDescent="0.2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2203</v>
      </c>
      <c r="AA70" t="s">
        <v>2189</v>
      </c>
      <c r="AB70" t="s">
        <v>2122</v>
      </c>
      <c r="AC70" t="s">
        <v>2122</v>
      </c>
      <c r="AD70" t="s">
        <v>2123</v>
      </c>
      <c r="AE70" t="s">
        <v>2122</v>
      </c>
      <c r="AF70" t="s">
        <v>2123</v>
      </c>
      <c r="AG70" t="s">
        <v>2123</v>
      </c>
      <c r="AH70" t="s">
        <v>2122</v>
      </c>
      <c r="AI70" t="s">
        <v>2122</v>
      </c>
      <c r="AJ70" t="s">
        <v>2123</v>
      </c>
      <c r="AK70" t="s">
        <v>2123</v>
      </c>
      <c r="AL70" t="s">
        <v>2123</v>
      </c>
      <c r="AM70" t="s">
        <v>2123</v>
      </c>
      <c r="AN70" t="s">
        <v>2122</v>
      </c>
      <c r="AO70" t="s">
        <v>2122</v>
      </c>
      <c r="AP70" t="s">
        <v>2122</v>
      </c>
      <c r="AQ70" t="s">
        <v>2123</v>
      </c>
    </row>
    <row r="71" spans="2:43" x14ac:dyDescent="0.2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2204</v>
      </c>
      <c r="AA71" t="s">
        <v>2168</v>
      </c>
      <c r="AB71" t="s">
        <v>2123</v>
      </c>
      <c r="AC71" t="s">
        <v>2122</v>
      </c>
      <c r="AD71" t="s">
        <v>2122</v>
      </c>
      <c r="AE71" t="s">
        <v>2123</v>
      </c>
      <c r="AF71" t="s">
        <v>2122</v>
      </c>
      <c r="AG71" t="s">
        <v>2123</v>
      </c>
      <c r="AH71" t="s">
        <v>2123</v>
      </c>
      <c r="AI71" t="s">
        <v>2122</v>
      </c>
      <c r="AJ71" t="s">
        <v>2122</v>
      </c>
      <c r="AK71" t="s">
        <v>2123</v>
      </c>
      <c r="AL71" t="s">
        <v>2123</v>
      </c>
      <c r="AM71" t="s">
        <v>2123</v>
      </c>
      <c r="AN71" t="s">
        <v>2122</v>
      </c>
      <c r="AO71" t="s">
        <v>2123</v>
      </c>
      <c r="AP71" t="s">
        <v>2122</v>
      </c>
      <c r="AQ71" t="s">
        <v>2123</v>
      </c>
    </row>
    <row r="72" spans="2:43" x14ac:dyDescent="0.2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2205</v>
      </c>
      <c r="AA72" t="s">
        <v>2206</v>
      </c>
      <c r="AB72" t="s">
        <v>2122</v>
      </c>
      <c r="AC72" t="s">
        <v>2122</v>
      </c>
      <c r="AD72" t="s">
        <v>2123</v>
      </c>
      <c r="AE72" t="s">
        <v>2122</v>
      </c>
      <c r="AF72" t="s">
        <v>2123</v>
      </c>
      <c r="AG72" t="s">
        <v>2123</v>
      </c>
      <c r="AH72" t="s">
        <v>2122</v>
      </c>
      <c r="AI72" t="s">
        <v>2122</v>
      </c>
      <c r="AJ72" t="s">
        <v>2123</v>
      </c>
      <c r="AK72" t="s">
        <v>2123</v>
      </c>
      <c r="AL72" t="s">
        <v>2123</v>
      </c>
      <c r="AM72" t="s">
        <v>2123</v>
      </c>
      <c r="AN72" t="s">
        <v>2122</v>
      </c>
      <c r="AO72" t="s">
        <v>2122</v>
      </c>
      <c r="AP72" t="s">
        <v>2123</v>
      </c>
      <c r="AQ72" t="s">
        <v>2122</v>
      </c>
    </row>
    <row r="73" spans="2:43" x14ac:dyDescent="0.2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2207</v>
      </c>
      <c r="AA73" t="s">
        <v>459</v>
      </c>
      <c r="AB73" t="s">
        <v>2122</v>
      </c>
      <c r="AC73" t="s">
        <v>2123</v>
      </c>
      <c r="AD73" t="s">
        <v>2122</v>
      </c>
      <c r="AE73" t="s">
        <v>2123</v>
      </c>
      <c r="AF73" t="s">
        <v>2123</v>
      </c>
      <c r="AG73" t="s">
        <v>2122</v>
      </c>
      <c r="AH73" t="s">
        <v>2122</v>
      </c>
      <c r="AI73" t="s">
        <v>2122</v>
      </c>
      <c r="AJ73" t="s">
        <v>2123</v>
      </c>
      <c r="AK73" t="s">
        <v>2123</v>
      </c>
      <c r="AL73" t="s">
        <v>2123</v>
      </c>
      <c r="AM73" t="s">
        <v>2122</v>
      </c>
      <c r="AN73" t="s">
        <v>2123</v>
      </c>
      <c r="AO73" t="s">
        <v>2123</v>
      </c>
      <c r="AP73" t="s">
        <v>2123</v>
      </c>
      <c r="AQ73" t="s">
        <v>2122</v>
      </c>
    </row>
    <row r="74" spans="2:43" x14ac:dyDescent="0.2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2208</v>
      </c>
      <c r="AA74" t="s">
        <v>462</v>
      </c>
      <c r="AB74" t="s">
        <v>2123</v>
      </c>
      <c r="AC74" t="s">
        <v>2122</v>
      </c>
      <c r="AD74" t="s">
        <v>2122</v>
      </c>
      <c r="AE74" t="s">
        <v>2123</v>
      </c>
      <c r="AF74" t="s">
        <v>2122</v>
      </c>
      <c r="AG74" t="s">
        <v>2123</v>
      </c>
      <c r="AH74" t="s">
        <v>2122</v>
      </c>
      <c r="AI74" t="s">
        <v>2123</v>
      </c>
      <c r="AJ74" t="s">
        <v>2122</v>
      </c>
      <c r="AK74" t="s">
        <v>2123</v>
      </c>
      <c r="AL74" t="s">
        <v>2123</v>
      </c>
      <c r="AM74" t="s">
        <v>2123</v>
      </c>
      <c r="AN74" t="s">
        <v>2122</v>
      </c>
      <c r="AO74" t="s">
        <v>2123</v>
      </c>
      <c r="AP74" t="s">
        <v>2123</v>
      </c>
      <c r="AQ74" t="s">
        <v>2122</v>
      </c>
    </row>
    <row r="75" spans="2:43" x14ac:dyDescent="0.2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2209</v>
      </c>
      <c r="AA75" t="s">
        <v>462</v>
      </c>
      <c r="AB75" t="s">
        <v>2123</v>
      </c>
      <c r="AC75" t="s">
        <v>2122</v>
      </c>
      <c r="AD75" t="s">
        <v>2122</v>
      </c>
      <c r="AE75" t="s">
        <v>2123</v>
      </c>
      <c r="AF75" t="s">
        <v>2122</v>
      </c>
      <c r="AG75" t="s">
        <v>2123</v>
      </c>
      <c r="AH75" t="s">
        <v>2123</v>
      </c>
      <c r="AI75" t="s">
        <v>2122</v>
      </c>
      <c r="AJ75" t="s">
        <v>2122</v>
      </c>
      <c r="AK75" t="s">
        <v>2123</v>
      </c>
      <c r="AL75" t="s">
        <v>2123</v>
      </c>
      <c r="AM75" t="s">
        <v>2123</v>
      </c>
      <c r="AN75" t="s">
        <v>2122</v>
      </c>
      <c r="AO75" t="s">
        <v>2123</v>
      </c>
      <c r="AP75" t="s">
        <v>2123</v>
      </c>
      <c r="AQ75" t="s">
        <v>2122</v>
      </c>
    </row>
    <row r="76" spans="2:43" x14ac:dyDescent="0.2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2210</v>
      </c>
      <c r="AA76" t="s">
        <v>461</v>
      </c>
      <c r="AB76" t="s">
        <v>2122</v>
      </c>
      <c r="AC76" t="s">
        <v>2122</v>
      </c>
      <c r="AD76" t="s">
        <v>2123</v>
      </c>
      <c r="AE76" t="s">
        <v>2122</v>
      </c>
      <c r="AF76" t="s">
        <v>2123</v>
      </c>
      <c r="AG76" t="s">
        <v>2123</v>
      </c>
      <c r="AH76" t="s">
        <v>2123</v>
      </c>
      <c r="AI76" t="s">
        <v>2122</v>
      </c>
      <c r="AJ76" t="s">
        <v>2122</v>
      </c>
      <c r="AK76" t="s">
        <v>2123</v>
      </c>
      <c r="AL76" t="s">
        <v>2123</v>
      </c>
      <c r="AM76" t="s">
        <v>2123</v>
      </c>
      <c r="AN76" t="s">
        <v>2122</v>
      </c>
      <c r="AO76" t="s">
        <v>2122</v>
      </c>
      <c r="AP76" t="s">
        <v>2123</v>
      </c>
      <c r="AQ76" t="s">
        <v>2122</v>
      </c>
    </row>
    <row r="77" spans="2:43" x14ac:dyDescent="0.2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2211</v>
      </c>
      <c r="AA77" t="s">
        <v>447</v>
      </c>
      <c r="AB77" t="s">
        <v>2122</v>
      </c>
      <c r="AC77" t="s">
        <v>2123</v>
      </c>
      <c r="AD77" t="s">
        <v>2122</v>
      </c>
      <c r="AE77" t="s">
        <v>2123</v>
      </c>
      <c r="AF77" t="s">
        <v>2123</v>
      </c>
      <c r="AG77" t="s">
        <v>2122</v>
      </c>
      <c r="AH77" t="s">
        <v>2122</v>
      </c>
      <c r="AI77" t="s">
        <v>2123</v>
      </c>
      <c r="AJ77" t="s">
        <v>2122</v>
      </c>
      <c r="AK77" t="s">
        <v>2122</v>
      </c>
      <c r="AL77" t="s">
        <v>2122</v>
      </c>
      <c r="AM77" t="s">
        <v>2122</v>
      </c>
      <c r="AN77" t="s">
        <v>2123</v>
      </c>
      <c r="AO77" t="s">
        <v>2123</v>
      </c>
      <c r="AP77" t="s">
        <v>2122</v>
      </c>
      <c r="AQ77" t="s">
        <v>2123</v>
      </c>
    </row>
    <row r="78" spans="2:43" x14ac:dyDescent="0.2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2212</v>
      </c>
      <c r="AA78" t="s">
        <v>2168</v>
      </c>
      <c r="AB78" t="s">
        <v>2123</v>
      </c>
      <c r="AC78" t="s">
        <v>2122</v>
      </c>
      <c r="AD78" t="s">
        <v>2122</v>
      </c>
      <c r="AE78" t="s">
        <v>2123</v>
      </c>
      <c r="AF78" t="s">
        <v>2122</v>
      </c>
      <c r="AG78" t="s">
        <v>2123</v>
      </c>
      <c r="AH78" t="s">
        <v>2123</v>
      </c>
      <c r="AI78" t="s">
        <v>2122</v>
      </c>
      <c r="AJ78" t="s">
        <v>2122</v>
      </c>
      <c r="AK78" t="s">
        <v>2123</v>
      </c>
      <c r="AL78" t="s">
        <v>2123</v>
      </c>
      <c r="AM78" t="s">
        <v>2123</v>
      </c>
      <c r="AN78" t="s">
        <v>2122</v>
      </c>
      <c r="AO78" t="s">
        <v>2123</v>
      </c>
      <c r="AP78" t="s">
        <v>2122</v>
      </c>
      <c r="AQ78" t="s">
        <v>2123</v>
      </c>
    </row>
    <row r="79" spans="2:43" x14ac:dyDescent="0.2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2213</v>
      </c>
      <c r="AA79" t="s">
        <v>462</v>
      </c>
      <c r="AB79" t="s">
        <v>2123</v>
      </c>
      <c r="AC79" t="s">
        <v>2122</v>
      </c>
      <c r="AD79" t="s">
        <v>2122</v>
      </c>
      <c r="AE79" t="s">
        <v>2123</v>
      </c>
      <c r="AF79" t="s">
        <v>2122</v>
      </c>
      <c r="AG79" t="s">
        <v>2123</v>
      </c>
      <c r="AH79" t="s">
        <v>2122</v>
      </c>
      <c r="AI79" t="s">
        <v>2123</v>
      </c>
      <c r="AJ79" t="s">
        <v>2122</v>
      </c>
      <c r="AK79" t="s">
        <v>2123</v>
      </c>
      <c r="AL79" t="s">
        <v>2123</v>
      </c>
      <c r="AM79" t="s">
        <v>2123</v>
      </c>
      <c r="AN79" t="s">
        <v>2122</v>
      </c>
      <c r="AO79" t="s">
        <v>2123</v>
      </c>
      <c r="AP79" t="s">
        <v>2123</v>
      </c>
      <c r="AQ79" t="s">
        <v>2122</v>
      </c>
    </row>
    <row r="80" spans="2:43" x14ac:dyDescent="0.2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2214</v>
      </c>
      <c r="AA80" t="s">
        <v>456</v>
      </c>
      <c r="AB80" t="s">
        <v>2122</v>
      </c>
      <c r="AC80" t="s">
        <v>2122</v>
      </c>
      <c r="AD80" t="s">
        <v>2123</v>
      </c>
      <c r="AE80" t="s">
        <v>2122</v>
      </c>
      <c r="AF80" t="s">
        <v>2123</v>
      </c>
      <c r="AG80" t="s">
        <v>2123</v>
      </c>
      <c r="AH80" t="s">
        <v>2122</v>
      </c>
      <c r="AI80" t="s">
        <v>2123</v>
      </c>
      <c r="AJ80" t="s">
        <v>2122</v>
      </c>
      <c r="AK80" t="s">
        <v>2122</v>
      </c>
      <c r="AL80" t="s">
        <v>2122</v>
      </c>
      <c r="AM80" t="s">
        <v>2122</v>
      </c>
      <c r="AN80" t="s">
        <v>2123</v>
      </c>
      <c r="AO80" t="s">
        <v>2123</v>
      </c>
      <c r="AP80" t="s">
        <v>2122</v>
      </c>
      <c r="AQ80" t="s">
        <v>2123</v>
      </c>
    </row>
    <row r="81" spans="2:43" x14ac:dyDescent="0.2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2215</v>
      </c>
      <c r="AA81" t="s">
        <v>459</v>
      </c>
      <c r="AB81" t="s">
        <v>2122</v>
      </c>
      <c r="AC81" t="s">
        <v>2123</v>
      </c>
      <c r="AD81" t="s">
        <v>2122</v>
      </c>
      <c r="AE81" t="s">
        <v>2123</v>
      </c>
      <c r="AF81" t="s">
        <v>2123</v>
      </c>
      <c r="AG81" t="s">
        <v>2122</v>
      </c>
      <c r="AH81" t="s">
        <v>2123</v>
      </c>
      <c r="AI81" t="s">
        <v>2122</v>
      </c>
      <c r="AJ81" t="s">
        <v>2122</v>
      </c>
      <c r="AK81" t="s">
        <v>2123</v>
      </c>
      <c r="AL81" t="s">
        <v>2123</v>
      </c>
      <c r="AM81" t="s">
        <v>2122</v>
      </c>
      <c r="AN81" t="s">
        <v>2123</v>
      </c>
      <c r="AO81" t="s">
        <v>2123</v>
      </c>
      <c r="AP81" t="s">
        <v>2123</v>
      </c>
      <c r="AQ81" t="s">
        <v>2122</v>
      </c>
    </row>
    <row r="82" spans="2:43" x14ac:dyDescent="0.2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2216</v>
      </c>
      <c r="AA82" t="s">
        <v>2163</v>
      </c>
      <c r="AB82" t="s">
        <v>2123</v>
      </c>
      <c r="AC82" t="s">
        <v>2122</v>
      </c>
      <c r="AD82" t="s">
        <v>2122</v>
      </c>
      <c r="AE82" t="s">
        <v>2123</v>
      </c>
      <c r="AF82" t="s">
        <v>2122</v>
      </c>
      <c r="AG82" t="s">
        <v>2123</v>
      </c>
      <c r="AH82" t="s">
        <v>2123</v>
      </c>
      <c r="AI82" t="s">
        <v>2122</v>
      </c>
      <c r="AJ82" t="s">
        <v>2122</v>
      </c>
      <c r="AK82" t="s">
        <v>2123</v>
      </c>
      <c r="AL82" t="s">
        <v>2123</v>
      </c>
      <c r="AM82" t="s">
        <v>2123</v>
      </c>
      <c r="AN82" t="s">
        <v>2122</v>
      </c>
      <c r="AO82" t="s">
        <v>2122</v>
      </c>
      <c r="AP82" t="s">
        <v>2123</v>
      </c>
      <c r="AQ82" t="s">
        <v>2122</v>
      </c>
    </row>
    <row r="83" spans="2:43" x14ac:dyDescent="0.2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2217</v>
      </c>
      <c r="AA83" t="s">
        <v>459</v>
      </c>
      <c r="AB83" t="s">
        <v>2122</v>
      </c>
      <c r="AC83" t="s">
        <v>2123</v>
      </c>
      <c r="AD83" t="s">
        <v>2122</v>
      </c>
      <c r="AE83" t="s">
        <v>2123</v>
      </c>
      <c r="AF83" t="s">
        <v>2123</v>
      </c>
      <c r="AG83" t="s">
        <v>2122</v>
      </c>
      <c r="AH83" t="s">
        <v>2122</v>
      </c>
      <c r="AI83" t="s">
        <v>2123</v>
      </c>
      <c r="AJ83" t="s">
        <v>2122</v>
      </c>
      <c r="AK83" t="s">
        <v>2123</v>
      </c>
      <c r="AL83" t="s">
        <v>2123</v>
      </c>
      <c r="AM83" t="s">
        <v>2122</v>
      </c>
      <c r="AN83" t="s">
        <v>2123</v>
      </c>
      <c r="AO83" t="s">
        <v>2123</v>
      </c>
      <c r="AP83" t="s">
        <v>2123</v>
      </c>
      <c r="AQ83" t="s">
        <v>2122</v>
      </c>
    </row>
    <row r="84" spans="2:43" x14ac:dyDescent="0.2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2255</v>
      </c>
      <c r="Y84" t="s">
        <v>124</v>
      </c>
      <c r="Z84" t="s">
        <v>2723</v>
      </c>
      <c r="AA84" t="s">
        <v>2177</v>
      </c>
      <c r="AB84" t="s">
        <v>2123</v>
      </c>
      <c r="AC84" t="s">
        <v>2122</v>
      </c>
      <c r="AD84" t="s">
        <v>2122</v>
      </c>
      <c r="AE84" t="s">
        <v>2123</v>
      </c>
      <c r="AF84" t="s">
        <v>2122</v>
      </c>
      <c r="AG84" t="s">
        <v>2123</v>
      </c>
      <c r="AH84" t="s">
        <v>2123</v>
      </c>
      <c r="AI84" t="s">
        <v>2122</v>
      </c>
      <c r="AJ84" t="s">
        <v>2122</v>
      </c>
      <c r="AK84" t="s">
        <v>2123</v>
      </c>
      <c r="AL84" t="s">
        <v>2123</v>
      </c>
      <c r="AM84" t="s">
        <v>2123</v>
      </c>
      <c r="AN84" t="s">
        <v>2122</v>
      </c>
      <c r="AO84" t="s">
        <v>2122</v>
      </c>
      <c r="AP84" t="s">
        <v>2122</v>
      </c>
      <c r="AQ84" t="s">
        <v>2123</v>
      </c>
    </row>
    <row r="85" spans="2:43" x14ac:dyDescent="0.2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2257</v>
      </c>
      <c r="Y85" t="s">
        <v>126</v>
      </c>
      <c r="Z85" t="s">
        <v>2724</v>
      </c>
      <c r="AA85" t="s">
        <v>447</v>
      </c>
      <c r="AB85" t="s">
        <v>2122</v>
      </c>
      <c r="AC85" t="s">
        <v>2123</v>
      </c>
      <c r="AD85" t="s">
        <v>2122</v>
      </c>
      <c r="AE85" t="s">
        <v>2123</v>
      </c>
      <c r="AF85" t="s">
        <v>2123</v>
      </c>
      <c r="AG85" t="s">
        <v>2122</v>
      </c>
      <c r="AH85" t="s">
        <v>2122</v>
      </c>
      <c r="AI85" t="s">
        <v>2123</v>
      </c>
      <c r="AJ85" t="s">
        <v>2122</v>
      </c>
      <c r="AK85" t="s">
        <v>2122</v>
      </c>
      <c r="AL85" t="s">
        <v>2122</v>
      </c>
      <c r="AM85" t="s">
        <v>2122</v>
      </c>
      <c r="AN85" t="s">
        <v>2123</v>
      </c>
      <c r="AO85" t="s">
        <v>2123</v>
      </c>
      <c r="AP85" t="s">
        <v>2122</v>
      </c>
      <c r="AQ85" t="s">
        <v>2123</v>
      </c>
    </row>
    <row r="86" spans="2:43" x14ac:dyDescent="0.2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2258</v>
      </c>
      <c r="Z86" t="s">
        <v>2725</v>
      </c>
      <c r="AA86" t="s">
        <v>447</v>
      </c>
      <c r="AB86" t="s">
        <v>2122</v>
      </c>
      <c r="AC86" t="s">
        <v>2123</v>
      </c>
      <c r="AD86" t="s">
        <v>2122</v>
      </c>
      <c r="AE86" t="s">
        <v>2123</v>
      </c>
      <c r="AF86" t="s">
        <v>2123</v>
      </c>
      <c r="AG86" t="s">
        <v>2122</v>
      </c>
      <c r="AH86" t="s">
        <v>2122</v>
      </c>
      <c r="AI86" t="s">
        <v>2123</v>
      </c>
      <c r="AJ86" t="s">
        <v>2122</v>
      </c>
      <c r="AK86" t="s">
        <v>2122</v>
      </c>
      <c r="AL86" t="s">
        <v>2122</v>
      </c>
      <c r="AM86" t="s">
        <v>2122</v>
      </c>
      <c r="AN86" t="s">
        <v>2123</v>
      </c>
      <c r="AO86" t="s">
        <v>2123</v>
      </c>
      <c r="AP86" t="s">
        <v>2122</v>
      </c>
      <c r="AQ86" t="s">
        <v>2123</v>
      </c>
    </row>
    <row r="87" spans="2:43" x14ac:dyDescent="0.2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2726</v>
      </c>
      <c r="AA87" t="s">
        <v>2175</v>
      </c>
      <c r="AB87" t="s">
        <v>2123</v>
      </c>
      <c r="AC87" t="s">
        <v>2122</v>
      </c>
      <c r="AD87" t="s">
        <v>2122</v>
      </c>
      <c r="AE87" t="s">
        <v>2123</v>
      </c>
      <c r="AF87" t="s">
        <v>2122</v>
      </c>
      <c r="AG87" t="s">
        <v>2123</v>
      </c>
      <c r="AH87" t="s">
        <v>2123</v>
      </c>
      <c r="AI87" t="s">
        <v>2122</v>
      </c>
      <c r="AJ87" t="s">
        <v>2122</v>
      </c>
      <c r="AK87" t="s">
        <v>2123</v>
      </c>
      <c r="AL87" t="s">
        <v>2123</v>
      </c>
      <c r="AM87" t="s">
        <v>2123</v>
      </c>
      <c r="AN87" t="s">
        <v>2122</v>
      </c>
      <c r="AO87" t="s">
        <v>2122</v>
      </c>
      <c r="AP87" t="s">
        <v>2123</v>
      </c>
      <c r="AQ87" t="s">
        <v>2122</v>
      </c>
    </row>
    <row r="88" spans="2:43" x14ac:dyDescent="0.2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2259</v>
      </c>
      <c r="Z88" t="s">
        <v>2727</v>
      </c>
      <c r="AA88" t="s">
        <v>460</v>
      </c>
      <c r="AB88" t="s">
        <v>2122</v>
      </c>
      <c r="AC88" t="s">
        <v>2122</v>
      </c>
      <c r="AD88" t="s">
        <v>2123</v>
      </c>
      <c r="AE88" t="s">
        <v>2122</v>
      </c>
      <c r="AF88" t="s">
        <v>2123</v>
      </c>
      <c r="AG88" t="s">
        <v>2123</v>
      </c>
      <c r="AH88" t="s">
        <v>2122</v>
      </c>
      <c r="AI88" t="s">
        <v>2123</v>
      </c>
      <c r="AJ88" t="s">
        <v>2122</v>
      </c>
      <c r="AK88" t="s">
        <v>2122</v>
      </c>
      <c r="AL88" t="s">
        <v>2123</v>
      </c>
      <c r="AM88" t="s">
        <v>2123</v>
      </c>
      <c r="AN88" t="s">
        <v>2122</v>
      </c>
      <c r="AO88" t="s">
        <v>2123</v>
      </c>
      <c r="AP88" t="s">
        <v>2123</v>
      </c>
      <c r="AQ88" t="s">
        <v>2122</v>
      </c>
    </row>
    <row r="89" spans="2:43" x14ac:dyDescent="0.2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2728</v>
      </c>
      <c r="AA89" t="s">
        <v>453</v>
      </c>
      <c r="AB89" t="s">
        <v>2123</v>
      </c>
      <c r="AC89" t="s">
        <v>2122</v>
      </c>
      <c r="AD89" t="s">
        <v>2122</v>
      </c>
      <c r="AE89" t="s">
        <v>2123</v>
      </c>
      <c r="AF89" t="s">
        <v>2122</v>
      </c>
      <c r="AG89" t="s">
        <v>2123</v>
      </c>
      <c r="AH89" t="s">
        <v>2123</v>
      </c>
      <c r="AI89" t="s">
        <v>2122</v>
      </c>
      <c r="AJ89" t="s">
        <v>2122</v>
      </c>
      <c r="AK89" t="s">
        <v>2123</v>
      </c>
      <c r="AL89" t="s">
        <v>2122</v>
      </c>
      <c r="AM89" t="s">
        <v>2122</v>
      </c>
      <c r="AN89" t="s">
        <v>2123</v>
      </c>
      <c r="AO89" t="s">
        <v>2123</v>
      </c>
      <c r="AP89" t="s">
        <v>2122</v>
      </c>
      <c r="AQ89" t="s">
        <v>2123</v>
      </c>
    </row>
    <row r="90" spans="2:43" x14ac:dyDescent="0.2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2593</v>
      </c>
      <c r="Y90" t="s">
        <v>136</v>
      </c>
      <c r="Z90" t="s">
        <v>2729</v>
      </c>
      <c r="AA90" t="s">
        <v>459</v>
      </c>
      <c r="AB90" t="s">
        <v>2122</v>
      </c>
      <c r="AC90" t="s">
        <v>2123</v>
      </c>
      <c r="AD90" t="s">
        <v>2122</v>
      </c>
      <c r="AE90" t="s">
        <v>2123</v>
      </c>
      <c r="AF90" t="s">
        <v>2123</v>
      </c>
      <c r="AG90" t="s">
        <v>2122</v>
      </c>
      <c r="AH90" t="s">
        <v>2122</v>
      </c>
      <c r="AI90" t="s">
        <v>2123</v>
      </c>
      <c r="AJ90" t="s">
        <v>2122</v>
      </c>
      <c r="AK90" t="s">
        <v>2122</v>
      </c>
      <c r="AL90" t="s">
        <v>2123</v>
      </c>
      <c r="AM90" t="s">
        <v>2122</v>
      </c>
      <c r="AN90" t="s">
        <v>2123</v>
      </c>
      <c r="AO90" t="s">
        <v>2123</v>
      </c>
      <c r="AP90" t="s">
        <v>2123</v>
      </c>
      <c r="AQ90" t="s">
        <v>2122</v>
      </c>
    </row>
    <row r="91" spans="2:43" x14ac:dyDescent="0.2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2594</v>
      </c>
      <c r="Y91" t="s">
        <v>138</v>
      </c>
      <c r="Z91" t="s">
        <v>2730</v>
      </c>
      <c r="AA91" t="s">
        <v>2182</v>
      </c>
      <c r="AB91" t="s">
        <v>2123</v>
      </c>
      <c r="AC91" t="s">
        <v>2122</v>
      </c>
      <c r="AD91" t="s">
        <v>2122</v>
      </c>
      <c r="AE91" t="s">
        <v>2123</v>
      </c>
      <c r="AF91" t="s">
        <v>2122</v>
      </c>
      <c r="AG91" t="s">
        <v>2123</v>
      </c>
      <c r="AH91" t="s">
        <v>2122</v>
      </c>
      <c r="AI91" t="s">
        <v>2123</v>
      </c>
      <c r="AJ91" t="s">
        <v>2122</v>
      </c>
      <c r="AK91" t="s">
        <v>2123</v>
      </c>
      <c r="AL91" t="s">
        <v>2123</v>
      </c>
      <c r="AM91" t="s">
        <v>2123</v>
      </c>
      <c r="AN91" t="s">
        <v>2122</v>
      </c>
      <c r="AO91" t="s">
        <v>2122</v>
      </c>
      <c r="AP91" t="s">
        <v>2123</v>
      </c>
      <c r="AQ91" t="s">
        <v>2122</v>
      </c>
    </row>
    <row r="92" spans="2:43" x14ac:dyDescent="0.2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2731</v>
      </c>
      <c r="AA92" t="s">
        <v>2131</v>
      </c>
      <c r="AB92" t="s">
        <v>2123</v>
      </c>
      <c r="AC92" t="s">
        <v>2122</v>
      </c>
      <c r="AD92" t="s">
        <v>2122</v>
      </c>
      <c r="AE92" t="s">
        <v>2123</v>
      </c>
      <c r="AF92" t="s">
        <v>2122</v>
      </c>
      <c r="AG92" t="s">
        <v>2123</v>
      </c>
      <c r="AH92" t="s">
        <v>2123</v>
      </c>
      <c r="AI92" t="s">
        <v>2122</v>
      </c>
      <c r="AJ92" t="s">
        <v>2122</v>
      </c>
      <c r="AK92" t="s">
        <v>2123</v>
      </c>
      <c r="AL92" t="s">
        <v>2123</v>
      </c>
      <c r="AM92" t="s">
        <v>2122</v>
      </c>
      <c r="AN92" t="s">
        <v>2123</v>
      </c>
      <c r="AO92" t="s">
        <v>2123</v>
      </c>
      <c r="AP92" t="s">
        <v>2122</v>
      </c>
      <c r="AQ92" t="s">
        <v>2123</v>
      </c>
    </row>
    <row r="93" spans="2:43" x14ac:dyDescent="0.2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2503</v>
      </c>
      <c r="Z93" t="s">
        <v>2732</v>
      </c>
      <c r="AA93" t="s">
        <v>460</v>
      </c>
      <c r="AB93" t="s">
        <v>2122</v>
      </c>
      <c r="AC93" t="s">
        <v>2122</v>
      </c>
      <c r="AD93" t="s">
        <v>2123</v>
      </c>
      <c r="AE93" t="s">
        <v>2122</v>
      </c>
      <c r="AF93" t="s">
        <v>2123</v>
      </c>
      <c r="AG93" t="s">
        <v>2123</v>
      </c>
      <c r="AH93" t="s">
        <v>2122</v>
      </c>
      <c r="AI93" t="s">
        <v>2123</v>
      </c>
      <c r="AJ93" t="s">
        <v>2122</v>
      </c>
      <c r="AK93" t="s">
        <v>2123</v>
      </c>
      <c r="AL93" t="s">
        <v>2123</v>
      </c>
      <c r="AM93" t="s">
        <v>2123</v>
      </c>
      <c r="AN93" t="s">
        <v>2122</v>
      </c>
      <c r="AO93" t="s">
        <v>2123</v>
      </c>
      <c r="AP93" t="s">
        <v>2123</v>
      </c>
      <c r="AQ93" t="s">
        <v>2122</v>
      </c>
    </row>
    <row r="94" spans="2:43" x14ac:dyDescent="0.2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2733</v>
      </c>
      <c r="AA94" t="s">
        <v>462</v>
      </c>
      <c r="AB94" t="s">
        <v>2123</v>
      </c>
      <c r="AC94" t="s">
        <v>2122</v>
      </c>
      <c r="AD94" t="s">
        <v>2122</v>
      </c>
      <c r="AE94" t="s">
        <v>2123</v>
      </c>
      <c r="AF94" t="s">
        <v>2122</v>
      </c>
      <c r="AG94" t="s">
        <v>2123</v>
      </c>
      <c r="AH94" t="s">
        <v>2123</v>
      </c>
      <c r="AI94" t="s">
        <v>2122</v>
      </c>
      <c r="AJ94" t="s">
        <v>2122</v>
      </c>
      <c r="AK94" t="s">
        <v>2123</v>
      </c>
      <c r="AL94" t="s">
        <v>2123</v>
      </c>
      <c r="AM94" t="s">
        <v>2123</v>
      </c>
      <c r="AN94" t="s">
        <v>2122</v>
      </c>
      <c r="AO94" t="s">
        <v>2123</v>
      </c>
      <c r="AP94" t="s">
        <v>2123</v>
      </c>
      <c r="AQ94" t="s">
        <v>2122</v>
      </c>
    </row>
    <row r="95" spans="2:43" x14ac:dyDescent="0.2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2504</v>
      </c>
      <c r="Y95" t="s">
        <v>154</v>
      </c>
      <c r="Z95" t="s">
        <v>2734</v>
      </c>
      <c r="AA95" t="s">
        <v>462</v>
      </c>
      <c r="AB95" t="s">
        <v>2123</v>
      </c>
      <c r="AC95" t="s">
        <v>2122</v>
      </c>
      <c r="AD95" t="s">
        <v>2122</v>
      </c>
      <c r="AE95" t="s">
        <v>2123</v>
      </c>
      <c r="AF95" t="s">
        <v>2122</v>
      </c>
      <c r="AG95" t="s">
        <v>2123</v>
      </c>
      <c r="AH95" t="s">
        <v>2123</v>
      </c>
      <c r="AI95" t="s">
        <v>2122</v>
      </c>
      <c r="AJ95" t="s">
        <v>2122</v>
      </c>
      <c r="AK95" t="s">
        <v>2123</v>
      </c>
      <c r="AL95" t="s">
        <v>2123</v>
      </c>
      <c r="AM95" t="s">
        <v>2123</v>
      </c>
      <c r="AN95" t="s">
        <v>2122</v>
      </c>
      <c r="AO95" t="s">
        <v>2123</v>
      </c>
      <c r="AP95" t="s">
        <v>2123</v>
      </c>
      <c r="AQ95" t="s">
        <v>2122</v>
      </c>
    </row>
    <row r="96" spans="2:43" x14ac:dyDescent="0.2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2505</v>
      </c>
      <c r="Y96" t="s">
        <v>2506</v>
      </c>
      <c r="Z96" t="s">
        <v>2735</v>
      </c>
      <c r="AA96" t="s">
        <v>2141</v>
      </c>
      <c r="AB96" t="s">
        <v>2123</v>
      </c>
      <c r="AC96" t="s">
        <v>2122</v>
      </c>
      <c r="AD96" t="s">
        <v>2122</v>
      </c>
      <c r="AE96" t="s">
        <v>2123</v>
      </c>
      <c r="AF96" t="s">
        <v>2122</v>
      </c>
      <c r="AG96" t="s">
        <v>2123</v>
      </c>
      <c r="AH96" t="s">
        <v>2122</v>
      </c>
      <c r="AI96" t="s">
        <v>2123</v>
      </c>
      <c r="AJ96" t="s">
        <v>2122</v>
      </c>
      <c r="AK96" t="s">
        <v>2123</v>
      </c>
      <c r="AL96" t="s">
        <v>2123</v>
      </c>
      <c r="AM96" t="s">
        <v>2123</v>
      </c>
      <c r="AN96" t="s">
        <v>2122</v>
      </c>
      <c r="AO96" t="s">
        <v>2122</v>
      </c>
      <c r="AP96" t="s">
        <v>2123</v>
      </c>
      <c r="AQ96" t="s">
        <v>2122</v>
      </c>
    </row>
    <row r="97" spans="2:43" x14ac:dyDescent="0.2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2502</v>
      </c>
      <c r="Y97" t="s">
        <v>158</v>
      </c>
      <c r="Z97" t="s">
        <v>2736</v>
      </c>
      <c r="AA97" t="s">
        <v>459</v>
      </c>
      <c r="AB97" t="s">
        <v>2122</v>
      </c>
      <c r="AC97" t="s">
        <v>2123</v>
      </c>
      <c r="AD97" t="s">
        <v>2122</v>
      </c>
      <c r="AE97" t="s">
        <v>2123</v>
      </c>
      <c r="AF97" t="s">
        <v>2123</v>
      </c>
      <c r="AG97" t="s">
        <v>2122</v>
      </c>
      <c r="AH97" t="s">
        <v>2122</v>
      </c>
      <c r="AI97" t="s">
        <v>2122</v>
      </c>
      <c r="AJ97" t="s">
        <v>2123</v>
      </c>
      <c r="AK97" t="s">
        <v>2123</v>
      </c>
      <c r="AL97" t="s">
        <v>2123</v>
      </c>
      <c r="AM97" t="s">
        <v>2122</v>
      </c>
      <c r="AN97" t="s">
        <v>2123</v>
      </c>
      <c r="AO97" t="s">
        <v>2123</v>
      </c>
      <c r="AP97" t="s">
        <v>2123</v>
      </c>
      <c r="AQ97" t="s">
        <v>2122</v>
      </c>
    </row>
    <row r="98" spans="2:43" x14ac:dyDescent="0.2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2547</v>
      </c>
      <c r="Y98" t="s">
        <v>160</v>
      </c>
      <c r="Z98" t="s">
        <v>2737</v>
      </c>
      <c r="AA98" t="s">
        <v>453</v>
      </c>
      <c r="AB98" t="s">
        <v>2123</v>
      </c>
      <c r="AC98" t="s">
        <v>2122</v>
      </c>
      <c r="AD98" t="s">
        <v>2122</v>
      </c>
      <c r="AE98" t="s">
        <v>2123</v>
      </c>
      <c r="AF98" t="s">
        <v>2122</v>
      </c>
      <c r="AG98" t="s">
        <v>2123</v>
      </c>
      <c r="AH98" t="s">
        <v>2122</v>
      </c>
      <c r="AI98" t="s">
        <v>2123</v>
      </c>
      <c r="AJ98" t="s">
        <v>2122</v>
      </c>
      <c r="AK98" t="s">
        <v>2122</v>
      </c>
      <c r="AL98" t="s">
        <v>2122</v>
      </c>
      <c r="AM98" t="s">
        <v>2122</v>
      </c>
      <c r="AN98" t="s">
        <v>2123</v>
      </c>
      <c r="AO98" t="s">
        <v>2123</v>
      </c>
      <c r="AP98" t="s">
        <v>2122</v>
      </c>
      <c r="AQ98" t="s">
        <v>2123</v>
      </c>
    </row>
    <row r="99" spans="2:43" x14ac:dyDescent="0.2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2494</v>
      </c>
      <c r="Y99" t="s">
        <v>164</v>
      </c>
      <c r="Z99" t="s">
        <v>2738</v>
      </c>
      <c r="AA99" t="s">
        <v>462</v>
      </c>
      <c r="AB99" t="s">
        <v>2123</v>
      </c>
      <c r="AC99" t="s">
        <v>2122</v>
      </c>
      <c r="AD99" t="s">
        <v>2122</v>
      </c>
      <c r="AE99" t="s">
        <v>2123</v>
      </c>
      <c r="AF99" t="s">
        <v>2122</v>
      </c>
      <c r="AG99" t="s">
        <v>2123</v>
      </c>
      <c r="AH99" t="s">
        <v>2123</v>
      </c>
      <c r="AI99" t="s">
        <v>2122</v>
      </c>
      <c r="AJ99" t="s">
        <v>2122</v>
      </c>
      <c r="AK99" t="s">
        <v>2123</v>
      </c>
      <c r="AL99" t="s">
        <v>2123</v>
      </c>
      <c r="AM99" t="s">
        <v>2123</v>
      </c>
      <c r="AN99" t="s">
        <v>2122</v>
      </c>
      <c r="AO99" t="s">
        <v>2123</v>
      </c>
      <c r="AP99" t="s">
        <v>2123</v>
      </c>
      <c r="AQ99" t="s">
        <v>2122</v>
      </c>
    </row>
    <row r="100" spans="2:43" x14ac:dyDescent="0.2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2235</v>
      </c>
      <c r="Y100" t="s">
        <v>2236</v>
      </c>
      <c r="Z100" t="s">
        <v>2739</v>
      </c>
      <c r="AA100" t="s">
        <v>453</v>
      </c>
      <c r="AB100" t="s">
        <v>2123</v>
      </c>
      <c r="AC100" t="s">
        <v>2122</v>
      </c>
      <c r="AD100" t="s">
        <v>2122</v>
      </c>
      <c r="AE100" t="s">
        <v>2123</v>
      </c>
      <c r="AF100" t="s">
        <v>2122</v>
      </c>
      <c r="AG100" t="s">
        <v>2123</v>
      </c>
      <c r="AH100" t="s">
        <v>2122</v>
      </c>
      <c r="AI100" t="s">
        <v>2123</v>
      </c>
      <c r="AJ100" t="s">
        <v>2122</v>
      </c>
      <c r="AK100" t="s">
        <v>2122</v>
      </c>
      <c r="AL100" t="s">
        <v>2122</v>
      </c>
      <c r="AM100" t="s">
        <v>2122</v>
      </c>
      <c r="AN100" t="s">
        <v>2123</v>
      </c>
      <c r="AO100" t="s">
        <v>2123</v>
      </c>
      <c r="AP100" t="s">
        <v>2122</v>
      </c>
      <c r="AQ100" t="s">
        <v>2123</v>
      </c>
    </row>
    <row r="101" spans="2:43" x14ac:dyDescent="0.2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2740</v>
      </c>
      <c r="AA101" t="s">
        <v>2121</v>
      </c>
      <c r="AB101" t="s">
        <v>2122</v>
      </c>
      <c r="AC101" t="s">
        <v>2122</v>
      </c>
      <c r="AD101" t="s">
        <v>2123</v>
      </c>
      <c r="AE101" t="s">
        <v>2122</v>
      </c>
      <c r="AF101" t="s">
        <v>2123</v>
      </c>
      <c r="AG101" t="s">
        <v>2123</v>
      </c>
      <c r="AH101" t="s">
        <v>2122</v>
      </c>
      <c r="AI101" t="s">
        <v>2122</v>
      </c>
      <c r="AJ101" t="s">
        <v>2123</v>
      </c>
      <c r="AK101" t="s">
        <v>2123</v>
      </c>
      <c r="AL101" t="s">
        <v>2123</v>
      </c>
      <c r="AM101" t="s">
        <v>2123</v>
      </c>
      <c r="AN101" t="s">
        <v>2122</v>
      </c>
      <c r="AO101" t="s">
        <v>2122</v>
      </c>
      <c r="AP101" t="s">
        <v>2123</v>
      </c>
      <c r="AQ101" t="s">
        <v>2122</v>
      </c>
    </row>
    <row r="102" spans="2:43" x14ac:dyDescent="0.2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2550</v>
      </c>
      <c r="Z102" t="s">
        <v>2741</v>
      </c>
      <c r="AA102" t="s">
        <v>2136</v>
      </c>
      <c r="AB102" t="s">
        <v>2123</v>
      </c>
      <c r="AC102" t="s">
        <v>2122</v>
      </c>
      <c r="AD102" t="s">
        <v>2122</v>
      </c>
      <c r="AE102" t="s">
        <v>2123</v>
      </c>
      <c r="AF102" t="s">
        <v>2122</v>
      </c>
      <c r="AG102" t="s">
        <v>2123</v>
      </c>
      <c r="AH102" t="s">
        <v>2123</v>
      </c>
      <c r="AI102" t="s">
        <v>2122</v>
      </c>
      <c r="AJ102" t="s">
        <v>2122</v>
      </c>
      <c r="AK102" t="s">
        <v>2123</v>
      </c>
      <c r="AL102" t="s">
        <v>2123</v>
      </c>
      <c r="AM102" t="s">
        <v>2123</v>
      </c>
      <c r="AN102" t="s">
        <v>2122</v>
      </c>
      <c r="AO102" t="s">
        <v>2122</v>
      </c>
      <c r="AP102" t="s">
        <v>2123</v>
      </c>
      <c r="AQ102" t="s">
        <v>2122</v>
      </c>
    </row>
    <row r="103" spans="2:43" x14ac:dyDescent="0.2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2401</v>
      </c>
      <c r="Z103" t="s">
        <v>2742</v>
      </c>
      <c r="AA103" t="s">
        <v>456</v>
      </c>
      <c r="AB103" t="s">
        <v>2122</v>
      </c>
      <c r="AC103" t="s">
        <v>2122</v>
      </c>
      <c r="AD103" t="s">
        <v>2123</v>
      </c>
      <c r="AE103" t="s">
        <v>2122</v>
      </c>
      <c r="AF103" t="s">
        <v>2123</v>
      </c>
      <c r="AG103" t="s">
        <v>2123</v>
      </c>
      <c r="AH103" t="s">
        <v>2122</v>
      </c>
      <c r="AI103" t="s">
        <v>2123</v>
      </c>
      <c r="AJ103" t="s">
        <v>2122</v>
      </c>
      <c r="AK103" t="s">
        <v>2122</v>
      </c>
      <c r="AL103" t="s">
        <v>2122</v>
      </c>
      <c r="AM103" t="s">
        <v>2122</v>
      </c>
      <c r="AN103" t="s">
        <v>2123</v>
      </c>
      <c r="AO103" t="s">
        <v>2123</v>
      </c>
      <c r="AP103" t="s">
        <v>2122</v>
      </c>
      <c r="AQ103" t="s">
        <v>2123</v>
      </c>
    </row>
    <row r="104" spans="2:43" x14ac:dyDescent="0.2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2548</v>
      </c>
      <c r="Y104" t="s">
        <v>176</v>
      </c>
      <c r="Z104" t="s">
        <v>2743</v>
      </c>
      <c r="AA104" t="s">
        <v>460</v>
      </c>
      <c r="AB104" t="s">
        <v>2122</v>
      </c>
      <c r="AC104" t="s">
        <v>2122</v>
      </c>
      <c r="AD104" t="s">
        <v>2123</v>
      </c>
      <c r="AE104" t="s">
        <v>2122</v>
      </c>
      <c r="AF104" t="s">
        <v>2123</v>
      </c>
      <c r="AG104" t="s">
        <v>2123</v>
      </c>
      <c r="AH104" t="s">
        <v>2123</v>
      </c>
      <c r="AI104" t="s">
        <v>2122</v>
      </c>
      <c r="AJ104" t="s">
        <v>2122</v>
      </c>
      <c r="AK104" t="s">
        <v>2123</v>
      </c>
      <c r="AL104" t="s">
        <v>2123</v>
      </c>
      <c r="AM104" t="s">
        <v>2123</v>
      </c>
      <c r="AN104" t="s">
        <v>2122</v>
      </c>
      <c r="AO104" t="s">
        <v>2123</v>
      </c>
      <c r="AP104" t="s">
        <v>2123</v>
      </c>
      <c r="AQ104" t="s">
        <v>2122</v>
      </c>
    </row>
    <row r="105" spans="2:43" x14ac:dyDescent="0.2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2237</v>
      </c>
      <c r="Y105" t="s">
        <v>178</v>
      </c>
      <c r="Z105" t="s">
        <v>2744</v>
      </c>
      <c r="AA105" t="s">
        <v>462</v>
      </c>
      <c r="AB105" t="s">
        <v>2123</v>
      </c>
      <c r="AC105" t="s">
        <v>2122</v>
      </c>
      <c r="AD105" t="s">
        <v>2122</v>
      </c>
      <c r="AE105" t="s">
        <v>2123</v>
      </c>
      <c r="AF105" t="s">
        <v>2122</v>
      </c>
      <c r="AG105" t="s">
        <v>2123</v>
      </c>
      <c r="AH105" t="s">
        <v>2122</v>
      </c>
      <c r="AI105" t="s">
        <v>2123</v>
      </c>
      <c r="AJ105" t="s">
        <v>2122</v>
      </c>
      <c r="AK105" t="s">
        <v>2123</v>
      </c>
      <c r="AL105" t="s">
        <v>2123</v>
      </c>
      <c r="AM105" t="s">
        <v>2123</v>
      </c>
      <c r="AN105" t="s">
        <v>2122</v>
      </c>
      <c r="AO105" t="s">
        <v>2123</v>
      </c>
      <c r="AP105" t="s">
        <v>2123</v>
      </c>
      <c r="AQ105" t="s">
        <v>2122</v>
      </c>
    </row>
    <row r="106" spans="2:43" x14ac:dyDescent="0.2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2238</v>
      </c>
      <c r="Y106" t="s">
        <v>2239</v>
      </c>
      <c r="Z106" t="s">
        <v>2745</v>
      </c>
      <c r="AA106" t="s">
        <v>453</v>
      </c>
      <c r="AB106" t="s">
        <v>2123</v>
      </c>
      <c r="AC106" t="s">
        <v>2122</v>
      </c>
      <c r="AD106" t="s">
        <v>2122</v>
      </c>
      <c r="AE106" t="s">
        <v>2123</v>
      </c>
      <c r="AF106" t="s">
        <v>2122</v>
      </c>
      <c r="AG106" t="s">
        <v>2123</v>
      </c>
      <c r="AH106" t="s">
        <v>2123</v>
      </c>
      <c r="AI106" t="s">
        <v>2122</v>
      </c>
      <c r="AJ106" t="s">
        <v>2122</v>
      </c>
      <c r="AK106" t="s">
        <v>2123</v>
      </c>
      <c r="AL106" t="s">
        <v>2122</v>
      </c>
      <c r="AM106" t="s">
        <v>2122</v>
      </c>
      <c r="AN106" t="s">
        <v>2123</v>
      </c>
      <c r="AO106" t="s">
        <v>2123</v>
      </c>
      <c r="AP106" t="s">
        <v>2122</v>
      </c>
      <c r="AQ106" t="s">
        <v>2123</v>
      </c>
    </row>
    <row r="107" spans="2:43" x14ac:dyDescent="0.2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2746</v>
      </c>
      <c r="AA107" t="s">
        <v>461</v>
      </c>
      <c r="AB107" t="s">
        <v>2122</v>
      </c>
      <c r="AC107" t="s">
        <v>2122</v>
      </c>
      <c r="AD107" t="s">
        <v>2123</v>
      </c>
      <c r="AE107" t="s">
        <v>2122</v>
      </c>
      <c r="AF107" t="s">
        <v>2123</v>
      </c>
      <c r="AG107" t="s">
        <v>2123</v>
      </c>
      <c r="AH107" t="s">
        <v>2123</v>
      </c>
      <c r="AI107" t="s">
        <v>2122</v>
      </c>
      <c r="AJ107" t="s">
        <v>2122</v>
      </c>
      <c r="AK107" t="s">
        <v>2123</v>
      </c>
      <c r="AL107" t="s">
        <v>2123</v>
      </c>
      <c r="AM107" t="s">
        <v>2123</v>
      </c>
      <c r="AN107" t="s">
        <v>2122</v>
      </c>
      <c r="AO107" t="s">
        <v>2122</v>
      </c>
      <c r="AP107" t="s">
        <v>2123</v>
      </c>
      <c r="AQ107" t="s">
        <v>2122</v>
      </c>
    </row>
    <row r="108" spans="2:43" x14ac:dyDescent="0.2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2396</v>
      </c>
      <c r="Y108" t="s">
        <v>2397</v>
      </c>
      <c r="Z108" t="s">
        <v>2747</v>
      </c>
      <c r="AA108" t="s">
        <v>2748</v>
      </c>
      <c r="AB108" t="s">
        <v>2122</v>
      </c>
      <c r="AC108" t="s">
        <v>2123</v>
      </c>
      <c r="AD108" t="s">
        <v>2122</v>
      </c>
      <c r="AE108" t="s">
        <v>2123</v>
      </c>
      <c r="AF108" t="s">
        <v>2123</v>
      </c>
      <c r="AG108" t="s">
        <v>2122</v>
      </c>
      <c r="AH108" t="s">
        <v>2122</v>
      </c>
      <c r="AI108" t="s">
        <v>2123</v>
      </c>
      <c r="AJ108" t="s">
        <v>2122</v>
      </c>
      <c r="AK108" t="s">
        <v>2122</v>
      </c>
      <c r="AL108" t="s">
        <v>2122</v>
      </c>
      <c r="AM108" t="s">
        <v>2122</v>
      </c>
      <c r="AN108" t="s">
        <v>2123</v>
      </c>
      <c r="AO108" t="s">
        <v>2123</v>
      </c>
      <c r="AP108" t="s">
        <v>2122</v>
      </c>
      <c r="AQ108" t="s">
        <v>2123</v>
      </c>
    </row>
    <row r="109" spans="2:43" x14ac:dyDescent="0.2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2619</v>
      </c>
      <c r="Z109" t="s">
        <v>2749</v>
      </c>
      <c r="AA109" t="s">
        <v>2748</v>
      </c>
      <c r="AB109" t="s">
        <v>2122</v>
      </c>
      <c r="AC109" t="s">
        <v>2123</v>
      </c>
      <c r="AD109" t="s">
        <v>2122</v>
      </c>
      <c r="AE109" t="s">
        <v>2123</v>
      </c>
      <c r="AF109" t="s">
        <v>2123</v>
      </c>
      <c r="AG109" t="s">
        <v>2122</v>
      </c>
      <c r="AH109" t="s">
        <v>2122</v>
      </c>
      <c r="AI109" t="s">
        <v>2123</v>
      </c>
      <c r="AJ109" t="s">
        <v>2122</v>
      </c>
      <c r="AK109" t="s">
        <v>2122</v>
      </c>
      <c r="AL109" t="s">
        <v>2122</v>
      </c>
      <c r="AM109" t="s">
        <v>2122</v>
      </c>
      <c r="AN109" t="s">
        <v>2123</v>
      </c>
      <c r="AO109" t="s">
        <v>2123</v>
      </c>
      <c r="AP109" t="s">
        <v>2122</v>
      </c>
      <c r="AQ109" t="s">
        <v>2123</v>
      </c>
    </row>
    <row r="110" spans="2:43" x14ac:dyDescent="0.2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2750</v>
      </c>
      <c r="AA110" t="s">
        <v>456</v>
      </c>
      <c r="AB110" t="s">
        <v>2122</v>
      </c>
      <c r="AC110" t="s">
        <v>2122</v>
      </c>
      <c r="AD110" t="s">
        <v>2123</v>
      </c>
      <c r="AE110" t="s">
        <v>2122</v>
      </c>
      <c r="AF110" t="s">
        <v>2123</v>
      </c>
      <c r="AG110" t="s">
        <v>2123</v>
      </c>
      <c r="AH110" t="s">
        <v>2122</v>
      </c>
      <c r="AI110" t="s">
        <v>2122</v>
      </c>
      <c r="AJ110" t="s">
        <v>2123</v>
      </c>
      <c r="AK110" t="s">
        <v>2123</v>
      </c>
      <c r="AL110" t="s">
        <v>2122</v>
      </c>
      <c r="AM110" t="s">
        <v>2122</v>
      </c>
      <c r="AN110" t="s">
        <v>2123</v>
      </c>
      <c r="AO110" t="s">
        <v>2123</v>
      </c>
      <c r="AP110" t="s">
        <v>2122</v>
      </c>
      <c r="AQ110" t="s">
        <v>2123</v>
      </c>
    </row>
    <row r="111" spans="2:43" x14ac:dyDescent="0.2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2751</v>
      </c>
      <c r="AA111" t="s">
        <v>2752</v>
      </c>
      <c r="AB111" t="s">
        <v>2122</v>
      </c>
      <c r="AC111" t="s">
        <v>2122</v>
      </c>
      <c r="AD111" t="s">
        <v>2123</v>
      </c>
      <c r="AE111" t="s">
        <v>2122</v>
      </c>
      <c r="AF111" t="s">
        <v>2123</v>
      </c>
      <c r="AG111" t="s">
        <v>2123</v>
      </c>
      <c r="AH111" t="s">
        <v>2122</v>
      </c>
      <c r="AI111" t="s">
        <v>2123</v>
      </c>
      <c r="AJ111" t="s">
        <v>2122</v>
      </c>
      <c r="AK111" t="s">
        <v>2122</v>
      </c>
      <c r="AL111" t="s">
        <v>2123</v>
      </c>
      <c r="AM111" t="s">
        <v>2123</v>
      </c>
      <c r="AN111" t="s">
        <v>2122</v>
      </c>
      <c r="AO111" t="s">
        <v>2123</v>
      </c>
      <c r="AP111" t="s">
        <v>2122</v>
      </c>
      <c r="AQ111" t="s">
        <v>2123</v>
      </c>
    </row>
    <row r="112" spans="2:43" x14ac:dyDescent="0.2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2753</v>
      </c>
      <c r="AA112" t="s">
        <v>453</v>
      </c>
      <c r="AB112" t="s">
        <v>2123</v>
      </c>
      <c r="AC112" t="s">
        <v>2122</v>
      </c>
      <c r="AD112" t="s">
        <v>2122</v>
      </c>
      <c r="AE112" t="s">
        <v>2123</v>
      </c>
      <c r="AF112" t="s">
        <v>2122</v>
      </c>
      <c r="AG112" t="s">
        <v>2123</v>
      </c>
      <c r="AH112" t="s">
        <v>2122</v>
      </c>
      <c r="AI112" t="s">
        <v>2123</v>
      </c>
      <c r="AJ112" t="s">
        <v>2122</v>
      </c>
      <c r="AK112" t="s">
        <v>2122</v>
      </c>
      <c r="AL112" t="s">
        <v>2122</v>
      </c>
      <c r="AM112" t="s">
        <v>2122</v>
      </c>
      <c r="AN112" t="s">
        <v>2123</v>
      </c>
      <c r="AO112" t="s">
        <v>2123</v>
      </c>
      <c r="AP112" t="s">
        <v>2122</v>
      </c>
      <c r="AQ112" t="s">
        <v>2123</v>
      </c>
    </row>
    <row r="113" spans="2:43" x14ac:dyDescent="0.2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2754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2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2240</v>
      </c>
      <c r="Y114" t="s">
        <v>198</v>
      </c>
      <c r="Z114" t="s">
        <v>2755</v>
      </c>
      <c r="AA114" t="s">
        <v>453</v>
      </c>
      <c r="AB114" t="s">
        <v>2123</v>
      </c>
      <c r="AC114" t="s">
        <v>2122</v>
      </c>
      <c r="AD114" t="s">
        <v>2122</v>
      </c>
      <c r="AE114" t="s">
        <v>2123</v>
      </c>
      <c r="AF114" t="s">
        <v>2122</v>
      </c>
      <c r="AG114" t="s">
        <v>2123</v>
      </c>
      <c r="AH114" t="s">
        <v>2122</v>
      </c>
      <c r="AI114" t="s">
        <v>2123</v>
      </c>
      <c r="AJ114" t="s">
        <v>2122</v>
      </c>
      <c r="AK114" t="s">
        <v>2122</v>
      </c>
      <c r="AL114" t="s">
        <v>2122</v>
      </c>
      <c r="AM114" t="s">
        <v>2122</v>
      </c>
      <c r="AN114" t="s">
        <v>2123</v>
      </c>
      <c r="AO114" t="s">
        <v>2123</v>
      </c>
      <c r="AP114" t="s">
        <v>2122</v>
      </c>
      <c r="AQ114" t="s">
        <v>2123</v>
      </c>
    </row>
    <row r="115" spans="2:43" x14ac:dyDescent="0.2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2241</v>
      </c>
      <c r="Y115" t="s">
        <v>2242</v>
      </c>
      <c r="Z115" t="s">
        <v>2756</v>
      </c>
      <c r="AA115" t="s">
        <v>2126</v>
      </c>
      <c r="AB115" t="s">
        <v>2122</v>
      </c>
      <c r="AC115" t="s">
        <v>2123</v>
      </c>
      <c r="AD115" t="s">
        <v>2122</v>
      </c>
      <c r="AE115" t="s">
        <v>2123</v>
      </c>
      <c r="AF115" t="s">
        <v>2123</v>
      </c>
      <c r="AG115" t="s">
        <v>2122</v>
      </c>
      <c r="AH115" t="s">
        <v>2123</v>
      </c>
      <c r="AI115" t="s">
        <v>2122</v>
      </c>
      <c r="AJ115" t="s">
        <v>2122</v>
      </c>
      <c r="AK115" t="s">
        <v>2123</v>
      </c>
      <c r="AL115" t="s">
        <v>2123</v>
      </c>
      <c r="AM115" t="s">
        <v>2123</v>
      </c>
      <c r="AN115" t="s">
        <v>2122</v>
      </c>
      <c r="AO115" t="s">
        <v>2122</v>
      </c>
      <c r="AP115" t="s">
        <v>2123</v>
      </c>
      <c r="AQ115" t="s">
        <v>2122</v>
      </c>
    </row>
    <row r="116" spans="2:43" x14ac:dyDescent="0.2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2757</v>
      </c>
      <c r="AA116" t="s">
        <v>2136</v>
      </c>
      <c r="AB116" t="s">
        <v>2123</v>
      </c>
      <c r="AC116" t="s">
        <v>2122</v>
      </c>
      <c r="AD116" t="s">
        <v>2122</v>
      </c>
      <c r="AE116" t="s">
        <v>2123</v>
      </c>
      <c r="AF116" t="s">
        <v>2122</v>
      </c>
      <c r="AG116" t="s">
        <v>2123</v>
      </c>
      <c r="AH116" t="s">
        <v>2122</v>
      </c>
      <c r="AI116" t="s">
        <v>2123</v>
      </c>
      <c r="AJ116" t="s">
        <v>2122</v>
      </c>
      <c r="AK116" t="s">
        <v>2122</v>
      </c>
      <c r="AL116" t="s">
        <v>2123</v>
      </c>
      <c r="AM116" t="s">
        <v>2123</v>
      </c>
      <c r="AN116" t="s">
        <v>2122</v>
      </c>
      <c r="AO116" t="s">
        <v>2122</v>
      </c>
      <c r="AP116" t="s">
        <v>2123</v>
      </c>
      <c r="AQ116" t="s">
        <v>2122</v>
      </c>
    </row>
    <row r="117" spans="2:43" x14ac:dyDescent="0.2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2758</v>
      </c>
      <c r="AA117" t="s">
        <v>453</v>
      </c>
      <c r="AB117" t="s">
        <v>2123</v>
      </c>
      <c r="AC117" t="s">
        <v>2122</v>
      </c>
      <c r="AD117" t="s">
        <v>2122</v>
      </c>
      <c r="AE117" t="s">
        <v>2123</v>
      </c>
      <c r="AF117" t="s">
        <v>2122</v>
      </c>
      <c r="AG117" t="s">
        <v>2123</v>
      </c>
      <c r="AH117" t="s">
        <v>2123</v>
      </c>
      <c r="AI117" t="s">
        <v>2122</v>
      </c>
      <c r="AJ117" t="s">
        <v>2122</v>
      </c>
      <c r="AK117" t="s">
        <v>2123</v>
      </c>
      <c r="AL117" t="s">
        <v>2122</v>
      </c>
      <c r="AM117" t="s">
        <v>2122</v>
      </c>
      <c r="AN117" t="s">
        <v>2123</v>
      </c>
      <c r="AO117" t="s">
        <v>2123</v>
      </c>
      <c r="AP117" t="s">
        <v>2122</v>
      </c>
      <c r="AQ117" t="s">
        <v>2123</v>
      </c>
    </row>
    <row r="118" spans="2:43" x14ac:dyDescent="0.2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2400</v>
      </c>
      <c r="Z118" t="s">
        <v>2759</v>
      </c>
      <c r="AA118" t="s">
        <v>2131</v>
      </c>
      <c r="AB118" t="s">
        <v>2123</v>
      </c>
      <c r="AC118" t="s">
        <v>2122</v>
      </c>
      <c r="AD118" t="s">
        <v>2122</v>
      </c>
      <c r="AE118" t="s">
        <v>2123</v>
      </c>
      <c r="AF118" t="s">
        <v>2122</v>
      </c>
      <c r="AG118" t="s">
        <v>2123</v>
      </c>
      <c r="AH118" t="s">
        <v>2122</v>
      </c>
      <c r="AI118" t="s">
        <v>2123</v>
      </c>
      <c r="AJ118" t="s">
        <v>2122</v>
      </c>
      <c r="AK118" t="s">
        <v>2122</v>
      </c>
      <c r="AL118" t="s">
        <v>2123</v>
      </c>
      <c r="AM118" t="s">
        <v>2122</v>
      </c>
      <c r="AN118" t="s">
        <v>2123</v>
      </c>
      <c r="AO118" t="s">
        <v>2123</v>
      </c>
      <c r="AP118" t="s">
        <v>2122</v>
      </c>
      <c r="AQ118" t="s">
        <v>2123</v>
      </c>
    </row>
    <row r="119" spans="2:43" x14ac:dyDescent="0.2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2546</v>
      </c>
      <c r="Y119" t="s">
        <v>208</v>
      </c>
      <c r="Z119" t="s">
        <v>2760</v>
      </c>
      <c r="AA119" t="s">
        <v>2126</v>
      </c>
      <c r="AB119" t="s">
        <v>2122</v>
      </c>
      <c r="AC119" t="s">
        <v>2123</v>
      </c>
      <c r="AD119" t="s">
        <v>2122</v>
      </c>
      <c r="AE119" t="s">
        <v>2123</v>
      </c>
      <c r="AF119" t="s">
        <v>2123</v>
      </c>
      <c r="AG119" t="s">
        <v>2122</v>
      </c>
      <c r="AH119" t="s">
        <v>2123</v>
      </c>
      <c r="AI119" t="s">
        <v>2122</v>
      </c>
      <c r="AJ119" t="s">
        <v>2122</v>
      </c>
      <c r="AK119" t="s">
        <v>2123</v>
      </c>
      <c r="AL119" t="s">
        <v>2123</v>
      </c>
      <c r="AM119" t="s">
        <v>2123</v>
      </c>
      <c r="AN119" t="s">
        <v>2122</v>
      </c>
      <c r="AO119" t="s">
        <v>2122</v>
      </c>
      <c r="AP119" t="s">
        <v>2123</v>
      </c>
      <c r="AQ119" t="s">
        <v>2122</v>
      </c>
    </row>
    <row r="120" spans="2:43" x14ac:dyDescent="0.2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2761</v>
      </c>
      <c r="AA120" t="s">
        <v>462</v>
      </c>
      <c r="AB120" t="s">
        <v>2123</v>
      </c>
      <c r="AC120" t="s">
        <v>2122</v>
      </c>
      <c r="AD120" t="s">
        <v>2122</v>
      </c>
      <c r="AE120" t="s">
        <v>2123</v>
      </c>
      <c r="AF120" t="s">
        <v>2122</v>
      </c>
      <c r="AG120" t="s">
        <v>2123</v>
      </c>
      <c r="AH120" t="s">
        <v>2123</v>
      </c>
      <c r="AI120" t="s">
        <v>2122</v>
      </c>
      <c r="AJ120" t="s">
        <v>2122</v>
      </c>
      <c r="AK120" t="s">
        <v>2123</v>
      </c>
      <c r="AL120" t="s">
        <v>2123</v>
      </c>
      <c r="AM120" t="s">
        <v>2123</v>
      </c>
      <c r="AN120" t="s">
        <v>2122</v>
      </c>
      <c r="AO120" t="s">
        <v>2123</v>
      </c>
      <c r="AP120" t="s">
        <v>2123</v>
      </c>
      <c r="AQ120" t="s">
        <v>2122</v>
      </c>
    </row>
    <row r="121" spans="2:43" x14ac:dyDescent="0.2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2395</v>
      </c>
      <c r="Y121" t="s">
        <v>212</v>
      </c>
      <c r="Z121" t="s">
        <v>2762</v>
      </c>
      <c r="AA121" t="s">
        <v>453</v>
      </c>
      <c r="AB121" t="s">
        <v>2123</v>
      </c>
      <c r="AC121" t="s">
        <v>2122</v>
      </c>
      <c r="AD121" t="s">
        <v>2122</v>
      </c>
      <c r="AE121" t="s">
        <v>2123</v>
      </c>
      <c r="AF121" t="s">
        <v>2122</v>
      </c>
      <c r="AG121" t="s">
        <v>2123</v>
      </c>
      <c r="AH121" t="s">
        <v>2122</v>
      </c>
      <c r="AI121" t="s">
        <v>2123</v>
      </c>
      <c r="AJ121" t="s">
        <v>2122</v>
      </c>
      <c r="AK121" t="s">
        <v>2122</v>
      </c>
      <c r="AL121" t="s">
        <v>2122</v>
      </c>
      <c r="AM121" t="s">
        <v>2122</v>
      </c>
      <c r="AN121" t="s">
        <v>2123</v>
      </c>
      <c r="AO121" t="s">
        <v>2123</v>
      </c>
      <c r="AP121" t="s">
        <v>2122</v>
      </c>
      <c r="AQ121" t="s">
        <v>2123</v>
      </c>
    </row>
  </sheetData>
  <autoFilter ref="A2:AQ121" xr:uid="{E7E074E3-F409-4539-B73D-61BC4D7AB353}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2:R57"/>
  <sheetViews>
    <sheetView showGridLines="0" topLeftCell="A21" workbookViewId="0">
      <selection activeCell="G61" sqref="G61"/>
    </sheetView>
  </sheetViews>
  <sheetFormatPr baseColWidth="10" defaultColWidth="8.83203125" defaultRowHeight="15" x14ac:dyDescent="0.2"/>
  <cols>
    <col min="1" max="1" width="13.6640625" bestFit="1" customWidth="1"/>
    <col min="2" max="2" width="11.1640625" bestFit="1" customWidth="1"/>
    <col min="3" max="3" width="6.1640625" bestFit="1" customWidth="1"/>
  </cols>
  <sheetData>
    <row r="2" spans="1:3" x14ac:dyDescent="0.2">
      <c r="A2" s="33" t="s">
        <v>2218</v>
      </c>
      <c r="B2" s="33" t="s">
        <v>2219</v>
      </c>
      <c r="C2" s="33" t="s">
        <v>2220</v>
      </c>
    </row>
    <row r="3" spans="1:3" x14ac:dyDescent="0.2">
      <c r="A3" s="37" t="s">
        <v>439</v>
      </c>
      <c r="B3" s="36">
        <v>0.42834567901234555</v>
      </c>
      <c r="C3" s="36">
        <v>0.48148148148148145</v>
      </c>
    </row>
    <row r="4" spans="1:3" x14ac:dyDescent="0.2">
      <c r="A4" s="37" t="s">
        <v>4</v>
      </c>
      <c r="B4" s="36">
        <v>0.28043209876543218</v>
      </c>
      <c r="C4" s="36">
        <v>0.22222222222222221</v>
      </c>
    </row>
    <row r="5" spans="1:3" x14ac:dyDescent="0.2">
      <c r="A5" s="37" t="s">
        <v>440</v>
      </c>
      <c r="B5" s="36">
        <v>0.29116049382716047</v>
      </c>
      <c r="C5" s="36">
        <v>0.29629629629629628</v>
      </c>
    </row>
    <row r="6" spans="1:3" x14ac:dyDescent="0.2">
      <c r="A6" s="37" t="s">
        <v>5</v>
      </c>
      <c r="B6" s="36">
        <v>0.70883950617283953</v>
      </c>
      <c r="C6" s="36">
        <v>0.70370370370370372</v>
      </c>
    </row>
    <row r="7" spans="1:3" x14ac:dyDescent="0.2">
      <c r="A7" s="37" t="s">
        <v>6</v>
      </c>
      <c r="B7" s="36">
        <v>0.57165432098765434</v>
      </c>
      <c r="C7" s="36">
        <v>0.51851851851851849</v>
      </c>
    </row>
    <row r="8" spans="1:3" x14ac:dyDescent="0.2">
      <c r="A8" s="37" t="s">
        <v>441</v>
      </c>
      <c r="B8" s="36">
        <v>0.71956790123456793</v>
      </c>
      <c r="C8" s="36">
        <v>0.77777777777777779</v>
      </c>
    </row>
    <row r="9" spans="1:3" x14ac:dyDescent="0.2">
      <c r="A9" s="37" t="s">
        <v>7</v>
      </c>
      <c r="B9" s="36">
        <v>0.3221234567901235</v>
      </c>
      <c r="C9" s="36">
        <v>0.34567901234567899</v>
      </c>
    </row>
    <row r="10" spans="1:3" x14ac:dyDescent="0.2">
      <c r="A10" s="37" t="s">
        <v>8</v>
      </c>
      <c r="B10" s="36">
        <v>0.4315679012345679</v>
      </c>
      <c r="C10" s="36">
        <v>0.38271604938271603</v>
      </c>
    </row>
    <row r="11" spans="1:3" x14ac:dyDescent="0.2">
      <c r="A11" s="37" t="s">
        <v>9</v>
      </c>
      <c r="B11" s="36">
        <v>0.24627160493827169</v>
      </c>
      <c r="C11" s="36">
        <v>0.27160493827160492</v>
      </c>
    </row>
    <row r="12" spans="1:3" x14ac:dyDescent="0.2">
      <c r="A12" s="37" t="s">
        <v>10</v>
      </c>
      <c r="B12" s="36">
        <v>0.69177777777777782</v>
      </c>
      <c r="C12" s="36">
        <v>0.81481481481481477</v>
      </c>
    </row>
    <row r="13" spans="1:3" x14ac:dyDescent="0.2">
      <c r="A13" s="37" t="s">
        <v>11</v>
      </c>
      <c r="B13" s="36">
        <v>0.76514814814814813</v>
      </c>
      <c r="C13" s="36">
        <v>0.85185185185185186</v>
      </c>
    </row>
    <row r="14" spans="1:3" x14ac:dyDescent="0.2">
      <c r="A14" s="37" t="s">
        <v>12</v>
      </c>
      <c r="B14" s="36">
        <v>0.52598765432098749</v>
      </c>
      <c r="C14" s="36">
        <v>0.65432098765432101</v>
      </c>
    </row>
    <row r="15" spans="1:3" x14ac:dyDescent="0.2">
      <c r="A15" s="37" t="s">
        <v>13</v>
      </c>
      <c r="B15" s="36">
        <v>0.4740123456790124</v>
      </c>
      <c r="C15" s="36">
        <v>0.34567901234567899</v>
      </c>
    </row>
    <row r="16" spans="1:3" x14ac:dyDescent="0.2">
      <c r="A16" s="37" t="s">
        <v>14</v>
      </c>
      <c r="B16" s="36">
        <v>0.53224691358024701</v>
      </c>
      <c r="C16" s="36">
        <v>0.62962962962962965</v>
      </c>
    </row>
    <row r="17" spans="1:18" x14ac:dyDescent="0.2">
      <c r="A17" s="37" t="s">
        <v>15</v>
      </c>
      <c r="B17" s="36">
        <v>0.55651851851851841</v>
      </c>
      <c r="C17" s="36">
        <v>0.65432098765432101</v>
      </c>
    </row>
    <row r="18" spans="1:18" x14ac:dyDescent="0.2">
      <c r="A18" s="37" t="s">
        <v>16</v>
      </c>
      <c r="B18" s="36">
        <v>0.44348148148148148</v>
      </c>
      <c r="C18" s="36">
        <v>0.34567901234567899</v>
      </c>
    </row>
    <row r="20" spans="1:18" x14ac:dyDescent="0.2">
      <c r="A20" s="4" t="s">
        <v>2224</v>
      </c>
    </row>
    <row r="21" spans="1:18" x14ac:dyDescent="0.2">
      <c r="A21" s="37" t="s">
        <v>2221</v>
      </c>
      <c r="B21" s="33" t="s">
        <v>2222</v>
      </c>
      <c r="C21" s="37" t="s">
        <v>439</v>
      </c>
      <c r="D21" s="37" t="s">
        <v>4</v>
      </c>
      <c r="E21" s="37" t="s">
        <v>440</v>
      </c>
      <c r="F21" s="37" t="s">
        <v>5</v>
      </c>
      <c r="G21" s="37" t="s">
        <v>6</v>
      </c>
      <c r="H21" s="37" t="s">
        <v>441</v>
      </c>
      <c r="I21" s="37" t="s">
        <v>7</v>
      </c>
      <c r="J21" s="37" t="s">
        <v>8</v>
      </c>
      <c r="K21" s="37" t="s">
        <v>9</v>
      </c>
      <c r="L21" s="37" t="s">
        <v>10</v>
      </c>
      <c r="M21" s="37" t="s">
        <v>11</v>
      </c>
      <c r="N21" s="37" t="s">
        <v>12</v>
      </c>
      <c r="O21" s="37" t="s">
        <v>13</v>
      </c>
      <c r="P21" s="37" t="s">
        <v>14</v>
      </c>
      <c r="Q21" s="37" t="s">
        <v>15</v>
      </c>
      <c r="R21" s="37" t="s">
        <v>16</v>
      </c>
    </row>
    <row r="22" spans="1:18" x14ac:dyDescent="0.2">
      <c r="A22" s="38">
        <v>0</v>
      </c>
      <c r="B22" s="39">
        <v>10</v>
      </c>
      <c r="C22" s="34">
        <f>COUNTIFS('Solid-Results'!H:H,"&gt;="&amp;Dashboard!$A22,'Solid-Results'!H:H,"&lt;="&amp;Dashboard!$B22)</f>
        <v>1</v>
      </c>
      <c r="D22" s="34">
        <f>COUNTIFS('Solid-Results'!I:I,"&gt;="&amp;Dashboard!$A22,'Solid-Results'!I:I,"&lt;="&amp;Dashboard!$B22)</f>
        <v>1</v>
      </c>
      <c r="E22" s="34">
        <f>COUNTIFS('Solid-Results'!J:J,"&gt;="&amp;Dashboard!$A22,'Solid-Results'!J:J,"&lt;="&amp;Dashboard!$B22)</f>
        <v>2</v>
      </c>
      <c r="F22" s="34">
        <f>COUNTIFS('Solid-Results'!K:K,"&gt;="&amp;Dashboard!$A22,'Solid-Results'!K:K,"&lt;="&amp;Dashboard!$B22)</f>
        <v>1</v>
      </c>
      <c r="G22" s="34">
        <f>COUNTIFS('Solid-Results'!L:L,"&gt;="&amp;Dashboard!$A22,'Solid-Results'!L:L,"&lt;="&amp;Dashboard!$B22)</f>
        <v>1</v>
      </c>
      <c r="H22" s="34">
        <f>COUNTIFS('Solid-Results'!M:M,"&gt;="&amp;Dashboard!$A22,'Solid-Results'!M:M,"&lt;="&amp;Dashboard!$B22)</f>
        <v>1</v>
      </c>
      <c r="I22" s="34">
        <f>COUNTIFS('Solid-Results'!N:N,"&gt;="&amp;Dashboard!$A22,'Solid-Results'!N:N,"&lt;="&amp;Dashboard!$B22)</f>
        <v>1</v>
      </c>
      <c r="J22" s="34">
        <f>COUNTIFS('Solid-Results'!O:O,"&gt;="&amp;Dashboard!$A22,'Solid-Results'!O:O,"&lt;="&amp;Dashboard!$B22)</f>
        <v>1</v>
      </c>
      <c r="K22" s="34">
        <f>COUNTIFS('Solid-Results'!P:P,"&gt;="&amp;Dashboard!$A22,'Solid-Results'!P:P,"&lt;="&amp;Dashboard!$B22)</f>
        <v>2</v>
      </c>
      <c r="L22" s="34">
        <f>COUNTIFS('Solid-Results'!Q:Q,"&gt;="&amp;Dashboard!$A22,'Solid-Results'!Q:Q,"&lt;="&amp;Dashboard!$B22)</f>
        <v>1</v>
      </c>
      <c r="M22" s="34">
        <f>COUNTIFS('Solid-Results'!R:R,"&gt;="&amp;Dashboard!$A22,'Solid-Results'!R:R,"&lt;="&amp;Dashboard!$B22)</f>
        <v>1</v>
      </c>
      <c r="N22" s="34">
        <f>COUNTIFS('Solid-Results'!S:S,"&gt;="&amp;Dashboard!$A22,'Solid-Results'!S:S,"&lt;="&amp;Dashboard!$B22)</f>
        <v>1</v>
      </c>
      <c r="O22" s="34">
        <f>COUNTIFS('Solid-Results'!T:T,"&gt;="&amp;Dashboard!$A22,'Solid-Results'!T:T,"&lt;="&amp;Dashboard!$B22)</f>
        <v>1</v>
      </c>
      <c r="P22" s="34">
        <f>COUNTIFS('Solid-Results'!U:U,"&gt;="&amp;Dashboard!$A22,'Solid-Results'!U:U,"&lt;="&amp;Dashboard!$B22)</f>
        <v>1</v>
      </c>
      <c r="Q22" s="34">
        <f>COUNTIFS('Solid-Results'!V:V,"&gt;="&amp;Dashboard!$A22,'Solid-Results'!V:V,"&lt;="&amp;Dashboard!$B22)</f>
        <v>1</v>
      </c>
      <c r="R22" s="34">
        <f>COUNTIFS('Solid-Results'!W:W,"&gt;="&amp;Dashboard!$A22,'Solid-Results'!W:W,"&lt;="&amp;Dashboard!$B22)</f>
        <v>1</v>
      </c>
    </row>
    <row r="23" spans="1:18" x14ac:dyDescent="0.2">
      <c r="A23" s="40">
        <f>B22+0.01</f>
        <v>10.01</v>
      </c>
      <c r="B23" s="39">
        <f>B22+10</f>
        <v>20</v>
      </c>
      <c r="C23" s="34">
        <f>COUNTIFS('Solid-Results'!H:H,"&gt;="&amp;Dashboard!$A23,'Solid-Results'!H:H,"&lt;="&amp;Dashboard!$B23)</f>
        <v>0</v>
      </c>
      <c r="D23" s="34">
        <f>COUNTIFS('Solid-Results'!I:I,"&gt;="&amp;Dashboard!$A23,'Solid-Results'!I:I,"&lt;="&amp;Dashboard!$B23)</f>
        <v>0</v>
      </c>
      <c r="E23" s="34">
        <f>COUNTIFS('Solid-Results'!J:J,"&gt;="&amp;Dashboard!$A23,'Solid-Results'!J:J,"&lt;="&amp;Dashboard!$B23)</f>
        <v>17</v>
      </c>
      <c r="F23" s="34">
        <f>COUNTIFS('Solid-Results'!K:K,"&gt;="&amp;Dashboard!$A23,'Solid-Results'!K:K,"&lt;="&amp;Dashboard!$B23)</f>
        <v>0</v>
      </c>
      <c r="G23" s="34">
        <f>COUNTIFS('Solid-Results'!L:L,"&gt;="&amp;Dashboard!$A23,'Solid-Results'!L:L,"&lt;="&amp;Dashboard!$B23)</f>
        <v>0</v>
      </c>
      <c r="H23" s="34">
        <f>COUNTIFS('Solid-Results'!M:M,"&gt;="&amp;Dashboard!$A23,'Solid-Results'!M:M,"&lt;="&amp;Dashboard!$B23)</f>
        <v>0</v>
      </c>
      <c r="I23" s="34">
        <f>COUNTIFS('Solid-Results'!N:N,"&gt;="&amp;Dashboard!$A23,'Solid-Results'!N:N,"&lt;="&amp;Dashboard!$B23)</f>
        <v>13</v>
      </c>
      <c r="J23" s="34">
        <f>COUNTIFS('Solid-Results'!O:O,"&gt;="&amp;Dashboard!$A23,'Solid-Results'!O:O,"&lt;="&amp;Dashboard!$B23)</f>
        <v>0</v>
      </c>
      <c r="K23" s="34">
        <f>COUNTIFS('Solid-Results'!P:P,"&gt;="&amp;Dashboard!$A23,'Solid-Results'!P:P,"&lt;="&amp;Dashboard!$B23)</f>
        <v>33</v>
      </c>
      <c r="L23" s="34">
        <f>COUNTIFS('Solid-Results'!Q:Q,"&gt;="&amp;Dashboard!$A23,'Solid-Results'!Q:Q,"&lt;="&amp;Dashboard!$B23)</f>
        <v>0</v>
      </c>
      <c r="M23" s="34">
        <f>COUNTIFS('Solid-Results'!R:R,"&gt;="&amp;Dashboard!$A23,'Solid-Results'!R:R,"&lt;="&amp;Dashboard!$B23)</f>
        <v>0</v>
      </c>
      <c r="N23" s="34">
        <f>COUNTIFS('Solid-Results'!S:S,"&gt;="&amp;Dashboard!$A23,'Solid-Results'!S:S,"&lt;="&amp;Dashboard!$B23)</f>
        <v>0</v>
      </c>
      <c r="O23" s="34">
        <f>COUNTIFS('Solid-Results'!T:T,"&gt;="&amp;Dashboard!$A23,'Solid-Results'!T:T,"&lt;="&amp;Dashboard!$B23)</f>
        <v>2</v>
      </c>
      <c r="P23" s="34">
        <f>COUNTIFS('Solid-Results'!U:U,"&gt;="&amp;Dashboard!$A23,'Solid-Results'!U:U,"&lt;="&amp;Dashboard!$B23)</f>
        <v>0</v>
      </c>
      <c r="Q23" s="34">
        <f>COUNTIFS('Solid-Results'!V:V,"&gt;="&amp;Dashboard!$A23,'Solid-Results'!V:V,"&lt;="&amp;Dashboard!$B23)</f>
        <v>0</v>
      </c>
      <c r="R23" s="34">
        <f>COUNTIFS('Solid-Results'!W:W,"&gt;="&amp;Dashboard!$A23,'Solid-Results'!W:W,"&lt;="&amp;Dashboard!$B23)</f>
        <v>0</v>
      </c>
    </row>
    <row r="24" spans="1:18" x14ac:dyDescent="0.2">
      <c r="A24" s="40">
        <f t="shared" ref="A24:A31" si="0">B23+0.01</f>
        <v>20.010000000000002</v>
      </c>
      <c r="B24" s="39">
        <f t="shared" ref="B24:B31" si="1">B23+10</f>
        <v>30</v>
      </c>
      <c r="C24" s="34">
        <f>COUNTIFS('Solid-Results'!H:H,"&gt;="&amp;Dashboard!$A24,'Solid-Results'!H:H,"&lt;="&amp;Dashboard!$B24)</f>
        <v>9</v>
      </c>
      <c r="D24" s="34">
        <f>COUNTIFS('Solid-Results'!I:I,"&gt;="&amp;Dashboard!$A24,'Solid-Results'!I:I,"&lt;="&amp;Dashboard!$B24)</f>
        <v>90</v>
      </c>
      <c r="E24" s="34">
        <f>COUNTIFS('Solid-Results'!J:J,"&gt;="&amp;Dashboard!$A24,'Solid-Results'!J:J,"&lt;="&amp;Dashboard!$B24)</f>
        <v>54</v>
      </c>
      <c r="F24" s="34">
        <f>COUNTIFS('Solid-Results'!K:K,"&gt;="&amp;Dashboard!$A24,'Solid-Results'!K:K,"&lt;="&amp;Dashboard!$B24)</f>
        <v>0</v>
      </c>
      <c r="G24" s="34">
        <f>COUNTIFS('Solid-Results'!L:L,"&gt;="&amp;Dashboard!$A24,'Solid-Results'!L:L,"&lt;="&amp;Dashboard!$B24)</f>
        <v>0</v>
      </c>
      <c r="H24" s="34">
        <f>COUNTIFS('Solid-Results'!M:M,"&gt;="&amp;Dashboard!$A24,'Solid-Results'!M:M,"&lt;="&amp;Dashboard!$B24)</f>
        <v>0</v>
      </c>
      <c r="I24" s="34">
        <f>COUNTIFS('Solid-Results'!N:N,"&gt;="&amp;Dashboard!$A24,'Solid-Results'!N:N,"&lt;="&amp;Dashboard!$B24)</f>
        <v>37</v>
      </c>
      <c r="J24" s="34">
        <f>COUNTIFS('Solid-Results'!O:O,"&gt;="&amp;Dashboard!$A24,'Solid-Results'!O:O,"&lt;="&amp;Dashboard!$B24)</f>
        <v>2</v>
      </c>
      <c r="K24" s="34">
        <f>COUNTIFS('Solid-Results'!P:P,"&gt;="&amp;Dashboard!$A24,'Solid-Results'!P:P,"&lt;="&amp;Dashboard!$B24)</f>
        <v>58</v>
      </c>
      <c r="L24" s="34">
        <f>COUNTIFS('Solid-Results'!Q:Q,"&gt;="&amp;Dashboard!$A24,'Solid-Results'!Q:Q,"&lt;="&amp;Dashboard!$B24)</f>
        <v>0</v>
      </c>
      <c r="M24" s="34">
        <f>COUNTIFS('Solid-Results'!R:R,"&gt;="&amp;Dashboard!$A24,'Solid-Results'!R:R,"&lt;="&amp;Dashboard!$B24)</f>
        <v>0</v>
      </c>
      <c r="N24" s="34">
        <f>COUNTIFS('Solid-Results'!S:S,"&gt;="&amp;Dashboard!$A24,'Solid-Results'!S:S,"&lt;="&amp;Dashboard!$B24)</f>
        <v>6</v>
      </c>
      <c r="O24" s="34">
        <f>COUNTIFS('Solid-Results'!T:T,"&gt;="&amp;Dashboard!$A24,'Solid-Results'!T:T,"&lt;="&amp;Dashboard!$B24)</f>
        <v>13</v>
      </c>
      <c r="P24" s="34">
        <f>COUNTIFS('Solid-Results'!U:U,"&gt;="&amp;Dashboard!$A24,'Solid-Results'!U:U,"&lt;="&amp;Dashboard!$B24)</f>
        <v>6</v>
      </c>
      <c r="Q24" s="34">
        <f>COUNTIFS('Solid-Results'!V:V,"&gt;="&amp;Dashboard!$A24,'Solid-Results'!V:V,"&lt;="&amp;Dashboard!$B24)</f>
        <v>0</v>
      </c>
      <c r="R24" s="34">
        <f>COUNTIFS('Solid-Results'!W:W,"&gt;="&amp;Dashboard!$A24,'Solid-Results'!W:W,"&lt;="&amp;Dashboard!$B24)</f>
        <v>13</v>
      </c>
    </row>
    <row r="25" spans="1:18" x14ac:dyDescent="0.2">
      <c r="A25" s="40">
        <f t="shared" si="0"/>
        <v>30.01</v>
      </c>
      <c r="B25" s="39">
        <f t="shared" si="1"/>
        <v>40</v>
      </c>
      <c r="C25" s="34">
        <f>COUNTIFS('Solid-Results'!H:H,"&gt;="&amp;Dashboard!$A25,'Solid-Results'!H:H,"&lt;="&amp;Dashboard!$B25)</f>
        <v>38</v>
      </c>
      <c r="D25" s="34">
        <f>COUNTIFS('Solid-Results'!I:I,"&gt;="&amp;Dashboard!$A25,'Solid-Results'!I:I,"&lt;="&amp;Dashboard!$B25)</f>
        <v>29</v>
      </c>
      <c r="E25" s="34">
        <f>COUNTIFS('Solid-Results'!J:J,"&gt;="&amp;Dashboard!$A25,'Solid-Results'!J:J,"&lt;="&amp;Dashboard!$B25)</f>
        <v>36</v>
      </c>
      <c r="F25" s="34">
        <f>COUNTIFS('Solid-Results'!K:K,"&gt;="&amp;Dashboard!$A25,'Solid-Results'!K:K,"&lt;="&amp;Dashboard!$B25)</f>
        <v>0</v>
      </c>
      <c r="G25" s="34">
        <f>COUNTIFS('Solid-Results'!L:L,"&gt;="&amp;Dashboard!$A25,'Solid-Results'!L:L,"&lt;="&amp;Dashboard!$B25)</f>
        <v>8</v>
      </c>
      <c r="H25" s="34">
        <f>COUNTIFS('Solid-Results'!M:M,"&gt;="&amp;Dashboard!$A25,'Solid-Results'!M:M,"&lt;="&amp;Dashboard!$B25)</f>
        <v>0</v>
      </c>
      <c r="I25" s="34">
        <f>COUNTIFS('Solid-Results'!N:N,"&gt;="&amp;Dashboard!$A25,'Solid-Results'!N:N,"&lt;="&amp;Dashboard!$B25)</f>
        <v>50</v>
      </c>
      <c r="J25" s="34">
        <f>COUNTIFS('Solid-Results'!O:O,"&gt;="&amp;Dashboard!$A25,'Solid-Results'!O:O,"&lt;="&amp;Dashboard!$B25)</f>
        <v>27</v>
      </c>
      <c r="K25" s="34">
        <f>COUNTIFS('Solid-Results'!P:P,"&gt;="&amp;Dashboard!$A25,'Solid-Results'!P:P,"&lt;="&amp;Dashboard!$B25)</f>
        <v>23</v>
      </c>
      <c r="L25" s="34">
        <f>COUNTIFS('Solid-Results'!Q:Q,"&gt;="&amp;Dashboard!$A25,'Solid-Results'!Q:Q,"&lt;="&amp;Dashboard!$B25)</f>
        <v>0</v>
      </c>
      <c r="M25" s="34">
        <f>COUNTIFS('Solid-Results'!R:R,"&gt;="&amp;Dashboard!$A25,'Solid-Results'!R:R,"&lt;="&amp;Dashboard!$B25)</f>
        <v>0</v>
      </c>
      <c r="N25" s="34">
        <f>COUNTIFS('Solid-Results'!S:S,"&gt;="&amp;Dashboard!$A25,'Solid-Results'!S:S,"&lt;="&amp;Dashboard!$B25)</f>
        <v>21</v>
      </c>
      <c r="O25" s="34">
        <f>COUNTIFS('Solid-Results'!T:T,"&gt;="&amp;Dashboard!$A25,'Solid-Results'!T:T,"&lt;="&amp;Dashboard!$B25)</f>
        <v>16</v>
      </c>
      <c r="P25" s="34">
        <f>COUNTIFS('Solid-Results'!U:U,"&gt;="&amp;Dashboard!$A25,'Solid-Results'!U:U,"&lt;="&amp;Dashboard!$B25)</f>
        <v>12</v>
      </c>
      <c r="Q25" s="34">
        <f>COUNTIFS('Solid-Results'!V:V,"&gt;="&amp;Dashboard!$A25,'Solid-Results'!V:V,"&lt;="&amp;Dashboard!$B25)</f>
        <v>9</v>
      </c>
      <c r="R25" s="34">
        <f>COUNTIFS('Solid-Results'!W:W,"&gt;="&amp;Dashboard!$A25,'Solid-Results'!W:W,"&lt;="&amp;Dashboard!$B25)</f>
        <v>24</v>
      </c>
    </row>
    <row r="26" spans="1:18" x14ac:dyDescent="0.2">
      <c r="A26" s="40">
        <f t="shared" si="0"/>
        <v>40.01</v>
      </c>
      <c r="B26" s="39">
        <f t="shared" si="1"/>
        <v>50</v>
      </c>
      <c r="C26" s="34">
        <f>COUNTIFS('Solid-Results'!H:H,"&gt;="&amp;Dashboard!$A26,'Solid-Results'!H:H,"&lt;="&amp;Dashboard!$B26)</f>
        <v>45</v>
      </c>
      <c r="D26" s="34">
        <f>COUNTIFS('Solid-Results'!I:I,"&gt;="&amp;Dashboard!$A26,'Solid-Results'!I:I,"&lt;="&amp;Dashboard!$B26)</f>
        <v>0</v>
      </c>
      <c r="E26" s="34">
        <f>COUNTIFS('Solid-Results'!J:J,"&gt;="&amp;Dashboard!$A26,'Solid-Results'!J:J,"&lt;="&amp;Dashboard!$B26)</f>
        <v>9</v>
      </c>
      <c r="F26" s="34">
        <f>COUNTIFS('Solid-Results'!K:K,"&gt;="&amp;Dashboard!$A26,'Solid-Results'!K:K,"&lt;="&amp;Dashboard!$B26)</f>
        <v>2</v>
      </c>
      <c r="G26" s="34">
        <f>COUNTIFS('Solid-Results'!L:L,"&gt;="&amp;Dashboard!$A26,'Solid-Results'!L:L,"&lt;="&amp;Dashboard!$B26)</f>
        <v>21</v>
      </c>
      <c r="H26" s="34">
        <f>COUNTIFS('Solid-Results'!M:M,"&gt;="&amp;Dashboard!$A26,'Solid-Results'!M:M,"&lt;="&amp;Dashboard!$B26)</f>
        <v>0</v>
      </c>
      <c r="I26" s="34">
        <f>COUNTIFS('Solid-Results'!N:N,"&gt;="&amp;Dashboard!$A26,'Solid-Results'!N:N,"&lt;="&amp;Dashboard!$B26)</f>
        <v>13</v>
      </c>
      <c r="J26" s="34">
        <f>COUNTIFS('Solid-Results'!O:O,"&gt;="&amp;Dashboard!$A26,'Solid-Results'!O:O,"&lt;="&amp;Dashboard!$B26)</f>
        <v>72</v>
      </c>
      <c r="K26" s="34">
        <f>COUNTIFS('Solid-Results'!P:P,"&gt;="&amp;Dashboard!$A26,'Solid-Results'!P:P,"&lt;="&amp;Dashboard!$B26)</f>
        <v>3</v>
      </c>
      <c r="L26" s="34">
        <f>COUNTIFS('Solid-Results'!Q:Q,"&gt;="&amp;Dashboard!$A26,'Solid-Results'!Q:Q,"&lt;="&amp;Dashboard!$B26)</f>
        <v>1</v>
      </c>
      <c r="M26" s="34">
        <f>COUNTIFS('Solid-Results'!R:R,"&gt;="&amp;Dashboard!$A26,'Solid-Results'!R:R,"&lt;="&amp;Dashboard!$B26)</f>
        <v>1</v>
      </c>
      <c r="N26" s="34">
        <f>COUNTIFS('Solid-Results'!S:S,"&gt;="&amp;Dashboard!$A26,'Solid-Results'!S:S,"&lt;="&amp;Dashboard!$B26)</f>
        <v>30</v>
      </c>
      <c r="O26" s="34">
        <f>COUNTIFS('Solid-Results'!T:T,"&gt;="&amp;Dashboard!$A26,'Solid-Results'!T:T,"&lt;="&amp;Dashboard!$B26)</f>
        <v>31</v>
      </c>
      <c r="P26" s="34">
        <f>COUNTIFS('Solid-Results'!U:U,"&gt;="&amp;Dashboard!$A26,'Solid-Results'!U:U,"&lt;="&amp;Dashboard!$B26)</f>
        <v>24</v>
      </c>
      <c r="Q26" s="34">
        <f>COUNTIFS('Solid-Results'!V:V,"&gt;="&amp;Dashboard!$A26,'Solid-Results'!V:V,"&lt;="&amp;Dashboard!$B26)</f>
        <v>31</v>
      </c>
      <c r="R26" s="34">
        <f>COUNTIFS('Solid-Results'!W:W,"&gt;="&amp;Dashboard!$A26,'Solid-Results'!W:W,"&lt;="&amp;Dashboard!$B26)</f>
        <v>42</v>
      </c>
    </row>
    <row r="27" spans="1:18" x14ac:dyDescent="0.2">
      <c r="A27" s="40">
        <f t="shared" si="0"/>
        <v>50.01</v>
      </c>
      <c r="B27" s="39">
        <f t="shared" si="1"/>
        <v>60</v>
      </c>
      <c r="C27" s="34">
        <f>COUNTIFS('Solid-Results'!H:H,"&gt;="&amp;Dashboard!$A27,'Solid-Results'!H:H,"&lt;="&amp;Dashboard!$B27)</f>
        <v>19</v>
      </c>
      <c r="D27" s="34">
        <f>COUNTIFS('Solid-Results'!I:I,"&gt;="&amp;Dashboard!$A27,'Solid-Results'!I:I,"&lt;="&amp;Dashboard!$B27)</f>
        <v>0</v>
      </c>
      <c r="E27" s="34">
        <f>COUNTIFS('Solid-Results'!J:J,"&gt;="&amp;Dashboard!$A27,'Solid-Results'!J:J,"&lt;="&amp;Dashboard!$B27)</f>
        <v>2</v>
      </c>
      <c r="F27" s="34">
        <f>COUNTIFS('Solid-Results'!K:K,"&gt;="&amp;Dashboard!$A27,'Solid-Results'!K:K,"&lt;="&amp;Dashboard!$B27)</f>
        <v>9</v>
      </c>
      <c r="G27" s="34">
        <f>COUNTIFS('Solid-Results'!L:L,"&gt;="&amp;Dashboard!$A27,'Solid-Results'!L:L,"&lt;="&amp;Dashboard!$B27)</f>
        <v>45</v>
      </c>
      <c r="H27" s="34">
        <f>COUNTIFS('Solid-Results'!M:M,"&gt;="&amp;Dashboard!$A27,'Solid-Results'!M:M,"&lt;="&amp;Dashboard!$B27)</f>
        <v>0</v>
      </c>
      <c r="I27" s="34">
        <f>COUNTIFS('Solid-Results'!N:N,"&gt;="&amp;Dashboard!$A27,'Solid-Results'!N:N,"&lt;="&amp;Dashboard!$B27)</f>
        <v>4</v>
      </c>
      <c r="J27" s="34">
        <f>COUNTIFS('Solid-Results'!O:O,"&gt;="&amp;Dashboard!$A27,'Solid-Results'!O:O,"&lt;="&amp;Dashboard!$B27)</f>
        <v>17</v>
      </c>
      <c r="K27" s="34">
        <f>COUNTIFS('Solid-Results'!P:P,"&gt;="&amp;Dashboard!$A27,'Solid-Results'!P:P,"&lt;="&amp;Dashboard!$B27)</f>
        <v>0</v>
      </c>
      <c r="L27" s="34">
        <f>COUNTIFS('Solid-Results'!Q:Q,"&gt;="&amp;Dashboard!$A27,'Solid-Results'!Q:Q,"&lt;="&amp;Dashboard!$B27)</f>
        <v>17</v>
      </c>
      <c r="M27" s="34">
        <f>COUNTIFS('Solid-Results'!R:R,"&gt;="&amp;Dashboard!$A27,'Solid-Results'!R:R,"&lt;="&amp;Dashboard!$B27)</f>
        <v>5</v>
      </c>
      <c r="N27" s="34">
        <f>COUNTIFS('Solid-Results'!S:S,"&gt;="&amp;Dashboard!$A27,'Solid-Results'!S:S,"&lt;="&amp;Dashboard!$B27)</f>
        <v>32</v>
      </c>
      <c r="O27" s="34">
        <f>COUNTIFS('Solid-Results'!T:T,"&gt;="&amp;Dashboard!$A27,'Solid-Results'!T:T,"&lt;="&amp;Dashboard!$B27)</f>
        <v>30</v>
      </c>
      <c r="P27" s="34">
        <f>COUNTIFS('Solid-Results'!U:U,"&gt;="&amp;Dashboard!$A27,'Solid-Results'!U:U,"&lt;="&amp;Dashboard!$B27)</f>
        <v>35</v>
      </c>
      <c r="Q27" s="34">
        <f>COUNTIFS('Solid-Results'!V:V,"&gt;="&amp;Dashboard!$A27,'Solid-Results'!V:V,"&lt;="&amp;Dashboard!$B27)</f>
        <v>43</v>
      </c>
      <c r="R27" s="34">
        <f>COUNTIFS('Solid-Results'!W:W,"&gt;="&amp;Dashboard!$A27,'Solid-Results'!W:W,"&lt;="&amp;Dashboard!$B27)</f>
        <v>31</v>
      </c>
    </row>
    <row r="28" spans="1:18" x14ac:dyDescent="0.2">
      <c r="A28" s="40">
        <f t="shared" si="0"/>
        <v>60.01</v>
      </c>
      <c r="B28" s="39">
        <f t="shared" si="1"/>
        <v>70</v>
      </c>
      <c r="C28" s="34">
        <f>COUNTIFS('Solid-Results'!H:H,"&gt;="&amp;Dashboard!$A28,'Solid-Results'!H:H,"&lt;="&amp;Dashboard!$B28)</f>
        <v>8</v>
      </c>
      <c r="D28" s="34">
        <f>COUNTIFS('Solid-Results'!I:I,"&gt;="&amp;Dashboard!$A28,'Solid-Results'!I:I,"&lt;="&amp;Dashboard!$B28)</f>
        <v>0</v>
      </c>
      <c r="E28" s="34">
        <f>COUNTIFS('Solid-Results'!J:J,"&gt;="&amp;Dashboard!$A28,'Solid-Results'!J:J,"&lt;="&amp;Dashboard!$B28)</f>
        <v>0</v>
      </c>
      <c r="F28" s="34">
        <f>COUNTIFS('Solid-Results'!K:K,"&gt;="&amp;Dashboard!$A28,'Solid-Results'!K:K,"&lt;="&amp;Dashboard!$B28)</f>
        <v>36</v>
      </c>
      <c r="G28" s="34">
        <f>COUNTIFS('Solid-Results'!L:L,"&gt;="&amp;Dashboard!$A28,'Solid-Results'!L:L,"&lt;="&amp;Dashboard!$B28)</f>
        <v>36</v>
      </c>
      <c r="H28" s="34">
        <f>COUNTIFS('Solid-Results'!M:M,"&gt;="&amp;Dashboard!$A28,'Solid-Results'!M:M,"&lt;="&amp;Dashboard!$B28)</f>
        <v>30</v>
      </c>
      <c r="I28" s="34">
        <f>COUNTIFS('Solid-Results'!N:N,"&gt;="&amp;Dashboard!$A28,'Solid-Results'!N:N,"&lt;="&amp;Dashboard!$B28)</f>
        <v>1</v>
      </c>
      <c r="J28" s="34">
        <f>COUNTIFS('Solid-Results'!O:O,"&gt;="&amp;Dashboard!$A28,'Solid-Results'!O:O,"&lt;="&amp;Dashboard!$B28)</f>
        <v>0</v>
      </c>
      <c r="K28" s="34">
        <f>COUNTIFS('Solid-Results'!P:P,"&gt;="&amp;Dashboard!$A28,'Solid-Results'!P:P,"&lt;="&amp;Dashboard!$B28)</f>
        <v>0</v>
      </c>
      <c r="L28" s="34">
        <f>COUNTIFS('Solid-Results'!Q:Q,"&gt;="&amp;Dashboard!$A28,'Solid-Results'!Q:Q,"&lt;="&amp;Dashboard!$B28)</f>
        <v>52</v>
      </c>
      <c r="M28" s="34">
        <f>COUNTIFS('Solid-Results'!R:R,"&gt;="&amp;Dashboard!$A28,'Solid-Results'!R:R,"&lt;="&amp;Dashboard!$B28)</f>
        <v>27</v>
      </c>
      <c r="N28" s="34">
        <f>COUNTIFS('Solid-Results'!S:S,"&gt;="&amp;Dashboard!$A28,'Solid-Results'!S:S,"&lt;="&amp;Dashboard!$B28)</f>
        <v>16</v>
      </c>
      <c r="O28" s="34">
        <f>COUNTIFS('Solid-Results'!T:T,"&gt;="&amp;Dashboard!$A28,'Solid-Results'!T:T,"&lt;="&amp;Dashboard!$B28)</f>
        <v>21</v>
      </c>
      <c r="P28" s="34">
        <f>COUNTIFS('Solid-Results'!U:U,"&gt;="&amp;Dashboard!$A28,'Solid-Results'!U:U,"&lt;="&amp;Dashboard!$B28)</f>
        <v>26</v>
      </c>
      <c r="Q28" s="34">
        <f>COUNTIFS('Solid-Results'!V:V,"&gt;="&amp;Dashboard!$A28,'Solid-Results'!V:V,"&lt;="&amp;Dashboard!$B28)</f>
        <v>23</v>
      </c>
      <c r="R28" s="34">
        <f>COUNTIFS('Solid-Results'!W:W,"&gt;="&amp;Dashboard!$A28,'Solid-Results'!W:W,"&lt;="&amp;Dashboard!$B28)</f>
        <v>9</v>
      </c>
    </row>
    <row r="29" spans="1:18" x14ac:dyDescent="0.2">
      <c r="A29" s="40">
        <f t="shared" si="0"/>
        <v>70.010000000000005</v>
      </c>
      <c r="B29" s="39">
        <f t="shared" si="1"/>
        <v>80</v>
      </c>
      <c r="C29" s="34">
        <f>COUNTIFS('Solid-Results'!H:H,"&gt;="&amp;Dashboard!$A29,'Solid-Results'!H:H,"&lt;="&amp;Dashboard!$B29)</f>
        <v>0</v>
      </c>
      <c r="D29" s="34">
        <f>COUNTIFS('Solid-Results'!I:I,"&gt;="&amp;Dashboard!$A29,'Solid-Results'!I:I,"&lt;="&amp;Dashboard!$B29)</f>
        <v>0</v>
      </c>
      <c r="E29" s="34">
        <f>COUNTIFS('Solid-Results'!J:J,"&gt;="&amp;Dashboard!$A29,'Solid-Results'!J:J,"&lt;="&amp;Dashboard!$B29)</f>
        <v>0</v>
      </c>
      <c r="F29" s="34">
        <f>COUNTIFS('Solid-Results'!K:K,"&gt;="&amp;Dashboard!$A29,'Solid-Results'!K:K,"&lt;="&amp;Dashboard!$B29)</f>
        <v>54</v>
      </c>
      <c r="G29" s="34">
        <f>COUNTIFS('Solid-Results'!L:L,"&gt;="&amp;Dashboard!$A29,'Solid-Results'!L:L,"&lt;="&amp;Dashboard!$B29)</f>
        <v>9</v>
      </c>
      <c r="H29" s="34">
        <f>COUNTIFS('Solid-Results'!M:M,"&gt;="&amp;Dashboard!$A29,'Solid-Results'!M:M,"&lt;="&amp;Dashboard!$B29)</f>
        <v>89</v>
      </c>
      <c r="I29" s="34">
        <f>COUNTIFS('Solid-Results'!N:N,"&gt;="&amp;Dashboard!$A29,'Solid-Results'!N:N,"&lt;="&amp;Dashboard!$B29)</f>
        <v>0</v>
      </c>
      <c r="J29" s="34">
        <f>COUNTIFS('Solid-Results'!O:O,"&gt;="&amp;Dashboard!$A29,'Solid-Results'!O:O,"&lt;="&amp;Dashboard!$B29)</f>
        <v>0</v>
      </c>
      <c r="K29" s="34">
        <f>COUNTIFS('Solid-Results'!P:P,"&gt;="&amp;Dashboard!$A29,'Solid-Results'!P:P,"&lt;="&amp;Dashboard!$B29)</f>
        <v>0</v>
      </c>
      <c r="L29" s="34">
        <f>COUNTIFS('Solid-Results'!Q:Q,"&gt;="&amp;Dashboard!$A29,'Solid-Results'!Q:Q,"&lt;="&amp;Dashboard!$B29)</f>
        <v>35</v>
      </c>
      <c r="M29" s="34">
        <f>COUNTIFS('Solid-Results'!R:R,"&gt;="&amp;Dashboard!$A29,'Solid-Results'!R:R,"&lt;="&amp;Dashboard!$B29)</f>
        <v>46</v>
      </c>
      <c r="N29" s="34">
        <f>COUNTIFS('Solid-Results'!S:S,"&gt;="&amp;Dashboard!$A29,'Solid-Results'!S:S,"&lt;="&amp;Dashboard!$B29)</f>
        <v>12</v>
      </c>
      <c r="O29" s="34">
        <f>COUNTIFS('Solid-Results'!T:T,"&gt;="&amp;Dashboard!$A29,'Solid-Results'!T:T,"&lt;="&amp;Dashboard!$B29)</f>
        <v>6</v>
      </c>
      <c r="P29" s="34">
        <f>COUNTIFS('Solid-Results'!U:U,"&gt;="&amp;Dashboard!$A29,'Solid-Results'!U:U,"&lt;="&amp;Dashboard!$B29)</f>
        <v>15</v>
      </c>
      <c r="Q29" s="34">
        <f>COUNTIFS('Solid-Results'!V:V,"&gt;="&amp;Dashboard!$A29,'Solid-Results'!V:V,"&lt;="&amp;Dashboard!$B29)</f>
        <v>13</v>
      </c>
      <c r="R29" s="34">
        <f>COUNTIFS('Solid-Results'!W:W,"&gt;="&amp;Dashboard!$A29,'Solid-Results'!W:W,"&lt;="&amp;Dashboard!$B29)</f>
        <v>0</v>
      </c>
    </row>
    <row r="30" spans="1:18" x14ac:dyDescent="0.2">
      <c r="A30" s="40">
        <f t="shared" si="0"/>
        <v>80.010000000000005</v>
      </c>
      <c r="B30" s="39">
        <f t="shared" si="1"/>
        <v>90</v>
      </c>
      <c r="C30" s="34">
        <f>COUNTIFS('Solid-Results'!H:H,"&gt;="&amp;Dashboard!$A30,'Solid-Results'!H:H,"&lt;="&amp;Dashboard!$B30)</f>
        <v>0</v>
      </c>
      <c r="D30" s="34">
        <f>COUNTIFS('Solid-Results'!I:I,"&gt;="&amp;Dashboard!$A30,'Solid-Results'!I:I,"&lt;="&amp;Dashboard!$B30)</f>
        <v>0</v>
      </c>
      <c r="E30" s="34">
        <f>COUNTIFS('Solid-Results'!J:J,"&gt;="&amp;Dashboard!$A30,'Solid-Results'!J:J,"&lt;="&amp;Dashboard!$B30)</f>
        <v>0</v>
      </c>
      <c r="F30" s="34">
        <f>COUNTIFS('Solid-Results'!K:K,"&gt;="&amp;Dashboard!$A30,'Solid-Results'!K:K,"&lt;="&amp;Dashboard!$B30)</f>
        <v>17</v>
      </c>
      <c r="G30" s="34">
        <f>COUNTIFS('Solid-Results'!L:L,"&gt;="&amp;Dashboard!$A30,'Solid-Results'!L:L,"&lt;="&amp;Dashboard!$B30)</f>
        <v>0</v>
      </c>
      <c r="H30" s="34">
        <f>COUNTIFS('Solid-Results'!M:M,"&gt;="&amp;Dashboard!$A30,'Solid-Results'!M:M,"&lt;="&amp;Dashboard!$B30)</f>
        <v>0</v>
      </c>
      <c r="I30" s="34">
        <f>COUNTIFS('Solid-Results'!N:N,"&gt;="&amp;Dashboard!$A30,'Solid-Results'!N:N,"&lt;="&amp;Dashboard!$B30)</f>
        <v>0</v>
      </c>
      <c r="J30" s="34">
        <f>COUNTIFS('Solid-Results'!O:O,"&gt;="&amp;Dashboard!$A30,'Solid-Results'!O:O,"&lt;="&amp;Dashboard!$B30)</f>
        <v>0</v>
      </c>
      <c r="K30" s="34">
        <f>COUNTIFS('Solid-Results'!P:P,"&gt;="&amp;Dashboard!$A30,'Solid-Results'!P:P,"&lt;="&amp;Dashboard!$B30)</f>
        <v>0</v>
      </c>
      <c r="L30" s="34">
        <f>COUNTIFS('Solid-Results'!Q:Q,"&gt;="&amp;Dashboard!$A30,'Solid-Results'!Q:Q,"&lt;="&amp;Dashboard!$B30)</f>
        <v>13</v>
      </c>
      <c r="M30" s="34">
        <f>COUNTIFS('Solid-Results'!R:R,"&gt;="&amp;Dashboard!$A30,'Solid-Results'!R:R,"&lt;="&amp;Dashboard!$B30)</f>
        <v>30</v>
      </c>
      <c r="N30" s="34">
        <f>COUNTIFS('Solid-Results'!S:S,"&gt;="&amp;Dashboard!$A30,'Solid-Results'!S:S,"&lt;="&amp;Dashboard!$B30)</f>
        <v>2</v>
      </c>
      <c r="O30" s="34">
        <f>COUNTIFS('Solid-Results'!T:T,"&gt;="&amp;Dashboard!$A30,'Solid-Results'!T:T,"&lt;="&amp;Dashboard!$B30)</f>
        <v>0</v>
      </c>
      <c r="P30" s="34">
        <f>COUNTIFS('Solid-Results'!U:U,"&gt;="&amp;Dashboard!$A30,'Solid-Results'!U:U,"&lt;="&amp;Dashboard!$B30)</f>
        <v>1</v>
      </c>
      <c r="Q30" s="34">
        <f>COUNTIFS('Solid-Results'!V:V,"&gt;="&amp;Dashboard!$A30,'Solid-Results'!V:V,"&lt;="&amp;Dashboard!$B30)</f>
        <v>0</v>
      </c>
      <c r="R30" s="34">
        <f>COUNTIFS('Solid-Results'!W:W,"&gt;="&amp;Dashboard!$A30,'Solid-Results'!W:W,"&lt;="&amp;Dashboard!$B30)</f>
        <v>0</v>
      </c>
    </row>
    <row r="31" spans="1:18" x14ac:dyDescent="0.2">
      <c r="A31" s="40">
        <f t="shared" si="0"/>
        <v>90.01</v>
      </c>
      <c r="B31" s="39">
        <f t="shared" si="1"/>
        <v>100</v>
      </c>
      <c r="C31" s="34">
        <f>COUNTIFS('Solid-Results'!H:H,"&gt;="&amp;Dashboard!$A31,'Solid-Results'!H:H,"&lt;="&amp;Dashboard!$B31)</f>
        <v>0</v>
      </c>
      <c r="D31" s="34">
        <f>COUNTIFS('Solid-Results'!I:I,"&gt;="&amp;Dashboard!$A31,'Solid-Results'!I:I,"&lt;="&amp;Dashboard!$B31)</f>
        <v>0</v>
      </c>
      <c r="E31" s="34">
        <f>COUNTIFS('Solid-Results'!J:J,"&gt;="&amp;Dashboard!$A31,'Solid-Results'!J:J,"&lt;="&amp;Dashboard!$B31)</f>
        <v>0</v>
      </c>
      <c r="F31" s="34">
        <f>COUNTIFS('Solid-Results'!K:K,"&gt;="&amp;Dashboard!$A31,'Solid-Results'!K:K,"&lt;="&amp;Dashboard!$B31)</f>
        <v>1</v>
      </c>
      <c r="G31" s="34">
        <f>COUNTIFS('Solid-Results'!L:L,"&gt;="&amp;Dashboard!$A31,'Solid-Results'!L:L,"&lt;="&amp;Dashboard!$B31)</f>
        <v>0</v>
      </c>
      <c r="H31" s="34">
        <f>COUNTIFS('Solid-Results'!M:M,"&gt;="&amp;Dashboard!$A31,'Solid-Results'!M:M,"&lt;="&amp;Dashboard!$B31)</f>
        <v>0</v>
      </c>
      <c r="I31" s="34">
        <f>COUNTIFS('Solid-Results'!N:N,"&gt;="&amp;Dashboard!$A31,'Solid-Results'!N:N,"&lt;="&amp;Dashboard!$B31)</f>
        <v>0</v>
      </c>
      <c r="J31" s="34">
        <f>COUNTIFS('Solid-Results'!O:O,"&gt;="&amp;Dashboard!$A31,'Solid-Results'!O:O,"&lt;="&amp;Dashboard!$B31)</f>
        <v>0</v>
      </c>
      <c r="K31" s="34">
        <f>COUNTIFS('Solid-Results'!P:P,"&gt;="&amp;Dashboard!$A31,'Solid-Results'!P:P,"&lt;="&amp;Dashboard!$B31)</f>
        <v>0</v>
      </c>
      <c r="L31" s="34">
        <f>COUNTIFS('Solid-Results'!Q:Q,"&gt;="&amp;Dashboard!$A31,'Solid-Results'!Q:Q,"&lt;="&amp;Dashboard!$B31)</f>
        <v>0</v>
      </c>
      <c r="M31" s="34">
        <f>COUNTIFS('Solid-Results'!R:R,"&gt;="&amp;Dashboard!$A31,'Solid-Results'!R:R,"&lt;="&amp;Dashboard!$B31)</f>
        <v>10</v>
      </c>
      <c r="N31" s="34">
        <f>COUNTIFS('Solid-Results'!S:S,"&gt;="&amp;Dashboard!$A31,'Solid-Results'!S:S,"&lt;="&amp;Dashboard!$B31)</f>
        <v>0</v>
      </c>
      <c r="O31" s="34">
        <f>COUNTIFS('Solid-Results'!T:T,"&gt;="&amp;Dashboard!$A31,'Solid-Results'!T:T,"&lt;="&amp;Dashboard!$B31)</f>
        <v>0</v>
      </c>
      <c r="P31" s="34">
        <f>COUNTIFS('Solid-Results'!U:U,"&gt;="&amp;Dashboard!$A31,'Solid-Results'!U:U,"&lt;="&amp;Dashboard!$B31)</f>
        <v>0</v>
      </c>
      <c r="Q31" s="34">
        <f>COUNTIFS('Solid-Results'!V:V,"&gt;="&amp;Dashboard!$A31,'Solid-Results'!V:V,"&lt;="&amp;Dashboard!$B31)</f>
        <v>0</v>
      </c>
      <c r="R31" s="34">
        <f>COUNTIFS('Solid-Results'!W:W,"&gt;="&amp;Dashboard!$A31,'Solid-Results'!W:W,"&lt;="&amp;Dashboard!$B31)</f>
        <v>0</v>
      </c>
    </row>
    <row r="33" spans="1:18" x14ac:dyDescent="0.2">
      <c r="A33" s="41" t="s">
        <v>2225</v>
      </c>
    </row>
    <row r="34" spans="1:18" x14ac:dyDescent="0.2">
      <c r="A34" s="37" t="s">
        <v>2221</v>
      </c>
      <c r="B34" s="33" t="s">
        <v>2222</v>
      </c>
      <c r="C34" s="37" t="s">
        <v>439</v>
      </c>
      <c r="D34" s="37" t="s">
        <v>4</v>
      </c>
      <c r="E34" s="37" t="s">
        <v>440</v>
      </c>
      <c r="F34" s="37" t="s">
        <v>5</v>
      </c>
      <c r="G34" s="37" t="s">
        <v>6</v>
      </c>
      <c r="H34" s="37" t="s">
        <v>441</v>
      </c>
      <c r="I34" s="37" t="s">
        <v>7</v>
      </c>
      <c r="J34" s="37" t="s">
        <v>8</v>
      </c>
      <c r="K34" s="37" t="s">
        <v>9</v>
      </c>
      <c r="L34" s="37" t="s">
        <v>10</v>
      </c>
      <c r="M34" s="37" t="s">
        <v>11</v>
      </c>
      <c r="N34" s="37" t="s">
        <v>12</v>
      </c>
      <c r="O34" s="37" t="s">
        <v>13</v>
      </c>
      <c r="P34" s="37" t="s">
        <v>14</v>
      </c>
      <c r="Q34" s="37" t="s">
        <v>15</v>
      </c>
      <c r="R34" s="37" t="s">
        <v>16</v>
      </c>
    </row>
    <row r="35" spans="1:18" x14ac:dyDescent="0.2">
      <c r="A35" s="38">
        <v>0</v>
      </c>
      <c r="B35" s="39">
        <v>10</v>
      </c>
      <c r="C35" s="34">
        <f>COUNTIFS('Solid-Results'!H:H,"&gt;="&amp;Dashboard!$A35,'Solid-Results'!H:H,"&lt;="&amp;Dashboard!$B35,'Solid-Results'!AB:AB,"Green")</f>
        <v>0</v>
      </c>
      <c r="D35" s="34">
        <f>COUNTIFS('Solid-Results'!I:I,"&gt;="&amp;Dashboard!$A35,'Solid-Results'!I:I,"&lt;="&amp;Dashboard!$B35,'Solid-Results'!AC:AC,"Green")</f>
        <v>0</v>
      </c>
      <c r="E35" s="34">
        <f>COUNTIFS('Solid-Results'!J:J,"&gt;="&amp;Dashboard!$A35,'Solid-Results'!J:J,"&lt;="&amp;Dashboard!$B35,'Solid-Results'!AD:AD,"Green")</f>
        <v>0</v>
      </c>
      <c r="F35" s="34">
        <f>COUNTIFS('Solid-Results'!K:K,"&gt;="&amp;Dashboard!$A35,'Solid-Results'!K:K,"&lt;="&amp;Dashboard!$B35,'Solid-Results'!AE:AE,"Green")</f>
        <v>0</v>
      </c>
      <c r="G35" s="34">
        <f>COUNTIFS('Solid-Results'!L:L,"&gt;="&amp;Dashboard!$A35,'Solid-Results'!L:L,"&lt;="&amp;Dashboard!$B35,'Solid-Results'!AF:AF,"Green")</f>
        <v>0</v>
      </c>
      <c r="H35" s="34">
        <f>COUNTIFS('Solid-Results'!M:M,"&gt;="&amp;Dashboard!$A35,'Solid-Results'!M:M,"&lt;="&amp;Dashboard!$B35,'Solid-Results'!AG:AG,"Green")</f>
        <v>0</v>
      </c>
      <c r="I35" s="34">
        <f>COUNTIFS('Solid-Results'!N:N,"&gt;="&amp;Dashboard!$A35,'Solid-Results'!N:N,"&lt;="&amp;Dashboard!$B35,'Solid-Results'!AH:AH,"Green")</f>
        <v>0</v>
      </c>
      <c r="J35" s="34">
        <f>COUNTIFS('Solid-Results'!O:O,"&gt;="&amp;Dashboard!$A35,'Solid-Results'!O:O,"&lt;="&amp;Dashboard!$B35,'Solid-Results'!AI:AI,"Green")</f>
        <v>0</v>
      </c>
      <c r="K35" s="34">
        <f>COUNTIFS('Solid-Results'!P:P,"&gt;="&amp;Dashboard!$A35,'Solid-Results'!P:P,"&lt;="&amp;Dashboard!$B35,'Solid-Results'!AJ:AJ,"Green")</f>
        <v>0</v>
      </c>
      <c r="L35" s="34">
        <f>COUNTIFS('Solid-Results'!Q:Q,"&gt;="&amp;Dashboard!$A35,'Solid-Results'!Q:Q,"&lt;="&amp;Dashboard!$B35,'Solid-Results'!AK:AK,"Green")</f>
        <v>0</v>
      </c>
      <c r="M35" s="34">
        <f>COUNTIFS('Solid-Results'!R:R,"&gt;="&amp;Dashboard!$A35,'Solid-Results'!R:R,"&lt;="&amp;Dashboard!$B35,'Solid-Results'!AL:AL,"Green")</f>
        <v>0</v>
      </c>
      <c r="N35" s="34">
        <f>COUNTIFS('Solid-Results'!S:S,"&gt;="&amp;Dashboard!$A35,'Solid-Results'!S:S,"&lt;="&amp;Dashboard!$B35,'Solid-Results'!AM:AM,"Green")</f>
        <v>0</v>
      </c>
      <c r="O35" s="34">
        <f>COUNTIFS('Solid-Results'!T:T,"&gt;="&amp;Dashboard!$A35,'Solid-Results'!T:T,"&lt;="&amp;Dashboard!$B35,'Solid-Results'!AN:AN,"Green")</f>
        <v>0</v>
      </c>
      <c r="P35" s="34">
        <f>COUNTIFS('Solid-Results'!U:U,"&gt;="&amp;Dashboard!$A35,'Solid-Results'!U:U,"&lt;="&amp;Dashboard!$B35,'Solid-Results'!AO:AO,"Green")</f>
        <v>0</v>
      </c>
      <c r="Q35" s="34">
        <f>COUNTIFS('Solid-Results'!V:V,"&gt;="&amp;Dashboard!$A35,'Solid-Results'!V:V,"&lt;="&amp;Dashboard!$B35,'Solid-Results'!AP:AP,"Green")</f>
        <v>0</v>
      </c>
      <c r="R35" s="34">
        <f>COUNTIFS('Solid-Results'!W:W,"&gt;="&amp;Dashboard!$A35,'Solid-Results'!W:W,"&lt;="&amp;Dashboard!$B35,'Solid-Results'!AQ:AQ,"Green")</f>
        <v>0</v>
      </c>
    </row>
    <row r="36" spans="1:18" x14ac:dyDescent="0.2">
      <c r="A36" s="40">
        <f>B35+0.01</f>
        <v>10.01</v>
      </c>
      <c r="B36" s="39">
        <f>B35+10</f>
        <v>20</v>
      </c>
      <c r="C36" s="34">
        <f>COUNTIFS('Solid-Results'!H:H,"&gt;="&amp;Dashboard!$A36,'Solid-Results'!H:H,"&lt;="&amp;Dashboard!$B36,'Solid-Results'!AB:AB,"Green")</f>
        <v>0</v>
      </c>
      <c r="D36" s="34">
        <f>COUNTIFS('Solid-Results'!I:I,"&gt;="&amp;Dashboard!$A36,'Solid-Results'!I:I,"&lt;="&amp;Dashboard!$B36,'Solid-Results'!AC:AC,"Green")</f>
        <v>0</v>
      </c>
      <c r="E36" s="34">
        <f>COUNTIFS('Solid-Results'!J:J,"&gt;="&amp;Dashboard!$A36,'Solid-Results'!J:J,"&lt;="&amp;Dashboard!$B36,'Solid-Results'!AD:AD,"Green")</f>
        <v>5</v>
      </c>
      <c r="F36" s="34">
        <f>COUNTIFS('Solid-Results'!K:K,"&gt;="&amp;Dashboard!$A36,'Solid-Results'!K:K,"&lt;="&amp;Dashboard!$B36,'Solid-Results'!AE:AE,"Green")</f>
        <v>0</v>
      </c>
      <c r="G36" s="34">
        <f>COUNTIFS('Solid-Results'!L:L,"&gt;="&amp;Dashboard!$A36,'Solid-Results'!L:L,"&lt;="&amp;Dashboard!$B36,'Solid-Results'!AF:AF,"Green")</f>
        <v>0</v>
      </c>
      <c r="H36" s="34">
        <f>COUNTIFS('Solid-Results'!M:M,"&gt;="&amp;Dashboard!$A36,'Solid-Results'!M:M,"&lt;="&amp;Dashboard!$B36,'Solid-Results'!AG:AG,"Green")</f>
        <v>0</v>
      </c>
      <c r="I36" s="34">
        <f>COUNTIFS('Solid-Results'!N:N,"&gt;="&amp;Dashboard!$A36,'Solid-Results'!N:N,"&lt;="&amp;Dashboard!$B36,'Solid-Results'!AH:AH,"Green")</f>
        <v>3</v>
      </c>
      <c r="J36" s="34">
        <f>COUNTIFS('Solid-Results'!O:O,"&gt;="&amp;Dashboard!$A36,'Solid-Results'!O:O,"&lt;="&amp;Dashboard!$B36,'Solid-Results'!AI:AI,"Green")</f>
        <v>0</v>
      </c>
      <c r="K36" s="34">
        <f>COUNTIFS('Solid-Results'!P:P,"&gt;="&amp;Dashboard!$A36,'Solid-Results'!P:P,"&lt;="&amp;Dashboard!$B36,'Solid-Results'!AJ:AJ,"Green")</f>
        <v>6</v>
      </c>
      <c r="L36" s="34">
        <f>COUNTIFS('Solid-Results'!Q:Q,"&gt;="&amp;Dashboard!$A36,'Solid-Results'!Q:Q,"&lt;="&amp;Dashboard!$B36,'Solid-Results'!AK:AK,"Green")</f>
        <v>0</v>
      </c>
      <c r="M36" s="34">
        <f>COUNTIFS('Solid-Results'!R:R,"&gt;="&amp;Dashboard!$A36,'Solid-Results'!R:R,"&lt;="&amp;Dashboard!$B36,'Solid-Results'!AL:AL,"Green")</f>
        <v>0</v>
      </c>
      <c r="N36" s="34">
        <f>COUNTIFS('Solid-Results'!S:S,"&gt;="&amp;Dashboard!$A36,'Solid-Results'!S:S,"&lt;="&amp;Dashboard!$B36,'Solid-Results'!AM:AM,"Green")</f>
        <v>0</v>
      </c>
      <c r="O36" s="34">
        <f>COUNTIFS('Solid-Results'!T:T,"&gt;="&amp;Dashboard!$A36,'Solid-Results'!T:T,"&lt;="&amp;Dashboard!$B36,'Solid-Results'!AN:AN,"Green")</f>
        <v>0</v>
      </c>
      <c r="P36" s="34">
        <f>COUNTIFS('Solid-Results'!U:U,"&gt;="&amp;Dashboard!$A36,'Solid-Results'!U:U,"&lt;="&amp;Dashboard!$B36,'Solid-Results'!AO:AO,"Green")</f>
        <v>0</v>
      </c>
      <c r="Q36" s="34">
        <f>COUNTIFS('Solid-Results'!V:V,"&gt;="&amp;Dashboard!$A36,'Solid-Results'!V:V,"&lt;="&amp;Dashboard!$B36,'Solid-Results'!AP:AP,"Green")</f>
        <v>0</v>
      </c>
      <c r="R36" s="34">
        <f>COUNTIFS('Solid-Results'!W:W,"&gt;="&amp;Dashboard!$A36,'Solid-Results'!W:W,"&lt;="&amp;Dashboard!$B36,'Solid-Results'!AQ:AQ,"Green")</f>
        <v>0</v>
      </c>
    </row>
    <row r="37" spans="1:18" x14ac:dyDescent="0.2">
      <c r="A37" s="40">
        <f t="shared" ref="A37:A44" si="2">B36+0.01</f>
        <v>20.010000000000002</v>
      </c>
      <c r="B37" s="39">
        <f t="shared" ref="B37:B44" si="3">B36+10</f>
        <v>30</v>
      </c>
      <c r="C37" s="34">
        <f>COUNTIFS('Solid-Results'!H:H,"&gt;="&amp;Dashboard!$A37,'Solid-Results'!H:H,"&lt;="&amp;Dashboard!$B37,'Solid-Results'!AB:AB,"Green")</f>
        <v>0</v>
      </c>
      <c r="D37" s="34">
        <f>COUNTIFS('Solid-Results'!I:I,"&gt;="&amp;Dashboard!$A37,'Solid-Results'!I:I,"&lt;="&amp;Dashboard!$B37,'Solid-Results'!AC:AC,"Green")</f>
        <v>18</v>
      </c>
      <c r="E37" s="34">
        <f>COUNTIFS('Solid-Results'!J:J,"&gt;="&amp;Dashboard!$A37,'Solid-Results'!J:J,"&lt;="&amp;Dashboard!$B37,'Solid-Results'!AD:AD,"Green")</f>
        <v>12</v>
      </c>
      <c r="F37" s="34">
        <f>COUNTIFS('Solid-Results'!K:K,"&gt;="&amp;Dashboard!$A37,'Solid-Results'!K:K,"&lt;="&amp;Dashboard!$B37,'Solid-Results'!AE:AE,"Green")</f>
        <v>0</v>
      </c>
      <c r="G37" s="34">
        <f>COUNTIFS('Solid-Results'!L:L,"&gt;="&amp;Dashboard!$A37,'Solid-Results'!L:L,"&lt;="&amp;Dashboard!$B37,'Solid-Results'!AF:AF,"Green")</f>
        <v>0</v>
      </c>
      <c r="H37" s="34">
        <f>COUNTIFS('Solid-Results'!M:M,"&gt;="&amp;Dashboard!$A37,'Solid-Results'!M:M,"&lt;="&amp;Dashboard!$B37,'Solid-Results'!AG:AG,"Green")</f>
        <v>0</v>
      </c>
      <c r="I37" s="34">
        <f>COUNTIFS('Solid-Results'!N:N,"&gt;="&amp;Dashboard!$A37,'Solid-Results'!N:N,"&lt;="&amp;Dashboard!$B37,'Solid-Results'!AH:AH,"Green")</f>
        <v>17</v>
      </c>
      <c r="J37" s="34">
        <f>COUNTIFS('Solid-Results'!O:O,"&gt;="&amp;Dashboard!$A37,'Solid-Results'!O:O,"&lt;="&amp;Dashboard!$B37,'Solid-Results'!AI:AI,"Green")</f>
        <v>1</v>
      </c>
      <c r="K37" s="34">
        <f>COUNTIFS('Solid-Results'!P:P,"&gt;="&amp;Dashboard!$A37,'Solid-Results'!P:P,"&lt;="&amp;Dashboard!$B37,'Solid-Results'!AJ:AJ,"Green")</f>
        <v>11</v>
      </c>
      <c r="L37" s="34">
        <f>COUNTIFS('Solid-Results'!Q:Q,"&gt;="&amp;Dashboard!$A37,'Solid-Results'!Q:Q,"&lt;="&amp;Dashboard!$B37,'Solid-Results'!AK:AK,"Green")</f>
        <v>0</v>
      </c>
      <c r="M37" s="34">
        <f>COUNTIFS('Solid-Results'!R:R,"&gt;="&amp;Dashboard!$A37,'Solid-Results'!R:R,"&lt;="&amp;Dashboard!$B37,'Solid-Results'!AL:AL,"Green")</f>
        <v>0</v>
      </c>
      <c r="N37" s="34">
        <f>COUNTIFS('Solid-Results'!S:S,"&gt;="&amp;Dashboard!$A37,'Solid-Results'!S:S,"&lt;="&amp;Dashboard!$B37,'Solid-Results'!AM:AM,"Green")</f>
        <v>2</v>
      </c>
      <c r="O37" s="34">
        <f>COUNTIFS('Solid-Results'!T:T,"&gt;="&amp;Dashboard!$A37,'Solid-Results'!T:T,"&lt;="&amp;Dashboard!$B37,'Solid-Results'!AN:AN,"Green")</f>
        <v>2</v>
      </c>
      <c r="P37" s="34">
        <f>COUNTIFS('Solid-Results'!U:U,"&gt;="&amp;Dashboard!$A37,'Solid-Results'!U:U,"&lt;="&amp;Dashboard!$B37,'Solid-Results'!AO:AO,"Green")</f>
        <v>3</v>
      </c>
      <c r="Q37" s="34">
        <f>COUNTIFS('Solid-Results'!V:V,"&gt;="&amp;Dashboard!$A37,'Solid-Results'!V:V,"&lt;="&amp;Dashboard!$B37,'Solid-Results'!AP:AP,"Green")</f>
        <v>0</v>
      </c>
      <c r="R37" s="34">
        <f>COUNTIFS('Solid-Results'!W:W,"&gt;="&amp;Dashboard!$A37,'Solid-Results'!W:W,"&lt;="&amp;Dashboard!$B37,'Solid-Results'!AQ:AQ,"Green")</f>
        <v>2</v>
      </c>
    </row>
    <row r="38" spans="1:18" x14ac:dyDescent="0.2">
      <c r="A38" s="40">
        <f t="shared" si="2"/>
        <v>30.01</v>
      </c>
      <c r="B38" s="39">
        <f t="shared" si="3"/>
        <v>40</v>
      </c>
      <c r="C38" s="34">
        <f>COUNTIFS('Solid-Results'!H:H,"&gt;="&amp;Dashboard!$A38,'Solid-Results'!H:H,"&lt;="&amp;Dashboard!$B38,'Solid-Results'!AB:AB,"Green")</f>
        <v>17</v>
      </c>
      <c r="D38" s="34">
        <f>COUNTIFS('Solid-Results'!I:I,"&gt;="&amp;Dashboard!$A38,'Solid-Results'!I:I,"&lt;="&amp;Dashboard!$B38,'Solid-Results'!AC:AC,"Green")</f>
        <v>8</v>
      </c>
      <c r="E38" s="34">
        <f>COUNTIFS('Solid-Results'!J:J,"&gt;="&amp;Dashboard!$A38,'Solid-Results'!J:J,"&lt;="&amp;Dashboard!$B38,'Solid-Results'!AD:AD,"Green")</f>
        <v>10</v>
      </c>
      <c r="F38" s="34">
        <f>COUNTIFS('Solid-Results'!K:K,"&gt;="&amp;Dashboard!$A38,'Solid-Results'!K:K,"&lt;="&amp;Dashboard!$B38,'Solid-Results'!AE:AE,"Green")</f>
        <v>0</v>
      </c>
      <c r="G38" s="34">
        <f>COUNTIFS('Solid-Results'!L:L,"&gt;="&amp;Dashboard!$A38,'Solid-Results'!L:L,"&lt;="&amp;Dashboard!$B38,'Solid-Results'!AF:AF,"Green")</f>
        <v>1</v>
      </c>
      <c r="H38" s="34">
        <f>COUNTIFS('Solid-Results'!M:M,"&gt;="&amp;Dashboard!$A38,'Solid-Results'!M:M,"&lt;="&amp;Dashboard!$B38,'Solid-Results'!AG:AG,"Green")</f>
        <v>0</v>
      </c>
      <c r="I38" s="34">
        <f>COUNTIFS('Solid-Results'!N:N,"&gt;="&amp;Dashboard!$A38,'Solid-Results'!N:N,"&lt;="&amp;Dashboard!$B38,'Solid-Results'!AH:AH,"Green")</f>
        <v>17</v>
      </c>
      <c r="J38" s="34">
        <f>COUNTIFS('Solid-Results'!O:O,"&gt;="&amp;Dashboard!$A38,'Solid-Results'!O:O,"&lt;="&amp;Dashboard!$B38,'Solid-Results'!AI:AI,"Green")</f>
        <v>10</v>
      </c>
      <c r="K38" s="34">
        <f>COUNTIFS('Solid-Results'!P:P,"&gt;="&amp;Dashboard!$A38,'Solid-Results'!P:P,"&lt;="&amp;Dashboard!$B38,'Solid-Results'!AJ:AJ,"Green")</f>
        <v>6</v>
      </c>
      <c r="L38" s="34">
        <f>COUNTIFS('Solid-Results'!Q:Q,"&gt;="&amp;Dashboard!$A38,'Solid-Results'!Q:Q,"&lt;="&amp;Dashboard!$B38,'Solid-Results'!AK:AK,"Green")</f>
        <v>0</v>
      </c>
      <c r="M38" s="34">
        <f>COUNTIFS('Solid-Results'!R:R,"&gt;="&amp;Dashboard!$A38,'Solid-Results'!R:R,"&lt;="&amp;Dashboard!$B38,'Solid-Results'!AL:AL,"Green")</f>
        <v>0</v>
      </c>
      <c r="N38" s="34">
        <f>COUNTIFS('Solid-Results'!S:S,"&gt;="&amp;Dashboard!$A38,'Solid-Results'!S:S,"&lt;="&amp;Dashboard!$B38,'Solid-Results'!AM:AM,"Green")</f>
        <v>10</v>
      </c>
      <c r="O38" s="34">
        <f>COUNTIFS('Solid-Results'!T:T,"&gt;="&amp;Dashboard!$A38,'Solid-Results'!T:T,"&lt;="&amp;Dashboard!$B38,'Solid-Results'!AN:AN,"Green")</f>
        <v>5</v>
      </c>
      <c r="P38" s="34">
        <f>COUNTIFS('Solid-Results'!U:U,"&gt;="&amp;Dashboard!$A38,'Solid-Results'!U:U,"&lt;="&amp;Dashboard!$B38,'Solid-Results'!AO:AO,"Green")</f>
        <v>6</v>
      </c>
      <c r="Q38" s="34">
        <f>COUNTIFS('Solid-Results'!V:V,"&gt;="&amp;Dashboard!$A38,'Solid-Results'!V:V,"&lt;="&amp;Dashboard!$B38,'Solid-Results'!AP:AP,"Green")</f>
        <v>5</v>
      </c>
      <c r="R38" s="34">
        <f>COUNTIFS('Solid-Results'!W:W,"&gt;="&amp;Dashboard!$A38,'Solid-Results'!W:W,"&lt;="&amp;Dashboard!$B38,'Solid-Results'!AQ:AQ,"Green")</f>
        <v>12</v>
      </c>
    </row>
    <row r="39" spans="1:18" x14ac:dyDescent="0.2">
      <c r="A39" s="40">
        <f t="shared" si="2"/>
        <v>40.01</v>
      </c>
      <c r="B39" s="39">
        <f t="shared" si="3"/>
        <v>50</v>
      </c>
      <c r="C39" s="34">
        <f>COUNTIFS('Solid-Results'!H:H,"&gt;="&amp;Dashboard!$A39,'Solid-Results'!H:H,"&lt;="&amp;Dashboard!$B39,'Solid-Results'!AB:AB,"Green")</f>
        <v>26</v>
      </c>
      <c r="D39" s="34">
        <f>COUNTIFS('Solid-Results'!I:I,"&gt;="&amp;Dashboard!$A39,'Solid-Results'!I:I,"&lt;="&amp;Dashboard!$B39,'Solid-Results'!AC:AC,"Green")</f>
        <v>0</v>
      </c>
      <c r="E39" s="34">
        <f>COUNTIFS('Solid-Results'!J:J,"&gt;="&amp;Dashboard!$A39,'Solid-Results'!J:J,"&lt;="&amp;Dashboard!$B39,'Solid-Results'!AD:AD,"Green")</f>
        <v>4</v>
      </c>
      <c r="F39" s="34">
        <f>COUNTIFS('Solid-Results'!K:K,"&gt;="&amp;Dashboard!$A39,'Solid-Results'!K:K,"&lt;="&amp;Dashboard!$B39,'Solid-Results'!AE:AE,"Green")</f>
        <v>1</v>
      </c>
      <c r="G39" s="34">
        <f>COUNTIFS('Solid-Results'!L:L,"&gt;="&amp;Dashboard!$A39,'Solid-Results'!L:L,"&lt;="&amp;Dashboard!$B39,'Solid-Results'!AF:AF,"Green")</f>
        <v>9</v>
      </c>
      <c r="H39" s="34">
        <f>COUNTIFS('Solid-Results'!M:M,"&gt;="&amp;Dashboard!$A39,'Solid-Results'!M:M,"&lt;="&amp;Dashboard!$B39,'Solid-Results'!AG:AG,"Green")</f>
        <v>0</v>
      </c>
      <c r="I39" s="34">
        <f>COUNTIFS('Solid-Results'!N:N,"&gt;="&amp;Dashboard!$A39,'Solid-Results'!N:N,"&lt;="&amp;Dashboard!$B39,'Solid-Results'!AH:AH,"Green")</f>
        <v>3</v>
      </c>
      <c r="J39" s="34">
        <f>COUNTIFS('Solid-Results'!O:O,"&gt;="&amp;Dashboard!$A39,'Solid-Results'!O:O,"&lt;="&amp;Dashboard!$B39,'Solid-Results'!AI:AI,"Green")</f>
        <v>29</v>
      </c>
      <c r="K39" s="34">
        <f>COUNTIFS('Solid-Results'!P:P,"&gt;="&amp;Dashboard!$A39,'Solid-Results'!P:P,"&lt;="&amp;Dashboard!$B39,'Solid-Results'!AJ:AJ,"Green")</f>
        <v>2</v>
      </c>
      <c r="L39" s="34">
        <f>COUNTIFS('Solid-Results'!Q:Q,"&gt;="&amp;Dashboard!$A39,'Solid-Results'!Q:Q,"&lt;="&amp;Dashboard!$B39,'Solid-Results'!AK:AK,"Green")</f>
        <v>1</v>
      </c>
      <c r="M39" s="34">
        <f>COUNTIFS('Solid-Results'!R:R,"&gt;="&amp;Dashboard!$A39,'Solid-Results'!R:R,"&lt;="&amp;Dashboard!$B39,'Solid-Results'!AL:AL,"Green")</f>
        <v>1</v>
      </c>
      <c r="N39" s="34">
        <f>COUNTIFS('Solid-Results'!S:S,"&gt;="&amp;Dashboard!$A39,'Solid-Results'!S:S,"&lt;="&amp;Dashboard!$B39,'Solid-Results'!AM:AM,"Green")</f>
        <v>18</v>
      </c>
      <c r="O39" s="34">
        <f>COUNTIFS('Solid-Results'!T:T,"&gt;="&amp;Dashboard!$A39,'Solid-Results'!T:T,"&lt;="&amp;Dashboard!$B39,'Solid-Results'!AN:AN,"Green")</f>
        <v>13</v>
      </c>
      <c r="P39" s="34">
        <f>COUNTIFS('Solid-Results'!U:U,"&gt;="&amp;Dashboard!$A39,'Solid-Results'!U:U,"&lt;="&amp;Dashboard!$B39,'Solid-Results'!AO:AO,"Green")</f>
        <v>14</v>
      </c>
      <c r="Q39" s="34">
        <f>COUNTIFS('Solid-Results'!V:V,"&gt;="&amp;Dashboard!$A39,'Solid-Results'!V:V,"&lt;="&amp;Dashboard!$B39,'Solid-Results'!AP:AP,"Green")</f>
        <v>19</v>
      </c>
      <c r="R39" s="34">
        <f>COUNTIFS('Solid-Results'!W:W,"&gt;="&amp;Dashboard!$A39,'Solid-Results'!W:W,"&lt;="&amp;Dashboard!$B39,'Solid-Results'!AQ:AQ,"Green")</f>
        <v>16</v>
      </c>
    </row>
    <row r="40" spans="1:18" x14ac:dyDescent="0.2">
      <c r="A40" s="40">
        <f t="shared" si="2"/>
        <v>50.01</v>
      </c>
      <c r="B40" s="39">
        <f t="shared" si="3"/>
        <v>60</v>
      </c>
      <c r="C40" s="34">
        <f>COUNTIFS('Solid-Results'!H:H,"&gt;="&amp;Dashboard!$A40,'Solid-Results'!H:H,"&lt;="&amp;Dashboard!$B40,'Solid-Results'!AB:AB,"Green")</f>
        <v>10</v>
      </c>
      <c r="D40" s="34">
        <f>COUNTIFS('Solid-Results'!I:I,"&gt;="&amp;Dashboard!$A40,'Solid-Results'!I:I,"&lt;="&amp;Dashboard!$B40,'Solid-Results'!AC:AC,"Green")</f>
        <v>0</v>
      </c>
      <c r="E40" s="34">
        <f>COUNTIFS('Solid-Results'!J:J,"&gt;="&amp;Dashboard!$A40,'Solid-Results'!J:J,"&lt;="&amp;Dashboard!$B40,'Solid-Results'!AD:AD,"Green")</f>
        <v>1</v>
      </c>
      <c r="F40" s="34">
        <f>COUNTIFS('Solid-Results'!K:K,"&gt;="&amp;Dashboard!$A40,'Solid-Results'!K:K,"&lt;="&amp;Dashboard!$B40,'Solid-Results'!AE:AE,"Green")</f>
        <v>5</v>
      </c>
      <c r="G40" s="34">
        <f>COUNTIFS('Solid-Results'!L:L,"&gt;="&amp;Dashboard!$A40,'Solid-Results'!L:L,"&lt;="&amp;Dashboard!$B40,'Solid-Results'!AF:AF,"Green")</f>
        <v>21</v>
      </c>
      <c r="H40" s="34">
        <f>COUNTIFS('Solid-Results'!M:M,"&gt;="&amp;Dashboard!$A40,'Solid-Results'!M:M,"&lt;="&amp;Dashboard!$B40,'Solid-Results'!AG:AG,"Green")</f>
        <v>0</v>
      </c>
      <c r="I40" s="34">
        <f>COUNTIFS('Solid-Results'!N:N,"&gt;="&amp;Dashboard!$A40,'Solid-Results'!N:N,"&lt;="&amp;Dashboard!$B40,'Solid-Results'!AH:AH,"Green")</f>
        <v>2</v>
      </c>
      <c r="J40" s="34">
        <f>COUNTIFS('Solid-Results'!O:O,"&gt;="&amp;Dashboard!$A40,'Solid-Results'!O:O,"&lt;="&amp;Dashboard!$B40,'Solid-Results'!AI:AI,"Green")</f>
        <v>9</v>
      </c>
      <c r="K40" s="34">
        <f>COUNTIFS('Solid-Results'!P:P,"&gt;="&amp;Dashboard!$A40,'Solid-Results'!P:P,"&lt;="&amp;Dashboard!$B40,'Solid-Results'!AJ:AJ,"Green")</f>
        <v>0</v>
      </c>
      <c r="L40" s="34">
        <f>COUNTIFS('Solid-Results'!Q:Q,"&gt;="&amp;Dashboard!$A40,'Solid-Results'!Q:Q,"&lt;="&amp;Dashboard!$B40,'Solid-Results'!AK:AK,"Green")</f>
        <v>11</v>
      </c>
      <c r="M40" s="34">
        <f>COUNTIFS('Solid-Results'!R:R,"&gt;="&amp;Dashboard!$A40,'Solid-Results'!R:R,"&lt;="&amp;Dashboard!$B40,'Solid-Results'!AL:AL,"Green")</f>
        <v>3</v>
      </c>
      <c r="N40" s="34">
        <f>COUNTIFS('Solid-Results'!S:S,"&gt;="&amp;Dashboard!$A40,'Solid-Results'!S:S,"&lt;="&amp;Dashboard!$B40,'Solid-Results'!AM:AM,"Green")</f>
        <v>19</v>
      </c>
      <c r="O40" s="34">
        <f>COUNTIFS('Solid-Results'!T:T,"&gt;="&amp;Dashboard!$A40,'Solid-Results'!T:T,"&lt;="&amp;Dashboard!$B40,'Solid-Results'!AN:AN,"Green")</f>
        <v>11</v>
      </c>
      <c r="P40" s="34">
        <f>COUNTIFS('Solid-Results'!U:U,"&gt;="&amp;Dashboard!$A40,'Solid-Results'!U:U,"&lt;="&amp;Dashboard!$B40,'Solid-Results'!AO:AO,"Green")</f>
        <v>22</v>
      </c>
      <c r="Q40" s="34">
        <f>COUNTIFS('Solid-Results'!V:V,"&gt;="&amp;Dashboard!$A40,'Solid-Results'!V:V,"&lt;="&amp;Dashboard!$B40,'Solid-Results'!AP:AP,"Green")</f>
        <v>26</v>
      </c>
      <c r="R40" s="34">
        <f>COUNTIFS('Solid-Results'!W:W,"&gt;="&amp;Dashboard!$A40,'Solid-Results'!W:W,"&lt;="&amp;Dashboard!$B40,'Solid-Results'!AQ:AQ,"Green")</f>
        <v>12</v>
      </c>
    </row>
    <row r="41" spans="1:18" x14ac:dyDescent="0.2">
      <c r="A41" s="40">
        <f t="shared" si="2"/>
        <v>60.01</v>
      </c>
      <c r="B41" s="39">
        <f t="shared" si="3"/>
        <v>70</v>
      </c>
      <c r="C41" s="34">
        <f>COUNTIFS('Solid-Results'!H:H,"&gt;="&amp;Dashboard!$A41,'Solid-Results'!H:H,"&lt;="&amp;Dashboard!$B41,'Solid-Results'!AB:AB,"Green")</f>
        <v>7</v>
      </c>
      <c r="D41" s="34">
        <f>COUNTIFS('Solid-Results'!I:I,"&gt;="&amp;Dashboard!$A41,'Solid-Results'!I:I,"&lt;="&amp;Dashboard!$B41,'Solid-Results'!AC:AC,"Green")</f>
        <v>0</v>
      </c>
      <c r="E41" s="34">
        <f>COUNTIFS('Solid-Results'!J:J,"&gt;="&amp;Dashboard!$A41,'Solid-Results'!J:J,"&lt;="&amp;Dashboard!$B41,'Solid-Results'!AD:AD,"Green")</f>
        <v>0</v>
      </c>
      <c r="F41" s="34">
        <f>COUNTIFS('Solid-Results'!K:K,"&gt;="&amp;Dashboard!$A41,'Solid-Results'!K:K,"&lt;="&amp;Dashboard!$B41,'Solid-Results'!AE:AE,"Green")</f>
        <v>25</v>
      </c>
      <c r="G41" s="34">
        <f>COUNTIFS('Solid-Results'!L:L,"&gt;="&amp;Dashboard!$A41,'Solid-Results'!L:L,"&lt;="&amp;Dashboard!$B41,'Solid-Results'!AF:AF,"Green")</f>
        <v>18</v>
      </c>
      <c r="H41" s="34">
        <f>COUNTIFS('Solid-Results'!M:M,"&gt;="&amp;Dashboard!$A41,'Solid-Results'!M:M,"&lt;="&amp;Dashboard!$B41,'Solid-Results'!AG:AG,"Green")</f>
        <v>21</v>
      </c>
      <c r="I41" s="34">
        <f>COUNTIFS('Solid-Results'!N:N,"&gt;="&amp;Dashboard!$A41,'Solid-Results'!N:N,"&lt;="&amp;Dashboard!$B41,'Solid-Results'!AH:AH,"Green")</f>
        <v>1</v>
      </c>
      <c r="J41" s="34">
        <f>COUNTIFS('Solid-Results'!O:O,"&gt;="&amp;Dashboard!$A41,'Solid-Results'!O:O,"&lt;="&amp;Dashboard!$B41,'Solid-Results'!AI:AI,"Green")</f>
        <v>0</v>
      </c>
      <c r="K41" s="34">
        <f>COUNTIFS('Solid-Results'!P:P,"&gt;="&amp;Dashboard!$A41,'Solid-Results'!P:P,"&lt;="&amp;Dashboard!$B41,'Solid-Results'!AJ:AJ,"Green")</f>
        <v>0</v>
      </c>
      <c r="L41" s="34">
        <f>COUNTIFS('Solid-Results'!Q:Q,"&gt;="&amp;Dashboard!$A41,'Solid-Results'!Q:Q,"&lt;="&amp;Dashboard!$B41,'Solid-Results'!AK:AK,"Green")</f>
        <v>41</v>
      </c>
      <c r="M41" s="34">
        <f>COUNTIFS('Solid-Results'!R:R,"&gt;="&amp;Dashboard!$A41,'Solid-Results'!R:R,"&lt;="&amp;Dashboard!$B41,'Solid-Results'!AL:AL,"Green")</f>
        <v>19</v>
      </c>
      <c r="N41" s="34">
        <f>COUNTIFS('Solid-Results'!S:S,"&gt;="&amp;Dashboard!$A41,'Solid-Results'!S:S,"&lt;="&amp;Dashboard!$B41,'Solid-Results'!AM:AM,"Green")</f>
        <v>11</v>
      </c>
      <c r="O41" s="34">
        <f>COUNTIFS('Solid-Results'!T:T,"&gt;="&amp;Dashboard!$A41,'Solid-Results'!T:T,"&lt;="&amp;Dashboard!$B41,'Solid-Results'!AN:AN,"Green")</f>
        <v>11</v>
      </c>
      <c r="P41" s="34">
        <f>COUNTIFS('Solid-Results'!U:U,"&gt;="&amp;Dashboard!$A41,'Solid-Results'!U:U,"&lt;="&amp;Dashboard!$B41,'Solid-Results'!AO:AO,"Green")</f>
        <v>20</v>
      </c>
      <c r="Q41" s="34">
        <f>COUNTIFS('Solid-Results'!V:V,"&gt;="&amp;Dashboard!$A41,'Solid-Results'!V:V,"&lt;="&amp;Dashboard!$B41,'Solid-Results'!AP:AP,"Green")</f>
        <v>11</v>
      </c>
      <c r="R41" s="34">
        <f>COUNTIFS('Solid-Results'!W:W,"&gt;="&amp;Dashboard!$A41,'Solid-Results'!W:W,"&lt;="&amp;Dashboard!$B41,'Solid-Results'!AQ:AQ,"Green")</f>
        <v>4</v>
      </c>
    </row>
    <row r="42" spans="1:18" x14ac:dyDescent="0.2">
      <c r="A42" s="40">
        <f t="shared" si="2"/>
        <v>70.010000000000005</v>
      </c>
      <c r="B42" s="39">
        <f t="shared" si="3"/>
        <v>80</v>
      </c>
      <c r="C42" s="34">
        <f>COUNTIFS('Solid-Results'!H:H,"&gt;="&amp;Dashboard!$A42,'Solid-Results'!H:H,"&lt;="&amp;Dashboard!$B42,'Solid-Results'!AB:AB,"Green")</f>
        <v>0</v>
      </c>
      <c r="D42" s="34">
        <f>COUNTIFS('Solid-Results'!I:I,"&gt;="&amp;Dashboard!$A42,'Solid-Results'!I:I,"&lt;="&amp;Dashboard!$B42,'Solid-Results'!AC:AC,"Green")</f>
        <v>0</v>
      </c>
      <c r="E42" s="34">
        <f>COUNTIFS('Solid-Results'!J:J,"&gt;="&amp;Dashboard!$A42,'Solid-Results'!J:J,"&lt;="&amp;Dashboard!$B42,'Solid-Results'!AD:AD,"Green")</f>
        <v>0</v>
      </c>
      <c r="F42" s="34">
        <f>COUNTIFS('Solid-Results'!K:K,"&gt;="&amp;Dashboard!$A42,'Solid-Results'!K:K,"&lt;="&amp;Dashboard!$B42,'Solid-Results'!AE:AE,"Green")</f>
        <v>42</v>
      </c>
      <c r="G42" s="34">
        <f>COUNTIFS('Solid-Results'!L:L,"&gt;="&amp;Dashboard!$A42,'Solid-Results'!L:L,"&lt;="&amp;Dashboard!$B42,'Solid-Results'!AF:AF,"Green")</f>
        <v>9</v>
      </c>
      <c r="H42" s="34">
        <f>COUNTIFS('Solid-Results'!M:M,"&gt;="&amp;Dashboard!$A42,'Solid-Results'!M:M,"&lt;="&amp;Dashboard!$B42,'Solid-Results'!AG:AG,"Green")</f>
        <v>71</v>
      </c>
      <c r="I42" s="34">
        <f>COUNTIFS('Solid-Results'!N:N,"&gt;="&amp;Dashboard!$A42,'Solid-Results'!N:N,"&lt;="&amp;Dashboard!$B42,'Solid-Results'!AH:AH,"Green")</f>
        <v>0</v>
      </c>
      <c r="J42" s="34">
        <f>COUNTIFS('Solid-Results'!O:O,"&gt;="&amp;Dashboard!$A42,'Solid-Results'!O:O,"&lt;="&amp;Dashboard!$B42,'Solid-Results'!AI:AI,"Green")</f>
        <v>0</v>
      </c>
      <c r="K42" s="34">
        <f>COUNTIFS('Solid-Results'!P:P,"&gt;="&amp;Dashboard!$A42,'Solid-Results'!P:P,"&lt;="&amp;Dashboard!$B42,'Solid-Results'!AJ:AJ,"Green")</f>
        <v>0</v>
      </c>
      <c r="L42" s="34">
        <f>COUNTIFS('Solid-Results'!Q:Q,"&gt;="&amp;Dashboard!$A42,'Solid-Results'!Q:Q,"&lt;="&amp;Dashboard!$B42,'Solid-Results'!AK:AK,"Green")</f>
        <v>26</v>
      </c>
      <c r="M42" s="34">
        <f>COUNTIFS('Solid-Results'!R:R,"&gt;="&amp;Dashboard!$A42,'Solid-Results'!R:R,"&lt;="&amp;Dashboard!$B42,'Solid-Results'!AL:AL,"Green")</f>
        <v>35</v>
      </c>
      <c r="N42" s="34">
        <f>COUNTIFS('Solid-Results'!S:S,"&gt;="&amp;Dashboard!$A42,'Solid-Results'!S:S,"&lt;="&amp;Dashboard!$B42,'Solid-Results'!AM:AM,"Green")</f>
        <v>10</v>
      </c>
      <c r="O42" s="34">
        <f>COUNTIFS('Solid-Results'!T:T,"&gt;="&amp;Dashboard!$A42,'Solid-Results'!T:T,"&lt;="&amp;Dashboard!$B42,'Solid-Results'!AN:AN,"Green")</f>
        <v>4</v>
      </c>
      <c r="P42" s="34">
        <f>COUNTIFS('Solid-Results'!U:U,"&gt;="&amp;Dashboard!$A42,'Solid-Results'!U:U,"&lt;="&amp;Dashboard!$B42,'Solid-Results'!AO:AO,"Green")</f>
        <v>12</v>
      </c>
      <c r="Q42" s="34">
        <f>COUNTIFS('Solid-Results'!V:V,"&gt;="&amp;Dashboard!$A42,'Solid-Results'!V:V,"&lt;="&amp;Dashboard!$B42,'Solid-Results'!AP:AP,"Green")</f>
        <v>11</v>
      </c>
      <c r="R42" s="34">
        <f>COUNTIFS('Solid-Results'!W:W,"&gt;="&amp;Dashboard!$A42,'Solid-Results'!W:W,"&lt;="&amp;Dashboard!$B42,'Solid-Results'!AQ:AQ,"Green")</f>
        <v>0</v>
      </c>
    </row>
    <row r="43" spans="1:18" x14ac:dyDescent="0.2">
      <c r="A43" s="40">
        <f t="shared" si="2"/>
        <v>80.010000000000005</v>
      </c>
      <c r="B43" s="39">
        <f t="shared" si="3"/>
        <v>90</v>
      </c>
      <c r="C43" s="34">
        <f>COUNTIFS('Solid-Results'!H:H,"&gt;="&amp;Dashboard!$A43,'Solid-Results'!H:H,"&lt;="&amp;Dashboard!$B43,'Solid-Results'!AB:AB,"Green")</f>
        <v>0</v>
      </c>
      <c r="D43" s="34">
        <f>COUNTIFS('Solid-Results'!I:I,"&gt;="&amp;Dashboard!$A43,'Solid-Results'!I:I,"&lt;="&amp;Dashboard!$B43,'Solid-Results'!AC:AC,"Green")</f>
        <v>0</v>
      </c>
      <c r="E43" s="34">
        <f>COUNTIFS('Solid-Results'!J:J,"&gt;="&amp;Dashboard!$A43,'Solid-Results'!J:J,"&lt;="&amp;Dashboard!$B43,'Solid-Results'!AD:AD,"Green")</f>
        <v>0</v>
      </c>
      <c r="F43" s="34">
        <f>COUNTIFS('Solid-Results'!K:K,"&gt;="&amp;Dashboard!$A43,'Solid-Results'!K:K,"&lt;="&amp;Dashboard!$B43,'Solid-Results'!AE:AE,"Green")</f>
        <v>12</v>
      </c>
      <c r="G43" s="34">
        <f>COUNTIFS('Solid-Results'!L:L,"&gt;="&amp;Dashboard!$A43,'Solid-Results'!L:L,"&lt;="&amp;Dashboard!$B43,'Solid-Results'!AF:AF,"Green")</f>
        <v>0</v>
      </c>
      <c r="H43" s="34">
        <f>COUNTIFS('Solid-Results'!M:M,"&gt;="&amp;Dashboard!$A43,'Solid-Results'!M:M,"&lt;="&amp;Dashboard!$B43,'Solid-Results'!AG:AG,"Green")</f>
        <v>0</v>
      </c>
      <c r="I43" s="34">
        <f>COUNTIFS('Solid-Results'!N:N,"&gt;="&amp;Dashboard!$A43,'Solid-Results'!N:N,"&lt;="&amp;Dashboard!$B43,'Solid-Results'!AH:AH,"Green")</f>
        <v>0</v>
      </c>
      <c r="J43" s="34">
        <f>COUNTIFS('Solid-Results'!O:O,"&gt;="&amp;Dashboard!$A43,'Solid-Results'!O:O,"&lt;="&amp;Dashboard!$B43,'Solid-Results'!AI:AI,"Green")</f>
        <v>0</v>
      </c>
      <c r="K43" s="34">
        <f>COUNTIFS('Solid-Results'!P:P,"&gt;="&amp;Dashboard!$A43,'Solid-Results'!P:P,"&lt;="&amp;Dashboard!$B43,'Solid-Results'!AJ:AJ,"Green")</f>
        <v>0</v>
      </c>
      <c r="L43" s="34">
        <f>COUNTIFS('Solid-Results'!Q:Q,"&gt;="&amp;Dashboard!$A43,'Solid-Results'!Q:Q,"&lt;="&amp;Dashboard!$B43,'Solid-Results'!AK:AK,"Green")</f>
        <v>9</v>
      </c>
      <c r="M43" s="34">
        <f>COUNTIFS('Solid-Results'!R:R,"&gt;="&amp;Dashboard!$A43,'Solid-Results'!R:R,"&lt;="&amp;Dashboard!$B43,'Solid-Results'!AL:AL,"Green")</f>
        <v>25</v>
      </c>
      <c r="N43" s="34">
        <f>COUNTIFS('Solid-Results'!S:S,"&gt;="&amp;Dashboard!$A43,'Solid-Results'!S:S,"&lt;="&amp;Dashboard!$B43,'Solid-Results'!AM:AM,"Green")</f>
        <v>2</v>
      </c>
      <c r="O43" s="34">
        <f>COUNTIFS('Solid-Results'!T:T,"&gt;="&amp;Dashboard!$A43,'Solid-Results'!T:T,"&lt;="&amp;Dashboard!$B43,'Solid-Results'!AN:AN,"Green")</f>
        <v>0</v>
      </c>
      <c r="P43" s="34">
        <f>COUNTIFS('Solid-Results'!U:U,"&gt;="&amp;Dashboard!$A43,'Solid-Results'!U:U,"&lt;="&amp;Dashboard!$B43,'Solid-Results'!AO:AO,"Green")</f>
        <v>1</v>
      </c>
      <c r="Q43" s="34">
        <f>COUNTIFS('Solid-Results'!V:V,"&gt;="&amp;Dashboard!$A43,'Solid-Results'!V:V,"&lt;="&amp;Dashboard!$B43,'Solid-Results'!AP:AP,"Green")</f>
        <v>0</v>
      </c>
      <c r="R43" s="34">
        <f>COUNTIFS('Solid-Results'!W:W,"&gt;="&amp;Dashboard!$A43,'Solid-Results'!W:W,"&lt;="&amp;Dashboard!$B43,'Solid-Results'!AQ:AQ,"Green")</f>
        <v>0</v>
      </c>
    </row>
    <row r="44" spans="1:18" x14ac:dyDescent="0.2">
      <c r="A44" s="40">
        <f t="shared" si="2"/>
        <v>90.01</v>
      </c>
      <c r="B44" s="39">
        <f t="shared" si="3"/>
        <v>100</v>
      </c>
      <c r="C44" s="34">
        <f>COUNTIFS('Solid-Results'!H:H,"&gt;="&amp;Dashboard!$A44,'Solid-Results'!H:H,"&lt;="&amp;Dashboard!$B44,'Solid-Results'!AB:AB,"Green")</f>
        <v>0</v>
      </c>
      <c r="D44" s="34">
        <f>COUNTIFS('Solid-Results'!I:I,"&gt;="&amp;Dashboard!$A44,'Solid-Results'!I:I,"&lt;="&amp;Dashboard!$B44,'Solid-Results'!AC:AC,"Green")</f>
        <v>0</v>
      </c>
      <c r="E44" s="34">
        <f>COUNTIFS('Solid-Results'!J:J,"&gt;="&amp;Dashboard!$A44,'Solid-Results'!J:J,"&lt;="&amp;Dashboard!$B44,'Solid-Results'!AD:AD,"Green")</f>
        <v>0</v>
      </c>
      <c r="F44" s="34">
        <f>COUNTIFS('Solid-Results'!K:K,"&gt;="&amp;Dashboard!$A44,'Solid-Results'!K:K,"&lt;="&amp;Dashboard!$B44,'Solid-Results'!AE:AE,"Green")</f>
        <v>1</v>
      </c>
      <c r="G44" s="34">
        <f>COUNTIFS('Solid-Results'!L:L,"&gt;="&amp;Dashboard!$A44,'Solid-Results'!L:L,"&lt;="&amp;Dashboard!$B44,'Solid-Results'!AF:AF,"Green")</f>
        <v>0</v>
      </c>
      <c r="H44" s="34">
        <f>COUNTIFS('Solid-Results'!M:M,"&gt;="&amp;Dashboard!$A44,'Solid-Results'!M:M,"&lt;="&amp;Dashboard!$B44,'Solid-Results'!AG:AG,"Green")</f>
        <v>0</v>
      </c>
      <c r="I44" s="34">
        <f>COUNTIFS('Solid-Results'!N:N,"&gt;="&amp;Dashboard!$A44,'Solid-Results'!N:N,"&lt;="&amp;Dashboard!$B44,'Solid-Results'!AH:AH,"Green")</f>
        <v>0</v>
      </c>
      <c r="J44" s="34">
        <f>COUNTIFS('Solid-Results'!O:O,"&gt;="&amp;Dashboard!$A44,'Solid-Results'!O:O,"&lt;="&amp;Dashboard!$B44,'Solid-Results'!AI:AI,"Green")</f>
        <v>0</v>
      </c>
      <c r="K44" s="34">
        <f>COUNTIFS('Solid-Results'!P:P,"&gt;="&amp;Dashboard!$A44,'Solid-Results'!P:P,"&lt;="&amp;Dashboard!$B44,'Solid-Results'!AJ:AJ,"Green")</f>
        <v>0</v>
      </c>
      <c r="L44" s="34">
        <f>COUNTIFS('Solid-Results'!Q:Q,"&gt;="&amp;Dashboard!$A44,'Solid-Results'!Q:Q,"&lt;="&amp;Dashboard!$B44,'Solid-Results'!AK:AK,"Green")</f>
        <v>0</v>
      </c>
      <c r="M44" s="34">
        <f>COUNTIFS('Solid-Results'!R:R,"&gt;="&amp;Dashboard!$A44,'Solid-Results'!R:R,"&lt;="&amp;Dashboard!$B44,'Solid-Results'!AL:AL,"Green")</f>
        <v>9</v>
      </c>
      <c r="N44" s="34">
        <f>COUNTIFS('Solid-Results'!S:S,"&gt;="&amp;Dashboard!$A44,'Solid-Results'!S:S,"&lt;="&amp;Dashboard!$B44,'Solid-Results'!AM:AM,"Green")</f>
        <v>0</v>
      </c>
      <c r="O44" s="34">
        <f>COUNTIFS('Solid-Results'!T:T,"&gt;="&amp;Dashboard!$A44,'Solid-Results'!T:T,"&lt;="&amp;Dashboard!$B44,'Solid-Results'!AN:AN,"Green")</f>
        <v>0</v>
      </c>
      <c r="P44" s="34">
        <f>COUNTIFS('Solid-Results'!U:U,"&gt;="&amp;Dashboard!$A44,'Solid-Results'!U:U,"&lt;="&amp;Dashboard!$B44,'Solid-Results'!AO:AO,"Green")</f>
        <v>0</v>
      </c>
      <c r="Q44" s="34">
        <f>COUNTIFS('Solid-Results'!V:V,"&gt;="&amp;Dashboard!$A44,'Solid-Results'!V:V,"&lt;="&amp;Dashboard!$B44,'Solid-Results'!AP:AP,"Green")</f>
        <v>0</v>
      </c>
      <c r="R44" s="34">
        <f>COUNTIFS('Solid-Results'!W:W,"&gt;="&amp;Dashboard!$A44,'Solid-Results'!W:W,"&lt;="&amp;Dashboard!$B44,'Solid-Results'!AQ:AQ,"Green")</f>
        <v>0</v>
      </c>
    </row>
    <row r="46" spans="1:18" x14ac:dyDescent="0.2">
      <c r="A46" s="41" t="s">
        <v>2226</v>
      </c>
    </row>
    <row r="47" spans="1:18" x14ac:dyDescent="0.2">
      <c r="A47" s="37" t="s">
        <v>2221</v>
      </c>
      <c r="B47" s="33" t="s">
        <v>2222</v>
      </c>
      <c r="C47" s="37" t="s">
        <v>439</v>
      </c>
      <c r="D47" s="37" t="s">
        <v>4</v>
      </c>
      <c r="E47" s="37" t="s">
        <v>440</v>
      </c>
      <c r="F47" s="37" t="s">
        <v>5</v>
      </c>
      <c r="G47" s="37" t="s">
        <v>6</v>
      </c>
      <c r="H47" s="37" t="s">
        <v>441</v>
      </c>
      <c r="I47" s="37" t="s">
        <v>7</v>
      </c>
      <c r="J47" s="37" t="s">
        <v>8</v>
      </c>
      <c r="K47" s="37" t="s">
        <v>9</v>
      </c>
      <c r="L47" s="37" t="s">
        <v>10</v>
      </c>
      <c r="M47" s="37" t="s">
        <v>11</v>
      </c>
      <c r="N47" s="37" t="s">
        <v>12</v>
      </c>
      <c r="O47" s="37" t="s">
        <v>13</v>
      </c>
      <c r="P47" s="37" t="s">
        <v>14</v>
      </c>
      <c r="Q47" s="37" t="s">
        <v>15</v>
      </c>
      <c r="R47" s="37" t="s">
        <v>16</v>
      </c>
    </row>
    <row r="48" spans="1:18" x14ac:dyDescent="0.2">
      <c r="A48" s="38">
        <v>0</v>
      </c>
      <c r="B48" s="39">
        <v>10</v>
      </c>
      <c r="C48" s="35">
        <f>IFERROR(C35/C22,0)</f>
        <v>0</v>
      </c>
      <c r="D48" s="35">
        <f t="shared" ref="D48:R48" si="4">IFERROR(D35/D22,0)</f>
        <v>0</v>
      </c>
      <c r="E48" s="35">
        <f t="shared" si="4"/>
        <v>0</v>
      </c>
      <c r="F48" s="35">
        <f t="shared" si="4"/>
        <v>0</v>
      </c>
      <c r="G48" s="35">
        <f t="shared" si="4"/>
        <v>0</v>
      </c>
      <c r="H48" s="35">
        <f t="shared" si="4"/>
        <v>0</v>
      </c>
      <c r="I48" s="35">
        <f t="shared" si="4"/>
        <v>0</v>
      </c>
      <c r="J48" s="35">
        <f t="shared" si="4"/>
        <v>0</v>
      </c>
      <c r="K48" s="35">
        <f t="shared" si="4"/>
        <v>0</v>
      </c>
      <c r="L48" s="35">
        <f t="shared" si="4"/>
        <v>0</v>
      </c>
      <c r="M48" s="35">
        <f t="shared" si="4"/>
        <v>0</v>
      </c>
      <c r="N48" s="35">
        <f t="shared" si="4"/>
        <v>0</v>
      </c>
      <c r="O48" s="35">
        <f t="shared" si="4"/>
        <v>0</v>
      </c>
      <c r="P48" s="35">
        <f t="shared" si="4"/>
        <v>0</v>
      </c>
      <c r="Q48" s="35">
        <f t="shared" si="4"/>
        <v>0</v>
      </c>
      <c r="R48" s="35">
        <f t="shared" si="4"/>
        <v>0</v>
      </c>
    </row>
    <row r="49" spans="1:18" x14ac:dyDescent="0.2">
      <c r="A49" s="40">
        <f>B48+0.01</f>
        <v>10.01</v>
      </c>
      <c r="B49" s="39">
        <f>B48+10</f>
        <v>20</v>
      </c>
      <c r="C49" s="35">
        <f t="shared" ref="C49:R49" si="5">IFERROR(C36/C23,0)</f>
        <v>0</v>
      </c>
      <c r="D49" s="35">
        <f t="shared" si="5"/>
        <v>0</v>
      </c>
      <c r="E49" s="35">
        <f t="shared" si="5"/>
        <v>0.29411764705882354</v>
      </c>
      <c r="F49" s="35">
        <f t="shared" si="5"/>
        <v>0</v>
      </c>
      <c r="G49" s="35">
        <f t="shared" si="5"/>
        <v>0</v>
      </c>
      <c r="H49" s="35">
        <f t="shared" si="5"/>
        <v>0</v>
      </c>
      <c r="I49" s="35">
        <f t="shared" si="5"/>
        <v>0.23076923076923078</v>
      </c>
      <c r="J49" s="35">
        <f t="shared" si="5"/>
        <v>0</v>
      </c>
      <c r="K49" s="35">
        <f t="shared" si="5"/>
        <v>0.18181818181818182</v>
      </c>
      <c r="L49" s="35">
        <f t="shared" si="5"/>
        <v>0</v>
      </c>
      <c r="M49" s="35">
        <f t="shared" si="5"/>
        <v>0</v>
      </c>
      <c r="N49" s="35">
        <f t="shared" si="5"/>
        <v>0</v>
      </c>
      <c r="O49" s="35">
        <f t="shared" si="5"/>
        <v>0</v>
      </c>
      <c r="P49" s="35">
        <f t="shared" si="5"/>
        <v>0</v>
      </c>
      <c r="Q49" s="35">
        <f t="shared" si="5"/>
        <v>0</v>
      </c>
      <c r="R49" s="35">
        <f t="shared" si="5"/>
        <v>0</v>
      </c>
    </row>
    <row r="50" spans="1:18" x14ac:dyDescent="0.2">
      <c r="A50" s="40">
        <f t="shared" ref="A50:A57" si="6">B49+0.01</f>
        <v>20.010000000000002</v>
      </c>
      <c r="B50" s="39">
        <f t="shared" ref="B50:B57" si="7">B49+10</f>
        <v>30</v>
      </c>
      <c r="C50" s="35">
        <f t="shared" ref="C50:R50" si="8">IFERROR(C37/C24,0)</f>
        <v>0</v>
      </c>
      <c r="D50" s="35">
        <f t="shared" si="8"/>
        <v>0.2</v>
      </c>
      <c r="E50" s="35">
        <f t="shared" si="8"/>
        <v>0.22222222222222221</v>
      </c>
      <c r="F50" s="35">
        <f t="shared" si="8"/>
        <v>0</v>
      </c>
      <c r="G50" s="35">
        <f t="shared" si="8"/>
        <v>0</v>
      </c>
      <c r="H50" s="35">
        <f t="shared" si="8"/>
        <v>0</v>
      </c>
      <c r="I50" s="35">
        <f t="shared" si="8"/>
        <v>0.45945945945945948</v>
      </c>
      <c r="J50" s="35">
        <f t="shared" si="8"/>
        <v>0.5</v>
      </c>
      <c r="K50" s="35">
        <f t="shared" si="8"/>
        <v>0.18965517241379309</v>
      </c>
      <c r="L50" s="35">
        <f t="shared" si="8"/>
        <v>0</v>
      </c>
      <c r="M50" s="35">
        <f t="shared" si="8"/>
        <v>0</v>
      </c>
      <c r="N50" s="35">
        <f t="shared" si="8"/>
        <v>0.33333333333333331</v>
      </c>
      <c r="O50" s="35">
        <f t="shared" si="8"/>
        <v>0.15384615384615385</v>
      </c>
      <c r="P50" s="35">
        <f t="shared" si="8"/>
        <v>0.5</v>
      </c>
      <c r="Q50" s="35">
        <f t="shared" si="8"/>
        <v>0</v>
      </c>
      <c r="R50" s="35">
        <f t="shared" si="8"/>
        <v>0.15384615384615385</v>
      </c>
    </row>
    <row r="51" spans="1:18" x14ac:dyDescent="0.2">
      <c r="A51" s="40">
        <f t="shared" si="6"/>
        <v>30.01</v>
      </c>
      <c r="B51" s="39">
        <f t="shared" si="7"/>
        <v>40</v>
      </c>
      <c r="C51" s="35">
        <f t="shared" ref="C51:R51" si="9">IFERROR(C38/C25,0)</f>
        <v>0.44736842105263158</v>
      </c>
      <c r="D51" s="35">
        <f t="shared" si="9"/>
        <v>0.27586206896551724</v>
      </c>
      <c r="E51" s="35">
        <f t="shared" si="9"/>
        <v>0.27777777777777779</v>
      </c>
      <c r="F51" s="35">
        <f t="shared" si="9"/>
        <v>0</v>
      </c>
      <c r="G51" s="35">
        <f t="shared" si="9"/>
        <v>0.125</v>
      </c>
      <c r="H51" s="35">
        <f t="shared" si="9"/>
        <v>0</v>
      </c>
      <c r="I51" s="35">
        <f t="shared" si="9"/>
        <v>0.34</v>
      </c>
      <c r="J51" s="35">
        <f t="shared" si="9"/>
        <v>0.37037037037037035</v>
      </c>
      <c r="K51" s="35">
        <f t="shared" si="9"/>
        <v>0.2608695652173913</v>
      </c>
      <c r="L51" s="35">
        <f t="shared" si="9"/>
        <v>0</v>
      </c>
      <c r="M51" s="35">
        <f t="shared" si="9"/>
        <v>0</v>
      </c>
      <c r="N51" s="35">
        <f t="shared" si="9"/>
        <v>0.47619047619047616</v>
      </c>
      <c r="O51" s="35">
        <f t="shared" si="9"/>
        <v>0.3125</v>
      </c>
      <c r="P51" s="35">
        <f t="shared" si="9"/>
        <v>0.5</v>
      </c>
      <c r="Q51" s="35">
        <f t="shared" si="9"/>
        <v>0.55555555555555558</v>
      </c>
      <c r="R51" s="35">
        <f t="shared" si="9"/>
        <v>0.5</v>
      </c>
    </row>
    <row r="52" spans="1:18" x14ac:dyDescent="0.2">
      <c r="A52" s="40">
        <f t="shared" si="6"/>
        <v>40.01</v>
      </c>
      <c r="B52" s="39">
        <f t="shared" si="7"/>
        <v>50</v>
      </c>
      <c r="C52" s="35">
        <f t="shared" ref="C52:R52" si="10">IFERROR(C39/C26,0)</f>
        <v>0.57777777777777772</v>
      </c>
      <c r="D52" s="35">
        <f t="shared" si="10"/>
        <v>0</v>
      </c>
      <c r="E52" s="35">
        <f t="shared" si="10"/>
        <v>0.44444444444444442</v>
      </c>
      <c r="F52" s="35">
        <f t="shared" si="10"/>
        <v>0.5</v>
      </c>
      <c r="G52" s="35">
        <f t="shared" si="10"/>
        <v>0.42857142857142855</v>
      </c>
      <c r="H52" s="35">
        <f t="shared" si="10"/>
        <v>0</v>
      </c>
      <c r="I52" s="35">
        <f t="shared" si="10"/>
        <v>0.23076923076923078</v>
      </c>
      <c r="J52" s="35">
        <f t="shared" si="10"/>
        <v>0.40277777777777779</v>
      </c>
      <c r="K52" s="35">
        <f t="shared" si="10"/>
        <v>0.66666666666666663</v>
      </c>
      <c r="L52" s="35">
        <f t="shared" si="10"/>
        <v>1</v>
      </c>
      <c r="M52" s="35">
        <f t="shared" si="10"/>
        <v>1</v>
      </c>
      <c r="N52" s="35">
        <f t="shared" si="10"/>
        <v>0.6</v>
      </c>
      <c r="O52" s="35">
        <f t="shared" si="10"/>
        <v>0.41935483870967744</v>
      </c>
      <c r="P52" s="35">
        <f t="shared" si="10"/>
        <v>0.58333333333333337</v>
      </c>
      <c r="Q52" s="35">
        <f t="shared" si="10"/>
        <v>0.61290322580645162</v>
      </c>
      <c r="R52" s="35">
        <f t="shared" si="10"/>
        <v>0.38095238095238093</v>
      </c>
    </row>
    <row r="53" spans="1:18" x14ac:dyDescent="0.2">
      <c r="A53" s="40">
        <f t="shared" si="6"/>
        <v>50.01</v>
      </c>
      <c r="B53" s="39">
        <f t="shared" si="7"/>
        <v>60</v>
      </c>
      <c r="C53" s="35">
        <f t="shared" ref="C53:R53" si="11">IFERROR(C40/C27,0)</f>
        <v>0.52631578947368418</v>
      </c>
      <c r="D53" s="35">
        <f t="shared" si="11"/>
        <v>0</v>
      </c>
      <c r="E53" s="35">
        <f t="shared" si="11"/>
        <v>0.5</v>
      </c>
      <c r="F53" s="35">
        <f t="shared" si="11"/>
        <v>0.55555555555555558</v>
      </c>
      <c r="G53" s="35">
        <f t="shared" si="11"/>
        <v>0.46666666666666667</v>
      </c>
      <c r="H53" s="35">
        <f t="shared" si="11"/>
        <v>0</v>
      </c>
      <c r="I53" s="35">
        <f t="shared" si="11"/>
        <v>0.5</v>
      </c>
      <c r="J53" s="35">
        <f t="shared" si="11"/>
        <v>0.52941176470588236</v>
      </c>
      <c r="K53" s="35">
        <f t="shared" si="11"/>
        <v>0</v>
      </c>
      <c r="L53" s="35">
        <f t="shared" si="11"/>
        <v>0.6470588235294118</v>
      </c>
      <c r="M53" s="35">
        <f t="shared" si="11"/>
        <v>0.6</v>
      </c>
      <c r="N53" s="35">
        <f t="shared" si="11"/>
        <v>0.59375</v>
      </c>
      <c r="O53" s="35">
        <f t="shared" si="11"/>
        <v>0.36666666666666664</v>
      </c>
      <c r="P53" s="35">
        <f t="shared" si="11"/>
        <v>0.62857142857142856</v>
      </c>
      <c r="Q53" s="35">
        <f t="shared" si="11"/>
        <v>0.60465116279069764</v>
      </c>
      <c r="R53" s="35">
        <f t="shared" si="11"/>
        <v>0.38709677419354838</v>
      </c>
    </row>
    <row r="54" spans="1:18" x14ac:dyDescent="0.2">
      <c r="A54" s="40">
        <f t="shared" si="6"/>
        <v>60.01</v>
      </c>
      <c r="B54" s="39">
        <f t="shared" si="7"/>
        <v>70</v>
      </c>
      <c r="C54" s="35">
        <f t="shared" ref="C54:R54" si="12">IFERROR(C41/C28,0)</f>
        <v>0.875</v>
      </c>
      <c r="D54" s="35">
        <f t="shared" si="12"/>
        <v>0</v>
      </c>
      <c r="E54" s="35">
        <f t="shared" si="12"/>
        <v>0</v>
      </c>
      <c r="F54" s="35">
        <f t="shared" si="12"/>
        <v>0.69444444444444442</v>
      </c>
      <c r="G54" s="35">
        <f t="shared" si="12"/>
        <v>0.5</v>
      </c>
      <c r="H54" s="35">
        <f t="shared" si="12"/>
        <v>0.7</v>
      </c>
      <c r="I54" s="35">
        <f t="shared" si="12"/>
        <v>1</v>
      </c>
      <c r="J54" s="35">
        <f t="shared" si="12"/>
        <v>0</v>
      </c>
      <c r="K54" s="35">
        <f t="shared" si="12"/>
        <v>0</v>
      </c>
      <c r="L54" s="35">
        <f t="shared" si="12"/>
        <v>0.78846153846153844</v>
      </c>
      <c r="M54" s="35">
        <f t="shared" si="12"/>
        <v>0.70370370370370372</v>
      </c>
      <c r="N54" s="35">
        <f t="shared" si="12"/>
        <v>0.6875</v>
      </c>
      <c r="O54" s="35">
        <f t="shared" si="12"/>
        <v>0.52380952380952384</v>
      </c>
      <c r="P54" s="35">
        <f t="shared" si="12"/>
        <v>0.76923076923076927</v>
      </c>
      <c r="Q54" s="35">
        <f t="shared" si="12"/>
        <v>0.47826086956521741</v>
      </c>
      <c r="R54" s="35">
        <f t="shared" si="12"/>
        <v>0.44444444444444442</v>
      </c>
    </row>
    <row r="55" spans="1:18" x14ac:dyDescent="0.2">
      <c r="A55" s="40">
        <f t="shared" si="6"/>
        <v>70.010000000000005</v>
      </c>
      <c r="B55" s="39">
        <f t="shared" si="7"/>
        <v>80</v>
      </c>
      <c r="C55" s="35">
        <f t="shared" ref="C55:R55" si="13">IFERROR(C42/C29,0)</f>
        <v>0</v>
      </c>
      <c r="D55" s="35">
        <f t="shared" si="13"/>
        <v>0</v>
      </c>
      <c r="E55" s="35">
        <f t="shared" si="13"/>
        <v>0</v>
      </c>
      <c r="F55" s="35">
        <f t="shared" si="13"/>
        <v>0.77777777777777779</v>
      </c>
      <c r="G55" s="35">
        <f t="shared" si="13"/>
        <v>1</v>
      </c>
      <c r="H55" s="35">
        <f t="shared" si="13"/>
        <v>0.797752808988764</v>
      </c>
      <c r="I55" s="35">
        <f t="shared" si="13"/>
        <v>0</v>
      </c>
      <c r="J55" s="35">
        <f t="shared" si="13"/>
        <v>0</v>
      </c>
      <c r="K55" s="35">
        <f t="shared" si="13"/>
        <v>0</v>
      </c>
      <c r="L55" s="35">
        <f t="shared" si="13"/>
        <v>0.74285714285714288</v>
      </c>
      <c r="M55" s="35">
        <f t="shared" si="13"/>
        <v>0.76086956521739135</v>
      </c>
      <c r="N55" s="35">
        <f t="shared" si="13"/>
        <v>0.83333333333333337</v>
      </c>
      <c r="O55" s="35">
        <f t="shared" si="13"/>
        <v>0.66666666666666663</v>
      </c>
      <c r="P55" s="35">
        <f t="shared" si="13"/>
        <v>0.8</v>
      </c>
      <c r="Q55" s="35">
        <f t="shared" si="13"/>
        <v>0.84615384615384615</v>
      </c>
      <c r="R55" s="35">
        <f t="shared" si="13"/>
        <v>0</v>
      </c>
    </row>
    <row r="56" spans="1:18" x14ac:dyDescent="0.2">
      <c r="A56" s="40">
        <f t="shared" si="6"/>
        <v>80.010000000000005</v>
      </c>
      <c r="B56" s="39">
        <f t="shared" si="7"/>
        <v>90</v>
      </c>
      <c r="C56" s="35">
        <f t="shared" ref="C56:R56" si="14">IFERROR(C43/C30,0)</f>
        <v>0</v>
      </c>
      <c r="D56" s="35">
        <f t="shared" si="14"/>
        <v>0</v>
      </c>
      <c r="E56" s="35">
        <f t="shared" si="14"/>
        <v>0</v>
      </c>
      <c r="F56" s="35">
        <f t="shared" si="14"/>
        <v>0.70588235294117652</v>
      </c>
      <c r="G56" s="35">
        <f t="shared" si="14"/>
        <v>0</v>
      </c>
      <c r="H56" s="35">
        <f t="shared" si="14"/>
        <v>0</v>
      </c>
      <c r="I56" s="35">
        <f t="shared" si="14"/>
        <v>0</v>
      </c>
      <c r="J56" s="35">
        <f t="shared" si="14"/>
        <v>0</v>
      </c>
      <c r="K56" s="35">
        <f t="shared" si="14"/>
        <v>0</v>
      </c>
      <c r="L56" s="35">
        <f t="shared" si="14"/>
        <v>0.69230769230769229</v>
      </c>
      <c r="M56" s="35">
        <f t="shared" si="14"/>
        <v>0.83333333333333337</v>
      </c>
      <c r="N56" s="35">
        <f t="shared" si="14"/>
        <v>1</v>
      </c>
      <c r="O56" s="35">
        <f t="shared" si="14"/>
        <v>0</v>
      </c>
      <c r="P56" s="35">
        <f t="shared" si="14"/>
        <v>1</v>
      </c>
      <c r="Q56" s="35">
        <f t="shared" si="14"/>
        <v>0</v>
      </c>
      <c r="R56" s="35">
        <f t="shared" si="14"/>
        <v>0</v>
      </c>
    </row>
    <row r="57" spans="1:18" x14ac:dyDescent="0.2">
      <c r="A57" s="40">
        <f t="shared" si="6"/>
        <v>90.01</v>
      </c>
      <c r="B57" s="39">
        <f t="shared" si="7"/>
        <v>100</v>
      </c>
      <c r="C57" s="35">
        <f t="shared" ref="C57:R57" si="15">IFERROR(C44/C31,0)</f>
        <v>0</v>
      </c>
      <c r="D57" s="35">
        <f t="shared" si="15"/>
        <v>0</v>
      </c>
      <c r="E57" s="35">
        <f t="shared" si="15"/>
        <v>0</v>
      </c>
      <c r="F57" s="35">
        <f t="shared" si="15"/>
        <v>1</v>
      </c>
      <c r="G57" s="35">
        <f t="shared" si="15"/>
        <v>0</v>
      </c>
      <c r="H57" s="35">
        <f t="shared" si="15"/>
        <v>0</v>
      </c>
      <c r="I57" s="35">
        <f t="shared" si="15"/>
        <v>0</v>
      </c>
      <c r="J57" s="35">
        <f t="shared" si="15"/>
        <v>0</v>
      </c>
      <c r="K57" s="35">
        <f t="shared" si="15"/>
        <v>0</v>
      </c>
      <c r="L57" s="35">
        <f t="shared" si="15"/>
        <v>0</v>
      </c>
      <c r="M57" s="35">
        <f t="shared" si="15"/>
        <v>0.9</v>
      </c>
      <c r="N57" s="35">
        <f t="shared" si="15"/>
        <v>0</v>
      </c>
      <c r="O57" s="35">
        <f t="shared" si="15"/>
        <v>0</v>
      </c>
      <c r="P57" s="35">
        <f t="shared" si="15"/>
        <v>0</v>
      </c>
      <c r="Q57" s="35">
        <f t="shared" si="15"/>
        <v>0</v>
      </c>
      <c r="R57" s="35">
        <f t="shared" si="15"/>
        <v>0</v>
      </c>
    </row>
  </sheetData>
  <conditionalFormatting sqref="C48:R57">
    <cfRule type="cellIs" dxfId="0" priority="1" operator="greaterThan">
      <formula>0.5</formula>
    </cfRule>
  </conditionalFormatting>
  <pageMargins left="0.7" right="0.7" top="0.75" bottom="0.75" header="0.3" footer="0.3"/>
  <ignoredErrors>
    <ignoredError sqref="A3 A5 A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2026-07-26T15:20:21Z</dcterms:modified>
</cp:coreProperties>
</file>